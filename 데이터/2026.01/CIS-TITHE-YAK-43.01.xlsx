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73adc77fb726303/문서/CIS/회계/03. 기본파일/2026/2026.01/"/>
    </mc:Choice>
  </mc:AlternateContent>
  <xr:revisionPtr revIDLastSave="5" documentId="13_ncr:1_{7C1F12A4-1660-4006-9368-D0255F3BC9C2}" xr6:coauthVersionLast="47" xr6:coauthVersionMax="47" xr10:uidLastSave="{C36E6DEB-58C9-4FCF-8E33-7A024C93D682}"/>
  <bookViews>
    <workbookView xWindow="-108" yWindow="-108" windowWidth="30936" windowHeight="16776" firstSheet="1" activeTab="1" xr2:uid="{00000000-000D-0000-FFFF-FFFF00000000}"/>
  </bookViews>
  <sheets>
    <sheet name="42년6월 조직도" sheetId="2" state="hidden" r:id="rId1"/>
    <sheet name="Sheet1" sheetId="14" r:id="rId2"/>
    <sheet name="42년6월 취합마스터파일" sheetId="6" state="hidden" r:id="rId3"/>
    <sheet name="42년5월 취합마스터파일" sheetId="7" state="hidden" r:id="rId4"/>
    <sheet name="42.3월(조직개편전) 취합마스터파일" sheetId="9" state="hidden" r:id="rId5"/>
    <sheet name="총인원 누적관리_(총서기만작성)" sheetId="13" state="hidden" r:id="rId6"/>
  </sheets>
  <definedNames>
    <definedName name="_xlnm._FilterDatabase" localSheetId="4" hidden="1">'42.3월(조직개편전) 취합마스터파일'!$C$20:$AM$710</definedName>
    <definedName name="_xlnm._FilterDatabase" localSheetId="3" hidden="1">'42년5월 취합마스터파일'!$C$20:$AM$741</definedName>
    <definedName name="_xlnm._FilterDatabase" localSheetId="2" hidden="1">'42년6월 취합마스터파일'!$B$20:$AL$767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91029"/>
  <customWorkbookViews>
    <customWorkbookView name="필터 1" guid="{06EBDD38-7D4E-42A5-B4C9-FDEC6C8E2F5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1" i="13" l="1"/>
  <c r="R31" i="13"/>
  <c r="Q31" i="13"/>
  <c r="P31" i="13"/>
  <c r="O31" i="13"/>
  <c r="N31" i="13"/>
  <c r="M31" i="13"/>
  <c r="L31" i="13"/>
  <c r="K31" i="13"/>
  <c r="J31" i="13"/>
  <c r="I31" i="13"/>
  <c r="J14" i="13"/>
  <c r="E14" i="13" s="1"/>
  <c r="J13" i="13"/>
  <c r="E13" i="13" s="1"/>
  <c r="J12" i="13"/>
  <c r="E12" i="13" s="1"/>
  <c r="J11" i="13"/>
  <c r="E11" i="13" s="1"/>
  <c r="J10" i="13"/>
  <c r="E10" i="13" s="1"/>
  <c r="J9" i="13"/>
  <c r="E9" i="13" s="1"/>
  <c r="J8" i="13"/>
  <c r="E8" i="13" s="1"/>
  <c r="J7" i="13"/>
  <c r="E7" i="13" s="1"/>
  <c r="J6" i="13"/>
  <c r="E6" i="13" s="1"/>
  <c r="J5" i="13"/>
  <c r="B1" i="13"/>
  <c r="Z710" i="9"/>
  <c r="E710" i="9"/>
  <c r="Z709" i="9"/>
  <c r="E709" i="9"/>
  <c r="Z708" i="9"/>
  <c r="E708" i="9"/>
  <c r="Z707" i="9"/>
  <c r="E707" i="9"/>
  <c r="Z706" i="9"/>
  <c r="E706" i="9"/>
  <c r="Z705" i="9"/>
  <c r="E705" i="9"/>
  <c r="Z704" i="9"/>
  <c r="E704" i="9"/>
  <c r="Z703" i="9"/>
  <c r="E703" i="9"/>
  <c r="Z702" i="9"/>
  <c r="E702" i="9"/>
  <c r="Z701" i="9"/>
  <c r="E701" i="9"/>
  <c r="Z700" i="9"/>
  <c r="E700" i="9"/>
  <c r="Z699" i="9"/>
  <c r="E699" i="9"/>
  <c r="Z698" i="9"/>
  <c r="E698" i="9"/>
  <c r="Z697" i="9"/>
  <c r="E697" i="9"/>
  <c r="Z696" i="9"/>
  <c r="E696" i="9"/>
  <c r="Z695" i="9"/>
  <c r="E695" i="9"/>
  <c r="Z694" i="9"/>
  <c r="E694" i="9"/>
  <c r="Z693" i="9"/>
  <c r="E693" i="9"/>
  <c r="Z692" i="9"/>
  <c r="E692" i="9"/>
  <c r="Z691" i="9"/>
  <c r="E691" i="9"/>
  <c r="Z690" i="9"/>
  <c r="E690" i="9"/>
  <c r="Z689" i="9"/>
  <c r="E689" i="9"/>
  <c r="Z688" i="9"/>
  <c r="E688" i="9"/>
  <c r="Z687" i="9"/>
  <c r="E687" i="9"/>
  <c r="Z686" i="9"/>
  <c r="E686" i="9"/>
  <c r="Z685" i="9"/>
  <c r="E685" i="9"/>
  <c r="Z684" i="9"/>
  <c r="E684" i="9"/>
  <c r="Z683" i="9"/>
  <c r="E683" i="9"/>
  <c r="Z682" i="9"/>
  <c r="E682" i="9"/>
  <c r="Z681" i="9"/>
  <c r="E681" i="9"/>
  <c r="Z680" i="9"/>
  <c r="E680" i="9"/>
  <c r="Z679" i="9"/>
  <c r="E679" i="9"/>
  <c r="Z678" i="9"/>
  <c r="E678" i="9"/>
  <c r="Z677" i="9"/>
  <c r="E677" i="9"/>
  <c r="Z676" i="9"/>
  <c r="E676" i="9"/>
  <c r="Z675" i="9"/>
  <c r="E675" i="9"/>
  <c r="Z674" i="9"/>
  <c r="E674" i="9"/>
  <c r="Z673" i="9"/>
  <c r="E673" i="9"/>
  <c r="Z672" i="9"/>
  <c r="E672" i="9"/>
  <c r="Z671" i="9"/>
  <c r="E671" i="9"/>
  <c r="Z670" i="9"/>
  <c r="E670" i="9"/>
  <c r="Z669" i="9"/>
  <c r="E669" i="9"/>
  <c r="Z668" i="9"/>
  <c r="E668" i="9"/>
  <c r="Z667" i="9"/>
  <c r="E667" i="9"/>
  <c r="Z666" i="9"/>
  <c r="E666" i="9"/>
  <c r="Z665" i="9"/>
  <c r="E665" i="9"/>
  <c r="Z664" i="9"/>
  <c r="E664" i="9"/>
  <c r="Z663" i="9"/>
  <c r="E663" i="9"/>
  <c r="Z662" i="9"/>
  <c r="E662" i="9"/>
  <c r="Z661" i="9"/>
  <c r="E661" i="9"/>
  <c r="Z660" i="9"/>
  <c r="E660" i="9"/>
  <c r="Z659" i="9"/>
  <c r="E659" i="9"/>
  <c r="Z658" i="9"/>
  <c r="E658" i="9"/>
  <c r="Z657" i="9"/>
  <c r="E657" i="9"/>
  <c r="Z656" i="9"/>
  <c r="E656" i="9"/>
  <c r="Z655" i="9"/>
  <c r="E655" i="9"/>
  <c r="Z654" i="9"/>
  <c r="E654" i="9"/>
  <c r="Z653" i="9"/>
  <c r="E653" i="9"/>
  <c r="Z652" i="9"/>
  <c r="E652" i="9"/>
  <c r="Z651" i="9"/>
  <c r="E651" i="9"/>
  <c r="Z650" i="9"/>
  <c r="E650" i="9"/>
  <c r="Z649" i="9"/>
  <c r="E649" i="9"/>
  <c r="Z648" i="9"/>
  <c r="E648" i="9"/>
  <c r="Z647" i="9"/>
  <c r="E647" i="9"/>
  <c r="Z646" i="9"/>
  <c r="E646" i="9"/>
  <c r="Z645" i="9"/>
  <c r="E645" i="9"/>
  <c r="Z644" i="9"/>
  <c r="E644" i="9"/>
  <c r="Z643" i="9"/>
  <c r="E643" i="9"/>
  <c r="Z642" i="9"/>
  <c r="E642" i="9"/>
  <c r="Z641" i="9"/>
  <c r="E641" i="9"/>
  <c r="Z640" i="9"/>
  <c r="E640" i="9"/>
  <c r="Z639" i="9"/>
  <c r="E639" i="9"/>
  <c r="Z638" i="9"/>
  <c r="E638" i="9"/>
  <c r="Z637" i="9"/>
  <c r="E637" i="9"/>
  <c r="Z636" i="9"/>
  <c r="E636" i="9"/>
  <c r="Z635" i="9"/>
  <c r="E635" i="9"/>
  <c r="Z634" i="9"/>
  <c r="E634" i="9"/>
  <c r="Z633" i="9"/>
  <c r="E633" i="9"/>
  <c r="Z632" i="9"/>
  <c r="E632" i="9"/>
  <c r="Z631" i="9"/>
  <c r="E631" i="9"/>
  <c r="Z630" i="9"/>
  <c r="E630" i="9"/>
  <c r="Z629" i="9"/>
  <c r="E629" i="9"/>
  <c r="Z628" i="9"/>
  <c r="E628" i="9"/>
  <c r="Z627" i="9"/>
  <c r="E627" i="9"/>
  <c r="Z626" i="9"/>
  <c r="E626" i="9"/>
  <c r="Z625" i="9"/>
  <c r="E625" i="9"/>
  <c r="Z624" i="9"/>
  <c r="E624" i="9"/>
  <c r="Z623" i="9"/>
  <c r="E623" i="9"/>
  <c r="Z622" i="9"/>
  <c r="E622" i="9"/>
  <c r="Z621" i="9"/>
  <c r="E621" i="9"/>
  <c r="Z620" i="9"/>
  <c r="E620" i="9"/>
  <c r="Z619" i="9"/>
  <c r="E619" i="9"/>
  <c r="Z618" i="9"/>
  <c r="E618" i="9"/>
  <c r="Z617" i="9"/>
  <c r="E617" i="9"/>
  <c r="Z616" i="9"/>
  <c r="E616" i="9"/>
  <c r="Z615" i="9"/>
  <c r="E615" i="9"/>
  <c r="Z614" i="9"/>
  <c r="E614" i="9"/>
  <c r="Z613" i="9"/>
  <c r="E613" i="9"/>
  <c r="Z612" i="9"/>
  <c r="E612" i="9"/>
  <c r="Z611" i="9"/>
  <c r="E611" i="9"/>
  <c r="Z610" i="9"/>
  <c r="E610" i="9"/>
  <c r="Z609" i="9"/>
  <c r="E609" i="9"/>
  <c r="Z608" i="9"/>
  <c r="E608" i="9"/>
  <c r="Z607" i="9"/>
  <c r="E607" i="9"/>
  <c r="Z606" i="9"/>
  <c r="E606" i="9"/>
  <c r="Z605" i="9"/>
  <c r="E605" i="9"/>
  <c r="Z604" i="9"/>
  <c r="E604" i="9"/>
  <c r="Z603" i="9"/>
  <c r="E603" i="9"/>
  <c r="Z602" i="9"/>
  <c r="E602" i="9"/>
  <c r="Z601" i="9"/>
  <c r="E601" i="9"/>
  <c r="Z600" i="9"/>
  <c r="E600" i="9"/>
  <c r="Z599" i="9"/>
  <c r="E599" i="9"/>
  <c r="Z598" i="9"/>
  <c r="E598" i="9"/>
  <c r="Z597" i="9"/>
  <c r="E597" i="9"/>
  <c r="Z596" i="9"/>
  <c r="E596" i="9"/>
  <c r="Z595" i="9"/>
  <c r="E595" i="9"/>
  <c r="Z594" i="9"/>
  <c r="E594" i="9"/>
  <c r="Z593" i="9"/>
  <c r="E593" i="9"/>
  <c r="Z592" i="9"/>
  <c r="E592" i="9"/>
  <c r="Z591" i="9"/>
  <c r="E591" i="9"/>
  <c r="Z590" i="9"/>
  <c r="E590" i="9"/>
  <c r="Z589" i="9"/>
  <c r="E589" i="9"/>
  <c r="Z588" i="9"/>
  <c r="E588" i="9"/>
  <c r="Z587" i="9"/>
  <c r="E587" i="9"/>
  <c r="Z586" i="9"/>
  <c r="E586" i="9"/>
  <c r="Z585" i="9"/>
  <c r="E585" i="9"/>
  <c r="Z584" i="9"/>
  <c r="E584" i="9"/>
  <c r="Z583" i="9"/>
  <c r="E583" i="9"/>
  <c r="Z582" i="9"/>
  <c r="E582" i="9"/>
  <c r="Z581" i="9"/>
  <c r="E581" i="9"/>
  <c r="Z580" i="9"/>
  <c r="E580" i="9"/>
  <c r="Z579" i="9"/>
  <c r="E579" i="9"/>
  <c r="Z578" i="9"/>
  <c r="E578" i="9"/>
  <c r="Z577" i="9"/>
  <c r="E577" i="9"/>
  <c r="Z576" i="9"/>
  <c r="E576" i="9"/>
  <c r="Z575" i="9"/>
  <c r="E575" i="9"/>
  <c r="Z574" i="9"/>
  <c r="E574" i="9"/>
  <c r="Z573" i="9"/>
  <c r="E573" i="9"/>
  <c r="Z572" i="9"/>
  <c r="E572" i="9"/>
  <c r="Z571" i="9"/>
  <c r="E571" i="9"/>
  <c r="Z570" i="9"/>
  <c r="E570" i="9"/>
  <c r="Z569" i="9"/>
  <c r="E569" i="9"/>
  <c r="Z568" i="9"/>
  <c r="E568" i="9"/>
  <c r="Z567" i="9"/>
  <c r="E567" i="9"/>
  <c r="Z566" i="9"/>
  <c r="E566" i="9"/>
  <c r="Z565" i="9"/>
  <c r="E565" i="9"/>
  <c r="Z564" i="9"/>
  <c r="E564" i="9"/>
  <c r="Z563" i="9"/>
  <c r="E563" i="9"/>
  <c r="Z562" i="9"/>
  <c r="E562" i="9"/>
  <c r="Z561" i="9"/>
  <c r="E561" i="9"/>
  <c r="Z560" i="9"/>
  <c r="E560" i="9"/>
  <c r="Z559" i="9"/>
  <c r="E559" i="9"/>
  <c r="Z558" i="9"/>
  <c r="E558" i="9"/>
  <c r="Z557" i="9"/>
  <c r="E557" i="9"/>
  <c r="Z556" i="9"/>
  <c r="E556" i="9"/>
  <c r="Z555" i="9"/>
  <c r="E555" i="9"/>
  <c r="Z554" i="9"/>
  <c r="E554" i="9"/>
  <c r="Z553" i="9"/>
  <c r="E553" i="9"/>
  <c r="Z552" i="9"/>
  <c r="E552" i="9"/>
  <c r="Z551" i="9"/>
  <c r="E551" i="9"/>
  <c r="Z550" i="9"/>
  <c r="E550" i="9"/>
  <c r="Z549" i="9"/>
  <c r="E549" i="9"/>
  <c r="Z548" i="9"/>
  <c r="E548" i="9"/>
  <c r="Z547" i="9"/>
  <c r="E547" i="9"/>
  <c r="Z546" i="9"/>
  <c r="E546" i="9"/>
  <c r="Z545" i="9"/>
  <c r="E545" i="9"/>
  <c r="Z544" i="9"/>
  <c r="E544" i="9"/>
  <c r="Z543" i="9"/>
  <c r="E543" i="9"/>
  <c r="Z542" i="9"/>
  <c r="E542" i="9"/>
  <c r="Z541" i="9"/>
  <c r="E541" i="9"/>
  <c r="Z540" i="9"/>
  <c r="E540" i="9"/>
  <c r="Z539" i="9"/>
  <c r="E539" i="9"/>
  <c r="Z538" i="9"/>
  <c r="E538" i="9"/>
  <c r="Z537" i="9"/>
  <c r="E537" i="9"/>
  <c r="Z536" i="9"/>
  <c r="E536" i="9"/>
  <c r="Z535" i="9"/>
  <c r="E535" i="9"/>
  <c r="Z534" i="9"/>
  <c r="E534" i="9"/>
  <c r="Z533" i="9"/>
  <c r="E533" i="9"/>
  <c r="Z532" i="9"/>
  <c r="E532" i="9"/>
  <c r="Z531" i="9"/>
  <c r="E531" i="9"/>
  <c r="Z530" i="9"/>
  <c r="E530" i="9"/>
  <c r="Z529" i="9"/>
  <c r="E529" i="9"/>
  <c r="Z528" i="9"/>
  <c r="E528" i="9"/>
  <c r="Z527" i="9"/>
  <c r="E527" i="9"/>
  <c r="Z526" i="9"/>
  <c r="E526" i="9"/>
  <c r="Z525" i="9"/>
  <c r="E525" i="9"/>
  <c r="Z524" i="9"/>
  <c r="E524" i="9"/>
  <c r="Z523" i="9"/>
  <c r="E523" i="9"/>
  <c r="Z522" i="9"/>
  <c r="E522" i="9"/>
  <c r="Z521" i="9"/>
  <c r="E521" i="9"/>
  <c r="Z520" i="9"/>
  <c r="E520" i="9"/>
  <c r="Z519" i="9"/>
  <c r="E519" i="9"/>
  <c r="Z518" i="9"/>
  <c r="E518" i="9"/>
  <c r="Z517" i="9"/>
  <c r="E517" i="9"/>
  <c r="Z516" i="9"/>
  <c r="E516" i="9"/>
  <c r="Z515" i="9"/>
  <c r="E515" i="9"/>
  <c r="Z514" i="9"/>
  <c r="E514" i="9"/>
  <c r="Z513" i="9"/>
  <c r="E513" i="9"/>
  <c r="Z512" i="9"/>
  <c r="E512" i="9"/>
  <c r="Z511" i="9"/>
  <c r="E511" i="9"/>
  <c r="Z510" i="9"/>
  <c r="E510" i="9"/>
  <c r="Z509" i="9"/>
  <c r="E509" i="9"/>
  <c r="Z508" i="9"/>
  <c r="E508" i="9"/>
  <c r="Z507" i="9"/>
  <c r="E507" i="9"/>
  <c r="Z506" i="9"/>
  <c r="E506" i="9"/>
  <c r="Z505" i="9"/>
  <c r="E505" i="9"/>
  <c r="Z504" i="9"/>
  <c r="E504" i="9"/>
  <c r="Z503" i="9"/>
  <c r="E503" i="9"/>
  <c r="Z502" i="9"/>
  <c r="E502" i="9"/>
  <c r="Z501" i="9"/>
  <c r="E501" i="9"/>
  <c r="Z500" i="9"/>
  <c r="E500" i="9"/>
  <c r="Z499" i="9"/>
  <c r="E499" i="9"/>
  <c r="Z498" i="9"/>
  <c r="E498" i="9"/>
  <c r="Z497" i="9"/>
  <c r="E497" i="9"/>
  <c r="Z496" i="9"/>
  <c r="E496" i="9"/>
  <c r="Z495" i="9"/>
  <c r="E495" i="9"/>
  <c r="Z494" i="9"/>
  <c r="E494" i="9"/>
  <c r="Z493" i="9"/>
  <c r="E493" i="9"/>
  <c r="Z492" i="9"/>
  <c r="E492" i="9"/>
  <c r="Z491" i="9"/>
  <c r="E491" i="9"/>
  <c r="Z490" i="9"/>
  <c r="E490" i="9"/>
  <c r="Z489" i="9"/>
  <c r="E489" i="9"/>
  <c r="Z488" i="9"/>
  <c r="E488" i="9"/>
  <c r="Z487" i="9"/>
  <c r="E487" i="9"/>
  <c r="Z486" i="9"/>
  <c r="E486" i="9"/>
  <c r="Z485" i="9"/>
  <c r="E485" i="9"/>
  <c r="Z484" i="9"/>
  <c r="E484" i="9"/>
  <c r="Z483" i="9"/>
  <c r="E483" i="9"/>
  <c r="Z482" i="9"/>
  <c r="E482" i="9"/>
  <c r="Z481" i="9"/>
  <c r="E481" i="9"/>
  <c r="Z480" i="9"/>
  <c r="E480" i="9"/>
  <c r="Z479" i="9"/>
  <c r="E479" i="9"/>
  <c r="Z478" i="9"/>
  <c r="E478" i="9"/>
  <c r="Z477" i="9"/>
  <c r="E477" i="9"/>
  <c r="Z476" i="9"/>
  <c r="E476" i="9"/>
  <c r="Z475" i="9"/>
  <c r="E475" i="9"/>
  <c r="Z474" i="9"/>
  <c r="E474" i="9"/>
  <c r="Z473" i="9"/>
  <c r="E473" i="9"/>
  <c r="Z472" i="9"/>
  <c r="E472" i="9"/>
  <c r="Z471" i="9"/>
  <c r="E471" i="9"/>
  <c r="Z470" i="9"/>
  <c r="E470" i="9"/>
  <c r="Z469" i="9"/>
  <c r="E469" i="9"/>
  <c r="Z468" i="9"/>
  <c r="E468" i="9"/>
  <c r="Z467" i="9"/>
  <c r="E467" i="9"/>
  <c r="Z466" i="9"/>
  <c r="E466" i="9"/>
  <c r="Z465" i="9"/>
  <c r="E465" i="9"/>
  <c r="Z464" i="9"/>
  <c r="E464" i="9"/>
  <c r="Z463" i="9"/>
  <c r="E463" i="9"/>
  <c r="Z462" i="9"/>
  <c r="E462" i="9"/>
  <c r="Z461" i="9"/>
  <c r="E461" i="9"/>
  <c r="Z460" i="9"/>
  <c r="E460" i="9"/>
  <c r="Z459" i="9"/>
  <c r="E459" i="9"/>
  <c r="Z458" i="9"/>
  <c r="E458" i="9"/>
  <c r="Z457" i="9"/>
  <c r="E457" i="9"/>
  <c r="Z456" i="9"/>
  <c r="E456" i="9"/>
  <c r="Z455" i="9"/>
  <c r="E455" i="9"/>
  <c r="Z454" i="9"/>
  <c r="E454" i="9"/>
  <c r="Z453" i="9"/>
  <c r="E453" i="9"/>
  <c r="Z452" i="9"/>
  <c r="E452" i="9"/>
  <c r="Z451" i="9"/>
  <c r="E451" i="9"/>
  <c r="Z450" i="9"/>
  <c r="E450" i="9"/>
  <c r="Z449" i="9"/>
  <c r="E449" i="9"/>
  <c r="Z448" i="9"/>
  <c r="E448" i="9"/>
  <c r="Z447" i="9"/>
  <c r="E447" i="9"/>
  <c r="Z446" i="9"/>
  <c r="E446" i="9"/>
  <c r="Z445" i="9"/>
  <c r="E445" i="9"/>
  <c r="Z444" i="9"/>
  <c r="E444" i="9"/>
  <c r="Z443" i="9"/>
  <c r="E443" i="9"/>
  <c r="Z442" i="9"/>
  <c r="E442" i="9"/>
  <c r="Z441" i="9"/>
  <c r="E441" i="9"/>
  <c r="Z440" i="9"/>
  <c r="E440" i="9"/>
  <c r="Z439" i="9"/>
  <c r="E439" i="9"/>
  <c r="Z438" i="9"/>
  <c r="E438" i="9"/>
  <c r="Z437" i="9"/>
  <c r="E437" i="9"/>
  <c r="Z436" i="9"/>
  <c r="E436" i="9"/>
  <c r="Z435" i="9"/>
  <c r="E435" i="9"/>
  <c r="Z434" i="9"/>
  <c r="E434" i="9"/>
  <c r="Z433" i="9"/>
  <c r="E433" i="9"/>
  <c r="Z432" i="9"/>
  <c r="E432" i="9"/>
  <c r="Z431" i="9"/>
  <c r="E431" i="9"/>
  <c r="Z430" i="9"/>
  <c r="E430" i="9"/>
  <c r="Z429" i="9"/>
  <c r="E429" i="9"/>
  <c r="Z428" i="9"/>
  <c r="E428" i="9"/>
  <c r="Z427" i="9"/>
  <c r="E427" i="9"/>
  <c r="Z426" i="9"/>
  <c r="E426" i="9"/>
  <c r="Z425" i="9"/>
  <c r="E425" i="9"/>
  <c r="Z424" i="9"/>
  <c r="E424" i="9"/>
  <c r="Z423" i="9"/>
  <c r="E423" i="9"/>
  <c r="Z422" i="9"/>
  <c r="E422" i="9"/>
  <c r="Z421" i="9"/>
  <c r="E421" i="9"/>
  <c r="Z420" i="9"/>
  <c r="E420" i="9"/>
  <c r="Z419" i="9"/>
  <c r="E419" i="9"/>
  <c r="Z418" i="9"/>
  <c r="E418" i="9"/>
  <c r="Z417" i="9"/>
  <c r="E417" i="9"/>
  <c r="Z416" i="9"/>
  <c r="E416" i="9"/>
  <c r="Z415" i="9"/>
  <c r="E415" i="9"/>
  <c r="Z414" i="9"/>
  <c r="E414" i="9"/>
  <c r="Z413" i="9"/>
  <c r="E413" i="9"/>
  <c r="Z412" i="9"/>
  <c r="E412" i="9"/>
  <c r="Z411" i="9"/>
  <c r="E411" i="9"/>
  <c r="Z410" i="9"/>
  <c r="E410" i="9"/>
  <c r="Z409" i="9"/>
  <c r="E409" i="9"/>
  <c r="Z408" i="9"/>
  <c r="E408" i="9"/>
  <c r="Z407" i="9"/>
  <c r="E407" i="9"/>
  <c r="Z406" i="9"/>
  <c r="E406" i="9"/>
  <c r="Z405" i="9"/>
  <c r="E405" i="9"/>
  <c r="Z404" i="9"/>
  <c r="E404" i="9"/>
  <c r="Z403" i="9"/>
  <c r="E403" i="9"/>
  <c r="Z402" i="9"/>
  <c r="E402" i="9"/>
  <c r="Z401" i="9"/>
  <c r="E401" i="9"/>
  <c r="Z400" i="9"/>
  <c r="E400" i="9"/>
  <c r="Z399" i="9"/>
  <c r="E399" i="9"/>
  <c r="Z398" i="9"/>
  <c r="E398" i="9"/>
  <c r="Z397" i="9"/>
  <c r="E397" i="9"/>
  <c r="Z396" i="9"/>
  <c r="E396" i="9"/>
  <c r="Z395" i="9"/>
  <c r="E395" i="9"/>
  <c r="Z394" i="9"/>
  <c r="E394" i="9"/>
  <c r="Z393" i="9"/>
  <c r="E393" i="9"/>
  <c r="Z392" i="9"/>
  <c r="E392" i="9"/>
  <c r="Z391" i="9"/>
  <c r="E391" i="9"/>
  <c r="Z390" i="9"/>
  <c r="E390" i="9"/>
  <c r="Z389" i="9"/>
  <c r="E389" i="9"/>
  <c r="Z388" i="9"/>
  <c r="E388" i="9"/>
  <c r="Z387" i="9"/>
  <c r="E387" i="9"/>
  <c r="Z386" i="9"/>
  <c r="E386" i="9"/>
  <c r="Z385" i="9"/>
  <c r="E385" i="9"/>
  <c r="Z384" i="9"/>
  <c r="E384" i="9"/>
  <c r="Z383" i="9"/>
  <c r="E383" i="9"/>
  <c r="Z382" i="9"/>
  <c r="E382" i="9"/>
  <c r="Z381" i="9"/>
  <c r="E381" i="9"/>
  <c r="E380" i="9"/>
  <c r="Z379" i="9"/>
  <c r="E379" i="9"/>
  <c r="Z378" i="9"/>
  <c r="E378" i="9"/>
  <c r="Z377" i="9"/>
  <c r="E377" i="9"/>
  <c r="Z376" i="9"/>
  <c r="E376" i="9"/>
  <c r="Z375" i="9"/>
  <c r="E375" i="9"/>
  <c r="Z374" i="9"/>
  <c r="E374" i="9"/>
  <c r="Z373" i="9"/>
  <c r="E373" i="9"/>
  <c r="Z372" i="9"/>
  <c r="E372" i="9"/>
  <c r="Z371" i="9"/>
  <c r="E371" i="9"/>
  <c r="Z370" i="9"/>
  <c r="E370" i="9"/>
  <c r="Z369" i="9"/>
  <c r="E369" i="9"/>
  <c r="Z368" i="9"/>
  <c r="E368" i="9"/>
  <c r="Z367" i="9"/>
  <c r="E367" i="9"/>
  <c r="Z366" i="9"/>
  <c r="E366" i="9"/>
  <c r="Z365" i="9"/>
  <c r="E365" i="9"/>
  <c r="Z364" i="9"/>
  <c r="E364" i="9"/>
  <c r="Z363" i="9"/>
  <c r="E363" i="9"/>
  <c r="Z362" i="9"/>
  <c r="E362" i="9"/>
  <c r="Z361" i="9"/>
  <c r="E361" i="9"/>
  <c r="Z360" i="9"/>
  <c r="E360" i="9"/>
  <c r="Z359" i="9"/>
  <c r="E359" i="9"/>
  <c r="Z358" i="9"/>
  <c r="E358" i="9"/>
  <c r="Z357" i="9"/>
  <c r="E357" i="9"/>
  <c r="Z356" i="9"/>
  <c r="E356" i="9"/>
  <c r="Z355" i="9"/>
  <c r="E355" i="9"/>
  <c r="Z354" i="9"/>
  <c r="E354" i="9"/>
  <c r="Z353" i="9"/>
  <c r="E353" i="9"/>
  <c r="Z352" i="9"/>
  <c r="E352" i="9"/>
  <c r="Z351" i="9"/>
  <c r="E351" i="9"/>
  <c r="Z350" i="9"/>
  <c r="E350" i="9"/>
  <c r="Z349" i="9"/>
  <c r="E349" i="9"/>
  <c r="Z348" i="9"/>
  <c r="E348" i="9"/>
  <c r="Z347" i="9"/>
  <c r="E347" i="9"/>
  <c r="Z346" i="9"/>
  <c r="E346" i="9"/>
  <c r="Z345" i="9"/>
  <c r="E345" i="9"/>
  <c r="Z344" i="9"/>
  <c r="E344" i="9"/>
  <c r="Z343" i="9"/>
  <c r="E343" i="9"/>
  <c r="Z342" i="9"/>
  <c r="E342" i="9"/>
  <c r="Z341" i="9"/>
  <c r="E341" i="9"/>
  <c r="Z340" i="9"/>
  <c r="E340" i="9"/>
  <c r="Z339" i="9"/>
  <c r="E339" i="9"/>
  <c r="Z338" i="9"/>
  <c r="E338" i="9"/>
  <c r="Z337" i="9"/>
  <c r="E337" i="9"/>
  <c r="Z336" i="9"/>
  <c r="E336" i="9"/>
  <c r="Z335" i="9"/>
  <c r="E335" i="9"/>
  <c r="Z334" i="9"/>
  <c r="E334" i="9"/>
  <c r="Z333" i="9"/>
  <c r="E333" i="9"/>
  <c r="Z332" i="9"/>
  <c r="E332" i="9"/>
  <c r="Z331" i="9"/>
  <c r="E331" i="9"/>
  <c r="Z330" i="9"/>
  <c r="E330" i="9"/>
  <c r="Z329" i="9"/>
  <c r="E329" i="9"/>
  <c r="Z328" i="9"/>
  <c r="E328" i="9"/>
  <c r="Z327" i="9"/>
  <c r="E327" i="9"/>
  <c r="Z326" i="9"/>
  <c r="E326" i="9"/>
  <c r="Z325" i="9"/>
  <c r="E325" i="9"/>
  <c r="Z324" i="9"/>
  <c r="E324" i="9"/>
  <c r="Z323" i="9"/>
  <c r="E323" i="9"/>
  <c r="Z322" i="9"/>
  <c r="E322" i="9"/>
  <c r="Z321" i="9"/>
  <c r="E321" i="9"/>
  <c r="Z320" i="9"/>
  <c r="E320" i="9"/>
  <c r="Z319" i="9"/>
  <c r="E319" i="9"/>
  <c r="Z318" i="9"/>
  <c r="E318" i="9"/>
  <c r="Z317" i="9"/>
  <c r="E317" i="9"/>
  <c r="Z316" i="9"/>
  <c r="E316" i="9"/>
  <c r="Z315" i="9"/>
  <c r="E315" i="9"/>
  <c r="Z314" i="9"/>
  <c r="E314" i="9"/>
  <c r="Z313" i="9"/>
  <c r="E313" i="9"/>
  <c r="Z312" i="9"/>
  <c r="E312" i="9"/>
  <c r="Z311" i="9"/>
  <c r="E311" i="9"/>
  <c r="Z310" i="9"/>
  <c r="E310" i="9"/>
  <c r="Z309" i="9"/>
  <c r="E309" i="9"/>
  <c r="Z308" i="9"/>
  <c r="E308" i="9"/>
  <c r="Z307" i="9"/>
  <c r="E307" i="9"/>
  <c r="Z306" i="9"/>
  <c r="E306" i="9"/>
  <c r="Z305" i="9"/>
  <c r="E305" i="9"/>
  <c r="Z304" i="9"/>
  <c r="E304" i="9"/>
  <c r="Z303" i="9"/>
  <c r="E303" i="9"/>
  <c r="Z302" i="9"/>
  <c r="E302" i="9"/>
  <c r="Z301" i="9"/>
  <c r="E301" i="9"/>
  <c r="Z300" i="9"/>
  <c r="E300" i="9"/>
  <c r="Z299" i="9"/>
  <c r="E299" i="9"/>
  <c r="Z298" i="9"/>
  <c r="E298" i="9"/>
  <c r="Z297" i="9"/>
  <c r="E297" i="9"/>
  <c r="Z296" i="9"/>
  <c r="E296" i="9"/>
  <c r="Z295" i="9"/>
  <c r="E295" i="9"/>
  <c r="Z294" i="9"/>
  <c r="E294" i="9"/>
  <c r="Z293" i="9"/>
  <c r="E293" i="9"/>
  <c r="Z292" i="9"/>
  <c r="E292" i="9"/>
  <c r="Z291" i="9"/>
  <c r="E291" i="9"/>
  <c r="Z290" i="9"/>
  <c r="E290" i="9"/>
  <c r="Z289" i="9"/>
  <c r="E289" i="9"/>
  <c r="Z288" i="9"/>
  <c r="E288" i="9"/>
  <c r="Z287" i="9"/>
  <c r="E287" i="9"/>
  <c r="Z286" i="9"/>
  <c r="E286" i="9"/>
  <c r="Z285" i="9"/>
  <c r="E285" i="9"/>
  <c r="Z284" i="9"/>
  <c r="E284" i="9"/>
  <c r="Z283" i="9"/>
  <c r="E283" i="9"/>
  <c r="Z282" i="9"/>
  <c r="E282" i="9"/>
  <c r="Z281" i="9"/>
  <c r="E281" i="9"/>
  <c r="Z280" i="9"/>
  <c r="E280" i="9"/>
  <c r="Z279" i="9"/>
  <c r="E279" i="9"/>
  <c r="Z278" i="9"/>
  <c r="E278" i="9"/>
  <c r="Z277" i="9"/>
  <c r="E277" i="9"/>
  <c r="Z276" i="9"/>
  <c r="E276" i="9"/>
  <c r="Z275" i="9"/>
  <c r="E275" i="9"/>
  <c r="Z274" i="9"/>
  <c r="E274" i="9"/>
  <c r="Z273" i="9"/>
  <c r="E273" i="9"/>
  <c r="Z272" i="9"/>
  <c r="E272" i="9"/>
  <c r="Z271" i="9"/>
  <c r="E271" i="9"/>
  <c r="Z270" i="9"/>
  <c r="E270" i="9"/>
  <c r="Z269" i="9"/>
  <c r="E269" i="9"/>
  <c r="Z268" i="9"/>
  <c r="E268" i="9"/>
  <c r="Z267" i="9"/>
  <c r="E267" i="9"/>
  <c r="Z266" i="9"/>
  <c r="E266" i="9"/>
  <c r="Z265" i="9"/>
  <c r="E265" i="9"/>
  <c r="Z264" i="9"/>
  <c r="E264" i="9"/>
  <c r="Z263" i="9"/>
  <c r="E263" i="9"/>
  <c r="Z262" i="9"/>
  <c r="E262" i="9"/>
  <c r="Z261" i="9"/>
  <c r="E261" i="9"/>
  <c r="Z260" i="9"/>
  <c r="E260" i="9"/>
  <c r="Z259" i="9"/>
  <c r="E259" i="9"/>
  <c r="Z258" i="9"/>
  <c r="E258" i="9"/>
  <c r="Z257" i="9"/>
  <c r="E257" i="9"/>
  <c r="Z256" i="9"/>
  <c r="E256" i="9"/>
  <c r="Z255" i="9"/>
  <c r="E255" i="9"/>
  <c r="Z254" i="9"/>
  <c r="E254" i="9"/>
  <c r="Z253" i="9"/>
  <c r="E253" i="9"/>
  <c r="Z252" i="9"/>
  <c r="E252" i="9"/>
  <c r="Z251" i="9"/>
  <c r="E251" i="9"/>
  <c r="Z250" i="9"/>
  <c r="E250" i="9"/>
  <c r="Z249" i="9"/>
  <c r="E249" i="9"/>
  <c r="Z248" i="9"/>
  <c r="E248" i="9"/>
  <c r="Z247" i="9"/>
  <c r="E247" i="9"/>
  <c r="Z246" i="9"/>
  <c r="E246" i="9"/>
  <c r="Z245" i="9"/>
  <c r="E245" i="9"/>
  <c r="Z244" i="9"/>
  <c r="E244" i="9"/>
  <c r="Z243" i="9"/>
  <c r="E243" i="9"/>
  <c r="Z242" i="9"/>
  <c r="E242" i="9"/>
  <c r="Z241" i="9"/>
  <c r="E241" i="9"/>
  <c r="Z240" i="9"/>
  <c r="E240" i="9"/>
  <c r="Z239" i="9"/>
  <c r="E239" i="9"/>
  <c r="Z238" i="9"/>
  <c r="E238" i="9"/>
  <c r="Z237" i="9"/>
  <c r="E237" i="9"/>
  <c r="Z236" i="9"/>
  <c r="E236" i="9"/>
  <c r="Z235" i="9"/>
  <c r="E235" i="9"/>
  <c r="Z234" i="9"/>
  <c r="E234" i="9"/>
  <c r="Z233" i="9"/>
  <c r="E233" i="9"/>
  <c r="Z232" i="9"/>
  <c r="E232" i="9"/>
  <c r="Z231" i="9"/>
  <c r="E231" i="9"/>
  <c r="Z230" i="9"/>
  <c r="E230" i="9"/>
  <c r="Z229" i="9"/>
  <c r="E229" i="9"/>
  <c r="Z228" i="9"/>
  <c r="E228" i="9"/>
  <c r="Z227" i="9"/>
  <c r="E227" i="9"/>
  <c r="Z226" i="9"/>
  <c r="E226" i="9"/>
  <c r="Z225" i="9"/>
  <c r="E225" i="9"/>
  <c r="Z224" i="9"/>
  <c r="E224" i="9"/>
  <c r="Z223" i="9"/>
  <c r="E223" i="9"/>
  <c r="Z222" i="9"/>
  <c r="E222" i="9"/>
  <c r="Z221" i="9"/>
  <c r="E221" i="9"/>
  <c r="Z220" i="9"/>
  <c r="E220" i="9"/>
  <c r="Z219" i="9"/>
  <c r="E219" i="9"/>
  <c r="Z218" i="9"/>
  <c r="E218" i="9"/>
  <c r="Z217" i="9"/>
  <c r="E217" i="9"/>
  <c r="Z216" i="9"/>
  <c r="E216" i="9"/>
  <c r="Z215" i="9"/>
  <c r="E215" i="9"/>
  <c r="Z214" i="9"/>
  <c r="E214" i="9"/>
  <c r="Z213" i="9"/>
  <c r="E213" i="9"/>
  <c r="Z212" i="9"/>
  <c r="E212" i="9"/>
  <c r="Z211" i="9"/>
  <c r="E211" i="9"/>
  <c r="Z210" i="9"/>
  <c r="E210" i="9"/>
  <c r="Z209" i="9"/>
  <c r="E209" i="9"/>
  <c r="Z208" i="9"/>
  <c r="E208" i="9"/>
  <c r="Z207" i="9"/>
  <c r="E207" i="9"/>
  <c r="Z206" i="9"/>
  <c r="E206" i="9"/>
  <c r="Z205" i="9"/>
  <c r="E205" i="9"/>
  <c r="Z204" i="9"/>
  <c r="E204" i="9"/>
  <c r="Z203" i="9"/>
  <c r="E203" i="9"/>
  <c r="Z202" i="9"/>
  <c r="E202" i="9"/>
  <c r="Z201" i="9"/>
  <c r="E201" i="9"/>
  <c r="Z200" i="9"/>
  <c r="E200" i="9"/>
  <c r="Z199" i="9"/>
  <c r="E199" i="9"/>
  <c r="Z198" i="9"/>
  <c r="E198" i="9"/>
  <c r="Z197" i="9"/>
  <c r="E197" i="9"/>
  <c r="Z196" i="9"/>
  <c r="E196" i="9"/>
  <c r="Z195" i="9"/>
  <c r="E195" i="9"/>
  <c r="Z194" i="9"/>
  <c r="E194" i="9"/>
  <c r="Z193" i="9"/>
  <c r="E193" i="9"/>
  <c r="Z192" i="9"/>
  <c r="E192" i="9"/>
  <c r="Z191" i="9"/>
  <c r="E191" i="9"/>
  <c r="Z190" i="9"/>
  <c r="E190" i="9"/>
  <c r="Z189" i="9"/>
  <c r="E189" i="9"/>
  <c r="Z188" i="9"/>
  <c r="E188" i="9"/>
  <c r="Z187" i="9"/>
  <c r="E187" i="9"/>
  <c r="Z186" i="9"/>
  <c r="E186" i="9"/>
  <c r="Z185" i="9"/>
  <c r="E185" i="9"/>
  <c r="Z184" i="9"/>
  <c r="E184" i="9"/>
  <c r="Z183" i="9"/>
  <c r="E183" i="9"/>
  <c r="Z182" i="9"/>
  <c r="E182" i="9"/>
  <c r="Z181" i="9"/>
  <c r="E181" i="9"/>
  <c r="Z180" i="9"/>
  <c r="E180" i="9"/>
  <c r="Z179" i="9"/>
  <c r="E179" i="9"/>
  <c r="Z178" i="9"/>
  <c r="E178" i="9"/>
  <c r="Z177" i="9"/>
  <c r="E177" i="9"/>
  <c r="Z176" i="9"/>
  <c r="E176" i="9"/>
  <c r="Z175" i="9"/>
  <c r="E175" i="9"/>
  <c r="Z174" i="9"/>
  <c r="E174" i="9"/>
  <c r="Z173" i="9"/>
  <c r="E173" i="9"/>
  <c r="Z172" i="9"/>
  <c r="E172" i="9"/>
  <c r="Z171" i="9"/>
  <c r="E171" i="9"/>
  <c r="Z170" i="9"/>
  <c r="E170" i="9"/>
  <c r="Z169" i="9"/>
  <c r="E169" i="9"/>
  <c r="Z168" i="9"/>
  <c r="E168" i="9"/>
  <c r="Z167" i="9"/>
  <c r="E167" i="9"/>
  <c r="Z166" i="9"/>
  <c r="E166" i="9"/>
  <c r="Z165" i="9"/>
  <c r="E165" i="9"/>
  <c r="Z164" i="9"/>
  <c r="E164" i="9"/>
  <c r="Z163" i="9"/>
  <c r="E163" i="9"/>
  <c r="Z162" i="9"/>
  <c r="E162" i="9"/>
  <c r="Z161" i="9"/>
  <c r="E161" i="9"/>
  <c r="Z160" i="9"/>
  <c r="E160" i="9"/>
  <c r="Z159" i="9"/>
  <c r="E159" i="9"/>
  <c r="Z158" i="9"/>
  <c r="E158" i="9"/>
  <c r="Z157" i="9"/>
  <c r="E157" i="9"/>
  <c r="Z156" i="9"/>
  <c r="E156" i="9"/>
  <c r="Z155" i="9"/>
  <c r="E155" i="9"/>
  <c r="Z154" i="9"/>
  <c r="E154" i="9"/>
  <c r="Z153" i="9"/>
  <c r="E153" i="9"/>
  <c r="Z152" i="9"/>
  <c r="E152" i="9"/>
  <c r="Z151" i="9"/>
  <c r="E151" i="9"/>
  <c r="Z150" i="9"/>
  <c r="E150" i="9"/>
  <c r="Z149" i="9"/>
  <c r="E149" i="9"/>
  <c r="Z148" i="9"/>
  <c r="E148" i="9"/>
  <c r="Z147" i="9"/>
  <c r="E147" i="9"/>
  <c r="Z146" i="9"/>
  <c r="E146" i="9"/>
  <c r="Z145" i="9"/>
  <c r="E145" i="9"/>
  <c r="Z144" i="9"/>
  <c r="E144" i="9"/>
  <c r="Z143" i="9"/>
  <c r="E143" i="9"/>
  <c r="Z142" i="9"/>
  <c r="E142" i="9"/>
  <c r="Z141" i="9"/>
  <c r="E141" i="9"/>
  <c r="Z140" i="9"/>
  <c r="E140" i="9"/>
  <c r="Z139" i="9"/>
  <c r="E139" i="9"/>
  <c r="Z138" i="9"/>
  <c r="E138" i="9"/>
  <c r="Z137" i="9"/>
  <c r="E137" i="9"/>
  <c r="Z136" i="9"/>
  <c r="E136" i="9"/>
  <c r="Z135" i="9"/>
  <c r="E135" i="9"/>
  <c r="Z134" i="9"/>
  <c r="E134" i="9"/>
  <c r="Z133" i="9"/>
  <c r="E133" i="9"/>
  <c r="Z132" i="9"/>
  <c r="E132" i="9"/>
  <c r="Z131" i="9"/>
  <c r="E131" i="9"/>
  <c r="Z130" i="9"/>
  <c r="E130" i="9"/>
  <c r="Z129" i="9"/>
  <c r="E129" i="9"/>
  <c r="Z128" i="9"/>
  <c r="E128" i="9"/>
  <c r="Z127" i="9"/>
  <c r="E127" i="9"/>
  <c r="Z126" i="9"/>
  <c r="E126" i="9"/>
  <c r="Z125" i="9"/>
  <c r="E125" i="9"/>
  <c r="Z124" i="9"/>
  <c r="E124" i="9"/>
  <c r="Z123" i="9"/>
  <c r="E123" i="9"/>
  <c r="Z122" i="9"/>
  <c r="E122" i="9"/>
  <c r="Z121" i="9"/>
  <c r="E121" i="9"/>
  <c r="Z120" i="9"/>
  <c r="E120" i="9"/>
  <c r="Z119" i="9"/>
  <c r="E119" i="9"/>
  <c r="Z118" i="9"/>
  <c r="E118" i="9"/>
  <c r="Z117" i="9"/>
  <c r="E117" i="9"/>
  <c r="Z116" i="9"/>
  <c r="E116" i="9"/>
  <c r="Z115" i="9"/>
  <c r="E115" i="9"/>
  <c r="Z114" i="9"/>
  <c r="E114" i="9"/>
  <c r="Z113" i="9"/>
  <c r="E113" i="9"/>
  <c r="Z112" i="9"/>
  <c r="E112" i="9"/>
  <c r="Z111" i="9"/>
  <c r="E111" i="9"/>
  <c r="Z110" i="9"/>
  <c r="E110" i="9"/>
  <c r="Z109" i="9"/>
  <c r="E109" i="9"/>
  <c r="Z108" i="9"/>
  <c r="E108" i="9"/>
  <c r="Z107" i="9"/>
  <c r="E107" i="9"/>
  <c r="Z106" i="9"/>
  <c r="E106" i="9"/>
  <c r="Z105" i="9"/>
  <c r="E105" i="9"/>
  <c r="Z104" i="9"/>
  <c r="E104" i="9"/>
  <c r="Z103" i="9"/>
  <c r="E103" i="9"/>
  <c r="Z102" i="9"/>
  <c r="E102" i="9"/>
  <c r="Z101" i="9"/>
  <c r="E101" i="9"/>
  <c r="Z100" i="9"/>
  <c r="E100" i="9"/>
  <c r="Z99" i="9"/>
  <c r="E99" i="9"/>
  <c r="Z98" i="9"/>
  <c r="E98" i="9"/>
  <c r="Z97" i="9"/>
  <c r="E97" i="9"/>
  <c r="Z96" i="9"/>
  <c r="E96" i="9"/>
  <c r="Z95" i="9"/>
  <c r="E95" i="9"/>
  <c r="Z94" i="9"/>
  <c r="E94" i="9"/>
  <c r="Z93" i="9"/>
  <c r="E93" i="9"/>
  <c r="Z92" i="9"/>
  <c r="E92" i="9"/>
  <c r="Z91" i="9"/>
  <c r="E91" i="9"/>
  <c r="Z90" i="9"/>
  <c r="E90" i="9"/>
  <c r="Z89" i="9"/>
  <c r="E89" i="9"/>
  <c r="Z88" i="9"/>
  <c r="E88" i="9"/>
  <c r="Z87" i="9"/>
  <c r="E87" i="9"/>
  <c r="Z86" i="9"/>
  <c r="E86" i="9"/>
  <c r="Z85" i="9"/>
  <c r="E85" i="9"/>
  <c r="Z84" i="9"/>
  <c r="E84" i="9"/>
  <c r="Z83" i="9"/>
  <c r="E83" i="9"/>
  <c r="Z82" i="9"/>
  <c r="E82" i="9"/>
  <c r="Z81" i="9"/>
  <c r="E81" i="9"/>
  <c r="Z80" i="9"/>
  <c r="E80" i="9"/>
  <c r="Z79" i="9"/>
  <c r="E79" i="9"/>
  <c r="Z78" i="9"/>
  <c r="E78" i="9"/>
  <c r="Z77" i="9"/>
  <c r="E77" i="9"/>
  <c r="Z76" i="9"/>
  <c r="E76" i="9"/>
  <c r="Z75" i="9"/>
  <c r="E75" i="9"/>
  <c r="Z74" i="9"/>
  <c r="E74" i="9"/>
  <c r="Z73" i="9"/>
  <c r="E73" i="9"/>
  <c r="Z72" i="9"/>
  <c r="E72" i="9"/>
  <c r="Z71" i="9"/>
  <c r="E71" i="9"/>
  <c r="Z70" i="9"/>
  <c r="E70" i="9"/>
  <c r="Z69" i="9"/>
  <c r="E69" i="9"/>
  <c r="Z68" i="9"/>
  <c r="E68" i="9"/>
  <c r="Z67" i="9"/>
  <c r="E67" i="9"/>
  <c r="Z66" i="9"/>
  <c r="E66" i="9"/>
  <c r="Z65" i="9"/>
  <c r="E65" i="9"/>
  <c r="Z64" i="9"/>
  <c r="E64" i="9"/>
  <c r="Z63" i="9"/>
  <c r="E63" i="9"/>
  <c r="Z62" i="9"/>
  <c r="E62" i="9"/>
  <c r="Z61" i="9"/>
  <c r="E61" i="9"/>
  <c r="Z60" i="9"/>
  <c r="E60" i="9"/>
  <c r="Z59" i="9"/>
  <c r="E59" i="9"/>
  <c r="Z58" i="9"/>
  <c r="E58" i="9"/>
  <c r="Z57" i="9"/>
  <c r="E57" i="9"/>
  <c r="Z56" i="9"/>
  <c r="E56" i="9"/>
  <c r="Z55" i="9"/>
  <c r="E55" i="9"/>
  <c r="Z54" i="9"/>
  <c r="E54" i="9"/>
  <c r="Z53" i="9"/>
  <c r="E53" i="9"/>
  <c r="Z52" i="9"/>
  <c r="E52" i="9"/>
  <c r="Z51" i="9"/>
  <c r="E51" i="9"/>
  <c r="Z50" i="9"/>
  <c r="E50" i="9"/>
  <c r="Z49" i="9"/>
  <c r="E49" i="9"/>
  <c r="Z48" i="9"/>
  <c r="E48" i="9"/>
  <c r="Z47" i="9"/>
  <c r="E47" i="9"/>
  <c r="Z46" i="9"/>
  <c r="E46" i="9"/>
  <c r="Z45" i="9"/>
  <c r="E45" i="9"/>
  <c r="Z44" i="9"/>
  <c r="E44" i="9"/>
  <c r="Z43" i="9"/>
  <c r="E43" i="9"/>
  <c r="Z42" i="9"/>
  <c r="E42" i="9"/>
  <c r="Z41" i="9"/>
  <c r="E41" i="9"/>
  <c r="Z40" i="9"/>
  <c r="E40" i="9"/>
  <c r="Z39" i="9"/>
  <c r="E39" i="9"/>
  <c r="Z38" i="9"/>
  <c r="E38" i="9"/>
  <c r="Z37" i="9"/>
  <c r="E37" i="9"/>
  <c r="Z36" i="9"/>
  <c r="E36" i="9"/>
  <c r="Z35" i="9"/>
  <c r="E35" i="9"/>
  <c r="Z34" i="9"/>
  <c r="E34" i="9"/>
  <c r="Z33" i="9"/>
  <c r="E33" i="9"/>
  <c r="Z32" i="9"/>
  <c r="E32" i="9"/>
  <c r="Z31" i="9"/>
  <c r="E31" i="9"/>
  <c r="Z30" i="9"/>
  <c r="E30" i="9"/>
  <c r="Z29" i="9"/>
  <c r="E29" i="9"/>
  <c r="Z28" i="9"/>
  <c r="E28" i="9"/>
  <c r="Z27" i="9"/>
  <c r="E27" i="9"/>
  <c r="Z26" i="9"/>
  <c r="E26" i="9"/>
  <c r="Z25" i="9"/>
  <c r="E25" i="9"/>
  <c r="Z24" i="9"/>
  <c r="E24" i="9"/>
  <c r="Z23" i="9"/>
  <c r="E23" i="9"/>
  <c r="Z22" i="9"/>
  <c r="E22" i="9"/>
  <c r="Z21" i="9"/>
  <c r="E21" i="9"/>
  <c r="E19" i="9"/>
  <c r="Z741" i="7"/>
  <c r="E741" i="7"/>
  <c r="Z740" i="7"/>
  <c r="E740" i="7"/>
  <c r="Z739" i="7"/>
  <c r="E739" i="7"/>
  <c r="Z738" i="7"/>
  <c r="E738" i="7"/>
  <c r="Z737" i="7"/>
  <c r="E737" i="7"/>
  <c r="Z736" i="7"/>
  <c r="E736" i="7"/>
  <c r="Z735" i="7"/>
  <c r="E735" i="7"/>
  <c r="Z734" i="7"/>
  <c r="E734" i="7"/>
  <c r="Z733" i="7"/>
  <c r="E733" i="7"/>
  <c r="Z732" i="7"/>
  <c r="E732" i="7"/>
  <c r="Z731" i="7"/>
  <c r="E731" i="7"/>
  <c r="Z730" i="7"/>
  <c r="E730" i="7"/>
  <c r="Z729" i="7"/>
  <c r="E729" i="7"/>
  <c r="Z728" i="7"/>
  <c r="E728" i="7"/>
  <c r="Z727" i="7"/>
  <c r="E727" i="7"/>
  <c r="Z726" i="7"/>
  <c r="E726" i="7"/>
  <c r="Z725" i="7"/>
  <c r="E725" i="7"/>
  <c r="Z724" i="7"/>
  <c r="E724" i="7"/>
  <c r="Z723" i="7"/>
  <c r="E723" i="7"/>
  <c r="Z722" i="7"/>
  <c r="E722" i="7"/>
  <c r="Z721" i="7"/>
  <c r="E721" i="7"/>
  <c r="Z720" i="7"/>
  <c r="E720" i="7"/>
  <c r="Z719" i="7"/>
  <c r="E719" i="7"/>
  <c r="Z718" i="7"/>
  <c r="E718" i="7"/>
  <c r="Z717" i="7"/>
  <c r="E717" i="7"/>
  <c r="Z716" i="7"/>
  <c r="E716" i="7"/>
  <c r="Z715" i="7"/>
  <c r="E715" i="7"/>
  <c r="Z714" i="7"/>
  <c r="E714" i="7"/>
  <c r="Z713" i="7"/>
  <c r="E713" i="7"/>
  <c r="Z712" i="7"/>
  <c r="E712" i="7"/>
  <c r="Z711" i="7"/>
  <c r="E711" i="7"/>
  <c r="Z710" i="7"/>
  <c r="E710" i="7"/>
  <c r="Z709" i="7"/>
  <c r="E709" i="7"/>
  <c r="Z708" i="7"/>
  <c r="E708" i="7"/>
  <c r="Z707" i="7"/>
  <c r="E707" i="7"/>
  <c r="Z706" i="7"/>
  <c r="E706" i="7"/>
  <c r="Z705" i="7"/>
  <c r="E705" i="7"/>
  <c r="Z704" i="7"/>
  <c r="E704" i="7"/>
  <c r="Z703" i="7"/>
  <c r="E703" i="7"/>
  <c r="Z702" i="7"/>
  <c r="E702" i="7"/>
  <c r="Z701" i="7"/>
  <c r="E701" i="7"/>
  <c r="Z700" i="7"/>
  <c r="E700" i="7"/>
  <c r="Z699" i="7"/>
  <c r="E699" i="7"/>
  <c r="Z698" i="7"/>
  <c r="E698" i="7"/>
  <c r="Z697" i="7"/>
  <c r="E697" i="7"/>
  <c r="Z696" i="7"/>
  <c r="E696" i="7"/>
  <c r="Z695" i="7"/>
  <c r="E695" i="7"/>
  <c r="Z694" i="7"/>
  <c r="E694" i="7"/>
  <c r="Z693" i="7"/>
  <c r="E693" i="7"/>
  <c r="Z692" i="7"/>
  <c r="E692" i="7"/>
  <c r="Z691" i="7"/>
  <c r="E691" i="7"/>
  <c r="Z690" i="7"/>
  <c r="E690" i="7"/>
  <c r="Z689" i="7"/>
  <c r="E689" i="7"/>
  <c r="Z688" i="7"/>
  <c r="E688" i="7"/>
  <c r="Z687" i="7"/>
  <c r="E687" i="7"/>
  <c r="Z686" i="7"/>
  <c r="E686" i="7"/>
  <c r="Z685" i="7"/>
  <c r="E685" i="7"/>
  <c r="Z684" i="7"/>
  <c r="E684" i="7"/>
  <c r="Z683" i="7"/>
  <c r="E683" i="7"/>
  <c r="Z682" i="7"/>
  <c r="E682" i="7"/>
  <c r="Z681" i="7"/>
  <c r="E681" i="7"/>
  <c r="Z680" i="7"/>
  <c r="E680" i="7"/>
  <c r="Z679" i="7"/>
  <c r="E679" i="7"/>
  <c r="Z678" i="7"/>
  <c r="E678" i="7"/>
  <c r="Z677" i="7"/>
  <c r="E677" i="7"/>
  <c r="Z676" i="7"/>
  <c r="E676" i="7"/>
  <c r="Z675" i="7"/>
  <c r="E675" i="7"/>
  <c r="Z674" i="7"/>
  <c r="E674" i="7"/>
  <c r="Z673" i="7"/>
  <c r="E673" i="7"/>
  <c r="Z672" i="7"/>
  <c r="E672" i="7"/>
  <c r="Z671" i="7"/>
  <c r="E671" i="7"/>
  <c r="Z670" i="7"/>
  <c r="E670" i="7"/>
  <c r="Z669" i="7"/>
  <c r="E669" i="7"/>
  <c r="Z668" i="7"/>
  <c r="E668" i="7"/>
  <c r="Z667" i="7"/>
  <c r="E667" i="7"/>
  <c r="Z666" i="7"/>
  <c r="E666" i="7"/>
  <c r="Z665" i="7"/>
  <c r="E665" i="7"/>
  <c r="Z664" i="7"/>
  <c r="E664" i="7"/>
  <c r="Z663" i="7"/>
  <c r="E663" i="7"/>
  <c r="Z662" i="7"/>
  <c r="E662" i="7"/>
  <c r="Z661" i="7"/>
  <c r="E661" i="7"/>
  <c r="Z660" i="7"/>
  <c r="E660" i="7"/>
  <c r="Z659" i="7"/>
  <c r="E659" i="7"/>
  <c r="Z658" i="7"/>
  <c r="E658" i="7"/>
  <c r="Z657" i="7"/>
  <c r="E657" i="7"/>
  <c r="Z656" i="7"/>
  <c r="E656" i="7"/>
  <c r="Z655" i="7"/>
  <c r="E655" i="7"/>
  <c r="Z654" i="7"/>
  <c r="E654" i="7"/>
  <c r="Z653" i="7"/>
  <c r="E653" i="7"/>
  <c r="Z652" i="7"/>
  <c r="E652" i="7"/>
  <c r="Z651" i="7"/>
  <c r="E651" i="7"/>
  <c r="Z650" i="7"/>
  <c r="E650" i="7"/>
  <c r="Z649" i="7"/>
  <c r="E649" i="7"/>
  <c r="Z648" i="7"/>
  <c r="E648" i="7"/>
  <c r="Z647" i="7"/>
  <c r="E647" i="7"/>
  <c r="Z646" i="7"/>
  <c r="E646" i="7"/>
  <c r="Z645" i="7"/>
  <c r="E645" i="7"/>
  <c r="Z644" i="7"/>
  <c r="E644" i="7"/>
  <c r="Z643" i="7"/>
  <c r="E643" i="7"/>
  <c r="Z642" i="7"/>
  <c r="E642" i="7"/>
  <c r="Z641" i="7"/>
  <c r="E641" i="7"/>
  <c r="Z640" i="7"/>
  <c r="E640" i="7"/>
  <c r="Z639" i="7"/>
  <c r="E639" i="7"/>
  <c r="Z638" i="7"/>
  <c r="E638" i="7"/>
  <c r="Z637" i="7"/>
  <c r="E637" i="7"/>
  <c r="Z636" i="7"/>
  <c r="E636" i="7"/>
  <c r="Z635" i="7"/>
  <c r="E635" i="7"/>
  <c r="Z634" i="7"/>
  <c r="E634" i="7"/>
  <c r="Z633" i="7"/>
  <c r="E633" i="7"/>
  <c r="Z632" i="7"/>
  <c r="E632" i="7"/>
  <c r="Z631" i="7"/>
  <c r="E631" i="7"/>
  <c r="Z630" i="7"/>
  <c r="E630" i="7"/>
  <c r="Z629" i="7"/>
  <c r="E629" i="7"/>
  <c r="Z628" i="7"/>
  <c r="E628" i="7"/>
  <c r="Z627" i="7"/>
  <c r="E627" i="7"/>
  <c r="Z626" i="7"/>
  <c r="E626" i="7"/>
  <c r="Z625" i="7"/>
  <c r="E625" i="7"/>
  <c r="Z624" i="7"/>
  <c r="E624" i="7"/>
  <c r="Z623" i="7"/>
  <c r="E623" i="7"/>
  <c r="Z622" i="7"/>
  <c r="E622" i="7"/>
  <c r="Z621" i="7"/>
  <c r="E621" i="7"/>
  <c r="Z620" i="7"/>
  <c r="E620" i="7"/>
  <c r="Z619" i="7"/>
  <c r="E619" i="7"/>
  <c r="Z618" i="7"/>
  <c r="E618" i="7"/>
  <c r="Z617" i="7"/>
  <c r="E617" i="7"/>
  <c r="Z616" i="7"/>
  <c r="E616" i="7"/>
  <c r="Z615" i="7"/>
  <c r="E615" i="7"/>
  <c r="Z614" i="7"/>
  <c r="E614" i="7"/>
  <c r="Z613" i="7"/>
  <c r="E613" i="7"/>
  <c r="Z612" i="7"/>
  <c r="E612" i="7"/>
  <c r="Z611" i="7"/>
  <c r="E611" i="7"/>
  <c r="Z610" i="7"/>
  <c r="E610" i="7"/>
  <c r="Z609" i="7"/>
  <c r="E609" i="7"/>
  <c r="Z608" i="7"/>
  <c r="E608" i="7"/>
  <c r="Z607" i="7"/>
  <c r="E607" i="7"/>
  <c r="Z606" i="7"/>
  <c r="E606" i="7"/>
  <c r="Z605" i="7"/>
  <c r="E605" i="7"/>
  <c r="Z604" i="7"/>
  <c r="E604" i="7"/>
  <c r="Z603" i="7"/>
  <c r="E603" i="7"/>
  <c r="Z602" i="7"/>
  <c r="E602" i="7"/>
  <c r="Z601" i="7"/>
  <c r="E601" i="7"/>
  <c r="Z600" i="7"/>
  <c r="E600" i="7"/>
  <c r="Z599" i="7"/>
  <c r="E599" i="7"/>
  <c r="Z598" i="7"/>
  <c r="E598" i="7"/>
  <c r="Z597" i="7"/>
  <c r="E597" i="7"/>
  <c r="Z596" i="7"/>
  <c r="E596" i="7"/>
  <c r="Z595" i="7"/>
  <c r="E595" i="7"/>
  <c r="Z594" i="7"/>
  <c r="E594" i="7"/>
  <c r="Z593" i="7"/>
  <c r="E593" i="7"/>
  <c r="Z592" i="7"/>
  <c r="E592" i="7"/>
  <c r="Z591" i="7"/>
  <c r="E591" i="7"/>
  <c r="Z590" i="7"/>
  <c r="E590" i="7"/>
  <c r="Z589" i="7"/>
  <c r="E589" i="7"/>
  <c r="Z588" i="7"/>
  <c r="E588" i="7"/>
  <c r="Z587" i="7"/>
  <c r="E587" i="7"/>
  <c r="Z586" i="7"/>
  <c r="E586" i="7"/>
  <c r="Z585" i="7"/>
  <c r="E585" i="7"/>
  <c r="Z584" i="7"/>
  <c r="E584" i="7"/>
  <c r="Z583" i="7"/>
  <c r="E583" i="7"/>
  <c r="Z582" i="7"/>
  <c r="E582" i="7"/>
  <c r="Z581" i="7"/>
  <c r="E581" i="7"/>
  <c r="Z580" i="7"/>
  <c r="E580" i="7"/>
  <c r="Z579" i="7"/>
  <c r="E579" i="7"/>
  <c r="Z578" i="7"/>
  <c r="E578" i="7"/>
  <c r="Z577" i="7"/>
  <c r="E577" i="7"/>
  <c r="Z576" i="7"/>
  <c r="E576" i="7"/>
  <c r="E575" i="7"/>
  <c r="Z574" i="7"/>
  <c r="E574" i="7"/>
  <c r="Z573" i="7"/>
  <c r="E573" i="7"/>
  <c r="Z572" i="7"/>
  <c r="E572" i="7"/>
  <c r="Z571" i="7"/>
  <c r="E571" i="7"/>
  <c r="Z570" i="7"/>
  <c r="E570" i="7"/>
  <c r="Z569" i="7"/>
  <c r="E569" i="7"/>
  <c r="Z568" i="7"/>
  <c r="E568" i="7"/>
  <c r="Z567" i="7"/>
  <c r="E567" i="7"/>
  <c r="Z566" i="7"/>
  <c r="E566" i="7"/>
  <c r="Z565" i="7"/>
  <c r="E565" i="7"/>
  <c r="Z564" i="7"/>
  <c r="E564" i="7"/>
  <c r="Z563" i="7"/>
  <c r="E563" i="7"/>
  <c r="Z562" i="7"/>
  <c r="E562" i="7"/>
  <c r="Z561" i="7"/>
  <c r="E561" i="7"/>
  <c r="Z560" i="7"/>
  <c r="E560" i="7"/>
  <c r="Z559" i="7"/>
  <c r="E559" i="7"/>
  <c r="Z558" i="7"/>
  <c r="E558" i="7"/>
  <c r="Z557" i="7"/>
  <c r="E557" i="7"/>
  <c r="Z556" i="7"/>
  <c r="E556" i="7"/>
  <c r="Z555" i="7"/>
  <c r="E555" i="7"/>
  <c r="Z554" i="7"/>
  <c r="E554" i="7"/>
  <c r="Z553" i="7"/>
  <c r="E553" i="7"/>
  <c r="Z552" i="7"/>
  <c r="E552" i="7"/>
  <c r="Z551" i="7"/>
  <c r="E551" i="7"/>
  <c r="Z550" i="7"/>
  <c r="E550" i="7"/>
  <c r="Z549" i="7"/>
  <c r="E549" i="7"/>
  <c r="Z548" i="7"/>
  <c r="E548" i="7"/>
  <c r="Z547" i="7"/>
  <c r="E547" i="7"/>
  <c r="Z546" i="7"/>
  <c r="E546" i="7"/>
  <c r="Z545" i="7"/>
  <c r="E545" i="7"/>
  <c r="Z544" i="7"/>
  <c r="E544" i="7"/>
  <c r="Z543" i="7"/>
  <c r="E543" i="7"/>
  <c r="Z542" i="7"/>
  <c r="E542" i="7"/>
  <c r="Z541" i="7"/>
  <c r="E541" i="7"/>
  <c r="Z540" i="7"/>
  <c r="E540" i="7"/>
  <c r="Z539" i="7"/>
  <c r="E539" i="7"/>
  <c r="Z538" i="7"/>
  <c r="E538" i="7"/>
  <c r="Z537" i="7"/>
  <c r="E537" i="7"/>
  <c r="Z536" i="7"/>
  <c r="E536" i="7"/>
  <c r="Z535" i="7"/>
  <c r="E535" i="7"/>
  <c r="Z534" i="7"/>
  <c r="E534" i="7"/>
  <c r="Z533" i="7"/>
  <c r="E533" i="7"/>
  <c r="Z532" i="7"/>
  <c r="E532" i="7"/>
  <c r="Z531" i="7"/>
  <c r="E531" i="7"/>
  <c r="Z530" i="7"/>
  <c r="E530" i="7"/>
  <c r="Z529" i="7"/>
  <c r="E529" i="7"/>
  <c r="Z528" i="7"/>
  <c r="E528" i="7"/>
  <c r="Z527" i="7"/>
  <c r="E527" i="7"/>
  <c r="Z526" i="7"/>
  <c r="E526" i="7"/>
  <c r="Z525" i="7"/>
  <c r="E525" i="7"/>
  <c r="Z524" i="7"/>
  <c r="E524" i="7"/>
  <c r="Z523" i="7"/>
  <c r="E523" i="7"/>
  <c r="Z522" i="7"/>
  <c r="E522" i="7"/>
  <c r="Z521" i="7"/>
  <c r="E521" i="7"/>
  <c r="Z520" i="7"/>
  <c r="E520" i="7"/>
  <c r="Z519" i="7"/>
  <c r="E519" i="7"/>
  <c r="Z518" i="7"/>
  <c r="E518" i="7"/>
  <c r="Z517" i="7"/>
  <c r="E517" i="7"/>
  <c r="Z516" i="7"/>
  <c r="E516" i="7"/>
  <c r="Z515" i="7"/>
  <c r="E515" i="7"/>
  <c r="Z514" i="7"/>
  <c r="E514" i="7"/>
  <c r="Z513" i="7"/>
  <c r="E513" i="7"/>
  <c r="Z512" i="7"/>
  <c r="E512" i="7"/>
  <c r="Z511" i="7"/>
  <c r="E511" i="7"/>
  <c r="Z510" i="7"/>
  <c r="E510" i="7"/>
  <c r="Z509" i="7"/>
  <c r="E509" i="7"/>
  <c r="Z508" i="7"/>
  <c r="E508" i="7"/>
  <c r="Z507" i="7"/>
  <c r="E507" i="7"/>
  <c r="Z506" i="7"/>
  <c r="E506" i="7"/>
  <c r="Z505" i="7"/>
  <c r="E505" i="7"/>
  <c r="Z504" i="7"/>
  <c r="E504" i="7"/>
  <c r="Z503" i="7"/>
  <c r="E503" i="7"/>
  <c r="Z502" i="7"/>
  <c r="E502" i="7"/>
  <c r="Z501" i="7"/>
  <c r="E501" i="7"/>
  <c r="Z500" i="7"/>
  <c r="E500" i="7"/>
  <c r="Z499" i="7"/>
  <c r="E499" i="7"/>
  <c r="Z498" i="7"/>
  <c r="E498" i="7"/>
  <c r="Z497" i="7"/>
  <c r="E497" i="7"/>
  <c r="Z496" i="7"/>
  <c r="E496" i="7"/>
  <c r="Z495" i="7"/>
  <c r="E495" i="7"/>
  <c r="Z494" i="7"/>
  <c r="E494" i="7"/>
  <c r="Z493" i="7"/>
  <c r="E493" i="7"/>
  <c r="Z492" i="7"/>
  <c r="E492" i="7"/>
  <c r="Z491" i="7"/>
  <c r="E491" i="7"/>
  <c r="Z490" i="7"/>
  <c r="E490" i="7"/>
  <c r="Z489" i="7"/>
  <c r="E489" i="7"/>
  <c r="Z488" i="7"/>
  <c r="E488" i="7"/>
  <c r="Z487" i="7"/>
  <c r="E487" i="7"/>
  <c r="Z486" i="7"/>
  <c r="E486" i="7"/>
  <c r="Z485" i="7"/>
  <c r="E485" i="7"/>
  <c r="Z484" i="7"/>
  <c r="E484" i="7"/>
  <c r="Z483" i="7"/>
  <c r="E483" i="7"/>
  <c r="Z482" i="7"/>
  <c r="E482" i="7"/>
  <c r="Z481" i="7"/>
  <c r="E481" i="7"/>
  <c r="Z480" i="7"/>
  <c r="E480" i="7"/>
  <c r="Z479" i="7"/>
  <c r="E479" i="7"/>
  <c r="Z478" i="7"/>
  <c r="E478" i="7"/>
  <c r="Z477" i="7"/>
  <c r="E477" i="7"/>
  <c r="Z476" i="7"/>
  <c r="E476" i="7"/>
  <c r="Z475" i="7"/>
  <c r="E475" i="7"/>
  <c r="Z474" i="7"/>
  <c r="E474" i="7"/>
  <c r="Z473" i="7"/>
  <c r="E473" i="7"/>
  <c r="Z472" i="7"/>
  <c r="E472" i="7"/>
  <c r="Z471" i="7"/>
  <c r="E471" i="7"/>
  <c r="Z470" i="7"/>
  <c r="E470" i="7"/>
  <c r="Z469" i="7"/>
  <c r="E469" i="7"/>
  <c r="Z468" i="7"/>
  <c r="E468" i="7"/>
  <c r="Z467" i="7"/>
  <c r="E467" i="7"/>
  <c r="Z466" i="7"/>
  <c r="E466" i="7"/>
  <c r="Z465" i="7"/>
  <c r="E465" i="7"/>
  <c r="Z464" i="7"/>
  <c r="E464" i="7"/>
  <c r="Z463" i="7"/>
  <c r="E463" i="7"/>
  <c r="Z462" i="7"/>
  <c r="E462" i="7"/>
  <c r="Z461" i="7"/>
  <c r="E461" i="7"/>
  <c r="Z460" i="7"/>
  <c r="E460" i="7"/>
  <c r="Z459" i="7"/>
  <c r="E459" i="7"/>
  <c r="Z458" i="7"/>
  <c r="E458" i="7"/>
  <c r="Z457" i="7"/>
  <c r="E457" i="7"/>
  <c r="Z456" i="7"/>
  <c r="E456" i="7"/>
  <c r="Z455" i="7"/>
  <c r="E455" i="7"/>
  <c r="Z454" i="7"/>
  <c r="E454" i="7"/>
  <c r="Z453" i="7"/>
  <c r="E453" i="7"/>
  <c r="Z452" i="7"/>
  <c r="E452" i="7"/>
  <c r="Z451" i="7"/>
  <c r="E451" i="7"/>
  <c r="Z450" i="7"/>
  <c r="E450" i="7"/>
  <c r="Z449" i="7"/>
  <c r="E449" i="7"/>
  <c r="Z448" i="7"/>
  <c r="E448" i="7"/>
  <c r="Z447" i="7"/>
  <c r="E447" i="7"/>
  <c r="Z446" i="7"/>
  <c r="E446" i="7"/>
  <c r="Z445" i="7"/>
  <c r="E445" i="7"/>
  <c r="Z444" i="7"/>
  <c r="E444" i="7"/>
  <c r="Z443" i="7"/>
  <c r="E443" i="7"/>
  <c r="Z442" i="7"/>
  <c r="E442" i="7"/>
  <c r="Z441" i="7"/>
  <c r="E441" i="7"/>
  <c r="Z440" i="7"/>
  <c r="E440" i="7"/>
  <c r="Z439" i="7"/>
  <c r="E439" i="7"/>
  <c r="Z438" i="7"/>
  <c r="E438" i="7"/>
  <c r="Z437" i="7"/>
  <c r="E437" i="7"/>
  <c r="Z436" i="7"/>
  <c r="E436" i="7"/>
  <c r="Z435" i="7"/>
  <c r="E435" i="7"/>
  <c r="Z434" i="7"/>
  <c r="E434" i="7"/>
  <c r="Z433" i="7"/>
  <c r="E433" i="7"/>
  <c r="Z432" i="7"/>
  <c r="E432" i="7"/>
  <c r="Z431" i="7"/>
  <c r="E431" i="7"/>
  <c r="Z430" i="7"/>
  <c r="E430" i="7"/>
  <c r="Z429" i="7"/>
  <c r="E429" i="7"/>
  <c r="Z428" i="7"/>
  <c r="E428" i="7"/>
  <c r="Z427" i="7"/>
  <c r="E427" i="7"/>
  <c r="Z426" i="7"/>
  <c r="E426" i="7"/>
  <c r="Z425" i="7"/>
  <c r="E425" i="7"/>
  <c r="Z424" i="7"/>
  <c r="E424" i="7"/>
  <c r="Z423" i="7"/>
  <c r="E423" i="7"/>
  <c r="Z422" i="7"/>
  <c r="E422" i="7"/>
  <c r="Z421" i="7"/>
  <c r="E421" i="7"/>
  <c r="Z420" i="7"/>
  <c r="E420" i="7"/>
  <c r="Z419" i="7"/>
  <c r="E419" i="7"/>
  <c r="Z418" i="7"/>
  <c r="E418" i="7"/>
  <c r="Z417" i="7"/>
  <c r="E417" i="7"/>
  <c r="Z416" i="7"/>
  <c r="E416" i="7"/>
  <c r="Z415" i="7"/>
  <c r="E415" i="7"/>
  <c r="Z414" i="7"/>
  <c r="E414" i="7"/>
  <c r="Z413" i="7"/>
  <c r="E413" i="7"/>
  <c r="Z412" i="7"/>
  <c r="E412" i="7"/>
  <c r="Z411" i="7"/>
  <c r="E411" i="7"/>
  <c r="Z410" i="7"/>
  <c r="E410" i="7"/>
  <c r="Z409" i="7"/>
  <c r="E409" i="7"/>
  <c r="Z408" i="7"/>
  <c r="E408" i="7"/>
  <c r="Z407" i="7"/>
  <c r="E407" i="7"/>
  <c r="Z406" i="7"/>
  <c r="E406" i="7"/>
  <c r="Z405" i="7"/>
  <c r="E405" i="7"/>
  <c r="Z404" i="7"/>
  <c r="E404" i="7"/>
  <c r="Z403" i="7"/>
  <c r="E403" i="7"/>
  <c r="Z402" i="7"/>
  <c r="E402" i="7"/>
  <c r="Z401" i="7"/>
  <c r="E401" i="7"/>
  <c r="Z400" i="7"/>
  <c r="E400" i="7"/>
  <c r="Z399" i="7"/>
  <c r="E399" i="7"/>
  <c r="Z398" i="7"/>
  <c r="E398" i="7"/>
  <c r="Z397" i="7"/>
  <c r="E397" i="7"/>
  <c r="Z396" i="7"/>
  <c r="E396" i="7"/>
  <c r="Z395" i="7"/>
  <c r="E395" i="7"/>
  <c r="Z394" i="7"/>
  <c r="E394" i="7"/>
  <c r="Z393" i="7"/>
  <c r="E393" i="7"/>
  <c r="Z392" i="7"/>
  <c r="E392" i="7"/>
  <c r="Z391" i="7"/>
  <c r="E391" i="7"/>
  <c r="Z390" i="7"/>
  <c r="E390" i="7"/>
  <c r="Z389" i="7"/>
  <c r="E389" i="7"/>
  <c r="Z388" i="7"/>
  <c r="E388" i="7"/>
  <c r="Z387" i="7"/>
  <c r="E387" i="7"/>
  <c r="Z386" i="7"/>
  <c r="E386" i="7"/>
  <c r="Z385" i="7"/>
  <c r="E385" i="7"/>
  <c r="Z384" i="7"/>
  <c r="E384" i="7"/>
  <c r="E383" i="7"/>
  <c r="Z382" i="7"/>
  <c r="E382" i="7"/>
  <c r="Z381" i="7"/>
  <c r="E381" i="7"/>
  <c r="Z380" i="7"/>
  <c r="E380" i="7"/>
  <c r="Z379" i="7"/>
  <c r="E379" i="7"/>
  <c r="Z378" i="7"/>
  <c r="E378" i="7"/>
  <c r="Z377" i="7"/>
  <c r="E377" i="7"/>
  <c r="Z376" i="7"/>
  <c r="E376" i="7"/>
  <c r="Z375" i="7"/>
  <c r="E375" i="7"/>
  <c r="Z374" i="7"/>
  <c r="E374" i="7"/>
  <c r="Z373" i="7"/>
  <c r="E373" i="7"/>
  <c r="Z372" i="7"/>
  <c r="E372" i="7"/>
  <c r="Z371" i="7"/>
  <c r="E371" i="7"/>
  <c r="Z370" i="7"/>
  <c r="E370" i="7"/>
  <c r="Z369" i="7"/>
  <c r="E369" i="7"/>
  <c r="Z368" i="7"/>
  <c r="E368" i="7"/>
  <c r="Z367" i="7"/>
  <c r="E367" i="7"/>
  <c r="Z366" i="7"/>
  <c r="E366" i="7"/>
  <c r="Z365" i="7"/>
  <c r="E365" i="7"/>
  <c r="Z364" i="7"/>
  <c r="E364" i="7"/>
  <c r="Z363" i="7"/>
  <c r="E363" i="7"/>
  <c r="Z362" i="7"/>
  <c r="E362" i="7"/>
  <c r="Z361" i="7"/>
  <c r="E361" i="7"/>
  <c r="Z360" i="7"/>
  <c r="E360" i="7"/>
  <c r="Z359" i="7"/>
  <c r="E359" i="7"/>
  <c r="Z358" i="7"/>
  <c r="E358" i="7"/>
  <c r="Z357" i="7"/>
  <c r="E357" i="7"/>
  <c r="Z356" i="7"/>
  <c r="E356" i="7"/>
  <c r="Z355" i="7"/>
  <c r="E355" i="7"/>
  <c r="Z354" i="7"/>
  <c r="E354" i="7"/>
  <c r="Z353" i="7"/>
  <c r="E353" i="7"/>
  <c r="Z352" i="7"/>
  <c r="E352" i="7"/>
  <c r="Z351" i="7"/>
  <c r="E351" i="7"/>
  <c r="Z350" i="7"/>
  <c r="E350" i="7"/>
  <c r="Z349" i="7"/>
  <c r="E349" i="7"/>
  <c r="Z348" i="7"/>
  <c r="E348" i="7"/>
  <c r="Z347" i="7"/>
  <c r="E347" i="7"/>
  <c r="Z346" i="7"/>
  <c r="E346" i="7"/>
  <c r="Z345" i="7"/>
  <c r="E345" i="7"/>
  <c r="Z344" i="7"/>
  <c r="E344" i="7"/>
  <c r="Z343" i="7"/>
  <c r="E343" i="7"/>
  <c r="Z342" i="7"/>
  <c r="E342" i="7"/>
  <c r="Z341" i="7"/>
  <c r="E341" i="7"/>
  <c r="Z340" i="7"/>
  <c r="E340" i="7"/>
  <c r="Z339" i="7"/>
  <c r="E339" i="7"/>
  <c r="Z338" i="7"/>
  <c r="E338" i="7"/>
  <c r="Z337" i="7"/>
  <c r="E337" i="7"/>
  <c r="Z336" i="7"/>
  <c r="E336" i="7"/>
  <c r="Z335" i="7"/>
  <c r="E335" i="7"/>
  <c r="Z334" i="7"/>
  <c r="E334" i="7"/>
  <c r="Z333" i="7"/>
  <c r="E333" i="7"/>
  <c r="Z332" i="7"/>
  <c r="E332" i="7"/>
  <c r="Z331" i="7"/>
  <c r="E331" i="7"/>
  <c r="Z330" i="7"/>
  <c r="E330" i="7"/>
  <c r="Z329" i="7"/>
  <c r="E329" i="7"/>
  <c r="Z328" i="7"/>
  <c r="E328" i="7"/>
  <c r="Z327" i="7"/>
  <c r="E327" i="7"/>
  <c r="Z326" i="7"/>
  <c r="E326" i="7"/>
  <c r="Z325" i="7"/>
  <c r="E325" i="7"/>
  <c r="Z324" i="7"/>
  <c r="E324" i="7"/>
  <c r="Z323" i="7"/>
  <c r="E323" i="7"/>
  <c r="Z322" i="7"/>
  <c r="E322" i="7"/>
  <c r="Z321" i="7"/>
  <c r="E321" i="7"/>
  <c r="Z320" i="7"/>
  <c r="E320" i="7"/>
  <c r="Z319" i="7"/>
  <c r="E319" i="7"/>
  <c r="Z318" i="7"/>
  <c r="E318" i="7"/>
  <c r="Z317" i="7"/>
  <c r="E317" i="7"/>
  <c r="Z316" i="7"/>
  <c r="E316" i="7"/>
  <c r="Z315" i="7"/>
  <c r="E315" i="7"/>
  <c r="Z314" i="7"/>
  <c r="E314" i="7"/>
  <c r="Z313" i="7"/>
  <c r="E313" i="7"/>
  <c r="Z312" i="7"/>
  <c r="E312" i="7"/>
  <c r="Z311" i="7"/>
  <c r="E311" i="7"/>
  <c r="Z310" i="7"/>
  <c r="E310" i="7"/>
  <c r="Z309" i="7"/>
  <c r="E309" i="7"/>
  <c r="Z308" i="7"/>
  <c r="E308" i="7"/>
  <c r="Z307" i="7"/>
  <c r="E307" i="7"/>
  <c r="Z306" i="7"/>
  <c r="E306" i="7"/>
  <c r="Z305" i="7"/>
  <c r="E305" i="7"/>
  <c r="Z304" i="7"/>
  <c r="E304" i="7"/>
  <c r="Z303" i="7"/>
  <c r="E303" i="7"/>
  <c r="Z302" i="7"/>
  <c r="E302" i="7"/>
  <c r="Z301" i="7"/>
  <c r="E301" i="7"/>
  <c r="Z300" i="7"/>
  <c r="E300" i="7"/>
  <c r="Z299" i="7"/>
  <c r="E299" i="7"/>
  <c r="Z298" i="7"/>
  <c r="E298" i="7"/>
  <c r="Z297" i="7"/>
  <c r="E297" i="7"/>
  <c r="Z296" i="7"/>
  <c r="E296" i="7"/>
  <c r="Z295" i="7"/>
  <c r="E295" i="7"/>
  <c r="Z294" i="7"/>
  <c r="E294" i="7"/>
  <c r="Z293" i="7"/>
  <c r="E293" i="7"/>
  <c r="Z292" i="7"/>
  <c r="E292" i="7"/>
  <c r="Z291" i="7"/>
  <c r="E291" i="7"/>
  <c r="Z290" i="7"/>
  <c r="E290" i="7"/>
  <c r="Z289" i="7"/>
  <c r="E289" i="7"/>
  <c r="Z288" i="7"/>
  <c r="E288" i="7"/>
  <c r="Z287" i="7"/>
  <c r="E287" i="7"/>
  <c r="Z286" i="7"/>
  <c r="E286" i="7"/>
  <c r="Z285" i="7"/>
  <c r="E285" i="7"/>
  <c r="Z284" i="7"/>
  <c r="E284" i="7"/>
  <c r="Z283" i="7"/>
  <c r="E283" i="7"/>
  <c r="Z282" i="7"/>
  <c r="E282" i="7"/>
  <c r="Z281" i="7"/>
  <c r="E281" i="7"/>
  <c r="Z280" i="7"/>
  <c r="E280" i="7"/>
  <c r="Z279" i="7"/>
  <c r="E279" i="7"/>
  <c r="Z278" i="7"/>
  <c r="E278" i="7"/>
  <c r="Z277" i="7"/>
  <c r="E277" i="7"/>
  <c r="Z276" i="7"/>
  <c r="E276" i="7"/>
  <c r="Z275" i="7"/>
  <c r="E275" i="7"/>
  <c r="Z274" i="7"/>
  <c r="E274" i="7"/>
  <c r="Z273" i="7"/>
  <c r="E273" i="7"/>
  <c r="Z272" i="7"/>
  <c r="E272" i="7"/>
  <c r="Z271" i="7"/>
  <c r="E271" i="7"/>
  <c r="Z270" i="7"/>
  <c r="E270" i="7"/>
  <c r="Z269" i="7"/>
  <c r="E269" i="7"/>
  <c r="Z268" i="7"/>
  <c r="E268" i="7"/>
  <c r="Z267" i="7"/>
  <c r="E267" i="7"/>
  <c r="Z266" i="7"/>
  <c r="E266" i="7"/>
  <c r="Z265" i="7"/>
  <c r="E265" i="7"/>
  <c r="Z264" i="7"/>
  <c r="E264" i="7"/>
  <c r="Z263" i="7"/>
  <c r="E263" i="7"/>
  <c r="Z262" i="7"/>
  <c r="E262" i="7"/>
  <c r="Z261" i="7"/>
  <c r="E261" i="7"/>
  <c r="Z260" i="7"/>
  <c r="E260" i="7"/>
  <c r="Z259" i="7"/>
  <c r="E259" i="7"/>
  <c r="Z258" i="7"/>
  <c r="E258" i="7"/>
  <c r="Z257" i="7"/>
  <c r="E257" i="7"/>
  <c r="Z256" i="7"/>
  <c r="E256" i="7"/>
  <c r="Z255" i="7"/>
  <c r="E255" i="7"/>
  <c r="Z254" i="7"/>
  <c r="E254" i="7"/>
  <c r="Z253" i="7"/>
  <c r="E253" i="7"/>
  <c r="Z252" i="7"/>
  <c r="E252" i="7"/>
  <c r="Z251" i="7"/>
  <c r="E251" i="7"/>
  <c r="Z250" i="7"/>
  <c r="E250" i="7"/>
  <c r="Z249" i="7"/>
  <c r="E249" i="7"/>
  <c r="Z248" i="7"/>
  <c r="E248" i="7"/>
  <c r="Z247" i="7"/>
  <c r="E247" i="7"/>
  <c r="Z246" i="7"/>
  <c r="E246" i="7"/>
  <c r="Z245" i="7"/>
  <c r="E245" i="7"/>
  <c r="Z244" i="7"/>
  <c r="E244" i="7"/>
  <c r="Z243" i="7"/>
  <c r="E243" i="7"/>
  <c r="Z242" i="7"/>
  <c r="E242" i="7"/>
  <c r="Z241" i="7"/>
  <c r="E241" i="7"/>
  <c r="Z240" i="7"/>
  <c r="E240" i="7"/>
  <c r="Z239" i="7"/>
  <c r="E239" i="7"/>
  <c r="Z238" i="7"/>
  <c r="E238" i="7"/>
  <c r="Z237" i="7"/>
  <c r="E237" i="7"/>
  <c r="Z236" i="7"/>
  <c r="E236" i="7"/>
  <c r="Z235" i="7"/>
  <c r="E235" i="7"/>
  <c r="Z234" i="7"/>
  <c r="E234" i="7"/>
  <c r="Z233" i="7"/>
  <c r="E233" i="7"/>
  <c r="Z232" i="7"/>
  <c r="E232" i="7"/>
  <c r="Z231" i="7"/>
  <c r="E231" i="7"/>
  <c r="Z230" i="7"/>
  <c r="E230" i="7"/>
  <c r="Z229" i="7"/>
  <c r="E229" i="7"/>
  <c r="Z228" i="7"/>
  <c r="E228" i="7"/>
  <c r="Z227" i="7"/>
  <c r="E227" i="7"/>
  <c r="Z226" i="7"/>
  <c r="E226" i="7"/>
  <c r="Z225" i="7"/>
  <c r="E225" i="7"/>
  <c r="Z224" i="7"/>
  <c r="E224" i="7"/>
  <c r="Z223" i="7"/>
  <c r="E223" i="7"/>
  <c r="Z222" i="7"/>
  <c r="E222" i="7"/>
  <c r="Z221" i="7"/>
  <c r="E221" i="7"/>
  <c r="Z220" i="7"/>
  <c r="E220" i="7"/>
  <c r="Z219" i="7"/>
  <c r="E219" i="7"/>
  <c r="Z218" i="7"/>
  <c r="E218" i="7"/>
  <c r="Z217" i="7"/>
  <c r="E217" i="7"/>
  <c r="Z216" i="7"/>
  <c r="E216" i="7"/>
  <c r="Z215" i="7"/>
  <c r="E215" i="7"/>
  <c r="Z214" i="7"/>
  <c r="E214" i="7"/>
  <c r="Z213" i="7"/>
  <c r="E213" i="7"/>
  <c r="Z212" i="7"/>
  <c r="E212" i="7"/>
  <c r="Z211" i="7"/>
  <c r="E211" i="7"/>
  <c r="Z210" i="7"/>
  <c r="E210" i="7"/>
  <c r="Z209" i="7"/>
  <c r="E209" i="7"/>
  <c r="Z208" i="7"/>
  <c r="E208" i="7"/>
  <c r="Z207" i="7"/>
  <c r="E207" i="7"/>
  <c r="Z206" i="7"/>
  <c r="E206" i="7"/>
  <c r="Z205" i="7"/>
  <c r="E205" i="7"/>
  <c r="Z204" i="7"/>
  <c r="E204" i="7"/>
  <c r="Z203" i="7"/>
  <c r="E203" i="7"/>
  <c r="Z202" i="7"/>
  <c r="E202" i="7"/>
  <c r="Z201" i="7"/>
  <c r="E201" i="7"/>
  <c r="Z200" i="7"/>
  <c r="E200" i="7"/>
  <c r="Z199" i="7"/>
  <c r="E199" i="7"/>
  <c r="Z198" i="7"/>
  <c r="E198" i="7"/>
  <c r="Z197" i="7"/>
  <c r="E197" i="7"/>
  <c r="Z196" i="7"/>
  <c r="E196" i="7"/>
  <c r="Z195" i="7"/>
  <c r="E195" i="7"/>
  <c r="Z194" i="7"/>
  <c r="E194" i="7"/>
  <c r="Z193" i="7"/>
  <c r="E193" i="7"/>
  <c r="Z192" i="7"/>
  <c r="E192" i="7"/>
  <c r="Z191" i="7"/>
  <c r="E191" i="7"/>
  <c r="Z190" i="7"/>
  <c r="E190" i="7"/>
  <c r="Z189" i="7"/>
  <c r="E189" i="7"/>
  <c r="Z188" i="7"/>
  <c r="E188" i="7"/>
  <c r="Z187" i="7"/>
  <c r="E187" i="7"/>
  <c r="Z186" i="7"/>
  <c r="E186" i="7"/>
  <c r="Z185" i="7"/>
  <c r="E185" i="7"/>
  <c r="Z184" i="7"/>
  <c r="E184" i="7"/>
  <c r="Z183" i="7"/>
  <c r="E183" i="7"/>
  <c r="Z182" i="7"/>
  <c r="E182" i="7"/>
  <c r="Z181" i="7"/>
  <c r="E181" i="7"/>
  <c r="Z180" i="7"/>
  <c r="E180" i="7"/>
  <c r="Z179" i="7"/>
  <c r="E179" i="7"/>
  <c r="Z178" i="7"/>
  <c r="E178" i="7"/>
  <c r="Z177" i="7"/>
  <c r="E177" i="7"/>
  <c r="Z176" i="7"/>
  <c r="E176" i="7"/>
  <c r="Z175" i="7"/>
  <c r="E175" i="7"/>
  <c r="Z174" i="7"/>
  <c r="E174" i="7"/>
  <c r="Z173" i="7"/>
  <c r="E173" i="7"/>
  <c r="Z172" i="7"/>
  <c r="E172" i="7"/>
  <c r="Z171" i="7"/>
  <c r="E171" i="7"/>
  <c r="Z170" i="7"/>
  <c r="E170" i="7"/>
  <c r="Z169" i="7"/>
  <c r="E169" i="7"/>
  <c r="Z168" i="7"/>
  <c r="E168" i="7"/>
  <c r="Z167" i="7"/>
  <c r="E167" i="7"/>
  <c r="Z166" i="7"/>
  <c r="E166" i="7"/>
  <c r="Z165" i="7"/>
  <c r="E165" i="7"/>
  <c r="Z164" i="7"/>
  <c r="E164" i="7"/>
  <c r="Z163" i="7"/>
  <c r="E163" i="7"/>
  <c r="Z162" i="7"/>
  <c r="E162" i="7"/>
  <c r="Z161" i="7"/>
  <c r="E161" i="7"/>
  <c r="Z160" i="7"/>
  <c r="E160" i="7"/>
  <c r="Z159" i="7"/>
  <c r="E159" i="7"/>
  <c r="Z158" i="7"/>
  <c r="E158" i="7"/>
  <c r="Z157" i="7"/>
  <c r="E157" i="7"/>
  <c r="Z156" i="7"/>
  <c r="E156" i="7"/>
  <c r="Z155" i="7"/>
  <c r="E155" i="7"/>
  <c r="Z154" i="7"/>
  <c r="E154" i="7"/>
  <c r="Z153" i="7"/>
  <c r="E153" i="7"/>
  <c r="Z152" i="7"/>
  <c r="E152" i="7"/>
  <c r="Z151" i="7"/>
  <c r="E151" i="7"/>
  <c r="Z150" i="7"/>
  <c r="E150" i="7"/>
  <c r="Z149" i="7"/>
  <c r="E149" i="7"/>
  <c r="Z148" i="7"/>
  <c r="E148" i="7"/>
  <c r="Z147" i="7"/>
  <c r="E147" i="7"/>
  <c r="Z146" i="7"/>
  <c r="E146" i="7"/>
  <c r="Z145" i="7"/>
  <c r="E145" i="7"/>
  <c r="Z144" i="7"/>
  <c r="E144" i="7"/>
  <c r="Z143" i="7"/>
  <c r="E143" i="7"/>
  <c r="Z142" i="7"/>
  <c r="E142" i="7"/>
  <c r="Z141" i="7"/>
  <c r="E141" i="7"/>
  <c r="Z140" i="7"/>
  <c r="E140" i="7"/>
  <c r="Z139" i="7"/>
  <c r="E139" i="7"/>
  <c r="Z138" i="7"/>
  <c r="E138" i="7"/>
  <c r="Z137" i="7"/>
  <c r="E137" i="7"/>
  <c r="Z136" i="7"/>
  <c r="E136" i="7"/>
  <c r="Z135" i="7"/>
  <c r="E135" i="7"/>
  <c r="Z134" i="7"/>
  <c r="E134" i="7"/>
  <c r="Z133" i="7"/>
  <c r="E133" i="7"/>
  <c r="Z132" i="7"/>
  <c r="E132" i="7"/>
  <c r="Z131" i="7"/>
  <c r="E131" i="7"/>
  <c r="Z130" i="7"/>
  <c r="E130" i="7"/>
  <c r="Z129" i="7"/>
  <c r="E129" i="7"/>
  <c r="Z128" i="7"/>
  <c r="E128" i="7"/>
  <c r="Z127" i="7"/>
  <c r="E127" i="7"/>
  <c r="Z126" i="7"/>
  <c r="E126" i="7"/>
  <c r="Z125" i="7"/>
  <c r="E125" i="7"/>
  <c r="Z124" i="7"/>
  <c r="E124" i="7"/>
  <c r="Z123" i="7"/>
  <c r="E123" i="7"/>
  <c r="Z122" i="7"/>
  <c r="E122" i="7"/>
  <c r="Z121" i="7"/>
  <c r="E121" i="7"/>
  <c r="Z120" i="7"/>
  <c r="E120" i="7"/>
  <c r="Z119" i="7"/>
  <c r="E119" i="7"/>
  <c r="Z118" i="7"/>
  <c r="E118" i="7"/>
  <c r="Z117" i="7"/>
  <c r="E117" i="7"/>
  <c r="Z116" i="7"/>
  <c r="E116" i="7"/>
  <c r="Z115" i="7"/>
  <c r="E115" i="7"/>
  <c r="Z114" i="7"/>
  <c r="E114" i="7"/>
  <c r="Z113" i="7"/>
  <c r="E113" i="7"/>
  <c r="Z112" i="7"/>
  <c r="E112" i="7"/>
  <c r="Z111" i="7"/>
  <c r="E111" i="7"/>
  <c r="Z110" i="7"/>
  <c r="E110" i="7"/>
  <c r="Z109" i="7"/>
  <c r="E109" i="7"/>
  <c r="Z108" i="7"/>
  <c r="E108" i="7"/>
  <c r="Z107" i="7"/>
  <c r="E107" i="7"/>
  <c r="Z106" i="7"/>
  <c r="E106" i="7"/>
  <c r="Z105" i="7"/>
  <c r="E105" i="7"/>
  <c r="Z104" i="7"/>
  <c r="E104" i="7"/>
  <c r="Z103" i="7"/>
  <c r="E103" i="7"/>
  <c r="Z102" i="7"/>
  <c r="E102" i="7"/>
  <c r="Z101" i="7"/>
  <c r="E101" i="7"/>
  <c r="Z100" i="7"/>
  <c r="E100" i="7"/>
  <c r="Z99" i="7"/>
  <c r="E99" i="7"/>
  <c r="Z98" i="7"/>
  <c r="E98" i="7"/>
  <c r="Z97" i="7"/>
  <c r="E97" i="7"/>
  <c r="Z96" i="7"/>
  <c r="E96" i="7"/>
  <c r="Z95" i="7"/>
  <c r="E95" i="7"/>
  <c r="Z94" i="7"/>
  <c r="E94" i="7"/>
  <c r="Z93" i="7"/>
  <c r="E93" i="7"/>
  <c r="Z92" i="7"/>
  <c r="E92" i="7"/>
  <c r="Z91" i="7"/>
  <c r="E91" i="7"/>
  <c r="Z90" i="7"/>
  <c r="E90" i="7"/>
  <c r="Z89" i="7"/>
  <c r="E89" i="7"/>
  <c r="Z88" i="7"/>
  <c r="E88" i="7"/>
  <c r="Z87" i="7"/>
  <c r="E87" i="7"/>
  <c r="Z86" i="7"/>
  <c r="E86" i="7"/>
  <c r="Z85" i="7"/>
  <c r="E85" i="7"/>
  <c r="Z84" i="7"/>
  <c r="E84" i="7"/>
  <c r="Z83" i="7"/>
  <c r="E83" i="7"/>
  <c r="Z82" i="7"/>
  <c r="E82" i="7"/>
  <c r="Z81" i="7"/>
  <c r="E81" i="7"/>
  <c r="Z80" i="7"/>
  <c r="E80" i="7"/>
  <c r="Z79" i="7"/>
  <c r="E79" i="7"/>
  <c r="Z78" i="7"/>
  <c r="E78" i="7"/>
  <c r="Z77" i="7"/>
  <c r="E77" i="7"/>
  <c r="Z76" i="7"/>
  <c r="E76" i="7"/>
  <c r="Z75" i="7"/>
  <c r="E75" i="7"/>
  <c r="Z74" i="7"/>
  <c r="E74" i="7"/>
  <c r="Z73" i="7"/>
  <c r="E73" i="7"/>
  <c r="Z72" i="7"/>
  <c r="E72" i="7"/>
  <c r="Z71" i="7"/>
  <c r="E71" i="7"/>
  <c r="Z70" i="7"/>
  <c r="E70" i="7"/>
  <c r="Z69" i="7"/>
  <c r="E69" i="7"/>
  <c r="Z68" i="7"/>
  <c r="E68" i="7"/>
  <c r="Z67" i="7"/>
  <c r="E67" i="7"/>
  <c r="Z66" i="7"/>
  <c r="E66" i="7"/>
  <c r="Z65" i="7"/>
  <c r="E65" i="7"/>
  <c r="Z64" i="7"/>
  <c r="E64" i="7"/>
  <c r="Z63" i="7"/>
  <c r="E63" i="7"/>
  <c r="Z62" i="7"/>
  <c r="E62" i="7"/>
  <c r="Z61" i="7"/>
  <c r="E61" i="7"/>
  <c r="Z60" i="7"/>
  <c r="E60" i="7"/>
  <c r="Z59" i="7"/>
  <c r="E59" i="7"/>
  <c r="Z58" i="7"/>
  <c r="E58" i="7"/>
  <c r="Z57" i="7"/>
  <c r="E57" i="7"/>
  <c r="Z56" i="7"/>
  <c r="E56" i="7"/>
  <c r="Z55" i="7"/>
  <c r="E55" i="7"/>
  <c r="Z54" i="7"/>
  <c r="E54" i="7"/>
  <c r="Z53" i="7"/>
  <c r="E53" i="7"/>
  <c r="Z52" i="7"/>
  <c r="E52" i="7"/>
  <c r="Z51" i="7"/>
  <c r="E51" i="7"/>
  <c r="Z50" i="7"/>
  <c r="E50" i="7"/>
  <c r="Z49" i="7"/>
  <c r="E49" i="7"/>
  <c r="Z48" i="7"/>
  <c r="E48" i="7"/>
  <c r="Z47" i="7"/>
  <c r="E47" i="7"/>
  <c r="Z46" i="7"/>
  <c r="E46" i="7"/>
  <c r="Z45" i="7"/>
  <c r="E45" i="7"/>
  <c r="Z44" i="7"/>
  <c r="E44" i="7"/>
  <c r="Z43" i="7"/>
  <c r="E43" i="7"/>
  <c r="Z42" i="7"/>
  <c r="E42" i="7"/>
  <c r="Z41" i="7"/>
  <c r="E41" i="7"/>
  <c r="Z40" i="7"/>
  <c r="E40" i="7"/>
  <c r="Z39" i="7"/>
  <c r="E39" i="7"/>
  <c r="Z38" i="7"/>
  <c r="E38" i="7"/>
  <c r="Z37" i="7"/>
  <c r="E37" i="7"/>
  <c r="Z36" i="7"/>
  <c r="E36" i="7"/>
  <c r="Z35" i="7"/>
  <c r="E35" i="7"/>
  <c r="E34" i="7"/>
  <c r="Z33" i="7"/>
  <c r="E33" i="7"/>
  <c r="Z32" i="7"/>
  <c r="E32" i="7"/>
  <c r="Z31" i="7"/>
  <c r="E31" i="7"/>
  <c r="Z30" i="7"/>
  <c r="E30" i="7"/>
  <c r="Z29" i="7"/>
  <c r="E29" i="7"/>
  <c r="Z28" i="7"/>
  <c r="E28" i="7"/>
  <c r="Z27" i="7"/>
  <c r="E27" i="7"/>
  <c r="Z26" i="7"/>
  <c r="E26" i="7"/>
  <c r="Z25" i="7"/>
  <c r="E25" i="7"/>
  <c r="Z24" i="7"/>
  <c r="E24" i="7"/>
  <c r="Z23" i="7"/>
  <c r="E23" i="7"/>
  <c r="Z22" i="7"/>
  <c r="E22" i="7"/>
  <c r="Z21" i="7"/>
  <c r="E21" i="7"/>
  <c r="E19" i="7"/>
  <c r="Y767" i="6"/>
  <c r="D767" i="6"/>
  <c r="Y766" i="6"/>
  <c r="D766" i="6"/>
  <c r="Y765" i="6"/>
  <c r="D765" i="6"/>
  <c r="Y764" i="6"/>
  <c r="D764" i="6"/>
  <c r="Y763" i="6"/>
  <c r="D763" i="6"/>
  <c r="Y762" i="6"/>
  <c r="D762" i="6"/>
  <c r="Y761" i="6"/>
  <c r="D761" i="6"/>
  <c r="Y760" i="6"/>
  <c r="D760" i="6"/>
  <c r="Y759" i="6"/>
  <c r="D759" i="6"/>
  <c r="Y758" i="6"/>
  <c r="D758" i="6"/>
  <c r="Y757" i="6"/>
  <c r="D757" i="6"/>
  <c r="Y756" i="6"/>
  <c r="D756" i="6"/>
  <c r="Y755" i="6"/>
  <c r="D755" i="6"/>
  <c r="Y754" i="6"/>
  <c r="D754" i="6"/>
  <c r="Y753" i="6"/>
  <c r="D753" i="6"/>
  <c r="Y752" i="6"/>
  <c r="D752" i="6"/>
  <c r="Y751" i="6"/>
  <c r="D751" i="6"/>
  <c r="Y750" i="6"/>
  <c r="D750" i="6"/>
  <c r="Y749" i="6"/>
  <c r="D749" i="6"/>
  <c r="Y748" i="6"/>
  <c r="D748" i="6"/>
  <c r="Y747" i="6"/>
  <c r="D747" i="6"/>
  <c r="Y746" i="6"/>
  <c r="D746" i="6"/>
  <c r="Y745" i="6"/>
  <c r="D745" i="6"/>
  <c r="Y744" i="6"/>
  <c r="D744" i="6"/>
  <c r="Y743" i="6"/>
  <c r="D743" i="6"/>
  <c r="Y742" i="6"/>
  <c r="D742" i="6"/>
  <c r="Y741" i="6"/>
  <c r="D741" i="6"/>
  <c r="Y740" i="6"/>
  <c r="D740" i="6"/>
  <c r="Y739" i="6"/>
  <c r="D739" i="6"/>
  <c r="Y738" i="6"/>
  <c r="D738" i="6"/>
  <c r="Y737" i="6"/>
  <c r="D737" i="6"/>
  <c r="Y736" i="6"/>
  <c r="D736" i="6"/>
  <c r="Y735" i="6"/>
  <c r="D735" i="6"/>
  <c r="Y734" i="6"/>
  <c r="D734" i="6"/>
  <c r="Y733" i="6"/>
  <c r="D733" i="6"/>
  <c r="Y732" i="6"/>
  <c r="D732" i="6"/>
  <c r="Y731" i="6"/>
  <c r="D731" i="6"/>
  <c r="Y730" i="6"/>
  <c r="D730" i="6"/>
  <c r="Y729" i="6"/>
  <c r="D729" i="6"/>
  <c r="Y728" i="6"/>
  <c r="D728" i="6"/>
  <c r="Y727" i="6"/>
  <c r="D727" i="6"/>
  <c r="Y726" i="6"/>
  <c r="D726" i="6"/>
  <c r="Y725" i="6"/>
  <c r="D725" i="6"/>
  <c r="Y724" i="6"/>
  <c r="D724" i="6"/>
  <c r="Y723" i="6"/>
  <c r="D723" i="6"/>
  <c r="Y722" i="6"/>
  <c r="D722" i="6"/>
  <c r="Y721" i="6"/>
  <c r="D721" i="6"/>
  <c r="Y720" i="6"/>
  <c r="D720" i="6"/>
  <c r="Y719" i="6"/>
  <c r="D719" i="6"/>
  <c r="Y718" i="6"/>
  <c r="D718" i="6"/>
  <c r="Y717" i="6"/>
  <c r="D717" i="6"/>
  <c r="Y716" i="6"/>
  <c r="D716" i="6"/>
  <c r="Y715" i="6"/>
  <c r="D715" i="6"/>
  <c r="Y714" i="6"/>
  <c r="D714" i="6"/>
  <c r="Y713" i="6"/>
  <c r="D713" i="6"/>
  <c r="Y712" i="6"/>
  <c r="D712" i="6"/>
  <c r="Y711" i="6"/>
  <c r="D711" i="6"/>
  <c r="Y710" i="6"/>
  <c r="D710" i="6"/>
  <c r="Y709" i="6"/>
  <c r="D709" i="6"/>
  <c r="Y708" i="6"/>
  <c r="D708" i="6"/>
  <c r="Y707" i="6"/>
  <c r="D707" i="6"/>
  <c r="Y706" i="6"/>
  <c r="D706" i="6"/>
  <c r="Y705" i="6"/>
  <c r="D705" i="6"/>
  <c r="Y704" i="6"/>
  <c r="D704" i="6"/>
  <c r="Y703" i="6"/>
  <c r="D703" i="6"/>
  <c r="Y702" i="6"/>
  <c r="D702" i="6"/>
  <c r="Y701" i="6"/>
  <c r="D701" i="6"/>
  <c r="Y700" i="6"/>
  <c r="D700" i="6"/>
  <c r="Y699" i="6"/>
  <c r="D699" i="6"/>
  <c r="Y698" i="6"/>
  <c r="D698" i="6"/>
  <c r="Y697" i="6"/>
  <c r="D697" i="6"/>
  <c r="Y696" i="6"/>
  <c r="D696" i="6"/>
  <c r="Y695" i="6"/>
  <c r="D695" i="6"/>
  <c r="Y694" i="6"/>
  <c r="D694" i="6"/>
  <c r="Y693" i="6"/>
  <c r="D693" i="6"/>
  <c r="Y692" i="6"/>
  <c r="D692" i="6"/>
  <c r="Y691" i="6"/>
  <c r="D691" i="6"/>
  <c r="Y690" i="6"/>
  <c r="D690" i="6"/>
  <c r="Y689" i="6"/>
  <c r="D689" i="6"/>
  <c r="Y688" i="6"/>
  <c r="D688" i="6"/>
  <c r="Y687" i="6"/>
  <c r="D687" i="6"/>
  <c r="Y686" i="6"/>
  <c r="D686" i="6"/>
  <c r="Y685" i="6"/>
  <c r="D685" i="6"/>
  <c r="Y684" i="6"/>
  <c r="D684" i="6"/>
  <c r="Y683" i="6"/>
  <c r="D683" i="6"/>
  <c r="Y682" i="6"/>
  <c r="D682" i="6"/>
  <c r="Y681" i="6"/>
  <c r="D681" i="6"/>
  <c r="Y680" i="6"/>
  <c r="D680" i="6"/>
  <c r="Y679" i="6"/>
  <c r="D679" i="6"/>
  <c r="Y678" i="6"/>
  <c r="D678" i="6"/>
  <c r="Y677" i="6"/>
  <c r="D677" i="6"/>
  <c r="Y676" i="6"/>
  <c r="D676" i="6"/>
  <c r="Y675" i="6"/>
  <c r="D675" i="6"/>
  <c r="Y674" i="6"/>
  <c r="D674" i="6"/>
  <c r="Y673" i="6"/>
  <c r="D673" i="6"/>
  <c r="Y672" i="6"/>
  <c r="D672" i="6"/>
  <c r="Y671" i="6"/>
  <c r="D671" i="6"/>
  <c r="Y670" i="6"/>
  <c r="D670" i="6"/>
  <c r="Y669" i="6"/>
  <c r="D669" i="6"/>
  <c r="Y668" i="6"/>
  <c r="D668" i="6"/>
  <c r="Y667" i="6"/>
  <c r="D667" i="6"/>
  <c r="Y666" i="6"/>
  <c r="D666" i="6"/>
  <c r="Y665" i="6"/>
  <c r="D665" i="6"/>
  <c r="Y664" i="6"/>
  <c r="D664" i="6"/>
  <c r="Y663" i="6"/>
  <c r="D663" i="6"/>
  <c r="Y662" i="6"/>
  <c r="D662" i="6"/>
  <c r="Y661" i="6"/>
  <c r="D661" i="6"/>
  <c r="Y660" i="6"/>
  <c r="D660" i="6"/>
  <c r="Y659" i="6"/>
  <c r="D659" i="6"/>
  <c r="Y658" i="6"/>
  <c r="D658" i="6"/>
  <c r="Y657" i="6"/>
  <c r="D657" i="6"/>
  <c r="Y656" i="6"/>
  <c r="D656" i="6"/>
  <c r="Y655" i="6"/>
  <c r="D655" i="6"/>
  <c r="Y654" i="6"/>
  <c r="D654" i="6"/>
  <c r="Y653" i="6"/>
  <c r="D653" i="6"/>
  <c r="Y652" i="6"/>
  <c r="D652" i="6"/>
  <c r="Y651" i="6"/>
  <c r="D651" i="6"/>
  <c r="Y650" i="6"/>
  <c r="D650" i="6"/>
  <c r="Y649" i="6"/>
  <c r="D649" i="6"/>
  <c r="Y648" i="6"/>
  <c r="D648" i="6"/>
  <c r="Y647" i="6"/>
  <c r="D647" i="6"/>
  <c r="Y646" i="6"/>
  <c r="D646" i="6"/>
  <c r="Y645" i="6"/>
  <c r="D645" i="6"/>
  <c r="Y644" i="6"/>
  <c r="D644" i="6"/>
  <c r="Y643" i="6"/>
  <c r="D643" i="6"/>
  <c r="Y642" i="6"/>
  <c r="D642" i="6"/>
  <c r="Y641" i="6"/>
  <c r="D641" i="6"/>
  <c r="Y640" i="6"/>
  <c r="D640" i="6"/>
  <c r="Y639" i="6"/>
  <c r="D639" i="6"/>
  <c r="Y638" i="6"/>
  <c r="D638" i="6"/>
  <c r="Y637" i="6"/>
  <c r="D637" i="6"/>
  <c r="Y636" i="6"/>
  <c r="D636" i="6"/>
  <c r="Y635" i="6"/>
  <c r="D635" i="6"/>
  <c r="Y634" i="6"/>
  <c r="D634" i="6"/>
  <c r="Y633" i="6"/>
  <c r="D633" i="6"/>
  <c r="Y632" i="6"/>
  <c r="D632" i="6"/>
  <c r="Y631" i="6"/>
  <c r="D631" i="6"/>
  <c r="Y630" i="6"/>
  <c r="D630" i="6"/>
  <c r="Y629" i="6"/>
  <c r="D629" i="6"/>
  <c r="Y628" i="6"/>
  <c r="D628" i="6"/>
  <c r="Y627" i="6"/>
  <c r="D627" i="6"/>
  <c r="Y626" i="6"/>
  <c r="D626" i="6"/>
  <c r="Y625" i="6"/>
  <c r="D625" i="6"/>
  <c r="Y624" i="6"/>
  <c r="D624" i="6"/>
  <c r="Y623" i="6"/>
  <c r="D623" i="6"/>
  <c r="Y622" i="6"/>
  <c r="D622" i="6"/>
  <c r="Y621" i="6"/>
  <c r="D621" i="6"/>
  <c r="Y620" i="6"/>
  <c r="D620" i="6"/>
  <c r="Y619" i="6"/>
  <c r="D619" i="6"/>
  <c r="Y618" i="6"/>
  <c r="D618" i="6"/>
  <c r="Y617" i="6"/>
  <c r="D617" i="6"/>
  <c r="Y616" i="6"/>
  <c r="D616" i="6"/>
  <c r="Y615" i="6"/>
  <c r="D615" i="6"/>
  <c r="Y614" i="6"/>
  <c r="D614" i="6"/>
  <c r="Y613" i="6"/>
  <c r="D613" i="6"/>
  <c r="Y612" i="6"/>
  <c r="D612" i="6"/>
  <c r="Y611" i="6"/>
  <c r="D611" i="6"/>
  <c r="Y610" i="6"/>
  <c r="D610" i="6"/>
  <c r="Y609" i="6"/>
  <c r="D609" i="6"/>
  <c r="Y608" i="6"/>
  <c r="D608" i="6"/>
  <c r="Y607" i="6"/>
  <c r="D607" i="6"/>
  <c r="Y606" i="6"/>
  <c r="D606" i="6"/>
  <c r="Y605" i="6"/>
  <c r="D605" i="6"/>
  <c r="Y604" i="6"/>
  <c r="D604" i="6"/>
  <c r="Y603" i="6"/>
  <c r="D603" i="6"/>
  <c r="Y602" i="6"/>
  <c r="D602" i="6"/>
  <c r="Y601" i="6"/>
  <c r="D601" i="6"/>
  <c r="Y600" i="6"/>
  <c r="D600" i="6"/>
  <c r="Y599" i="6"/>
  <c r="D599" i="6"/>
  <c r="Y598" i="6"/>
  <c r="D598" i="6"/>
  <c r="D597" i="6"/>
  <c r="Y596" i="6"/>
  <c r="D596" i="6"/>
  <c r="Y595" i="6"/>
  <c r="D595" i="6"/>
  <c r="Y594" i="6"/>
  <c r="D594" i="6"/>
  <c r="Y593" i="6"/>
  <c r="D593" i="6"/>
  <c r="Y592" i="6"/>
  <c r="D592" i="6"/>
  <c r="Y591" i="6"/>
  <c r="D591" i="6"/>
  <c r="Y590" i="6"/>
  <c r="D590" i="6"/>
  <c r="Y589" i="6"/>
  <c r="D589" i="6"/>
  <c r="Y588" i="6"/>
  <c r="D588" i="6"/>
  <c r="Y587" i="6"/>
  <c r="D587" i="6"/>
  <c r="Y586" i="6"/>
  <c r="D586" i="6"/>
  <c r="Y585" i="6"/>
  <c r="D585" i="6"/>
  <c r="Y584" i="6"/>
  <c r="D584" i="6"/>
  <c r="Y583" i="6"/>
  <c r="D583" i="6"/>
  <c r="Y582" i="6"/>
  <c r="D582" i="6"/>
  <c r="Y581" i="6"/>
  <c r="D581" i="6"/>
  <c r="Y580" i="6"/>
  <c r="D580" i="6"/>
  <c r="Y579" i="6"/>
  <c r="D579" i="6"/>
  <c r="Y578" i="6"/>
  <c r="D578" i="6"/>
  <c r="Y577" i="6"/>
  <c r="D577" i="6"/>
  <c r="Y576" i="6"/>
  <c r="D576" i="6"/>
  <c r="Y575" i="6"/>
  <c r="D575" i="6"/>
  <c r="Y574" i="6"/>
  <c r="D574" i="6"/>
  <c r="Y573" i="6"/>
  <c r="D573" i="6"/>
  <c r="Y572" i="6"/>
  <c r="D572" i="6"/>
  <c r="Y571" i="6"/>
  <c r="D571" i="6"/>
  <c r="Y570" i="6"/>
  <c r="D570" i="6"/>
  <c r="Y569" i="6"/>
  <c r="D569" i="6"/>
  <c r="Y568" i="6"/>
  <c r="D568" i="6"/>
  <c r="Y567" i="6"/>
  <c r="D567" i="6"/>
  <c r="Y566" i="6"/>
  <c r="D566" i="6"/>
  <c r="Y565" i="6"/>
  <c r="D565" i="6"/>
  <c r="Y564" i="6"/>
  <c r="D564" i="6"/>
  <c r="Y563" i="6"/>
  <c r="D563" i="6"/>
  <c r="Y562" i="6"/>
  <c r="D562" i="6"/>
  <c r="Y561" i="6"/>
  <c r="D561" i="6"/>
  <c r="Y560" i="6"/>
  <c r="D560" i="6"/>
  <c r="Y559" i="6"/>
  <c r="D559" i="6"/>
  <c r="Y558" i="6"/>
  <c r="D558" i="6"/>
  <c r="Y557" i="6"/>
  <c r="D557" i="6"/>
  <c r="Y556" i="6"/>
  <c r="D556" i="6"/>
  <c r="Y555" i="6"/>
  <c r="D555" i="6"/>
  <c r="Y554" i="6"/>
  <c r="D554" i="6"/>
  <c r="Y553" i="6"/>
  <c r="D553" i="6"/>
  <c r="Y552" i="6"/>
  <c r="D552" i="6"/>
  <c r="Y551" i="6"/>
  <c r="D551" i="6"/>
  <c r="Y550" i="6"/>
  <c r="D550" i="6"/>
  <c r="Y549" i="6"/>
  <c r="D549" i="6"/>
  <c r="Y548" i="6"/>
  <c r="D548" i="6"/>
  <c r="Y547" i="6"/>
  <c r="D547" i="6"/>
  <c r="Y546" i="6"/>
  <c r="D546" i="6"/>
  <c r="Y545" i="6"/>
  <c r="D545" i="6"/>
  <c r="Y544" i="6"/>
  <c r="D544" i="6"/>
  <c r="Y543" i="6"/>
  <c r="D543" i="6"/>
  <c r="Y542" i="6"/>
  <c r="D542" i="6"/>
  <c r="Y541" i="6"/>
  <c r="D541" i="6"/>
  <c r="Y540" i="6"/>
  <c r="D540" i="6"/>
  <c r="Y539" i="6"/>
  <c r="D539" i="6"/>
  <c r="Y538" i="6"/>
  <c r="D538" i="6"/>
  <c r="Y537" i="6"/>
  <c r="D537" i="6"/>
  <c r="Y536" i="6"/>
  <c r="D536" i="6"/>
  <c r="Y535" i="6"/>
  <c r="D535" i="6"/>
  <c r="Y534" i="6"/>
  <c r="D534" i="6"/>
  <c r="Y533" i="6"/>
  <c r="D533" i="6"/>
  <c r="Y532" i="6"/>
  <c r="D532" i="6"/>
  <c r="Y531" i="6"/>
  <c r="D531" i="6"/>
  <c r="Y530" i="6"/>
  <c r="D530" i="6"/>
  <c r="Y529" i="6"/>
  <c r="D529" i="6"/>
  <c r="Y528" i="6"/>
  <c r="D528" i="6"/>
  <c r="Y527" i="6"/>
  <c r="D527" i="6"/>
  <c r="Y526" i="6"/>
  <c r="D526" i="6"/>
  <c r="Y525" i="6"/>
  <c r="D525" i="6"/>
  <c r="Y524" i="6"/>
  <c r="D524" i="6"/>
  <c r="Y523" i="6"/>
  <c r="D523" i="6"/>
  <c r="Y522" i="6"/>
  <c r="D522" i="6"/>
  <c r="Y521" i="6"/>
  <c r="D521" i="6"/>
  <c r="Y520" i="6"/>
  <c r="D520" i="6"/>
  <c r="Y519" i="6"/>
  <c r="D519" i="6"/>
  <c r="Y518" i="6"/>
  <c r="D518" i="6"/>
  <c r="Y517" i="6"/>
  <c r="D517" i="6"/>
  <c r="Y516" i="6"/>
  <c r="D516" i="6"/>
  <c r="Y515" i="6"/>
  <c r="D515" i="6"/>
  <c r="Y514" i="6"/>
  <c r="D514" i="6"/>
  <c r="Y513" i="6"/>
  <c r="D513" i="6"/>
  <c r="Y512" i="6"/>
  <c r="D512" i="6"/>
  <c r="Y511" i="6"/>
  <c r="D511" i="6"/>
  <c r="Y510" i="6"/>
  <c r="D510" i="6"/>
  <c r="Y509" i="6"/>
  <c r="D509" i="6"/>
  <c r="Y508" i="6"/>
  <c r="D508" i="6"/>
  <c r="Y507" i="6"/>
  <c r="D507" i="6"/>
  <c r="Y506" i="6"/>
  <c r="D506" i="6"/>
  <c r="Y505" i="6"/>
  <c r="D505" i="6"/>
  <c r="Y504" i="6"/>
  <c r="D504" i="6"/>
  <c r="Y503" i="6"/>
  <c r="D503" i="6"/>
  <c r="Y502" i="6"/>
  <c r="D502" i="6"/>
  <c r="Y501" i="6"/>
  <c r="D501" i="6"/>
  <c r="Y500" i="6"/>
  <c r="D500" i="6"/>
  <c r="Y499" i="6"/>
  <c r="D499" i="6"/>
  <c r="Y498" i="6"/>
  <c r="D498" i="6"/>
  <c r="Y497" i="6"/>
  <c r="D497" i="6"/>
  <c r="Y496" i="6"/>
  <c r="D496" i="6"/>
  <c r="Y495" i="6"/>
  <c r="D495" i="6"/>
  <c r="Y494" i="6"/>
  <c r="D494" i="6"/>
  <c r="Y493" i="6"/>
  <c r="D493" i="6"/>
  <c r="Y492" i="6"/>
  <c r="D492" i="6"/>
  <c r="Y491" i="6"/>
  <c r="D491" i="6"/>
  <c r="Y490" i="6"/>
  <c r="D490" i="6"/>
  <c r="Y489" i="6"/>
  <c r="D489" i="6"/>
  <c r="Y488" i="6"/>
  <c r="D488" i="6"/>
  <c r="Y487" i="6"/>
  <c r="D487" i="6"/>
  <c r="Y486" i="6"/>
  <c r="D486" i="6"/>
  <c r="Y485" i="6"/>
  <c r="D485" i="6"/>
  <c r="Y484" i="6"/>
  <c r="D484" i="6"/>
  <c r="Y483" i="6"/>
  <c r="D483" i="6"/>
  <c r="Y482" i="6"/>
  <c r="D482" i="6"/>
  <c r="Y481" i="6"/>
  <c r="D481" i="6"/>
  <c r="Y480" i="6"/>
  <c r="D480" i="6"/>
  <c r="Y479" i="6"/>
  <c r="D479" i="6"/>
  <c r="Y478" i="6"/>
  <c r="D478" i="6"/>
  <c r="Y477" i="6"/>
  <c r="D477" i="6"/>
  <c r="Y476" i="6"/>
  <c r="D476" i="6"/>
  <c r="Y475" i="6"/>
  <c r="D475" i="6"/>
  <c r="Y474" i="6"/>
  <c r="D474" i="6"/>
  <c r="Y473" i="6"/>
  <c r="D473" i="6"/>
  <c r="Y472" i="6"/>
  <c r="D472" i="6"/>
  <c r="Y471" i="6"/>
  <c r="D471" i="6"/>
  <c r="Y470" i="6"/>
  <c r="D470" i="6"/>
  <c r="Y469" i="6"/>
  <c r="D469" i="6"/>
  <c r="Y468" i="6"/>
  <c r="D468" i="6"/>
  <c r="Y467" i="6"/>
  <c r="D467" i="6"/>
  <c r="Y466" i="6"/>
  <c r="D466" i="6"/>
  <c r="Y465" i="6"/>
  <c r="D465" i="6"/>
  <c r="Y464" i="6"/>
  <c r="D464" i="6"/>
  <c r="Y463" i="6"/>
  <c r="D463" i="6"/>
  <c r="Y462" i="6"/>
  <c r="D462" i="6"/>
  <c r="Y461" i="6"/>
  <c r="D461" i="6"/>
  <c r="Y460" i="6"/>
  <c r="D460" i="6"/>
  <c r="Y459" i="6"/>
  <c r="D459" i="6"/>
  <c r="Y458" i="6"/>
  <c r="D458" i="6"/>
  <c r="Y457" i="6"/>
  <c r="D457" i="6"/>
  <c r="Y456" i="6"/>
  <c r="D456" i="6"/>
  <c r="Y455" i="6"/>
  <c r="D455" i="6"/>
  <c r="Y454" i="6"/>
  <c r="D454" i="6"/>
  <c r="Y453" i="6"/>
  <c r="D453" i="6"/>
  <c r="Y452" i="6"/>
  <c r="D452" i="6"/>
  <c r="Y451" i="6"/>
  <c r="D451" i="6"/>
  <c r="Y450" i="6"/>
  <c r="D450" i="6"/>
  <c r="Y449" i="6"/>
  <c r="D449" i="6"/>
  <c r="Y448" i="6"/>
  <c r="D448" i="6"/>
  <c r="Y447" i="6"/>
  <c r="D447" i="6"/>
  <c r="Y446" i="6"/>
  <c r="D446" i="6"/>
  <c r="Y445" i="6"/>
  <c r="D445" i="6"/>
  <c r="Y444" i="6"/>
  <c r="D444" i="6"/>
  <c r="Y443" i="6"/>
  <c r="D443" i="6"/>
  <c r="Y442" i="6"/>
  <c r="D442" i="6"/>
  <c r="Y441" i="6"/>
  <c r="D441" i="6"/>
  <c r="Y440" i="6"/>
  <c r="D440" i="6"/>
  <c r="Y439" i="6"/>
  <c r="D439" i="6"/>
  <c r="Y438" i="6"/>
  <c r="D438" i="6"/>
  <c r="Y437" i="6"/>
  <c r="D437" i="6"/>
  <c r="Y436" i="6"/>
  <c r="D436" i="6"/>
  <c r="Y435" i="6"/>
  <c r="D435" i="6"/>
  <c r="Y434" i="6"/>
  <c r="D434" i="6"/>
  <c r="Y433" i="6"/>
  <c r="D433" i="6"/>
  <c r="Y432" i="6"/>
  <c r="D432" i="6"/>
  <c r="Y431" i="6"/>
  <c r="D431" i="6"/>
  <c r="Y430" i="6"/>
  <c r="D430" i="6"/>
  <c r="Y429" i="6"/>
  <c r="D429" i="6"/>
  <c r="Y428" i="6"/>
  <c r="D428" i="6"/>
  <c r="Y427" i="6"/>
  <c r="D427" i="6"/>
  <c r="Y426" i="6"/>
  <c r="D426" i="6"/>
  <c r="Y425" i="6"/>
  <c r="D425" i="6"/>
  <c r="Y424" i="6"/>
  <c r="D424" i="6"/>
  <c r="Y423" i="6"/>
  <c r="D423" i="6"/>
  <c r="Y422" i="6"/>
  <c r="D422" i="6"/>
  <c r="Y421" i="6"/>
  <c r="D421" i="6"/>
  <c r="Y420" i="6"/>
  <c r="D420" i="6"/>
  <c r="Y419" i="6"/>
  <c r="D419" i="6"/>
  <c r="Y418" i="6"/>
  <c r="D418" i="6"/>
  <c r="Y417" i="6"/>
  <c r="D417" i="6"/>
  <c r="Y416" i="6"/>
  <c r="D416" i="6"/>
  <c r="Y415" i="6"/>
  <c r="D415" i="6"/>
  <c r="Y414" i="6"/>
  <c r="D414" i="6"/>
  <c r="Y413" i="6"/>
  <c r="D413" i="6"/>
  <c r="Y412" i="6"/>
  <c r="D412" i="6"/>
  <c r="Y411" i="6"/>
  <c r="D411" i="6"/>
  <c r="Y410" i="6"/>
  <c r="D410" i="6"/>
  <c r="Y409" i="6"/>
  <c r="D409" i="6"/>
  <c r="Y408" i="6"/>
  <c r="D408" i="6"/>
  <c r="Y407" i="6"/>
  <c r="D407" i="6"/>
  <c r="Y406" i="6"/>
  <c r="D406" i="6"/>
  <c r="Y405" i="6"/>
  <c r="D405" i="6"/>
  <c r="Y404" i="6"/>
  <c r="D404" i="6"/>
  <c r="Y403" i="6"/>
  <c r="D403" i="6"/>
  <c r="Y402" i="6"/>
  <c r="D402" i="6"/>
  <c r="Y401" i="6"/>
  <c r="D401" i="6"/>
  <c r="Y400" i="6"/>
  <c r="D400" i="6"/>
  <c r="D399" i="6"/>
  <c r="Y398" i="6"/>
  <c r="D398" i="6"/>
  <c r="Y397" i="6"/>
  <c r="D397" i="6"/>
  <c r="Y396" i="6"/>
  <c r="D396" i="6"/>
  <c r="Y395" i="6"/>
  <c r="D395" i="6"/>
  <c r="Y394" i="6"/>
  <c r="D394" i="6"/>
  <c r="Y393" i="6"/>
  <c r="D393" i="6"/>
  <c r="Y392" i="6"/>
  <c r="D392" i="6"/>
  <c r="Y391" i="6"/>
  <c r="D391" i="6"/>
  <c r="Y390" i="6"/>
  <c r="D390" i="6"/>
  <c r="Y389" i="6"/>
  <c r="D389" i="6"/>
  <c r="Y388" i="6"/>
  <c r="D388" i="6"/>
  <c r="Y387" i="6"/>
  <c r="D387" i="6"/>
  <c r="Y386" i="6"/>
  <c r="D386" i="6"/>
  <c r="Y385" i="6"/>
  <c r="D385" i="6"/>
  <c r="Y384" i="6"/>
  <c r="D384" i="6"/>
  <c r="Y383" i="6"/>
  <c r="D383" i="6"/>
  <c r="Y382" i="6"/>
  <c r="D382" i="6"/>
  <c r="Y381" i="6"/>
  <c r="D381" i="6"/>
  <c r="Y380" i="6"/>
  <c r="D380" i="6"/>
  <c r="Y379" i="6"/>
  <c r="D379" i="6"/>
  <c r="Y378" i="6"/>
  <c r="D378" i="6"/>
  <c r="Y377" i="6"/>
  <c r="D377" i="6"/>
  <c r="Y376" i="6"/>
  <c r="D376" i="6"/>
  <c r="Y375" i="6"/>
  <c r="D375" i="6"/>
  <c r="Y374" i="6"/>
  <c r="D374" i="6"/>
  <c r="Y373" i="6"/>
  <c r="D373" i="6"/>
  <c r="Y372" i="6"/>
  <c r="D372" i="6"/>
  <c r="Y371" i="6"/>
  <c r="D371" i="6"/>
  <c r="Y370" i="6"/>
  <c r="D370" i="6"/>
  <c r="Y369" i="6"/>
  <c r="D369" i="6"/>
  <c r="Y368" i="6"/>
  <c r="D368" i="6"/>
  <c r="Y367" i="6"/>
  <c r="D367" i="6"/>
  <c r="Y366" i="6"/>
  <c r="D366" i="6"/>
  <c r="Y365" i="6"/>
  <c r="D365" i="6"/>
  <c r="Y364" i="6"/>
  <c r="D364" i="6"/>
  <c r="Y363" i="6"/>
  <c r="D363" i="6"/>
  <c r="Y362" i="6"/>
  <c r="D362" i="6"/>
  <c r="Y361" i="6"/>
  <c r="D361" i="6"/>
  <c r="Y360" i="6"/>
  <c r="D360" i="6"/>
  <c r="Y359" i="6"/>
  <c r="D359" i="6"/>
  <c r="Y358" i="6"/>
  <c r="D358" i="6"/>
  <c r="Y357" i="6"/>
  <c r="D357" i="6"/>
  <c r="Y356" i="6"/>
  <c r="D356" i="6"/>
  <c r="Y355" i="6"/>
  <c r="D355" i="6"/>
  <c r="Y354" i="6"/>
  <c r="D354" i="6"/>
  <c r="Y353" i="6"/>
  <c r="D353" i="6"/>
  <c r="Y352" i="6"/>
  <c r="D352" i="6"/>
  <c r="Y351" i="6"/>
  <c r="D351" i="6"/>
  <c r="Y350" i="6"/>
  <c r="D350" i="6"/>
  <c r="Y349" i="6"/>
  <c r="D349" i="6"/>
  <c r="Y348" i="6"/>
  <c r="D348" i="6"/>
  <c r="Y347" i="6"/>
  <c r="D347" i="6"/>
  <c r="Y346" i="6"/>
  <c r="D346" i="6"/>
  <c r="Y345" i="6"/>
  <c r="D345" i="6"/>
  <c r="Y344" i="6"/>
  <c r="D344" i="6"/>
  <c r="Y343" i="6"/>
  <c r="D343" i="6"/>
  <c r="Y342" i="6"/>
  <c r="D342" i="6"/>
  <c r="Y341" i="6"/>
  <c r="D341" i="6"/>
  <c r="Y340" i="6"/>
  <c r="D340" i="6"/>
  <c r="Y339" i="6"/>
  <c r="D339" i="6"/>
  <c r="Y338" i="6"/>
  <c r="D338" i="6"/>
  <c r="Y337" i="6"/>
  <c r="D337" i="6"/>
  <c r="Y336" i="6"/>
  <c r="D336" i="6"/>
  <c r="Y335" i="6"/>
  <c r="D335" i="6"/>
  <c r="Y334" i="6"/>
  <c r="D334" i="6"/>
  <c r="Y333" i="6"/>
  <c r="D333" i="6"/>
  <c r="Y332" i="6"/>
  <c r="D332" i="6"/>
  <c r="Y331" i="6"/>
  <c r="D331" i="6"/>
  <c r="Y330" i="6"/>
  <c r="D330" i="6"/>
  <c r="Y329" i="6"/>
  <c r="D329" i="6"/>
  <c r="Y328" i="6"/>
  <c r="D328" i="6"/>
  <c r="Y327" i="6"/>
  <c r="D327" i="6"/>
  <c r="Y326" i="6"/>
  <c r="D326" i="6"/>
  <c r="Y325" i="6"/>
  <c r="D325" i="6"/>
  <c r="Y324" i="6"/>
  <c r="D324" i="6"/>
  <c r="Y323" i="6"/>
  <c r="D323" i="6"/>
  <c r="Y322" i="6"/>
  <c r="D322" i="6"/>
  <c r="Y321" i="6"/>
  <c r="D321" i="6"/>
  <c r="Y320" i="6"/>
  <c r="D320" i="6"/>
  <c r="Y319" i="6"/>
  <c r="D319" i="6"/>
  <c r="Y318" i="6"/>
  <c r="D318" i="6"/>
  <c r="Y317" i="6"/>
  <c r="D317" i="6"/>
  <c r="Y316" i="6"/>
  <c r="D316" i="6"/>
  <c r="Y315" i="6"/>
  <c r="D315" i="6"/>
  <c r="Y314" i="6"/>
  <c r="D314" i="6"/>
  <c r="Y313" i="6"/>
  <c r="D313" i="6"/>
  <c r="Y312" i="6"/>
  <c r="D312" i="6"/>
  <c r="Y311" i="6"/>
  <c r="D311" i="6"/>
  <c r="Y310" i="6"/>
  <c r="D310" i="6"/>
  <c r="Y309" i="6"/>
  <c r="D309" i="6"/>
  <c r="Y308" i="6"/>
  <c r="D308" i="6"/>
  <c r="Y307" i="6"/>
  <c r="D307" i="6"/>
  <c r="Y306" i="6"/>
  <c r="D306" i="6"/>
  <c r="Y305" i="6"/>
  <c r="D305" i="6"/>
  <c r="Y304" i="6"/>
  <c r="D304" i="6"/>
  <c r="Y303" i="6"/>
  <c r="D303" i="6"/>
  <c r="Y302" i="6"/>
  <c r="D302" i="6"/>
  <c r="Y301" i="6"/>
  <c r="D301" i="6"/>
  <c r="Y300" i="6"/>
  <c r="D300" i="6"/>
  <c r="Y299" i="6"/>
  <c r="D299" i="6"/>
  <c r="Y298" i="6"/>
  <c r="D298" i="6"/>
  <c r="Y297" i="6"/>
  <c r="D297" i="6"/>
  <c r="Y296" i="6"/>
  <c r="D296" i="6"/>
  <c r="Y295" i="6"/>
  <c r="D295" i="6"/>
  <c r="Y294" i="6"/>
  <c r="D294" i="6"/>
  <c r="Y293" i="6"/>
  <c r="D293" i="6"/>
  <c r="Y292" i="6"/>
  <c r="D292" i="6"/>
  <c r="Y291" i="6"/>
  <c r="D291" i="6"/>
  <c r="Y290" i="6"/>
  <c r="D290" i="6"/>
  <c r="Y289" i="6"/>
  <c r="D289" i="6"/>
  <c r="Y288" i="6"/>
  <c r="D288" i="6"/>
  <c r="Y287" i="6"/>
  <c r="D287" i="6"/>
  <c r="Y286" i="6"/>
  <c r="D286" i="6"/>
  <c r="Y285" i="6"/>
  <c r="D285" i="6"/>
  <c r="Y284" i="6"/>
  <c r="D284" i="6"/>
  <c r="Y283" i="6"/>
  <c r="D283" i="6"/>
  <c r="Y282" i="6"/>
  <c r="D282" i="6"/>
  <c r="Y281" i="6"/>
  <c r="D281" i="6"/>
  <c r="Y280" i="6"/>
  <c r="D280" i="6"/>
  <c r="Y279" i="6"/>
  <c r="D279" i="6"/>
  <c r="Y278" i="6"/>
  <c r="D278" i="6"/>
  <c r="Y277" i="6"/>
  <c r="D277" i="6"/>
  <c r="Y276" i="6"/>
  <c r="D276" i="6"/>
  <c r="D275" i="6"/>
  <c r="Y274" i="6"/>
  <c r="D274" i="6"/>
  <c r="Y273" i="6"/>
  <c r="D273" i="6"/>
  <c r="Y272" i="6"/>
  <c r="D272" i="6"/>
  <c r="Y271" i="6"/>
  <c r="D271" i="6"/>
  <c r="Y270" i="6"/>
  <c r="D270" i="6"/>
  <c r="Y269" i="6"/>
  <c r="D269" i="6"/>
  <c r="Y268" i="6"/>
  <c r="D268" i="6"/>
  <c r="Y267" i="6"/>
  <c r="D267" i="6"/>
  <c r="Y266" i="6"/>
  <c r="D266" i="6"/>
  <c r="Y265" i="6"/>
  <c r="D265" i="6"/>
  <c r="Y264" i="6"/>
  <c r="D264" i="6"/>
  <c r="Y263" i="6"/>
  <c r="D263" i="6"/>
  <c r="Y262" i="6"/>
  <c r="D262" i="6"/>
  <c r="Y261" i="6"/>
  <c r="D261" i="6"/>
  <c r="Y260" i="6"/>
  <c r="D260" i="6"/>
  <c r="Y259" i="6"/>
  <c r="D259" i="6"/>
  <c r="Y258" i="6"/>
  <c r="D258" i="6"/>
  <c r="Y257" i="6"/>
  <c r="D257" i="6"/>
  <c r="Y256" i="6"/>
  <c r="D256" i="6"/>
  <c r="Y255" i="6"/>
  <c r="D255" i="6"/>
  <c r="Y254" i="6"/>
  <c r="D254" i="6"/>
  <c r="Y253" i="6"/>
  <c r="D253" i="6"/>
  <c r="Y252" i="6"/>
  <c r="D252" i="6"/>
  <c r="Y251" i="6"/>
  <c r="D251" i="6"/>
  <c r="Y250" i="6"/>
  <c r="D250" i="6"/>
  <c r="Y249" i="6"/>
  <c r="D249" i="6"/>
  <c r="Y248" i="6"/>
  <c r="D248" i="6"/>
  <c r="Y247" i="6"/>
  <c r="D247" i="6"/>
  <c r="Y246" i="6"/>
  <c r="D246" i="6"/>
  <c r="Y245" i="6"/>
  <c r="D245" i="6"/>
  <c r="Y244" i="6"/>
  <c r="D244" i="6"/>
  <c r="Y243" i="6"/>
  <c r="D243" i="6"/>
  <c r="Y242" i="6"/>
  <c r="D242" i="6"/>
  <c r="Y241" i="6"/>
  <c r="D241" i="6"/>
  <c r="Y240" i="6"/>
  <c r="D240" i="6"/>
  <c r="Y239" i="6"/>
  <c r="D239" i="6"/>
  <c r="Y238" i="6"/>
  <c r="D238" i="6"/>
  <c r="Y237" i="6"/>
  <c r="D237" i="6"/>
  <c r="Y236" i="6"/>
  <c r="D236" i="6"/>
  <c r="Y235" i="6"/>
  <c r="D235" i="6"/>
  <c r="Y234" i="6"/>
  <c r="D234" i="6"/>
  <c r="Y233" i="6"/>
  <c r="D233" i="6"/>
  <c r="Y232" i="6"/>
  <c r="D232" i="6"/>
  <c r="Y231" i="6"/>
  <c r="D231" i="6"/>
  <c r="Y230" i="6"/>
  <c r="D230" i="6"/>
  <c r="Y229" i="6"/>
  <c r="D229" i="6"/>
  <c r="Y228" i="6"/>
  <c r="D228" i="6"/>
  <c r="Y227" i="6"/>
  <c r="D227" i="6"/>
  <c r="Y226" i="6"/>
  <c r="D226" i="6"/>
  <c r="Y225" i="6"/>
  <c r="D225" i="6"/>
  <c r="Y224" i="6"/>
  <c r="D224" i="6"/>
  <c r="Y223" i="6"/>
  <c r="D223" i="6"/>
  <c r="Y222" i="6"/>
  <c r="D222" i="6"/>
  <c r="Y221" i="6"/>
  <c r="D221" i="6"/>
  <c r="Y220" i="6"/>
  <c r="D220" i="6"/>
  <c r="Y219" i="6"/>
  <c r="D219" i="6"/>
  <c r="Y218" i="6"/>
  <c r="D218" i="6"/>
  <c r="Y217" i="6"/>
  <c r="D217" i="6"/>
  <c r="Y216" i="6"/>
  <c r="D216" i="6"/>
  <c r="Y215" i="6"/>
  <c r="D215" i="6"/>
  <c r="Y214" i="6"/>
  <c r="D214" i="6"/>
  <c r="Y213" i="6"/>
  <c r="D213" i="6"/>
  <c r="Y212" i="6"/>
  <c r="D212" i="6"/>
  <c r="Y211" i="6"/>
  <c r="D211" i="6"/>
  <c r="Y210" i="6"/>
  <c r="D210" i="6"/>
  <c r="Y209" i="6"/>
  <c r="D209" i="6"/>
  <c r="Y208" i="6"/>
  <c r="D208" i="6"/>
  <c r="Y207" i="6"/>
  <c r="D207" i="6"/>
  <c r="Y206" i="6"/>
  <c r="D206" i="6"/>
  <c r="Y205" i="6"/>
  <c r="D205" i="6"/>
  <c r="Y204" i="6"/>
  <c r="D204" i="6"/>
  <c r="Y203" i="6"/>
  <c r="D203" i="6"/>
  <c r="Y202" i="6"/>
  <c r="D202" i="6"/>
  <c r="Y201" i="6"/>
  <c r="D201" i="6"/>
  <c r="Y200" i="6"/>
  <c r="D200" i="6"/>
  <c r="Y199" i="6"/>
  <c r="D199" i="6"/>
  <c r="Y198" i="6"/>
  <c r="D198" i="6"/>
  <c r="Y197" i="6"/>
  <c r="D197" i="6"/>
  <c r="Y196" i="6"/>
  <c r="D196" i="6"/>
  <c r="Y195" i="6"/>
  <c r="D195" i="6"/>
  <c r="Y194" i="6"/>
  <c r="D194" i="6"/>
  <c r="Y193" i="6"/>
  <c r="D193" i="6"/>
  <c r="Y192" i="6"/>
  <c r="D192" i="6"/>
  <c r="Y191" i="6"/>
  <c r="D191" i="6"/>
  <c r="Y190" i="6"/>
  <c r="D190" i="6"/>
  <c r="Y189" i="6"/>
  <c r="D189" i="6"/>
  <c r="Y188" i="6"/>
  <c r="D188" i="6"/>
  <c r="Y187" i="6"/>
  <c r="D187" i="6"/>
  <c r="Y186" i="6"/>
  <c r="D186" i="6"/>
  <c r="Y185" i="6"/>
  <c r="D185" i="6"/>
  <c r="Y184" i="6"/>
  <c r="D184" i="6"/>
  <c r="Y183" i="6"/>
  <c r="D183" i="6"/>
  <c r="Y182" i="6"/>
  <c r="D182" i="6"/>
  <c r="Y181" i="6"/>
  <c r="D181" i="6"/>
  <c r="Y180" i="6"/>
  <c r="D180" i="6"/>
  <c r="Y179" i="6"/>
  <c r="D179" i="6"/>
  <c r="Y178" i="6"/>
  <c r="D178" i="6"/>
  <c r="Y177" i="6"/>
  <c r="D177" i="6"/>
  <c r="Y176" i="6"/>
  <c r="D176" i="6"/>
  <c r="Y175" i="6"/>
  <c r="D175" i="6"/>
  <c r="Y174" i="6"/>
  <c r="D174" i="6"/>
  <c r="Y173" i="6"/>
  <c r="D173" i="6"/>
  <c r="Y172" i="6"/>
  <c r="D172" i="6"/>
  <c r="Y171" i="6"/>
  <c r="D171" i="6"/>
  <c r="Y170" i="6"/>
  <c r="D170" i="6"/>
  <c r="Y169" i="6"/>
  <c r="D169" i="6"/>
  <c r="Y168" i="6"/>
  <c r="D168" i="6"/>
  <c r="Y167" i="6"/>
  <c r="D167" i="6"/>
  <c r="Y166" i="6"/>
  <c r="D166" i="6"/>
  <c r="Y165" i="6"/>
  <c r="D165" i="6"/>
  <c r="Y164" i="6"/>
  <c r="D164" i="6"/>
  <c r="Y163" i="6"/>
  <c r="D163" i="6"/>
  <c r="Y162" i="6"/>
  <c r="D162" i="6"/>
  <c r="Y161" i="6"/>
  <c r="D161" i="6"/>
  <c r="Y160" i="6"/>
  <c r="D160" i="6"/>
  <c r="Y159" i="6"/>
  <c r="D159" i="6"/>
  <c r="Y158" i="6"/>
  <c r="D158" i="6"/>
  <c r="Y157" i="6"/>
  <c r="D157" i="6"/>
  <c r="Y156" i="6"/>
  <c r="D156" i="6"/>
  <c r="Y155" i="6"/>
  <c r="D155" i="6"/>
  <c r="Y154" i="6"/>
  <c r="D154" i="6"/>
  <c r="Y153" i="6"/>
  <c r="D153" i="6"/>
  <c r="Y152" i="6"/>
  <c r="D152" i="6"/>
  <c r="Y151" i="6"/>
  <c r="D151" i="6"/>
  <c r="Y150" i="6"/>
  <c r="D150" i="6"/>
  <c r="Y149" i="6"/>
  <c r="D149" i="6"/>
  <c r="Y148" i="6"/>
  <c r="D148" i="6"/>
  <c r="Y147" i="6"/>
  <c r="D147" i="6"/>
  <c r="Y146" i="6"/>
  <c r="D146" i="6"/>
  <c r="Y145" i="6"/>
  <c r="D145" i="6"/>
  <c r="Y144" i="6"/>
  <c r="D144" i="6"/>
  <c r="Y143" i="6"/>
  <c r="D143" i="6"/>
  <c r="Y142" i="6"/>
  <c r="D142" i="6"/>
  <c r="Y141" i="6"/>
  <c r="D141" i="6"/>
  <c r="Y140" i="6"/>
  <c r="D140" i="6"/>
  <c r="Y139" i="6"/>
  <c r="D139" i="6"/>
  <c r="Y138" i="6"/>
  <c r="D138" i="6"/>
  <c r="Y137" i="6"/>
  <c r="D137" i="6"/>
  <c r="Y136" i="6"/>
  <c r="D136" i="6"/>
  <c r="Y135" i="6"/>
  <c r="D135" i="6"/>
  <c r="Y134" i="6"/>
  <c r="D134" i="6"/>
  <c r="Y133" i="6"/>
  <c r="D133" i="6"/>
  <c r="Y132" i="6"/>
  <c r="D132" i="6"/>
  <c r="Y131" i="6"/>
  <c r="D131" i="6"/>
  <c r="Y130" i="6"/>
  <c r="D130" i="6"/>
  <c r="Y129" i="6"/>
  <c r="D129" i="6"/>
  <c r="Y128" i="6"/>
  <c r="D128" i="6"/>
  <c r="Y127" i="6"/>
  <c r="D127" i="6"/>
  <c r="Y126" i="6"/>
  <c r="D126" i="6"/>
  <c r="Y125" i="6"/>
  <c r="D125" i="6"/>
  <c r="Y124" i="6"/>
  <c r="D124" i="6"/>
  <c r="Y123" i="6"/>
  <c r="D123" i="6"/>
  <c r="Y122" i="6"/>
  <c r="D122" i="6"/>
  <c r="Y121" i="6"/>
  <c r="D121" i="6"/>
  <c r="Y120" i="6"/>
  <c r="D120" i="6"/>
  <c r="Y119" i="6"/>
  <c r="D119" i="6"/>
  <c r="Y118" i="6"/>
  <c r="D118" i="6"/>
  <c r="Y117" i="6"/>
  <c r="D117" i="6"/>
  <c r="Y116" i="6"/>
  <c r="D116" i="6"/>
  <c r="Y115" i="6"/>
  <c r="D115" i="6"/>
  <c r="Y114" i="6"/>
  <c r="D114" i="6"/>
  <c r="Y113" i="6"/>
  <c r="D113" i="6"/>
  <c r="Y112" i="6"/>
  <c r="D112" i="6"/>
  <c r="Y111" i="6"/>
  <c r="D111" i="6"/>
  <c r="Y110" i="6"/>
  <c r="D110" i="6"/>
  <c r="Y109" i="6"/>
  <c r="D109" i="6"/>
  <c r="Y108" i="6"/>
  <c r="D108" i="6"/>
  <c r="Y107" i="6"/>
  <c r="D107" i="6"/>
  <c r="Y106" i="6"/>
  <c r="D106" i="6"/>
  <c r="Y105" i="6"/>
  <c r="D105" i="6"/>
  <c r="Y104" i="6"/>
  <c r="D104" i="6"/>
  <c r="Y103" i="6"/>
  <c r="D103" i="6"/>
  <c r="Y102" i="6"/>
  <c r="D102" i="6"/>
  <c r="Y101" i="6"/>
  <c r="D101" i="6"/>
  <c r="Y100" i="6"/>
  <c r="D100" i="6"/>
  <c r="Y99" i="6"/>
  <c r="D99" i="6"/>
  <c r="Y98" i="6"/>
  <c r="D98" i="6"/>
  <c r="Y97" i="6"/>
  <c r="D97" i="6"/>
  <c r="Y96" i="6"/>
  <c r="D96" i="6"/>
  <c r="Y95" i="6"/>
  <c r="D95" i="6"/>
  <c r="Y94" i="6"/>
  <c r="D94" i="6"/>
  <c r="Y93" i="6"/>
  <c r="D93" i="6"/>
  <c r="Y92" i="6"/>
  <c r="D92" i="6"/>
  <c r="Y91" i="6"/>
  <c r="D91" i="6"/>
  <c r="Y90" i="6"/>
  <c r="D90" i="6"/>
  <c r="Y89" i="6"/>
  <c r="D89" i="6"/>
  <c r="Y88" i="6"/>
  <c r="D88" i="6"/>
  <c r="Y87" i="6"/>
  <c r="D87" i="6"/>
  <c r="Y86" i="6"/>
  <c r="D86" i="6"/>
  <c r="Y85" i="6"/>
  <c r="D85" i="6"/>
  <c r="Y84" i="6"/>
  <c r="D84" i="6"/>
  <c r="Y83" i="6"/>
  <c r="D83" i="6"/>
  <c r="Y82" i="6"/>
  <c r="D82" i="6"/>
  <c r="Y81" i="6"/>
  <c r="D81" i="6"/>
  <c r="Y80" i="6"/>
  <c r="D80" i="6"/>
  <c r="Y79" i="6"/>
  <c r="D79" i="6"/>
  <c r="Y78" i="6"/>
  <c r="D78" i="6"/>
  <c r="Y77" i="6"/>
  <c r="D77" i="6"/>
  <c r="Y76" i="6"/>
  <c r="D76" i="6"/>
  <c r="Y75" i="6"/>
  <c r="D75" i="6"/>
  <c r="Y74" i="6"/>
  <c r="D74" i="6"/>
  <c r="Y73" i="6"/>
  <c r="D73" i="6"/>
  <c r="Y72" i="6"/>
  <c r="D72" i="6"/>
  <c r="Y71" i="6"/>
  <c r="D71" i="6"/>
  <c r="Y70" i="6"/>
  <c r="D70" i="6"/>
  <c r="Y69" i="6"/>
  <c r="D69" i="6"/>
  <c r="Y68" i="6"/>
  <c r="D68" i="6"/>
  <c r="Y67" i="6"/>
  <c r="D67" i="6"/>
  <c r="Y66" i="6"/>
  <c r="D66" i="6"/>
  <c r="Y65" i="6"/>
  <c r="D65" i="6"/>
  <c r="Y64" i="6"/>
  <c r="D64" i="6"/>
  <c r="Y63" i="6"/>
  <c r="D63" i="6"/>
  <c r="Y62" i="6"/>
  <c r="D62" i="6"/>
  <c r="Y61" i="6"/>
  <c r="D61" i="6"/>
  <c r="Y60" i="6"/>
  <c r="D60" i="6"/>
  <c r="Y59" i="6"/>
  <c r="D59" i="6"/>
  <c r="Y58" i="6"/>
  <c r="D58" i="6"/>
  <c r="Y57" i="6"/>
  <c r="D57" i="6"/>
  <c r="Y56" i="6"/>
  <c r="D56" i="6"/>
  <c r="Y55" i="6"/>
  <c r="D55" i="6"/>
  <c r="Y54" i="6"/>
  <c r="D54" i="6"/>
  <c r="Y53" i="6"/>
  <c r="D53" i="6"/>
  <c r="Y52" i="6"/>
  <c r="D52" i="6"/>
  <c r="Y51" i="6"/>
  <c r="D51" i="6"/>
  <c r="Y50" i="6"/>
  <c r="D50" i="6"/>
  <c r="Y49" i="6"/>
  <c r="D49" i="6"/>
  <c r="Y48" i="6"/>
  <c r="D48" i="6"/>
  <c r="Y47" i="6"/>
  <c r="D47" i="6"/>
  <c r="Y46" i="6"/>
  <c r="D46" i="6"/>
  <c r="Y45" i="6"/>
  <c r="D45" i="6"/>
  <c r="Y44" i="6"/>
  <c r="D44" i="6"/>
  <c r="Y43" i="6"/>
  <c r="D43" i="6"/>
  <c r="Y42" i="6"/>
  <c r="D42" i="6"/>
  <c r="Y41" i="6"/>
  <c r="D41" i="6"/>
  <c r="Y40" i="6"/>
  <c r="D40" i="6"/>
  <c r="Y39" i="6"/>
  <c r="D39" i="6"/>
  <c r="Y38" i="6"/>
  <c r="D38" i="6"/>
  <c r="Y37" i="6"/>
  <c r="D37" i="6"/>
  <c r="Y36" i="6"/>
  <c r="D36" i="6"/>
  <c r="Y35" i="6"/>
  <c r="D35" i="6"/>
  <c r="D34" i="6"/>
  <c r="Y33" i="6"/>
  <c r="D33" i="6"/>
  <c r="Y32" i="6"/>
  <c r="D32" i="6"/>
  <c r="Y31" i="6"/>
  <c r="D31" i="6"/>
  <c r="Y30" i="6"/>
  <c r="D30" i="6"/>
  <c r="Y29" i="6"/>
  <c r="D29" i="6"/>
  <c r="Y28" i="6"/>
  <c r="D28" i="6"/>
  <c r="Y27" i="6"/>
  <c r="D27" i="6"/>
  <c r="Y26" i="6"/>
  <c r="D26" i="6"/>
  <c r="Y25" i="6"/>
  <c r="D25" i="6"/>
  <c r="Y24" i="6"/>
  <c r="D24" i="6"/>
  <c r="Y23" i="6"/>
  <c r="D23" i="6"/>
  <c r="Y22" i="6"/>
  <c r="D22" i="6"/>
  <c r="Y21" i="6"/>
  <c r="D21" i="6"/>
  <c r="D19" i="6"/>
  <c r="CU156" i="2"/>
  <c r="CR156" i="2"/>
  <c r="CO156" i="2"/>
  <c r="CF156" i="2"/>
  <c r="CC156" i="2"/>
  <c r="BZ156" i="2"/>
  <c r="BW156" i="2"/>
  <c r="BL156" i="2"/>
  <c r="BI156" i="2"/>
  <c r="BF156" i="2"/>
  <c r="AT156" i="2"/>
  <c r="AQ156" i="2"/>
  <c r="AN156" i="2"/>
  <c r="AK156" i="2"/>
  <c r="AB156" i="2"/>
  <c r="Y156" i="2"/>
  <c r="V156" i="2"/>
  <c r="S156" i="2"/>
  <c r="P156" i="2"/>
  <c r="M156" i="2"/>
  <c r="BO128" i="2"/>
  <c r="BL128" i="2"/>
  <c r="BI128" i="2"/>
  <c r="BF128" i="2"/>
  <c r="AQ128" i="2"/>
  <c r="AN128" i="2"/>
  <c r="AK128" i="2"/>
  <c r="AH128" i="2"/>
  <c r="AE128" i="2"/>
  <c r="AB128" i="2"/>
  <c r="BR109" i="2"/>
  <c r="BO109" i="2"/>
  <c r="BL109" i="2"/>
  <c r="BI109" i="2"/>
  <c r="BF109" i="2"/>
  <c r="AN109" i="2"/>
  <c r="AK109" i="2"/>
  <c r="AH109" i="2"/>
  <c r="AE109" i="2"/>
  <c r="CO81" i="2"/>
  <c r="CL81" i="2"/>
  <c r="CI81" i="2"/>
  <c r="CF81" i="2"/>
  <c r="CC81" i="2"/>
  <c r="BZ81" i="2"/>
  <c r="BW81" i="2"/>
  <c r="BL81" i="2"/>
  <c r="BF81" i="2"/>
  <c r="AT81" i="2"/>
  <c r="AQ81" i="2"/>
  <c r="AN81" i="2"/>
  <c r="AK81" i="2"/>
  <c r="AH81" i="2"/>
  <c r="AE81" i="2"/>
  <c r="P81" i="2"/>
  <c r="M81" i="2"/>
  <c r="J81" i="2"/>
  <c r="AQ79" i="2"/>
  <c r="X79" i="2"/>
  <c r="CU57" i="2"/>
  <c r="CR57" i="2"/>
  <c r="CO57" i="2"/>
  <c r="CL57" i="2"/>
  <c r="CI57" i="2"/>
  <c r="CF57" i="2"/>
  <c r="BZ57" i="2"/>
  <c r="BW57" i="2"/>
  <c r="BO57" i="2"/>
  <c r="BI57" i="2"/>
  <c r="BF57" i="2"/>
  <c r="AW57" i="2"/>
  <c r="AT57" i="2"/>
  <c r="AQ57" i="2"/>
  <c r="AN57" i="2"/>
  <c r="AK57" i="2"/>
  <c r="AH57" i="2"/>
  <c r="AE57" i="2"/>
  <c r="AB57" i="2"/>
  <c r="Y57" i="2"/>
  <c r="M57" i="2"/>
  <c r="J57" i="2"/>
  <c r="G57" i="2"/>
  <c r="D57" i="2"/>
  <c r="BW30" i="2"/>
  <c r="BO30" i="2"/>
  <c r="BL30" i="2"/>
  <c r="BI30" i="2"/>
  <c r="BF30" i="2"/>
  <c r="BC30" i="2"/>
  <c r="AZ30" i="2"/>
  <c r="AW30" i="2"/>
  <c r="AT30" i="2"/>
  <c r="AQ30" i="2"/>
  <c r="AN30" i="2"/>
  <c r="AK30" i="2"/>
  <c r="J15" i="13" l="1"/>
  <c r="E15" i="13" s="1"/>
  <c r="E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16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22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키셀레바아나스타시야아나톨리예브나 -&gt;  사마르스카야아나스타시야아나톨리예브나</t>
        </r>
      </text>
    </comment>
    <comment ref="U45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갈랴스나디야올레기브나(이름변경전)</t>
        </r>
      </text>
    </comment>
    <comment ref="U759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젤렌축나탈리야블라디미로브나</t>
        </r>
      </text>
    </comment>
  </commentList>
</comments>
</file>

<file path=xl/sharedStrings.xml><?xml version="1.0" encoding="utf-8"?>
<sst xmlns="http://schemas.openxmlformats.org/spreadsheetml/2006/main" count="64328" uniqueCount="5086">
  <si>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</si>
  <si>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</si>
  <si>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</si>
  <si>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</si>
  <si>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</si>
  <si>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</si>
  <si>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</si>
  <si>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</si>
  <si>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</si>
  <si>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</si>
  <si>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</si>
  <si>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</si>
  <si>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</si>
  <si>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</si>
  <si>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</si>
  <si>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</si>
  <si>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</si>
  <si>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</si>
  <si>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</si>
  <si>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</si>
  <si>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</si>
  <si>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</si>
  <si>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</si>
  <si>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</si>
  <si>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</si>
  <si>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교육과운영서기</t>
  </si>
  <si>
    <t>김지연</t>
  </si>
  <si>
    <t>신앙관리과 부과장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</si>
  <si>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</si>
  <si>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</si>
  <si>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</si>
  <si>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</si>
  <si>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</si>
  <si>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</si>
  <si>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</si>
  <si>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</si>
  <si>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</si>
  <si>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</si>
  <si>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</si>
  <si>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국제부 CIS 국내</t>
  </si>
  <si>
    <t>국내거주</t>
  </si>
  <si>
    <t>장: CIS01</t>
  </si>
  <si>
    <t>청장: CIS02</t>
  </si>
  <si>
    <t>부: CIS01</t>
  </si>
  <si>
    <t>부: CIS02</t>
  </si>
  <si>
    <t>자: CIS01
부: CIS03</t>
  </si>
  <si>
    <t>부: CIS04</t>
  </si>
  <si>
    <t>부: CIS05-1</t>
  </si>
  <si>
    <t>부: CIS05-2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</si>
  <si>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</si>
  <si>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</si>
  <si>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</si>
  <si>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</si>
  <si>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</si>
  <si>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</si>
  <si>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</si>
  <si>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</si>
  <si>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박지민(안윤희)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</si>
  <si>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</si>
  <si>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</si>
  <si>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</si>
  <si>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</si>
  <si>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</si>
  <si>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</si>
  <si>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</si>
  <si>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</si>
  <si>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</si>
  <si>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</si>
  <si>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</si>
  <si>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</si>
  <si>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</si>
  <si>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</si>
  <si>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</si>
  <si>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</si>
  <si>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</si>
  <si>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</si>
  <si>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</si>
  <si>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</si>
  <si>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</si>
  <si>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</si>
  <si>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</si>
  <si>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</si>
  <si>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</si>
  <si>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</si>
  <si>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</si>
  <si>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</si>
  <si>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</si>
  <si>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</si>
  <si>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</si>
  <si>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</si>
  <si>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</si>
  <si>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</si>
  <si>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</si>
  <si>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</si>
  <si>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</si>
  <si>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</si>
  <si>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</si>
  <si>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</si>
  <si>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</si>
  <si>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</si>
  <si>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</si>
  <si>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</si>
  <si>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</si>
  <si>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</si>
  <si>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</si>
  <si>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</si>
  <si>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</si>
  <si>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</si>
  <si>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</si>
  <si>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</si>
  <si>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</si>
  <si>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</si>
  <si>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</si>
  <si>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</si>
  <si>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</si>
  <si>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</si>
  <si>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</si>
  <si>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</si>
  <si>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</si>
  <si>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</si>
  <si>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</si>
  <si>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</si>
  <si>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</si>
  <si>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</si>
  <si>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</si>
  <si>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</si>
  <si>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</si>
  <si>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</si>
  <si>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</si>
  <si>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</si>
  <si>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</si>
  <si>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</si>
  <si>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</si>
  <si>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임진수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</si>
  <si>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</si>
  <si>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</si>
  <si>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</si>
  <si>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</si>
  <si>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</si>
  <si>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</si>
  <si>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</si>
  <si>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</si>
  <si>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</si>
  <si>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</si>
  <si>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</si>
  <si>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</si>
  <si>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</si>
  <si>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</si>
  <si>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</si>
  <si>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</si>
  <si>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</si>
  <si>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</si>
  <si>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</si>
  <si>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</si>
  <si>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</si>
  <si>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</si>
  <si>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</si>
  <si>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CIS07</t>
  </si>
  <si>
    <t>(러시아)
CIS08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</si>
  <si>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</si>
  <si>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</si>
  <si>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</si>
  <si>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</si>
  <si>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</si>
  <si>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</si>
  <si>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</si>
  <si>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</si>
  <si>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</si>
  <si>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CIS01-3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</si>
  <si>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</si>
  <si>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</si>
  <si>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</si>
  <si>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</si>
  <si>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</si>
  <si>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</si>
  <si>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</si>
  <si>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</si>
  <si>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</si>
  <si>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</si>
  <si>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</si>
  <si>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</si>
  <si>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</si>
  <si>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</si>
  <si>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</si>
  <si>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</si>
  <si>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</si>
  <si>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</si>
  <si>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</si>
  <si>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</si>
  <si>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</si>
  <si>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</si>
  <si>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</si>
  <si>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</si>
  <si>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</si>
  <si>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</si>
  <si>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</si>
  <si>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</si>
  <si>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</si>
  <si>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</si>
  <si>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</si>
  <si>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</si>
  <si>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</si>
  <si>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</si>
  <si>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</si>
  <si>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</si>
  <si>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</si>
  <si>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</si>
  <si>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</si>
  <si>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</si>
  <si>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</si>
  <si>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</si>
  <si>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</si>
  <si>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</si>
  <si>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</si>
  <si>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</si>
  <si>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</si>
  <si>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</si>
  <si>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</si>
  <si>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</si>
  <si>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</si>
  <si>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</si>
  <si>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</si>
  <si>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</si>
  <si>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</si>
  <si>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</si>
  <si>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</si>
  <si>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</si>
  <si>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</si>
  <si>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</si>
  <si>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</si>
  <si>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</si>
  <si>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</si>
  <si>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</si>
  <si>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</si>
  <si>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</si>
  <si>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</si>
  <si>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</si>
  <si>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</si>
  <si>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</si>
  <si>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</si>
  <si>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</si>
  <si>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</si>
  <si>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</si>
  <si>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</si>
  <si>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</si>
  <si>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</si>
  <si>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</si>
  <si>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</si>
  <si>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다즈카야올가세르기이브나 
Дацкая Ольга Сергіївна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</si>
  <si>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</si>
  <si>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</si>
  <si>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</si>
  <si>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</si>
  <si>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</si>
  <si>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</si>
  <si>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</si>
  <si>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</si>
  <si>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</si>
  <si>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</si>
  <si>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</si>
  <si>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</si>
  <si>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</si>
  <si>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</si>
  <si>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</si>
  <si>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</si>
  <si>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</si>
  <si>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</si>
  <si>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</si>
  <si>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</si>
  <si>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</si>
  <si>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</si>
  <si>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</si>
  <si>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</si>
  <si>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</si>
  <si>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</si>
  <si>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</si>
  <si>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</si>
  <si>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</si>
  <si>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</si>
  <si>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</si>
  <si>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</si>
  <si>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</si>
  <si>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</si>
  <si>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</si>
  <si>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</si>
  <si>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</si>
  <si>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</si>
  <si>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</si>
  <si>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</si>
  <si>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</si>
  <si>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</si>
  <si>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</si>
  <si>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</si>
  <si>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</si>
  <si>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</si>
  <si>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</si>
  <si>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</si>
  <si>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</si>
  <si>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</si>
  <si>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</si>
  <si>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</si>
  <si>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</si>
  <si>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</si>
  <si>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</si>
  <si>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</si>
  <si>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</si>
  <si>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</si>
  <si>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</si>
  <si>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</si>
  <si>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</si>
  <si>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</si>
  <si>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</si>
  <si>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</si>
  <si>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</si>
  <si>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</si>
  <si>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</si>
  <si>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</si>
  <si>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</si>
  <si>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</si>
  <si>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</si>
  <si>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</si>
  <si>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</si>
  <si>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</si>
  <si>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</si>
  <si>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</si>
  <si>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</si>
  <si>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</si>
  <si>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</si>
  <si>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CIS02-1</t>
  </si>
  <si>
    <t>(우크라이나)
 CIS02-2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</si>
  <si>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</si>
  <si>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</si>
  <si>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</si>
  <si>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</si>
  <si>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</si>
  <si>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</si>
  <si>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</si>
  <si>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</si>
  <si>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</si>
  <si>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</si>
  <si>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</si>
  <si>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</si>
  <si>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</si>
  <si>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</si>
  <si>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</si>
  <si>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</si>
  <si>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</si>
  <si>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</si>
  <si>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</si>
  <si>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</si>
  <si>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</si>
  <si>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</si>
  <si>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</si>
  <si>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</si>
  <si>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</si>
  <si>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</si>
  <si>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</si>
  <si>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</si>
  <si>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</si>
  <si>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</si>
  <si>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</si>
  <si>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</si>
  <si>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</si>
  <si>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</si>
  <si>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</si>
  <si>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</si>
  <si>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</si>
  <si>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</si>
  <si>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</si>
  <si>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</si>
  <si>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</si>
  <si>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</si>
  <si>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</si>
  <si>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</si>
  <si>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</si>
  <si>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</si>
  <si>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</si>
  <si>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</si>
  <si>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</si>
  <si>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</si>
  <si>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</si>
  <si>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</si>
  <si>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</si>
  <si>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</si>
  <si>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</si>
  <si>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</si>
  <si>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</si>
  <si>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</si>
  <si>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</si>
  <si>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</si>
  <si>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</si>
  <si>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</si>
  <si>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</si>
  <si>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</si>
  <si>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</si>
  <si>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</si>
  <si>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</si>
  <si>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</si>
  <si>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</si>
  <si>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</si>
  <si>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</si>
  <si>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</si>
  <si>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</si>
  <si>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</si>
  <si>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</si>
  <si>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</si>
  <si>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</si>
  <si>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</si>
  <si>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</si>
  <si>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</si>
  <si>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</si>
  <si>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</si>
  <si>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</si>
  <si>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</si>
  <si>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</si>
  <si>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</si>
  <si>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</si>
  <si>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</si>
  <si>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</si>
  <si>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</si>
  <si>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</si>
  <si>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</si>
  <si>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</si>
  <si>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</si>
  <si>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니키툐노크야나블라디미로브나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</si>
  <si>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</si>
  <si>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</si>
  <si>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</si>
  <si>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</si>
  <si>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</si>
  <si>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</si>
  <si>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</si>
  <si>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</si>
  <si>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</si>
  <si>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</si>
  <si>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</si>
  <si>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</si>
  <si>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</si>
  <si>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</si>
  <si>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</si>
  <si>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</si>
  <si>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</si>
  <si>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</si>
  <si>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</si>
  <si>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</si>
  <si>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</si>
  <si>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</si>
  <si>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</si>
  <si>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</si>
  <si>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</si>
  <si>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</si>
  <si>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</si>
  <si>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</si>
  <si>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</si>
  <si>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</si>
  <si>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</si>
  <si>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</si>
  <si>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</si>
  <si>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</si>
  <si>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</si>
  <si>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</si>
  <si>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</si>
  <si>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</si>
  <si>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</si>
  <si>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</si>
  <si>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</si>
  <si>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</si>
  <si>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</si>
  <si>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</si>
  <si>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</si>
  <si>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</si>
  <si>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</si>
  <si>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</si>
  <si>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</si>
  <si>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</si>
  <si>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</si>
  <si>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</si>
  <si>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</si>
  <si>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</si>
  <si>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</si>
  <si>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</si>
  <si>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</si>
  <si>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</si>
  <si>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</si>
  <si>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</si>
  <si>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</si>
  <si>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</si>
  <si>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</si>
  <si>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</si>
  <si>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</si>
  <si>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</si>
  <si>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</si>
  <si>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</si>
  <si>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</si>
  <si>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</si>
  <si>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</si>
  <si>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</si>
  <si>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</si>
  <si>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>``````````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</si>
  <si>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</si>
  <si>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</si>
  <si>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</si>
  <si>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</si>
  <si>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</si>
  <si>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</si>
  <si>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</si>
  <si>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</si>
  <si>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</si>
  <si>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</si>
  <si>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</si>
  <si>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</si>
  <si>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</si>
  <si>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</si>
  <si>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</si>
  <si>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</si>
  <si>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</si>
  <si>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</si>
  <si>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</si>
  <si>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</si>
  <si>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</si>
  <si>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</si>
  <si>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</si>
  <si>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</si>
  <si>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</si>
  <si>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</si>
  <si>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</si>
  <si>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</si>
  <si>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</si>
  <si>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</si>
  <si>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</si>
  <si>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</si>
  <si>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</si>
  <si>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</si>
  <si>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</si>
  <si>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</si>
  <si>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</si>
  <si>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</si>
  <si>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</si>
  <si>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</si>
  <si>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</si>
  <si>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</si>
  <si>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</si>
  <si>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</si>
  <si>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</si>
  <si>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</si>
  <si>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</si>
  <si>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</si>
  <si>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</si>
  <si>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</si>
  <si>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</si>
  <si>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</si>
  <si>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</si>
  <si>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</si>
  <si>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</si>
  <si>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</si>
  <si>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</si>
  <si>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</si>
  <si>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</si>
  <si>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</si>
  <si>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</si>
  <si>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</si>
  <si>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</si>
  <si>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</si>
  <si>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</si>
  <si>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</si>
  <si>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</si>
  <si>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</si>
  <si>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</si>
  <si>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</si>
  <si>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</si>
  <si>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</si>
  <si>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</si>
  <si>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</si>
  <si>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</si>
  <si>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</si>
  <si>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</si>
  <si>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</si>
  <si>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</si>
  <si>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</si>
  <si>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</si>
  <si>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</si>
  <si>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</si>
  <si>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</si>
  <si>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</si>
  <si>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</si>
  <si>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</si>
  <si>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</si>
  <si>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</si>
  <si>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</si>
  <si>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</si>
  <si>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</si>
  <si>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</si>
  <si>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</si>
  <si>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</si>
  <si>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</si>
  <si>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</si>
  <si>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</si>
  <si>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</si>
  <si>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</si>
  <si>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</si>
  <si>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</si>
  <si>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</si>
  <si>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</si>
  <si>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새 : CIS19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</si>
  <si>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</si>
  <si>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</si>
  <si>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</si>
  <si>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</si>
  <si>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바자노바 나탈리아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</si>
  <si>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</si>
  <si>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</si>
  <si>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</si>
  <si>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</si>
  <si>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</si>
  <si>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</si>
  <si>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</si>
  <si>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</si>
  <si>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</si>
  <si>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</si>
  <si>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</si>
  <si>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</si>
  <si>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</si>
  <si>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</si>
  <si>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</si>
  <si>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</si>
  <si>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</si>
  <si>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</si>
  <si>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</si>
  <si>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</si>
  <si>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</si>
  <si>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</si>
  <si>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</si>
  <si>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</si>
  <si>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</si>
  <si>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</si>
  <si>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</si>
  <si>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</si>
  <si>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</si>
  <si>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</si>
  <si>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</si>
  <si>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</si>
  <si>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</si>
  <si>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</si>
  <si>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</si>
  <si>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</si>
  <si>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</si>
  <si>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</si>
  <si>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</si>
  <si>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</si>
  <si>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</si>
  <si>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</si>
  <si>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</si>
  <si>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</si>
  <si>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</si>
  <si>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</si>
  <si>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</si>
  <si>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</si>
  <si>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</si>
  <si>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</si>
  <si>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</si>
  <si>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</si>
  <si>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</si>
  <si>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</si>
  <si>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</si>
  <si>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</si>
  <si>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</si>
  <si>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</si>
  <si>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</si>
  <si>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</si>
  <si>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</si>
  <si>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</si>
  <si>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</si>
  <si>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</si>
  <si>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</si>
  <si>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</si>
  <si>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</si>
  <si>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</si>
  <si>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</si>
  <si>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</si>
  <si>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</si>
  <si>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</si>
  <si>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</si>
  <si>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</si>
  <si>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</si>
  <si>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</si>
  <si>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</si>
  <si>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</si>
  <si>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</si>
  <si>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</si>
  <si>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</si>
  <si>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</si>
  <si>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</si>
  <si>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</si>
  <si>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</si>
  <si>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</si>
  <si>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</si>
  <si>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</si>
  <si>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</si>
  <si>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</si>
  <si>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</si>
  <si>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</si>
  <si>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</si>
  <si>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</si>
  <si>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</si>
  <si>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</si>
  <si>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</si>
  <si>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</si>
  <si>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</si>
  <si>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</si>
  <si>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</si>
  <si>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</si>
  <si>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</si>
  <si>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</si>
  <si>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</si>
  <si>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</si>
  <si>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</si>
  <si>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</si>
  <si>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</si>
  <si>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</si>
  <si>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</si>
  <si>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</si>
  <si>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</si>
  <si>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</si>
  <si>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</si>
  <si>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</si>
  <si>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</si>
  <si>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</si>
  <si>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</si>
  <si>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</si>
  <si>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</si>
  <si>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</si>
  <si>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2025.06.15 기준</t>
  </si>
  <si>
    <t>전도과</t>
  </si>
  <si>
    <t>교육과</t>
  </si>
  <si>
    <t>통번역과 부과장</t>
  </si>
  <si>
    <t xml:space="preserve">장년팀장: 김세진  부녀팀장: 박지민 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</si>
  <si>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</si>
  <si>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</si>
  <si>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</si>
  <si>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</si>
  <si>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(크림반도)
사랑구역
CIS06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</si>
  <si>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</si>
  <si>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</si>
  <si>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</si>
  <si>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t>코노노바옐레나바실리예브나</t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</si>
  <si>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</si>
  <si>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</si>
  <si>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</si>
  <si>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</si>
  <si>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</si>
  <si>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</si>
  <si>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</si>
  <si>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t>사르다랸사티크우나노브나</t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</si>
  <si>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</si>
  <si>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</si>
  <si>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</si>
  <si>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</si>
  <si>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</si>
  <si>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t>가브릴로바옐레나알렉세예브나</t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</si>
  <si>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</si>
  <si>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</si>
  <si>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</si>
  <si>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</si>
  <si>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</si>
  <si>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</si>
  <si>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</si>
  <si>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t>크라스노바옥사나레오니도브나</t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</si>
  <si>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</si>
  <si>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</si>
  <si>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</si>
  <si>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</si>
  <si>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</si>
  <si>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</si>
  <si>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</si>
  <si>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</si>
  <si>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</si>
  <si>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t>코발료바스비틀라나올렉산드리브나</t>
  </si>
  <si>
    <r>
      <rPr>
        <b/>
        <sz val="8"/>
        <color rgb="FFFF0000"/>
        <rFont val="Malgun Gothic"/>
        <family val="3"/>
        <charset val="129"/>
      </rPr>
      <t xml:space="preserve">벨로굽일리야안드레예비치
</t>
    </r>
    <r>
      <rPr>
        <b/>
        <sz val="8"/>
        <color rgb="FFFF0000"/>
        <rFont val="Calibri"/>
        <family val="2"/>
      </rPr>
      <t>Белогуб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Илья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</si>
  <si>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</si>
  <si>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</si>
  <si>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</si>
  <si>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t>아크마토바마디나마이람베코브나</t>
  </si>
  <si>
    <t>클레반스카야스비틀라나드미트리예우나</t>
  </si>
  <si>
    <t>말르쉐브이고리세르게예비치</t>
  </si>
  <si>
    <t>글라드키흐타마라알렉산드로브나</t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</si>
  <si>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</si>
  <si>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t>다비도비치리디야니콜라예브나</t>
  </si>
  <si>
    <t>숄루흐바딤</t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</si>
  <si>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</si>
  <si>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오가네샨리디야그르고리브나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</si>
  <si>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</si>
  <si>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</si>
  <si>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</si>
  <si>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</si>
  <si>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</si>
  <si>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</si>
  <si>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</si>
  <si>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</si>
  <si>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</si>
  <si>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</si>
  <si>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</si>
  <si>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</si>
  <si>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</si>
  <si>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</si>
  <si>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</si>
  <si>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</si>
  <si>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</si>
  <si>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</si>
  <si>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</si>
  <si>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</si>
  <si>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</si>
  <si>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</si>
  <si>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</si>
  <si>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</si>
  <si>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</si>
  <si>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t>예기아자르얀소나사하키</t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</si>
  <si>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</si>
  <si>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</si>
  <si>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t>레비즈카야다리야레오니도브나</t>
  </si>
  <si>
    <t>쿠슈바코바촐폰칼무라토브나</t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</si>
  <si>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</si>
  <si>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</si>
  <si>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</si>
  <si>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</si>
  <si>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크바츄크나데즈다알렉세예브나</t>
  </si>
  <si>
    <t>소히봅보그단페루조비</t>
  </si>
  <si>
    <t>유년</t>
  </si>
  <si>
    <t>빌로킨발레리야바실리예브나</t>
  </si>
  <si>
    <t>쿠브스키일리야올레고비치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</si>
  <si>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</si>
  <si>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골반보그단바실리예비치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</si>
  <si>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</si>
  <si>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</si>
  <si>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</si>
  <si>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</si>
  <si>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</si>
  <si>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</si>
  <si>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</si>
  <si>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</si>
  <si>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</si>
  <si>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</si>
  <si>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</si>
  <si>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</si>
  <si>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</si>
  <si>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</si>
  <si>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</si>
  <si>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</si>
  <si>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</si>
  <si>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</si>
  <si>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</si>
  <si>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</si>
  <si>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</si>
  <si>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</si>
  <si>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</si>
  <si>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</si>
  <si>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</si>
  <si>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</si>
  <si>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</si>
  <si>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</si>
  <si>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</si>
  <si>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</si>
  <si>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</si>
  <si>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</si>
  <si>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</si>
  <si>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</si>
  <si>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</si>
  <si>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</si>
  <si>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</si>
  <si>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</si>
  <si>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</si>
  <si>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</si>
  <si>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</si>
  <si>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t>카자흐(새)03-1</t>
  </si>
  <si>
    <t>카자흐(새)03-2</t>
  </si>
  <si>
    <r>
      <rPr>
        <sz val="7"/>
        <color theme="1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</si>
  <si>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t>칠데바예바바길라자기파로브나</t>
  </si>
  <si>
    <r>
      <rPr>
        <sz val="7"/>
        <color theme="1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</si>
  <si>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t>파블리첸코니나일리니치나</t>
  </si>
  <si>
    <r>
      <rPr>
        <sz val="7"/>
        <color theme="1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</si>
  <si>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t>이만바예바오른굴자그파로브나</t>
  </si>
  <si>
    <r>
      <rPr>
        <sz val="7"/>
        <color theme="1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</si>
  <si>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t>레즈니코바타티야나예브게니예브나</t>
  </si>
  <si>
    <r>
      <rPr>
        <b/>
        <sz val="7"/>
        <color theme="1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</si>
  <si>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theme="1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</si>
  <si>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t>코체르바예바로자아크라모브나</t>
  </si>
  <si>
    <r>
      <rPr>
        <sz val="7"/>
        <color theme="1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</si>
  <si>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theme="1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</si>
  <si>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theme="1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</si>
  <si>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theme="1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</si>
  <si>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</si>
  <si>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</si>
  <si>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</si>
  <si>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</si>
  <si>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</si>
  <si>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</si>
  <si>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</si>
  <si>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</si>
  <si>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카르나우호바베로니카바실리예브나</t>
  </si>
  <si>
    <r>
      <rPr>
        <b/>
        <sz val="7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7"/>
        <color rgb="FF000000"/>
        <rFont val="Calibri"/>
        <family val="2"/>
      </rPr>
      <t>Фолимонова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</si>
  <si>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스타슈크빅토리야알렉산드로브나</t>
  </si>
  <si>
    <t>알리쉐르라헬</t>
  </si>
  <si>
    <t>세먀히나타티야나파블로브나</t>
  </si>
  <si>
    <t>황알렙지나</t>
  </si>
  <si>
    <t>김스베틀라나</t>
  </si>
  <si>
    <t>한옐레나</t>
  </si>
  <si>
    <t>이소피야</t>
  </si>
  <si>
    <t>리스베틀라나아나톨리예브나</t>
  </si>
  <si>
    <t>두드키나스베틀라나미하일로브나</t>
  </si>
  <si>
    <t>야쿠빈스키이드미트리이고레비치</t>
  </si>
  <si>
    <t>총무</t>
  </si>
  <si>
    <t>기능과</t>
  </si>
  <si>
    <t>지역명</t>
  </si>
  <si>
    <t>고유번호</t>
  </si>
  <si>
    <t>총인원</t>
  </si>
  <si>
    <t>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</si>
  <si>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</si>
  <si>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</si>
  <si>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</si>
  <si>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</si>
  <si>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</si>
  <si>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</si>
  <si>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</si>
  <si>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</si>
  <si>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</si>
  <si>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</si>
  <si>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</si>
  <si>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CIS직책</t>
  </si>
  <si>
    <t>사명자교육이수</t>
  </si>
  <si>
    <t>겸직 및 이력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</si>
  <si>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</si>
  <si>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</si>
  <si>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</si>
  <si>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</si>
  <si>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</si>
  <si>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</si>
  <si>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</si>
  <si>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</si>
  <si>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</si>
  <si>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</si>
  <si>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</si>
  <si>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</si>
  <si>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</si>
  <si>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</si>
  <si>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</si>
  <si>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</si>
  <si>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</si>
  <si>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시차</t>
  </si>
  <si>
    <t>이동할지역</t>
  </si>
  <si>
    <t>임원</t>
  </si>
  <si>
    <t>박원희</t>
  </si>
  <si>
    <t>여</t>
  </si>
  <si>
    <t>010-8207-2119</t>
  </si>
  <si>
    <t>@sweets1221</t>
  </si>
  <si>
    <t>총회등록</t>
  </si>
  <si>
    <t>한국</t>
  </si>
  <si>
    <t>중복</t>
  </si>
  <si>
    <t>00360527-00006</t>
  </si>
  <si>
    <t>국내성도</t>
  </si>
  <si>
    <t>국내_장년</t>
  </si>
  <si>
    <t>x</t>
  </si>
  <si>
    <t>청장1구역</t>
  </si>
  <si>
    <t>국내팀장</t>
  </si>
  <si>
    <t>2장년</t>
  </si>
  <si>
    <t>남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</si>
  <si>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</si>
  <si>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</si>
  <si>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</si>
  <si>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</si>
  <si>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</si>
  <si>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</si>
  <si>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</si>
  <si>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</si>
  <si>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</si>
  <si>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</si>
  <si>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서울특별시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</si>
  <si>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</si>
  <si>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</si>
  <si>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</si>
  <si>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</si>
  <si>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</si>
  <si>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</si>
  <si>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</si>
  <si>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</si>
  <si>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00371218-00469</t>
  </si>
  <si>
    <t>Хан Семён</t>
  </si>
  <si>
    <t>010-8433-2802</t>
  </si>
  <si>
    <t>00371217-01048</t>
  </si>
  <si>
    <t>Кан Владимир</t>
  </si>
  <si>
    <t>010-5820-6557</t>
  </si>
  <si>
    <t>@kanVladimir7</t>
  </si>
  <si>
    <t>00410822-00002</t>
  </si>
  <si>
    <t>새신자4팀</t>
  </si>
  <si>
    <t>4청년</t>
  </si>
  <si>
    <t>Якубинский Дмитрий Игоревич</t>
  </si>
  <si>
    <t>010-5890-1703</t>
  </si>
  <si>
    <t>@dimadimadimadimadimadimadima1989</t>
  </si>
  <si>
    <t>성도</t>
  </si>
  <si>
    <t>교회등록</t>
  </si>
  <si>
    <t>인천광역시</t>
  </si>
  <si>
    <t>155기</t>
  </si>
  <si>
    <t>00311023-00027</t>
  </si>
  <si>
    <t>국내_청년</t>
  </si>
  <si>
    <t>센터사명자</t>
  </si>
  <si>
    <t>Дю Юрий</t>
  </si>
  <si>
    <t>010-3141-8193</t>
  </si>
  <si>
    <t>@DyuYurii</t>
  </si>
  <si>
    <t>문도</t>
  </si>
  <si>
    <t>00390826-00075</t>
  </si>
  <si>
    <t>Ким Сергей Валерьевич</t>
  </si>
  <si>
    <t>010-8441-1728</t>
  </si>
  <si>
    <t>@k_i_m_sergey</t>
  </si>
  <si>
    <t>147-1기</t>
  </si>
  <si>
    <t>00310314-00227</t>
  </si>
  <si>
    <t>국내_부녀</t>
  </si>
  <si>
    <t>신유구역</t>
  </si>
  <si>
    <t>3부녀</t>
  </si>
  <si>
    <t>Хан Елена</t>
  </si>
  <si>
    <t>010-8285-1011</t>
  </si>
  <si>
    <t>입교</t>
  </si>
  <si>
    <t>출결제외해지(2025/3/1)</t>
  </si>
  <si>
    <t>신앙유약</t>
  </si>
  <si>
    <t>00400227-01392</t>
  </si>
  <si>
    <t>Светлана ЛИ</t>
  </si>
  <si>
    <t>010-2117-9127</t>
  </si>
  <si>
    <t>@Liswetik</t>
  </si>
  <si>
    <t>149-1기</t>
  </si>
  <si>
    <t>00361031-00487</t>
  </si>
  <si>
    <t>Цой Лилия</t>
  </si>
  <si>
    <t>010-7550-5848</t>
  </si>
  <si>
    <t>00311023-00028</t>
  </si>
  <si>
    <t>Пак Елена</t>
  </si>
  <si>
    <t>010-5615-2266</t>
  </si>
  <si>
    <t>00400227-01414</t>
  </si>
  <si>
    <t>00350330-00205</t>
  </si>
  <si>
    <t>Ли Алексина Владиленовна</t>
  </si>
  <si>
    <t>010-4244-3010</t>
  </si>
  <si>
    <t>00360830-00342</t>
  </si>
  <si>
    <t>00360830-00341</t>
  </si>
  <si>
    <t>00410822-00001</t>
  </si>
  <si>
    <t>Кузь Ольга</t>
  </si>
  <si>
    <t>010-2186-2669</t>
  </si>
  <si>
    <t>우크라이나</t>
  </si>
  <si>
    <t>00360830-00346</t>
  </si>
  <si>
    <t>00350330-00153</t>
  </si>
  <si>
    <t>1구역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</si>
  <si>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</si>
  <si>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</si>
  <si>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</si>
  <si>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</si>
  <si>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</si>
  <si>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</si>
  <si>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</si>
  <si>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야쿠츠크</t>
  </si>
  <si>
    <t>Кантакова Анна</t>
  </si>
  <si>
    <t>010-2887-6167</t>
  </si>
  <si>
    <t>@annakantakova</t>
  </si>
  <si>
    <t>출결제외해지(25/07/6~9/2)출산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</si>
  <si>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</si>
  <si>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</si>
  <si>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</si>
  <si>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</si>
  <si>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</si>
  <si>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</si>
  <si>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</si>
  <si>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</si>
  <si>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</si>
  <si>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</si>
  <si>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</si>
  <si>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00340624-00330</t>
  </si>
  <si>
    <t>Цой Ольга</t>
  </si>
  <si>
    <t>010-2570-6278</t>
  </si>
  <si>
    <t>00390826-00066</t>
  </si>
  <si>
    <t>00270104-00035</t>
  </si>
  <si>
    <t>00290520-00027</t>
  </si>
  <si>
    <t>2구역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</si>
  <si>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</si>
  <si>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</si>
  <si>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</si>
  <si>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</si>
  <si>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</si>
  <si>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</si>
  <si>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</si>
  <si>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</si>
  <si>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</si>
  <si>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</si>
  <si>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</si>
  <si>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</si>
  <si>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</si>
  <si>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</si>
  <si>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</si>
  <si>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1자문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</si>
  <si>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</si>
  <si>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</si>
  <si>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</si>
  <si>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</si>
  <si>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</si>
  <si>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</si>
  <si>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</si>
  <si>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</si>
  <si>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</si>
  <si>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</si>
  <si>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</si>
  <si>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</si>
  <si>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</si>
  <si>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</si>
  <si>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</si>
  <si>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</si>
  <si>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</si>
  <si>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00330216-00019</t>
  </si>
  <si>
    <t>010-4503-7372</t>
  </si>
  <si>
    <t> 중랑구</t>
  </si>
  <si>
    <t>00400819-00001</t>
  </si>
  <si>
    <t>ДУДКИНА СВЕТЛАНА МИХАЙЛОВНА</t>
  </si>
  <si>
    <t>010-2213-7839</t>
  </si>
  <si>
    <t>151-1기</t>
  </si>
  <si>
    <t>3구역</t>
  </si>
  <si>
    <t>Хан Эльза</t>
  </si>
  <si>
    <t>010-8939-1957</t>
  </si>
  <si>
    <t>@han_elza</t>
  </si>
  <si>
    <t>Pak Svetlana Valerlyanovna</t>
  </si>
  <si>
    <t>010-4766-1953</t>
  </si>
  <si>
    <t>D</t>
  </si>
  <si>
    <t>00400530-00092</t>
  </si>
  <si>
    <t xml:space="preserve">Пак Моисей </t>
  </si>
  <si>
    <t>010-4074-3821</t>
  </si>
  <si>
    <t>150-4기</t>
  </si>
  <si>
    <t>00230828-00053</t>
  </si>
  <si>
    <t>4구역</t>
  </si>
  <si>
    <t>Пак Со Джон</t>
  </si>
  <si>
    <t>010-4316-0828</t>
  </si>
  <si>
    <t>@sojeong84</t>
  </si>
  <si>
    <t>00271115-00181</t>
  </si>
  <si>
    <t>통번역팀장</t>
  </si>
  <si>
    <t>Ким Оксана</t>
  </si>
  <si>
    <t>010-5635-1510</t>
  </si>
  <si>
    <t>@Kim_Sana181</t>
  </si>
  <si>
    <t>00280103-00165</t>
  </si>
  <si>
    <t>Ли Джи Ён</t>
  </si>
  <si>
    <t>010-6701-0334</t>
  </si>
  <si>
    <t>@Yijiyeong</t>
  </si>
  <si>
    <t>00231212-00123</t>
  </si>
  <si>
    <t>00281228-00434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</si>
  <si>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</si>
  <si>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</si>
  <si>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</si>
  <si>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</si>
  <si>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</si>
  <si>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</si>
  <si>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</si>
  <si>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창초대X</t>
  </si>
  <si>
    <t>00301028-00368</t>
  </si>
  <si>
    <t>HWPL</t>
  </si>
  <si>
    <t>한**</t>
  </si>
  <si>
    <t>Хан Сон Ён</t>
  </si>
  <si>
    <t>보안</t>
  </si>
  <si>
    <t>소통을원하면 홍수정 구역장에게 문의</t>
  </si>
  <si>
    <t>00230515-00016</t>
  </si>
  <si>
    <t>5구역</t>
  </si>
  <si>
    <t>Хонг Су Жонг</t>
  </si>
  <si>
    <t>010-6406-0466</t>
  </si>
  <si>
    <t>00280830-00123</t>
  </si>
  <si>
    <t>국제부청년서기</t>
  </si>
  <si>
    <t>Ли Су Хён</t>
  </si>
  <si>
    <t>010-7183-3854</t>
  </si>
  <si>
    <t>@suhyun2</t>
  </si>
  <si>
    <t>00231009-00031</t>
  </si>
  <si>
    <t>센터부서무무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</si>
  <si>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</si>
  <si>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</si>
  <si>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</si>
  <si>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</si>
  <si>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</si>
  <si>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</si>
  <si>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</si>
  <si>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</si>
  <si>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</si>
  <si>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</si>
  <si>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</si>
  <si>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Ли Ын Чжон</t>
  </si>
  <si>
    <t>010-3246-7458</t>
  </si>
  <si>
    <t>@blackpearl8800</t>
  </si>
  <si>
    <t>00281229-00003</t>
  </si>
  <si>
    <t>010-3465-8687</t>
  </si>
  <si>
    <t>청1구역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</si>
  <si>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</si>
  <si>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</si>
  <si>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</si>
  <si>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</si>
  <si>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</si>
  <si>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</si>
  <si>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</si>
  <si>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</si>
  <si>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</si>
  <si>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</si>
  <si>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</si>
  <si>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</si>
  <si>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</si>
  <si>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</si>
  <si>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</si>
  <si>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</si>
  <si>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김**</t>
  </si>
  <si>
    <t>Ким Ё Хван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</si>
  <si>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</si>
  <si>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</si>
  <si>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</si>
  <si>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</si>
  <si>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</si>
  <si>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</si>
  <si>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청2구역</t>
  </si>
  <si>
    <t>구역장,국제부전도과장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</si>
  <si>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</si>
  <si>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</si>
  <si>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</si>
  <si>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</si>
  <si>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</si>
  <si>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</si>
  <si>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</si>
  <si>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</si>
  <si>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</si>
  <si>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</si>
  <si>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</si>
  <si>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</si>
  <si>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</si>
  <si>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</si>
  <si>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</si>
  <si>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00310314-00231</t>
  </si>
  <si>
    <t>우크라이나청년</t>
  </si>
  <si>
    <t>해외지역강사</t>
  </si>
  <si>
    <t>청년회팀장</t>
  </si>
  <si>
    <t>Захарченко Мария</t>
  </si>
  <si>
    <t>010-4467-2226</t>
  </si>
  <si>
    <t>@mary_wp</t>
  </si>
  <si>
    <t>00300725-00026</t>
  </si>
  <si>
    <t>러시아(크림공화국)</t>
  </si>
  <si>
    <t>크림공화국</t>
  </si>
  <si>
    <t>0구역</t>
  </si>
  <si>
    <t>Ли Дарья(лидер)</t>
  </si>
  <si>
    <t>7-978-604-30-83</t>
  </si>
  <si>
    <t>@Dariya0609</t>
  </si>
  <si>
    <t>러시아(크림)</t>
  </si>
  <si>
    <t>크림반도 옥탸브리스크</t>
  </si>
  <si>
    <t>00310314-00225</t>
  </si>
  <si>
    <t>Цой Таисия</t>
  </si>
  <si>
    <t>7978-940-32-85</t>
  </si>
  <si>
    <t>@TaisiaTcoj</t>
  </si>
  <si>
    <t>00400530-00139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</si>
  <si>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</si>
  <si>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</si>
  <si>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</si>
  <si>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</si>
  <si>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</si>
  <si>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</si>
  <si>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모스크바</t>
  </si>
  <si>
    <t>00381122-00014</t>
  </si>
  <si>
    <t>코르네예바예카테리나유리예브나</t>
  </si>
  <si>
    <t>Корнеева Екатерина</t>
  </si>
  <si>
    <t>(7-978)-590-19-75</t>
  </si>
  <si>
    <t xml:space="preserve">@Ta_N_r_I </t>
  </si>
  <si>
    <t>크림반도 얄타</t>
  </si>
  <si>
    <t>크림</t>
  </si>
  <si>
    <t>00330526-00003</t>
  </si>
  <si>
    <t>Селюн Антонина</t>
  </si>
  <si>
    <t>7978-968-15-02</t>
  </si>
  <si>
    <t>@Selyuntonya</t>
  </si>
  <si>
    <t>00400530-00144</t>
  </si>
  <si>
    <t>곤차로바수산나삼벨로브나</t>
  </si>
  <si>
    <t>Гончарова Сусанна Самвеловна</t>
  </si>
  <si>
    <t>7-988-534-0685</t>
  </si>
  <si>
    <t>@susannagoncharova</t>
  </si>
  <si>
    <t>로스토프주</t>
  </si>
  <si>
    <t>00400530-00103</t>
  </si>
  <si>
    <t>Бахтина Ольга Викторовна</t>
  </si>
  <si>
    <t>7-978-895-6553</t>
  </si>
  <si>
    <t>@OlgaBahtina0</t>
  </si>
  <si>
    <t>바흐치사라이</t>
  </si>
  <si>
    <t>이동x</t>
  </si>
  <si>
    <t>00360423-00591</t>
  </si>
  <si>
    <t>크림공화국1팀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</si>
  <si>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</si>
  <si>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</si>
  <si>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</si>
  <si>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</si>
  <si>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</si>
  <si>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</si>
  <si>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</si>
  <si>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00400530-00094</t>
  </si>
  <si>
    <t>42.10</t>
  </si>
  <si>
    <t>정스베틀라나페트로브나</t>
  </si>
  <si>
    <t xml:space="preserve">Чжен Светлана Петровна </t>
  </si>
  <si>
    <t>996-70-297-9730</t>
  </si>
  <si>
    <t>@SvetlanaChzhen</t>
  </si>
  <si>
    <t>00320813-00003</t>
  </si>
  <si>
    <t>Егиян Валентина</t>
  </si>
  <si>
    <t>7978-738-85-04</t>
  </si>
  <si>
    <t>@valyahiva</t>
  </si>
  <si>
    <t>00381122-00004</t>
  </si>
  <si>
    <t>Чуйко Лариса</t>
  </si>
  <si>
    <t>7-978-677-2013</t>
  </si>
  <si>
    <t>@Logikaen</t>
  </si>
  <si>
    <t>00361031-00502</t>
  </si>
  <si>
    <t>Петренко Светлана</t>
  </si>
  <si>
    <t>7978-7051889</t>
  </si>
  <si>
    <t xml:space="preserve">@Svet-15 </t>
  </si>
  <si>
    <t>00320813-00004</t>
  </si>
  <si>
    <t>00400530-00097</t>
  </si>
  <si>
    <t>Майко Маргарита</t>
  </si>
  <si>
    <t>7978-146-80-18</t>
  </si>
  <si>
    <t>@May_ko18</t>
  </si>
  <si>
    <t>크라이스만마리나</t>
  </si>
  <si>
    <t>Крайсман Марина</t>
  </si>
  <si>
    <t>8-901-438-7446</t>
  </si>
  <si>
    <t>@mplarksch</t>
  </si>
  <si>
    <t>브람쉐</t>
  </si>
  <si>
    <t>00410523-00478</t>
  </si>
  <si>
    <t>Бадалян Егине Самвеловна</t>
  </si>
  <si>
    <t>7-962-862-5827</t>
  </si>
  <si>
    <t>@Egine_09</t>
  </si>
  <si>
    <t>스타브로폴</t>
  </si>
  <si>
    <t>154-4기</t>
  </si>
  <si>
    <t>00410523-00460</t>
  </si>
  <si>
    <t>Мараховская Лариса Андреевна</t>
  </si>
  <si>
    <t>7-961-501-9834</t>
  </si>
  <si>
    <t>@Larakim333</t>
  </si>
  <si>
    <t>크라스노다르</t>
  </si>
  <si>
    <t>안드레 지파 교적부 소통중</t>
  </si>
  <si>
    <t>00410523-00466</t>
  </si>
  <si>
    <t>Ефременко Ирина Анфилогеновна</t>
  </si>
  <si>
    <t>7-977-815-5364</t>
  </si>
  <si>
    <t>@Iirina64</t>
  </si>
  <si>
    <t>압하지야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</si>
  <si>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</si>
  <si>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</si>
  <si>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</si>
  <si>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</si>
  <si>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</si>
  <si>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크라스노다르주</t>
  </si>
  <si>
    <t>00390826-00073</t>
  </si>
  <si>
    <t>크림공화국2팀</t>
  </si>
  <si>
    <t>00390826-00074</t>
  </si>
  <si>
    <t>솔로도브닉나탈리야알렉산드로브나</t>
  </si>
  <si>
    <t>Солодовник Наталья Александровна</t>
  </si>
  <si>
    <t>7978-058-9025</t>
  </si>
  <si>
    <t>@Natalia77nata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</si>
  <si>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</si>
  <si>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</si>
  <si>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</si>
  <si>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</si>
  <si>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</si>
  <si>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</si>
  <si>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148-1기</t>
  </si>
  <si>
    <t>00410822-01061</t>
  </si>
  <si>
    <t>러시아(모스크바)</t>
  </si>
  <si>
    <t>남편과 크림지역에 거주 남편이크림 구역편성되어 함께 크림으로 이동 (행정이동도 하면 좋을 것)</t>
  </si>
  <si>
    <t>마요로바류보비니콜라예브나</t>
  </si>
  <si>
    <t>Майорова Любовь Николаевна</t>
  </si>
  <si>
    <t>34-62-084-0740</t>
  </si>
  <si>
    <t>@Lyubovnico</t>
  </si>
  <si>
    <t>스페인</t>
  </si>
  <si>
    <t>발렌시아</t>
  </si>
  <si>
    <t>155-3기</t>
  </si>
  <si>
    <t>00360423-00594</t>
  </si>
  <si>
    <t>00400530-00121</t>
  </si>
  <si>
    <t>Петришина Татьяна</t>
  </si>
  <si>
    <t>7978-509-07-52</t>
  </si>
  <si>
    <t>@Petrishina69</t>
  </si>
  <si>
    <t>크비린그나탈리야</t>
  </si>
  <si>
    <t>Квиринг Наталья</t>
  </si>
  <si>
    <t>49-176-2046-0446</t>
  </si>
  <si>
    <t>@quieringnatalia</t>
  </si>
  <si>
    <t>데드몰트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</si>
  <si>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</si>
  <si>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</si>
  <si>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</si>
  <si>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</si>
  <si>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</si>
  <si>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아제르바이잔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</si>
  <si>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</si>
  <si>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</si>
  <si>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</si>
  <si>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</si>
  <si>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</si>
  <si>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</si>
  <si>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키이우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</si>
  <si>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</si>
  <si>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</si>
  <si>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</si>
  <si>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</si>
  <si>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</si>
  <si>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00400227-01394</t>
  </si>
  <si>
    <t>Михальчук Елена Викторовна</t>
  </si>
  <si>
    <t>7-951-528-3177</t>
  </si>
  <si>
    <t>@ElenaMixalhyk</t>
  </si>
  <si>
    <t>로스토프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</si>
  <si>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</si>
  <si>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</si>
  <si>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</si>
  <si>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</si>
  <si>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</si>
  <si>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00410326-00094</t>
  </si>
  <si>
    <t>Rəhimova Könül Kazım</t>
  </si>
  <si>
    <t>994-55-492-5942</t>
  </si>
  <si>
    <t>@OkXan</t>
  </si>
  <si>
    <t>숨가이트</t>
  </si>
  <si>
    <t>00400819-00475</t>
  </si>
  <si>
    <t>00400819-00495</t>
  </si>
  <si>
    <t>구역장 1</t>
  </si>
  <si>
    <t>Семендяева Ирина Викторовна</t>
  </si>
  <si>
    <t>49-176-4454-2439</t>
  </si>
  <si>
    <t>@irinarambs</t>
  </si>
  <si>
    <t>헤센주</t>
  </si>
  <si>
    <t>4구억</t>
  </si>
  <si>
    <t>Мамоян Мидия Шарифовна</t>
  </si>
  <si>
    <t>7-918-332-3853</t>
  </si>
  <si>
    <t>@Midiya_M</t>
  </si>
  <si>
    <t>크라스노다르주, 크라스노다르시</t>
  </si>
  <si>
    <t>00410326-00104</t>
  </si>
  <si>
    <t>아브라모바아가브닉발레리예브나</t>
  </si>
  <si>
    <t>Աբրամովա Աղավնիկ Վալերիի</t>
  </si>
  <si>
    <t>7-989-818-5078</t>
  </si>
  <si>
    <t>@Agavnik89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</si>
  <si>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</si>
  <si>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</si>
  <si>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</si>
  <si>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</si>
  <si>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</si>
  <si>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크라스노다르 변경주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</si>
  <si>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</si>
  <si>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</si>
  <si>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</si>
  <si>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</si>
  <si>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</si>
  <si>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</si>
  <si>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</si>
  <si>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</si>
  <si>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</si>
  <si>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</si>
  <si>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</si>
  <si>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</si>
  <si>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</si>
  <si>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</si>
  <si>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147-4기</t>
  </si>
  <si>
    <t>00411010-02032</t>
  </si>
  <si>
    <t>ИСАХАНЯН ТАГУИ МАМИКОНОВНА</t>
  </si>
  <si>
    <t>7-999-632-7476</t>
  </si>
  <si>
    <t>@itm_ma</t>
  </si>
  <si>
    <t>크라스노다르, 아르마비르</t>
  </si>
  <si>
    <t>156기</t>
  </si>
  <si>
    <t>00401127-01049</t>
  </si>
  <si>
    <t>크림공화국장결</t>
  </si>
  <si>
    <t>Басилашвили Татьяна Тариеловна</t>
  </si>
  <si>
    <t>7-964-892-3414</t>
  </si>
  <si>
    <t>크라스노다르 예이스크시</t>
  </si>
  <si>
    <t>152-4기</t>
  </si>
  <si>
    <t>00401127-01055</t>
  </si>
  <si>
    <t>00400227-01415</t>
  </si>
  <si>
    <t>부-&gt;구</t>
  </si>
  <si>
    <t>Кобызева Анастасия Сергеевна</t>
  </si>
  <si>
    <t>49-176-4177-7488</t>
  </si>
  <si>
    <t>@ankob1</t>
  </si>
  <si>
    <t>라인란트팔츠주 멘게르시드마을</t>
  </si>
  <si>
    <t>Клочкова Светлана Андреевна</t>
  </si>
  <si>
    <t>7-978-707-7365</t>
  </si>
  <si>
    <t>@KSveta77</t>
  </si>
  <si>
    <t>얄타시</t>
  </si>
  <si>
    <t>00400227-01421</t>
  </si>
  <si>
    <t>술타냔레일리샤리포브나</t>
  </si>
  <si>
    <t>Султанян Лейли Шарифовна</t>
  </si>
  <si>
    <t>7-928-042-7233</t>
  </si>
  <si>
    <t>@leyla_sulta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</si>
  <si>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</si>
  <si>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</si>
  <si>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</si>
  <si>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</si>
  <si>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</si>
  <si>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00410822-01091</t>
  </si>
  <si>
    <t>Джинджолия Мадина Теймуразовна</t>
  </si>
  <si>
    <t>7-940-935-9800</t>
  </si>
  <si>
    <t>@Madina_Dzhin</t>
  </si>
  <si>
    <t>00361031-00503</t>
  </si>
  <si>
    <t>크림공화국3팀</t>
  </si>
  <si>
    <t>6구역</t>
  </si>
  <si>
    <t>Солодовник Андрей</t>
  </si>
  <si>
    <t>7978-135-6921</t>
  </si>
  <si>
    <t>@ andrei1808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</si>
  <si>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</si>
  <si>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</si>
  <si>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</si>
  <si>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</si>
  <si>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</si>
  <si>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</si>
  <si>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</si>
  <si>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</si>
  <si>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</si>
  <si>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</si>
  <si>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</si>
  <si>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</si>
  <si>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00371218-00462</t>
  </si>
  <si>
    <t>Осадчий Денис Николаевич</t>
  </si>
  <si>
    <t>7978-685-57-61</t>
  </si>
  <si>
    <t>@Denis_Osadchiy</t>
  </si>
  <si>
    <t>00410822-01082</t>
  </si>
  <si>
    <t>파악필요</t>
  </si>
  <si>
    <t>Рыбалко Алексей Владимирович</t>
  </si>
  <si>
    <t>7-903-459-4435</t>
  </si>
  <si>
    <t>@alexbr082</t>
  </si>
  <si>
    <t>00411226-00991</t>
  </si>
  <si>
    <t>00361031-00504</t>
  </si>
  <si>
    <t>00381122-00020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</si>
  <si>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</si>
  <si>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</si>
  <si>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</si>
  <si>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</si>
  <si>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</si>
  <si>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157-1기</t>
  </si>
  <si>
    <t>00310314-00223</t>
  </si>
  <si>
    <t>7구역</t>
  </si>
  <si>
    <t>Усачев Виктор</t>
  </si>
  <si>
    <t>38)066-167-5845/7978-745-06-30</t>
  </si>
  <si>
    <t>@vikcrimea</t>
  </si>
  <si>
    <t>00360423-00592</t>
  </si>
  <si>
    <t>Канивец Геннадий</t>
  </si>
  <si>
    <t>7-978-1043729</t>
  </si>
  <si>
    <t>@Opin05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</si>
  <si>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</si>
  <si>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</si>
  <si>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</si>
  <si>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</si>
  <si>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</si>
  <si>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00371218-00464</t>
  </si>
  <si>
    <t>8구역</t>
  </si>
  <si>
    <t>Щербаков Дмитрий</t>
  </si>
  <si>
    <t>7978-013-80-16</t>
  </si>
  <si>
    <t>@pilegrim2020</t>
  </si>
  <si>
    <t>예이스크</t>
  </si>
  <si>
    <t>00410523-00489</t>
  </si>
  <si>
    <t>Щербаков Матфей Яковлевич</t>
  </si>
  <si>
    <t>7-999-416-2248</t>
  </si>
  <si>
    <t>@Mat932q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</si>
  <si>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</si>
  <si>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</si>
  <si>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</si>
  <si>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</si>
  <si>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</si>
  <si>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</si>
  <si>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00390826-00118</t>
  </si>
  <si>
    <t>벨로굽일리야안드레예비치</t>
  </si>
  <si>
    <t>Белогуб Илья Андреевич</t>
  </si>
  <si>
    <t>7903-4146784</t>
  </si>
  <si>
    <t>@belogub_1</t>
  </si>
  <si>
    <t>스타브로폴시</t>
  </si>
  <si>
    <t>00310314-00224</t>
  </si>
  <si>
    <t>크림공화국새신자</t>
  </si>
  <si>
    <t>새1구역</t>
  </si>
  <si>
    <t>Моргунова Ольга</t>
  </si>
  <si>
    <t>7978-801-61-93</t>
  </si>
  <si>
    <t>@Omore70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</si>
  <si>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</si>
  <si>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</si>
  <si>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</si>
  <si>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</si>
  <si>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</si>
  <si>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</si>
  <si>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00420306-00082</t>
  </si>
  <si>
    <t>Леонардт Лариса Викторовна</t>
  </si>
  <si>
    <t>7-952-815-9614</t>
  </si>
  <si>
    <t>@Larico65639</t>
  </si>
  <si>
    <t>157-5기</t>
  </si>
  <si>
    <t>00411226-00970</t>
  </si>
  <si>
    <t>Миназова Надежда Николаевна</t>
  </si>
  <si>
    <t>7-952-866-1690</t>
  </si>
  <si>
    <t>@Nadia159</t>
  </si>
  <si>
    <t>00420613-00129</t>
  </si>
  <si>
    <t>САРДАРЯН САТИК УНАНОВНА</t>
  </si>
  <si>
    <t>7-961-452-6127</t>
  </si>
  <si>
    <t>스타브로폴 지방</t>
  </si>
  <si>
    <t>158-5기</t>
  </si>
  <si>
    <t>00421016-05763</t>
  </si>
  <si>
    <t>드미트리예브흐갈리나이바노브나</t>
  </si>
  <si>
    <t>Дмитриевых Галина Иванова</t>
  </si>
  <si>
    <t>7-988-520-8630</t>
  </si>
  <si>
    <t>크라스노다르, 크라스노다르시</t>
  </si>
  <si>
    <t>00430115-00907</t>
  </si>
  <si>
    <t>오트체비타아브라아모브나</t>
  </si>
  <si>
    <t>Отче Вита Авраамовна</t>
  </si>
  <si>
    <t>7-988-349-3223</t>
  </si>
  <si>
    <t>크라스노다르 지방</t>
  </si>
  <si>
    <t>비161기</t>
  </si>
  <si>
    <t>00430115-00908</t>
  </si>
  <si>
    <t>볼드트타마라</t>
  </si>
  <si>
    <t>Boldt Tamara</t>
  </si>
  <si>
    <t>49-176-2038-9293</t>
  </si>
  <si>
    <t>노르트라인베스트팔렌 주</t>
  </si>
  <si>
    <t>00430115-00909</t>
  </si>
  <si>
    <t>리엘자니콜라예브나</t>
  </si>
  <si>
    <t>Ли Эльза Николаевна</t>
  </si>
  <si>
    <t>7-918-879-6066</t>
  </si>
  <si>
    <t>새2구역</t>
  </si>
  <si>
    <t>Щербакова Анастасия</t>
  </si>
  <si>
    <t>7-978-816-63-53</t>
  </si>
  <si>
    <t>@nashe80</t>
  </si>
  <si>
    <t>00411226-00990</t>
  </si>
  <si>
    <t>Рыбалко Татьяна Валерьевна</t>
  </si>
  <si>
    <t>7-929-839-8721</t>
  </si>
  <si>
    <t>@Tatyana_tanya2</t>
  </si>
  <si>
    <t>00420306-00103</t>
  </si>
  <si>
    <t>Дивисенко Екатерина Афанасьевна</t>
  </si>
  <si>
    <t>7-926-256-7056</t>
  </si>
  <si>
    <t>@Ekaterina_Divisenko</t>
  </si>
  <si>
    <t>00411010-02045</t>
  </si>
  <si>
    <t>САМУСЕНКО МАРИНА ЮРЬЕВНА</t>
  </si>
  <si>
    <t>7-900-245-3690</t>
  </si>
  <si>
    <t>@Marinasamysenko</t>
  </si>
  <si>
    <t>156-1기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</si>
  <si>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</si>
  <si>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</si>
  <si>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</si>
  <si>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</si>
  <si>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</si>
  <si>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출결제외해지/입원(25/05/22~25/07/22)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</si>
  <si>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</si>
  <si>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</si>
  <si>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</si>
  <si>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</si>
  <si>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</si>
  <si>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</si>
  <si>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</si>
  <si>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</si>
  <si>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</si>
  <si>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00421016-05766</t>
  </si>
  <si>
    <t>쉬바바우에르이리나</t>
  </si>
  <si>
    <t>Schwabauer Irina</t>
  </si>
  <si>
    <t>49-173-196-0342</t>
  </si>
  <si>
    <t>헤센 주, 슈발름탈</t>
  </si>
  <si>
    <t>00421016-05764</t>
  </si>
  <si>
    <t>예시코바스베틀라나미하일로브나</t>
  </si>
  <si>
    <t>Есикова Светлана Михайловна</t>
  </si>
  <si>
    <t>7-918-251-2841</t>
  </si>
  <si>
    <t>크라스노다르, 모스토프스코예 구역</t>
  </si>
  <si>
    <t>새3구역</t>
  </si>
  <si>
    <t>부-&gt; 구</t>
  </si>
  <si>
    <t>Воронков Иван</t>
  </si>
  <si>
    <t>7-978-521-33-14</t>
  </si>
  <si>
    <t>@ouroboros1994</t>
  </si>
  <si>
    <t>00420306-00092</t>
  </si>
  <si>
    <t>Юров Сергей Николаевич</t>
  </si>
  <si>
    <t>34-60-714-7324</t>
  </si>
  <si>
    <t>@SergeyY1964</t>
  </si>
  <si>
    <t>00411226-00999</t>
  </si>
  <si>
    <t>크림지역에 아내와 거주 크림지역 편성 행정이동 원함</t>
  </si>
  <si>
    <t>Рыбалко Никита Алексеевич</t>
  </si>
  <si>
    <t>7-951-821-6064</t>
  </si>
  <si>
    <t>@nikita_ryb2</t>
  </si>
  <si>
    <t>크라스노다르 아빈스크시</t>
  </si>
  <si>
    <t>00421016-05765</t>
  </si>
  <si>
    <t>베른가르드트세르게이</t>
  </si>
  <si>
    <t>Bernhardt Sergej</t>
  </si>
  <si>
    <t>49-176-4169-0712</t>
  </si>
  <si>
    <t>노르트라인베스트팔렌 주, 립슈타트</t>
  </si>
  <si>
    <t>00340624-00329</t>
  </si>
  <si>
    <t>새4구역</t>
  </si>
  <si>
    <t>Силина Наталья</t>
  </si>
  <si>
    <t>7978-565-78-36</t>
  </si>
  <si>
    <t>@niknatz</t>
  </si>
  <si>
    <t>00411226-00977</t>
  </si>
  <si>
    <t>Агаджанян Заруи Шемщажовна</t>
  </si>
  <si>
    <t>7-989-229-2657</t>
  </si>
  <si>
    <t>@Zarui67</t>
  </si>
  <si>
    <t>00411226-00989</t>
  </si>
  <si>
    <t>Галечян Анжела Андраниковна</t>
  </si>
  <si>
    <t>374-94-14-2091</t>
  </si>
  <si>
    <t>아르메니아</t>
  </si>
  <si>
    <t>코타이크</t>
  </si>
  <si>
    <t>00411226-00992</t>
  </si>
  <si>
    <t>Оганян Сусанна Вагифовна</t>
  </si>
  <si>
    <t>7-918-173-0559</t>
  </si>
  <si>
    <t>@susannaoganyan7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</si>
  <si>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</si>
  <si>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</si>
  <si>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</si>
  <si>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</si>
  <si>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</si>
  <si>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00420613-00116</t>
  </si>
  <si>
    <t>Alischer Rahel</t>
  </si>
  <si>
    <t>49-176-2277-8496</t>
  </si>
  <si>
    <t>노르트라인베스트팔렌</t>
  </si>
  <si>
    <t>00391111-00154</t>
  </si>
  <si>
    <t>새5구역</t>
  </si>
  <si>
    <t>구 43.1</t>
  </si>
  <si>
    <t>무라비요바나탈리야알렉산드로브나</t>
  </si>
  <si>
    <t>Муравьёва Наталья Александровна</t>
  </si>
  <si>
    <t>7-918-093-4718</t>
  </si>
  <si>
    <t>@murnat7</t>
  </si>
  <si>
    <t>00430115-00912</t>
  </si>
  <si>
    <t>세이토스마노바타티야나유리예브나</t>
  </si>
  <si>
    <t>Сеитосманова Татьяна Юрьевна</t>
  </si>
  <si>
    <t>7-978-200-3455</t>
  </si>
  <si>
    <t>크림 공화국</t>
  </si>
  <si>
    <t>00430115-00911</t>
  </si>
  <si>
    <t>즐로데예바안나알렉산드로브나</t>
  </si>
  <si>
    <t>Злодеева Анна Александровна</t>
  </si>
  <si>
    <t>7-978-313-8211</t>
  </si>
  <si>
    <t>00401127-01073</t>
  </si>
  <si>
    <t>00411226-01001</t>
  </si>
  <si>
    <t>새6구역(학생)</t>
  </si>
  <si>
    <t>학생회구역장</t>
  </si>
  <si>
    <t>5학생</t>
  </si>
  <si>
    <t>Собачинский Кирилл Андреевич</t>
  </si>
  <si>
    <t>49-152-0830-9079</t>
  </si>
  <si>
    <t>@KirillS132</t>
  </si>
  <si>
    <t>함부르크시</t>
  </si>
  <si>
    <t>학생회부구역장</t>
  </si>
  <si>
    <t>Оганян Виталий Маратович</t>
  </si>
  <si>
    <t>7-930-150-5032</t>
  </si>
  <si>
    <t>@Bitig777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</si>
  <si>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</si>
  <si>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</si>
  <si>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</si>
  <si>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</si>
  <si>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</si>
  <si>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00420306-00109</t>
  </si>
  <si>
    <t>Гуш Иван</t>
  </si>
  <si>
    <t>49-155-6043-4850</t>
  </si>
  <si>
    <t>@oganyan_Vitaly7</t>
  </si>
  <si>
    <t>함부르크</t>
  </si>
  <si>
    <t>00411226-01000</t>
  </si>
  <si>
    <t>Рыбалко Софья Алексеевна</t>
  </si>
  <si>
    <t>7-929-837-0751</t>
  </si>
  <si>
    <t>@rysssna</t>
  </si>
  <si>
    <t>00420613-00111</t>
  </si>
  <si>
    <t>크림팀장님아들 크림구역편성  행정이동하면 좋을것</t>
  </si>
  <si>
    <t>쿠로브스키일리야올레고비치</t>
  </si>
  <si>
    <t>Куровский Илья Олегович</t>
  </si>
  <si>
    <t>7-978-068-0702</t>
  </si>
  <si>
    <t>보로네시주</t>
  </si>
  <si>
    <t>00390826-00072</t>
  </si>
  <si>
    <t>러시아모스크바</t>
  </si>
  <si>
    <t>00400530-00119</t>
  </si>
  <si>
    <t>Бухаринов Алексей Юрьевич</t>
  </si>
  <si>
    <t>7982-737-0061</t>
  </si>
  <si>
    <t>@AleBukh</t>
  </si>
  <si>
    <t>크라스노셀스키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</si>
  <si>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</si>
  <si>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</si>
  <si>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</si>
  <si>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</si>
  <si>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</t>
  </si>
  <si>
    <t>00410326-00075</t>
  </si>
  <si>
    <t>Ковальчук Иван Васильевич</t>
  </si>
  <si>
    <t>7-982-185-5197</t>
  </si>
  <si>
    <t>@vanja_09</t>
  </si>
  <si>
    <t>튜멘</t>
  </si>
  <si>
    <t>00410822-01078</t>
  </si>
  <si>
    <t>Казаков Константин Александрович</t>
  </si>
  <si>
    <t>7-900-035-3214</t>
  </si>
  <si>
    <t>@KonstantinKazakov77</t>
  </si>
  <si>
    <t>예카테린부르크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</si>
  <si>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</si>
  <si>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</si>
  <si>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</si>
  <si>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</si>
  <si>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</si>
  <si>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</si>
  <si>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</si>
  <si>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</si>
  <si>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</si>
  <si>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</si>
  <si>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</si>
  <si>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</si>
  <si>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</si>
  <si>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</si>
  <si>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</si>
  <si>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</si>
  <si>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</si>
  <si>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</si>
  <si>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</si>
  <si>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</si>
  <si>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</si>
  <si>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</si>
  <si>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00410822-01083</t>
  </si>
  <si>
    <t>00410822-01081</t>
  </si>
  <si>
    <t>부-&gt;구역장</t>
  </si>
  <si>
    <t>Бусловский Роман Владимирович</t>
  </si>
  <si>
    <t>7-920-065-3888</t>
  </si>
  <si>
    <t>@Roman_Buslovskiy</t>
  </si>
  <si>
    <t>Джумашев Нурбек Кубанычбекович</t>
  </si>
  <si>
    <t>7-985-369-3591</t>
  </si>
  <si>
    <t>@nurbai1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</si>
  <si>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</si>
  <si>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</si>
  <si>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</si>
  <si>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</si>
  <si>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</si>
  <si>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</si>
  <si>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00420613-00105</t>
  </si>
  <si>
    <t>Малышев Игорь Сергеевич</t>
  </si>
  <si>
    <t>7-918-600-9088</t>
  </si>
  <si>
    <t>오렌부르크주</t>
  </si>
  <si>
    <t>00400530-00136</t>
  </si>
  <si>
    <t>우크라이나(키이우)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</si>
  <si>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</si>
  <si>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</si>
  <si>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</si>
  <si>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</si>
  <si>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</si>
  <si>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00410822-01093</t>
  </si>
  <si>
    <t>ИГНАТЬЕВ ЕВГЕНИЙ МИХАЙЛОВИЧ</t>
  </si>
  <si>
    <t>7-962-121-0324</t>
  </si>
  <si>
    <t>@Evgeny_Ignatiev</t>
  </si>
  <si>
    <t>상트페테르부르크</t>
  </si>
  <si>
    <t>00401127-01054</t>
  </si>
  <si>
    <t>우즈베키스탄(타슈켄트)</t>
  </si>
  <si>
    <t>Знаменский Олег Олегович</t>
  </si>
  <si>
    <t>996-77-218-8014</t>
  </si>
  <si>
    <t>@C_k_u_M_e_H</t>
  </si>
  <si>
    <t>이식쿨주, 발릭치시</t>
  </si>
  <si>
    <t>00421016-05755</t>
  </si>
  <si>
    <t>스탈니첸코야로슬라프니콜라예비치</t>
  </si>
  <si>
    <t>Стальниченко Ярослав Николаевич</t>
  </si>
  <si>
    <t>7-951-645-3962</t>
  </si>
  <si>
    <t>러시아(우크라이나인)</t>
  </si>
  <si>
    <t>00361031-00489</t>
  </si>
  <si>
    <t>00390826-00081</t>
  </si>
  <si>
    <t>Степанова Анастасия</t>
  </si>
  <si>
    <t>(7-982)7556271/카톡: SteyshaVaughan</t>
  </si>
  <si>
    <t>@likeyz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</si>
  <si>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</si>
  <si>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</si>
  <si>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</si>
  <si>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</si>
  <si>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</si>
  <si>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</si>
  <si>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00410822-01090</t>
  </si>
  <si>
    <t>Иванов Владислав Андреевич</t>
  </si>
  <si>
    <t>7-996-108-2460</t>
  </si>
  <si>
    <t>@Reidamus</t>
  </si>
  <si>
    <t>바시키르 공화국</t>
  </si>
  <si>
    <t>00400530-00169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</si>
  <si>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</si>
  <si>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</si>
  <si>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</si>
  <si>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</si>
  <si>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벨라루스(러시아)</t>
  </si>
  <si>
    <t>레치자</t>
  </si>
  <si>
    <t>00381122-00023</t>
  </si>
  <si>
    <t>Дьячкова Виктория</t>
  </si>
  <si>
    <t>7-908-916-93-18</t>
  </si>
  <si>
    <t>@vi_win</t>
  </si>
  <si>
    <t>아스베스트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</si>
  <si>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</si>
  <si>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</si>
  <si>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</si>
  <si>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</si>
  <si>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</si>
  <si>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</si>
  <si>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</si>
  <si>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</si>
  <si>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</si>
  <si>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</si>
  <si>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</si>
  <si>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00401127-01063</t>
  </si>
  <si>
    <t>Баброва Дзіяна Сцяпанаўна</t>
  </si>
  <si>
    <t>375-29-214-6353</t>
  </si>
  <si>
    <t>@dianabobrova7</t>
  </si>
  <si>
    <t>호멜주 레치차시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</si>
  <si>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</si>
  <si>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</si>
  <si>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</si>
  <si>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</si>
  <si>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</si>
  <si>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</si>
  <si>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00410326-00110</t>
  </si>
  <si>
    <t>00400819-00488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</si>
  <si>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</si>
  <si>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</si>
  <si>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</si>
  <si>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</si>
  <si>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</si>
  <si>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구역장-&gt; 부구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</si>
  <si>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</si>
  <si>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</si>
  <si>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</si>
  <si>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</si>
  <si>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민스크시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</si>
  <si>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</si>
  <si>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</si>
  <si>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</si>
  <si>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</si>
  <si>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</si>
  <si>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00400819-00493</t>
  </si>
  <si>
    <t xml:space="preserve">Галуц Яна Валерьевна </t>
  </si>
  <si>
    <t>375-33-619-9084</t>
  </si>
  <si>
    <t>@janka_galuts</t>
  </si>
  <si>
    <t>브레스트주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</si>
  <si>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</si>
  <si>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</si>
  <si>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</si>
  <si>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</si>
  <si>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</si>
  <si>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</si>
  <si>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</si>
  <si>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00350820-00002</t>
  </si>
  <si>
    <t>Тонких Валерия</t>
  </si>
  <si>
    <t>79299344309</t>
  </si>
  <si>
    <t>00410326-00103</t>
  </si>
  <si>
    <t>Лучия Парчу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</si>
  <si>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</si>
  <si>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</si>
  <si>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</si>
  <si>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</si>
  <si>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</si>
  <si>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</si>
  <si>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</si>
  <si>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00391111-00158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</si>
  <si>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</si>
  <si>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</si>
  <si>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</si>
  <si>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</si>
  <si>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</si>
  <si>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</si>
  <si>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</si>
  <si>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</si>
  <si>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</si>
  <si>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</si>
  <si>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00391111-00149</t>
  </si>
  <si>
    <t>야쿠츠크에서 파견사명 허락</t>
  </si>
  <si>
    <t>Зилинская Елена Леонидовна</t>
  </si>
  <si>
    <t>8-921-940-272</t>
  </si>
  <si>
    <t>@e04el</t>
  </si>
  <si>
    <t>핏야크, 크마오-유그라</t>
  </si>
  <si>
    <t>00401127-01045</t>
  </si>
  <si>
    <t>Бурнашева Наталья Викторовна</t>
  </si>
  <si>
    <t>7-909-777-0710</t>
  </si>
  <si>
    <t xml:space="preserve">@MurzilkaNati </t>
  </si>
  <si>
    <t>칼리닌그라드주, 칼리닌그라드시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</si>
  <si>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</si>
  <si>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</si>
  <si>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</si>
  <si>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</si>
  <si>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</si>
  <si>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</si>
  <si>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</si>
  <si>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</si>
  <si>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</si>
  <si>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</si>
  <si>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</si>
  <si>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</si>
  <si>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</si>
  <si>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</si>
  <si>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</si>
  <si>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00390826-00108</t>
  </si>
  <si>
    <t>00410523-00475</t>
  </si>
  <si>
    <t>8900-5839345</t>
  </si>
  <si>
    <t>@Lus1983</t>
  </si>
  <si>
    <t>무롬시</t>
  </si>
  <si>
    <t>Ароян Лусине Эмиковна</t>
  </si>
  <si>
    <t>7-908-926-5177</t>
  </si>
  <si>
    <t>@LusineHaroyan</t>
  </si>
  <si>
    <t>00410326-00084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</si>
  <si>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</si>
  <si>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</si>
  <si>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</si>
  <si>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</si>
  <si>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</si>
  <si>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00410326-00085</t>
  </si>
  <si>
    <t>Назарова Ольга Анатольевна</t>
  </si>
  <si>
    <t>7-902-258-4308</t>
  </si>
  <si>
    <t>@Onasar55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</si>
  <si>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</si>
  <si>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</si>
  <si>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</si>
  <si>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</si>
  <si>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</si>
  <si>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</si>
  <si>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00390826-00100</t>
  </si>
  <si>
    <t>부구역장예정</t>
  </si>
  <si>
    <t>굴리나마리나알렉산드로브나</t>
  </si>
  <si>
    <t>Гулина Марина Александровна</t>
  </si>
  <si>
    <t>7908-0429692</t>
  </si>
  <si>
    <t>@uxogul</t>
  </si>
  <si>
    <t>바칼시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</si>
  <si>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</si>
  <si>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</si>
  <si>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</si>
  <si>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</si>
  <si>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</si>
  <si>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</si>
  <si>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</si>
  <si>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</si>
  <si>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</si>
  <si>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</si>
  <si>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</si>
  <si>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00400227-01400</t>
  </si>
  <si>
    <t>00411226-00986</t>
  </si>
  <si>
    <t>Бажанова Наталья Владимировна</t>
  </si>
  <si>
    <t>7-747-850-0766</t>
  </si>
  <si>
    <t>@natalia_bazhanova</t>
  </si>
  <si>
    <t>00410326-00091</t>
  </si>
  <si>
    <t>Лобанова Ольга Анатольевна</t>
  </si>
  <si>
    <t>7-911-349-4962</t>
  </si>
  <si>
    <t>@LobanovaOlga72</t>
  </si>
  <si>
    <t>무르만스크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</si>
  <si>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</si>
  <si>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</si>
  <si>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</si>
  <si>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</si>
  <si>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</si>
  <si>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00401127-01041</t>
  </si>
  <si>
    <t>Бародзiч Святлана Мiкалаеуна</t>
  </si>
  <si>
    <t>375-29-557-0286</t>
  </si>
  <si>
    <t>@Light_svet27</t>
  </si>
  <si>
    <t>민스크주 민스크구 콜로디시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</si>
  <si>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</si>
  <si>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</si>
  <si>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</si>
  <si>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</si>
  <si>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</si>
  <si>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흐로드나 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</si>
  <si>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</si>
  <si>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</si>
  <si>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</si>
  <si>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</si>
  <si>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</si>
  <si>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출결제외해지(2025/2/10~25/3/09)</t>
  </si>
  <si>
    <t>00410326-00095</t>
  </si>
  <si>
    <t>Арычкова Нина Александровна</t>
  </si>
  <si>
    <t>7-927-717-1795</t>
  </si>
  <si>
    <t>@ArihkovaN</t>
  </si>
  <si>
    <t>사마라</t>
  </si>
  <si>
    <t>00410523-00472</t>
  </si>
  <si>
    <t>00401127-01026</t>
  </si>
  <si>
    <t>АЛИЕВА АЛЛА АЛМАХАНОВНА</t>
  </si>
  <si>
    <t>7-952-089-6711</t>
  </si>
  <si>
    <t>@aveilalo7</t>
  </si>
  <si>
    <t>Билокинь Лариса Викторовна</t>
  </si>
  <si>
    <t>7-996-161-0528</t>
  </si>
  <si>
    <t>@Larisa3344</t>
  </si>
  <si>
    <t>오룔주, 리브니 세르기예프스코마을</t>
  </si>
  <si>
    <t>00410523-00461</t>
  </si>
  <si>
    <t>Оконешникова Наиля Шамильевна</t>
  </si>
  <si>
    <t>7-916-771-4813</t>
  </si>
  <si>
    <t>@Nelysok59</t>
  </si>
  <si>
    <t>00400819-00464</t>
  </si>
  <si>
    <t xml:space="preserve">Герасимова Валентина Сергеевна </t>
  </si>
  <si>
    <t>375-29-240-4591</t>
  </si>
  <si>
    <t>@leto140200</t>
  </si>
  <si>
    <t>민스크주</t>
  </si>
  <si>
    <t>00410523-00463</t>
  </si>
  <si>
    <t>Усачёва Людмила Борисовна</t>
  </si>
  <si>
    <t>7-951-707-7012</t>
  </si>
  <si>
    <t>@Ludmila12300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</si>
  <si>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</si>
  <si>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</si>
  <si>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</si>
  <si>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</si>
  <si>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</si>
  <si>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00391111-00147</t>
  </si>
  <si>
    <t>00410326-00078</t>
  </si>
  <si>
    <t>9구역</t>
  </si>
  <si>
    <t>Минасова Галина Евгеньевна</t>
  </si>
  <si>
    <t>7-925-525-1169</t>
  </si>
  <si>
    <t>@Galinaminasova</t>
  </si>
  <si>
    <t>모스크바 지역, 루자, 투치코보</t>
  </si>
  <si>
    <t>Федченко Елена Александровна</t>
  </si>
  <si>
    <t>7-965-258-8596</t>
  </si>
  <si>
    <t>@elaf3755</t>
  </si>
  <si>
    <t>00400819-00457</t>
  </si>
  <si>
    <t>Катамадзе Лариса (ქათამაძე ლარისა)</t>
  </si>
  <si>
    <t>995-59-311-1825</t>
  </si>
  <si>
    <t>@Enri1952</t>
  </si>
  <si>
    <t>조지아</t>
  </si>
  <si>
    <t>아자리야공화국</t>
  </si>
  <si>
    <t>00410326-00076</t>
  </si>
  <si>
    <t>부구면직</t>
  </si>
  <si>
    <t>Ковальчук Людмила Викторовна</t>
  </si>
  <si>
    <t>7-982-185-5145</t>
  </si>
  <si>
    <t>@ljyda89</t>
  </si>
  <si>
    <t>00410326-00074</t>
  </si>
  <si>
    <t>Мухаметова Рида Исмагиловна</t>
  </si>
  <si>
    <t>7-917-368-8817</t>
  </si>
  <si>
    <t>출결제외해지(25/5/28~8/10)</t>
  </si>
  <si>
    <t>거동불가(노환, 중병환자)</t>
  </si>
  <si>
    <t>사명자10구역</t>
  </si>
  <si>
    <t>00401127-01030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</si>
  <si>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</si>
  <si>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</si>
  <si>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</si>
  <si>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</si>
  <si>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00390826-00079</t>
  </si>
  <si>
    <t>러시아모스크바새신자</t>
  </si>
  <si>
    <t>Петросян Асмик Ишхановна</t>
  </si>
  <si>
    <t>8992-018-4886</t>
  </si>
  <si>
    <t>@hasmikpetrosyan7</t>
  </si>
  <si>
    <t>크라스노투린스크</t>
  </si>
  <si>
    <t>00411010-02049</t>
  </si>
  <si>
    <t>Баранова Дарья Сергеевна</t>
  </si>
  <si>
    <t>7-952-085-6228</t>
  </si>
  <si>
    <t>@the_true_vine</t>
  </si>
  <si>
    <t>트베르주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</si>
  <si>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</si>
  <si>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</si>
  <si>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</si>
  <si>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</si>
  <si>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</si>
  <si>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</si>
  <si>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</si>
  <si>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</si>
  <si>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</si>
  <si>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벨고로드주</t>
  </si>
  <si>
    <t>00420613-00110</t>
  </si>
  <si>
    <t>Билокинь Валерия Васильевна</t>
  </si>
  <si>
    <t>7-980-107-5052</t>
  </si>
  <si>
    <t>오룔주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</si>
  <si>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</si>
  <si>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</si>
  <si>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</si>
  <si>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</si>
  <si>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</si>
  <si>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</si>
  <si>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니즈니노브고로드주</t>
  </si>
  <si>
    <t>00401127-01064</t>
  </si>
  <si>
    <t>Юзіпчук Маргарыта Русланаўна</t>
  </si>
  <si>
    <t>375-29-177-8700</t>
  </si>
  <si>
    <t>@margarytayuzipchuk</t>
  </si>
  <si>
    <t>00430115-00903</t>
  </si>
  <si>
    <t>소히봅보그단페루조비치</t>
  </si>
  <si>
    <t>Сохибов Богдан Ферузович</t>
  </si>
  <si>
    <t>7-911-868-4710</t>
  </si>
  <si>
    <t>칼리닌그라드주</t>
  </si>
  <si>
    <t>153-5기유년회</t>
  </si>
  <si>
    <t>00430115-00902</t>
  </si>
  <si>
    <t>마몬토브막심세르게예비치</t>
  </si>
  <si>
    <t>Мамонтов Максим Сергеевич</t>
  </si>
  <si>
    <t>7-953-542-3964</t>
  </si>
  <si>
    <t>카렐리야 공화국</t>
  </si>
  <si>
    <t>00410523-00481</t>
  </si>
  <si>
    <t>00411010-02043</t>
  </si>
  <si>
    <t>Шамардина Анжелика Вячеславовна</t>
  </si>
  <si>
    <t>7-926-835-6393</t>
  </si>
  <si>
    <t>@AngelikaShamardina</t>
  </si>
  <si>
    <t>00411226-00993</t>
  </si>
  <si>
    <t>Бажина Ирина Александровна</t>
  </si>
  <si>
    <t>7-951-707-9810</t>
  </si>
  <si>
    <t>오룔</t>
  </si>
  <si>
    <t>00420306-00101</t>
  </si>
  <si>
    <t>SAVTCHIENKO CORBOBESSE OLGA VIKTOROVNA</t>
  </si>
  <si>
    <t>33-66-577-9393</t>
  </si>
  <si>
    <t>@Oviky7</t>
  </si>
  <si>
    <t>프랑스</t>
  </si>
  <si>
    <t>모르생스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</si>
  <si>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</si>
  <si>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</si>
  <si>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</si>
  <si>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</si>
  <si>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</si>
  <si>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00420613-00104</t>
  </si>
  <si>
    <t>КАРНАУХОВА ВЕРОНИКА ВАСИЛЬЕВНА</t>
  </si>
  <si>
    <t>7-960-997-0110</t>
  </si>
  <si>
    <t>쿠르스크주</t>
  </si>
  <si>
    <t>00421016-05758</t>
  </si>
  <si>
    <t>다슉인나블라디미로브나</t>
  </si>
  <si>
    <t>Дашук Инна Владимировна</t>
  </si>
  <si>
    <t>375-29-647-3655</t>
  </si>
  <si>
    <t>벨라루스(러시아인)</t>
  </si>
  <si>
    <t>고멜주, 모지르시</t>
  </si>
  <si>
    <t>00430115-00897</t>
  </si>
  <si>
    <t>마르트노바발레리야발레리예브나</t>
  </si>
  <si>
    <t>Мартынова Валерия Валерьевна</t>
  </si>
  <si>
    <t>7-969-746-8843</t>
  </si>
  <si>
    <t>00400227-01386</t>
  </si>
  <si>
    <t>Мисикова Тамара Ивановна</t>
  </si>
  <si>
    <t>7-922-709-0151</t>
  </si>
  <si>
    <t>@Tamara_186</t>
  </si>
  <si>
    <t>한티만시스크</t>
  </si>
  <si>
    <t>00411226-00980</t>
  </si>
  <si>
    <t>Соболева Ольга Яковлевна</t>
  </si>
  <si>
    <t>7-908-910-0160</t>
  </si>
  <si>
    <t>@Soboleva_68</t>
  </si>
  <si>
    <t>00420306-00084</t>
  </si>
  <si>
    <t>Волохова Наталья Фёдоровна</t>
  </si>
  <si>
    <t>7-921-033-7704</t>
  </si>
  <si>
    <t>@Natali67o</t>
  </si>
  <si>
    <t>00411226-00979</t>
  </si>
  <si>
    <t>Файзуллина Гульнара Гиндулловна</t>
  </si>
  <si>
    <t>7-919-613-0561</t>
  </si>
  <si>
    <t xml:space="preserve"> @cemia41</t>
  </si>
  <si>
    <t>바시키르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</si>
  <si>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</si>
  <si>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</si>
  <si>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</si>
  <si>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</si>
  <si>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</si>
  <si>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00420306-00091</t>
  </si>
  <si>
    <t>КЛЯЙН МАРИНА ГЕНРИХОВНА</t>
  </si>
  <si>
    <t>7-904-459-7959</t>
  </si>
  <si>
    <t>@Marina_180963</t>
  </si>
  <si>
    <t>00420306-00093</t>
  </si>
  <si>
    <t>Текебаева Гульнара Шаршеевна</t>
  </si>
  <si>
    <t>7-962-918-2397</t>
  </si>
  <si>
    <t>@gulnara0564</t>
  </si>
  <si>
    <t>00420613-00126</t>
  </si>
  <si>
    <t>ДАВИДОВИЧ ЛИДИЯ НИКОЛАЕВНА</t>
  </si>
  <si>
    <t>7-904-854-2368</t>
  </si>
  <si>
    <t>펜자주</t>
  </si>
  <si>
    <t>00420306-00098</t>
  </si>
  <si>
    <t>Юмагузина Венера Салиховна</t>
  </si>
  <si>
    <t>7-908-051-3545</t>
  </si>
  <si>
    <t>@YumaguzinaVenera</t>
  </si>
  <si>
    <t>첼랴빈스크</t>
  </si>
  <si>
    <t>00430115-00894</t>
  </si>
  <si>
    <t>00390826-00080</t>
  </si>
  <si>
    <t>마나옌코바이리나아나톨리예브나</t>
  </si>
  <si>
    <t>Манаенкова Ирина Анатольевна</t>
  </si>
  <si>
    <t>7-950-805-1421</t>
  </si>
  <si>
    <t>리페츠크주</t>
  </si>
  <si>
    <t>00410523-00469</t>
  </si>
  <si>
    <t>00350330-00156</t>
  </si>
  <si>
    <t>Чекмазова Татьяна Ивановна</t>
  </si>
  <si>
    <t>7-977-805-0017</t>
  </si>
  <si>
    <t>@Tatjanyshka_svetlaja</t>
  </si>
  <si>
    <t>00420306-00112</t>
  </si>
  <si>
    <t>00390826-00082</t>
  </si>
  <si>
    <t>Улаева Лариса Александровна</t>
  </si>
  <si>
    <t>7-926-374-5742</t>
  </si>
  <si>
    <t>@lorik_2340</t>
  </si>
  <si>
    <t>00420613-00132</t>
  </si>
  <si>
    <t>Краснова Оксана Леонидовна</t>
  </si>
  <si>
    <t>7-952-803-9368</t>
  </si>
  <si>
    <t>레닌그라드주, 브세볼로스크</t>
  </si>
  <si>
    <t>00420613-00128</t>
  </si>
  <si>
    <t>КОНОНОВА ЕЛЕНА ВАСИЛЬЕВНА</t>
  </si>
  <si>
    <t>7-929-571-8303</t>
  </si>
  <si>
    <t>모스크바주, 보스크레센스크</t>
  </si>
  <si>
    <t>00420613-00130</t>
  </si>
  <si>
    <t>Гаврилова Елена Алексеевна</t>
  </si>
  <si>
    <t>7-914-178-4286</t>
  </si>
  <si>
    <t>00420306-00099</t>
  </si>
  <si>
    <t>네페도바나탈리야블라디미로브나</t>
  </si>
  <si>
    <t>Нефедова Наталья Владимировна</t>
  </si>
  <si>
    <t>7-908-491-2612</t>
  </si>
  <si>
    <t>@NEFNATA</t>
  </si>
  <si>
    <t>울랴노브스크</t>
  </si>
  <si>
    <t>00411010-02031</t>
  </si>
  <si>
    <t>최베네라아파나시예브나</t>
  </si>
  <si>
    <t>Цой Венера Афанасьевна</t>
  </si>
  <si>
    <t>7-901-726-2578</t>
  </si>
  <si>
    <t>@tsoivenera</t>
  </si>
  <si>
    <t>00421016-05753</t>
  </si>
  <si>
    <t>스비리도바나탈리야유리예브나</t>
  </si>
  <si>
    <t>СВlРЫДАВА НАТАЛЛЯ ЮРЕУНА</t>
  </si>
  <si>
    <t>375-29-726-5183</t>
  </si>
  <si>
    <t>고멜주, 나로블랴시</t>
  </si>
  <si>
    <t>00421016-05752</t>
  </si>
  <si>
    <t>쉬베이키나옐레나표도로브나</t>
  </si>
  <si>
    <t>ШВЕЙКIНА АЛЕНА ФЕДАРАУНА</t>
  </si>
  <si>
    <t>375-29-563-4134</t>
  </si>
  <si>
    <t>벨라루스(우크라이나인)</t>
  </si>
  <si>
    <t>고멜주,  모지르시</t>
  </si>
  <si>
    <t>00430115-00893</t>
  </si>
  <si>
    <t>네즈도이미노브갈리나알렉산드로브나</t>
  </si>
  <si>
    <t>НЕЗДАЙМІНАВА ГАЛІНА АЛЯКСАНДРАЎНА</t>
  </si>
  <si>
    <t xml:space="preserve">375-029-356-7190
</t>
  </si>
  <si>
    <t xml:space="preserve">벨라루스
</t>
  </si>
  <si>
    <t>Михалевская Надежда Ильясовна</t>
  </si>
  <si>
    <t>7-920-894-0655</t>
  </si>
  <si>
    <t>@Strong2408</t>
  </si>
  <si>
    <t>칼루가</t>
  </si>
  <si>
    <t>00421016-05748</t>
  </si>
  <si>
    <t>블린코바류드밀라이바노브나</t>
  </si>
  <si>
    <t>БЛИНКОВА ЛЮДМИЛА ИВАНОВНА</t>
  </si>
  <si>
    <t>7-977-632-9331</t>
  </si>
  <si>
    <t>모스크바 보스크레센스크</t>
  </si>
  <si>
    <t>00421016-05751</t>
  </si>
  <si>
    <t>김메르세데스보리소브나</t>
  </si>
  <si>
    <t>Ким Мерседес Борисовна</t>
  </si>
  <si>
    <t>7-987-331-8215</t>
  </si>
  <si>
    <t>러시아(키르기스)</t>
  </si>
  <si>
    <t>사라토프주, 엥겔스지역</t>
  </si>
  <si>
    <t>00421016-05747</t>
  </si>
  <si>
    <t>데멘코옐레나아니소브나</t>
  </si>
  <si>
    <t>Деменко Елена Анисовна</t>
  </si>
  <si>
    <t>7-916-977-5182</t>
  </si>
  <si>
    <t>00421016-05749</t>
  </si>
  <si>
    <t>스베틀로바스베틀라나이바노브나</t>
  </si>
  <si>
    <t>Светлова Светлана Ивановна</t>
  </si>
  <si>
    <t>7-939-345-1097</t>
  </si>
  <si>
    <t>타타르스탄공화국, 니즈네캄스크시</t>
  </si>
  <si>
    <t>00421016-05746</t>
  </si>
  <si>
    <t>티모노바갈리나스테파노브나</t>
  </si>
  <si>
    <t>ЦIМАНАВА ГАЛIНА СЦЯПАНАУНА</t>
  </si>
  <si>
    <t>375-29-234-7395</t>
  </si>
  <si>
    <t>민스크주, 솔리고르스크 지역</t>
  </si>
  <si>
    <t>00421016-05750</t>
  </si>
  <si>
    <t>보로비요바이리나파블로브나</t>
  </si>
  <si>
    <t>Воробьёва Ирина Павловна</t>
  </si>
  <si>
    <t>7-932-607-5142</t>
  </si>
  <si>
    <t>스베르들롭스크주, 탈리차시</t>
  </si>
  <si>
    <t>00421016-05754</t>
  </si>
  <si>
    <t>크를로바옐레나이바노브나</t>
  </si>
  <si>
    <t>Крылова Елена Ивановна</t>
  </si>
  <si>
    <t>7-977-314-9040</t>
  </si>
  <si>
    <t>모스크바, 탈돔시</t>
  </si>
  <si>
    <t>00410326-00111</t>
  </si>
  <si>
    <t>00410523-00488</t>
  </si>
  <si>
    <t>새6구역</t>
  </si>
  <si>
    <t>오코네쉬니코바알리나세르게예브나</t>
  </si>
  <si>
    <t>Оконешникова Алина Сергеевна</t>
  </si>
  <si>
    <t>@secretpatient</t>
  </si>
  <si>
    <t>ИГНАТЬЕВА АНАСТАСИЯ ВИТАЛЬЕВНА</t>
  </si>
  <si>
    <t>7-911-157-5815</t>
  </si>
  <si>
    <t>@NastyaIgnatyeva20</t>
  </si>
  <si>
    <t>출결제외해지(42/02/16)</t>
  </si>
  <si>
    <t>00411226-00996</t>
  </si>
  <si>
    <t>ПОПОВА ЮЛИЯ АНДРЕЕВНА</t>
  </si>
  <si>
    <t>7-917-488-7533</t>
  </si>
  <si>
    <t>@julyaiva</t>
  </si>
  <si>
    <t>00421016-05761</t>
  </si>
  <si>
    <t>첵마조바마르가리타알렉산드로브나</t>
  </si>
  <si>
    <t>Чекмазова Маргарита Александровна</t>
  </si>
  <si>
    <t>7-901-780-2120</t>
  </si>
  <si>
    <t>모스크바, 힘키시</t>
  </si>
  <si>
    <t>00421016-05760</t>
  </si>
  <si>
    <t>키리축빅토리야빅토로브나</t>
  </si>
  <si>
    <t>Киричук Виктория Викторовна</t>
  </si>
  <si>
    <t>372-58-36-7171</t>
  </si>
  <si>
    <t>러시아(우크라이나)</t>
  </si>
  <si>
    <t>에스토니아</t>
  </si>
  <si>
    <t>이다-비루 주, 나르바시</t>
  </si>
  <si>
    <t>00430115-00901</t>
  </si>
  <si>
    <t>사부타안나데니소브나</t>
  </si>
  <si>
    <t>Савута Анна Денисовна</t>
  </si>
  <si>
    <t>7-953-550-6473</t>
  </si>
  <si>
    <t xml:space="preserve">00430115-00898 </t>
  </si>
  <si>
    <t>크바슈크마리나알렉세예브나</t>
  </si>
  <si>
    <t>Кващук Марина Алексеевна</t>
  </si>
  <si>
    <t>7-920-599-9344</t>
  </si>
  <si>
    <t>00430115-00900</t>
  </si>
  <si>
    <t>벨로우소바옐리자베타페트로브나</t>
  </si>
  <si>
    <t>Белоусова Елизавета Петровна</t>
  </si>
  <si>
    <t>7-952-468-5996</t>
  </si>
  <si>
    <t>00420306-00102</t>
  </si>
  <si>
    <t>새7구역</t>
  </si>
  <si>
    <t>Бусловская Ольга Геннадьевна</t>
  </si>
  <si>
    <t>7-950-600-6385</t>
  </si>
  <si>
    <t>@Buslovskaya_Olga</t>
  </si>
  <si>
    <t>Рыбакова Алена Аляксандрауна</t>
  </si>
  <si>
    <t>375-29-551-1193</t>
  </si>
  <si>
    <t>@alenaribakova</t>
  </si>
  <si>
    <t>00421016-05759</t>
  </si>
  <si>
    <t>캄쉬나옐레나라파일로브나</t>
  </si>
  <si>
    <t>Камшина Елена Рафаиловна</t>
  </si>
  <si>
    <t>7-951-448-1474</t>
  </si>
  <si>
    <t>첼랴빈스크주, 첼랴빈스크시</t>
  </si>
  <si>
    <t>00421016-05756</t>
  </si>
  <si>
    <t>타르하노바주흐라라이소브나</t>
  </si>
  <si>
    <t>Тарханова Зухра Раисовна</t>
  </si>
  <si>
    <t>7-964-964-0375</t>
  </si>
  <si>
    <t>바시키르공화국, 라게레보마을</t>
  </si>
  <si>
    <t>00421016-05757</t>
  </si>
  <si>
    <t>스베틀로바안나알렉산드로브나</t>
  </si>
  <si>
    <t>СВЕТЛОВА АННА АЛЕКСАНДРОВНА</t>
  </si>
  <si>
    <t>7-968-410-8108</t>
  </si>
  <si>
    <t>모스크바, 보스크레센스크시</t>
  </si>
  <si>
    <t>00430115-00910</t>
  </si>
  <si>
    <t>크바슈크옐레나알렉산드로브나</t>
  </si>
  <si>
    <t xml:space="preserve">Кващук Елена Александровна 
</t>
  </si>
  <si>
    <t>7-920-595-9336</t>
  </si>
  <si>
    <t>굽킨</t>
  </si>
  <si>
    <t>00430115-00896</t>
  </si>
  <si>
    <t>하이다로바줄피야탈가티예브나</t>
  </si>
  <si>
    <t>Хайдарова Зульфия Талгатьевна</t>
  </si>
  <si>
    <t>7-906-394-1115</t>
  </si>
  <si>
    <t>울리야놉스크</t>
  </si>
  <si>
    <t>00410822-01062</t>
  </si>
  <si>
    <t>러시아 자문</t>
  </si>
  <si>
    <t>오브친니코바이리나예브게니예브나</t>
  </si>
  <si>
    <t>Овчинникова Ирина Евгеньевна</t>
  </si>
  <si>
    <t>7-961-695-1923</t>
  </si>
  <si>
    <t>볼고그라드</t>
  </si>
  <si>
    <t>간경화로 입원(25/01/05)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</si>
  <si>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</si>
  <si>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</si>
  <si>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</si>
  <si>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</si>
  <si>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</si>
  <si>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00400819-00482</t>
  </si>
  <si>
    <t>러시아장결</t>
  </si>
  <si>
    <t>장기결석</t>
  </si>
  <si>
    <t>파니나크리스티나아나톨리예브나</t>
  </si>
  <si>
    <t>Панина Кристина Анатольевна</t>
  </si>
  <si>
    <t>7-985-759-2803</t>
  </si>
  <si>
    <t>모스크바주</t>
  </si>
  <si>
    <t>00411226-00984</t>
  </si>
  <si>
    <t>Кулакова Светлана Александровна</t>
  </si>
  <si>
    <t>7-953-813-7627</t>
  </si>
  <si>
    <t>야쿠츠크부녀팀장장</t>
  </si>
  <si>
    <t>00410822-01084</t>
  </si>
  <si>
    <t>러시아(야쿠츠크)</t>
  </si>
  <si>
    <t>야쿠츠크 부녀</t>
  </si>
  <si>
    <t>00420306-00105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</si>
  <si>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</si>
  <si>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</si>
  <si>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</si>
  <si>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</si>
  <si>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</si>
  <si>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Кунучакова Алёна Александровна</t>
  </si>
  <si>
    <t>7-983-272-2499</t>
  </si>
  <si>
    <t>@Alena387</t>
  </si>
  <si>
    <t>하카시아공화국, 아스키즈 구역</t>
  </si>
  <si>
    <t>00411010-02042</t>
  </si>
  <si>
    <t>일리나올가페트로브나</t>
  </si>
  <si>
    <t>Ильина Ольга Петровна</t>
  </si>
  <si>
    <t>7-908-668-5505</t>
  </si>
  <si>
    <t>@ilina_op</t>
  </si>
  <si>
    <t>이르쿠츠크주</t>
  </si>
  <si>
    <t>00420306-00107</t>
  </si>
  <si>
    <t>Турсунова Маргарита Сергеевна</t>
  </si>
  <si>
    <t>7-993-556-4188</t>
  </si>
  <si>
    <t>@Margarita90_Zhemchug</t>
  </si>
  <si>
    <t>하카시아공화국</t>
  </si>
  <si>
    <t>00400530-00147</t>
  </si>
  <si>
    <t>포포바안나니콜라예브나</t>
  </si>
  <si>
    <t>Попова Анна</t>
  </si>
  <si>
    <t>7-914-225-9851</t>
  </si>
  <si>
    <t>@popova_anya97</t>
  </si>
  <si>
    <t>사하공화국</t>
  </si>
  <si>
    <t>00400530-00138</t>
  </si>
  <si>
    <t>즈판디나이다미하일로브나</t>
  </si>
  <si>
    <t>Цыпандина Ида Михайловна</t>
  </si>
  <si>
    <t>8-914-237-9155</t>
  </si>
  <si>
    <t>@GromovaIda</t>
  </si>
  <si>
    <t>출산(41/6/18~7/31)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</si>
  <si>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</si>
  <si>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</si>
  <si>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</si>
  <si>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</si>
  <si>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</si>
  <si>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</si>
  <si>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00430115-00899</t>
  </si>
  <si>
    <t>골반아리나바실리예브나</t>
  </si>
  <si>
    <t>Голбан Арина Васильевна</t>
  </si>
  <si>
    <t>7-923-563-5626</t>
  </si>
  <si>
    <t>알타이 지방</t>
  </si>
  <si>
    <t>00391111-00159</t>
  </si>
  <si>
    <t>00390826-00107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</si>
  <si>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</si>
  <si>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</si>
  <si>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</si>
  <si>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</si>
  <si>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</si>
  <si>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바세니나올가알렉산드로브나</t>
  </si>
  <si>
    <t>Васенина Ольга Александровна</t>
  </si>
  <si>
    <t>8950-5862033</t>
  </si>
  <si>
    <t>@Olga05051980</t>
  </si>
  <si>
    <t>케메로보시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</si>
  <si>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</si>
  <si>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</si>
  <si>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</si>
  <si>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</si>
  <si>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</si>
  <si>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00410523-00480</t>
  </si>
  <si>
    <t>ГУБАНЕНКО ИРИНА ЛЕОНИДОВНА</t>
  </si>
  <si>
    <t>7-905-906-9505</t>
  </si>
  <si>
    <t>@Irina_Gubanenko</t>
  </si>
  <si>
    <t>케메로보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</si>
  <si>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</si>
  <si>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</si>
  <si>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</si>
  <si>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</si>
  <si>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</si>
  <si>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</si>
  <si>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</si>
  <si>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</si>
  <si>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</si>
  <si>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</si>
  <si>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00401127-01011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</si>
  <si>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</si>
  <si>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</si>
  <si>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</si>
  <si>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</si>
  <si>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</si>
  <si>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</si>
  <si>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</si>
  <si>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</si>
  <si>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</si>
  <si>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00420613-00125</t>
  </si>
  <si>
    <t>글라드키크타마라알렉산드로브나</t>
  </si>
  <si>
    <t>ГЛАДКИХ ТАМАРА АЛЕКСАНДРОВНА</t>
  </si>
  <si>
    <t>첼랴빈스크주</t>
  </si>
  <si>
    <t>첼랴빈스크주, 유즈노우랄스크</t>
  </si>
  <si>
    <t>00420613-00127</t>
  </si>
  <si>
    <t>Семяхина Татьяна Павловна</t>
  </si>
  <si>
    <t>7-913-459-2029</t>
  </si>
  <si>
    <t>노보시비르스크주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</si>
  <si>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</si>
  <si>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</si>
  <si>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</si>
  <si>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</si>
  <si>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</si>
  <si>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00420306-00083</t>
  </si>
  <si>
    <t>Кулакова Ирина Михайловна</t>
  </si>
  <si>
    <t>7-924-628-4215</t>
  </si>
  <si>
    <t>@Irina58_19</t>
  </si>
  <si>
    <t>앙가르스크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</si>
  <si>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</si>
  <si>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</si>
  <si>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</si>
  <si>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</si>
  <si>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</si>
  <si>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00410326-00079</t>
  </si>
  <si>
    <t>Плотникова Наталья Михайловна</t>
  </si>
  <si>
    <t>7-927-187-6088</t>
  </si>
  <si>
    <t>@NatalyaPlotnikova58</t>
  </si>
  <si>
    <t>사할린</t>
  </si>
  <si>
    <t>00410822-01058</t>
  </si>
  <si>
    <t>Топоровская Людмила Александровна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</si>
  <si>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</si>
  <si>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</si>
  <si>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</si>
  <si>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</si>
  <si>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</si>
  <si>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</si>
  <si>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00400227-01408</t>
  </si>
  <si>
    <t>Атажанова Екатерина Олеговна</t>
  </si>
  <si>
    <t>7-914-787-4461</t>
  </si>
  <si>
    <t>@atazhanovakatya</t>
  </si>
  <si>
    <t>페트로파블로프스크 캄차츠키시</t>
  </si>
  <si>
    <t>-3 or -4</t>
  </si>
  <si>
    <t>00390826-00063</t>
  </si>
  <si>
    <t>김옐리자베타페트로브나</t>
  </si>
  <si>
    <t>Ким Елизавета Петровна</t>
  </si>
  <si>
    <t>우수리스크</t>
  </si>
  <si>
    <t>00410326-00090</t>
  </si>
  <si>
    <t>Исаева Анна Аркадьевна</t>
  </si>
  <si>
    <t>7-924-656-6951</t>
  </si>
  <si>
    <t>@annanikakat</t>
  </si>
  <si>
    <t>부라티야공화국</t>
  </si>
  <si>
    <t>00411226-00972</t>
  </si>
  <si>
    <t>Баранова Надежда Алексеевна</t>
  </si>
  <si>
    <t>7-950-279-7651</t>
  </si>
  <si>
    <t>@Nadia_1362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</si>
  <si>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</si>
  <si>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</si>
  <si>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</si>
  <si>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</si>
  <si>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</si>
  <si>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</si>
  <si>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</si>
  <si>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</si>
  <si>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</si>
  <si>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</si>
  <si>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</si>
  <si>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</si>
  <si>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</si>
  <si>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</si>
  <si>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</si>
  <si>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00420306-00095</t>
  </si>
  <si>
    <t>ЕДИНАРХОВА ОЛЬГА ВЛАДИМИРОВНА</t>
  </si>
  <si>
    <t>7-913-715-4557</t>
  </si>
  <si>
    <t>@Olga65e</t>
  </si>
  <si>
    <t>노보시비르스크</t>
  </si>
  <si>
    <t>00410326-00087</t>
  </si>
  <si>
    <t>Оюн Оксана Куштарановна</t>
  </si>
  <si>
    <t>7-913-342-2490</t>
  </si>
  <si>
    <t>투바공화국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</si>
  <si>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</si>
  <si>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</si>
  <si>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</si>
  <si>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</si>
  <si>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</si>
  <si>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</si>
  <si>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야쿠츠크 장년</t>
  </si>
  <si>
    <t xml:space="preserve">@kanVladimir7 </t>
  </si>
  <si>
    <t>00420306-00100</t>
  </si>
  <si>
    <t>Рульков Игорь Александрович</t>
  </si>
  <si>
    <t>7-952-167-7171</t>
  </si>
  <si>
    <t>@Igor_Rulkiv</t>
  </si>
  <si>
    <t>프로코피옙스크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</si>
  <si>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</si>
  <si>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</si>
  <si>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</si>
  <si>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</si>
  <si>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</si>
  <si>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</si>
  <si>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</si>
  <si>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</si>
  <si>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</si>
  <si>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</si>
  <si>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</si>
  <si>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</si>
  <si>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</si>
  <si>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00391111-00162</t>
  </si>
  <si>
    <t>Евдокимов Роман Евгеньевич</t>
  </si>
  <si>
    <t>8-983-202-6063</t>
  </si>
  <si>
    <t>@r0man1990</t>
  </si>
  <si>
    <t>크라스노야르스크</t>
  </si>
  <si>
    <t>00430115-00895</t>
  </si>
  <si>
    <t>야코블렙이반이바노비치</t>
  </si>
  <si>
    <t>Яковлев Иван Иванович</t>
  </si>
  <si>
    <t>7-962-732-8999</t>
  </si>
  <si>
    <t>사하 공화국</t>
  </si>
  <si>
    <t>00400530-00142</t>
  </si>
  <si>
    <t xml:space="preserve"> Кулешова Сардана Сергеевна</t>
  </si>
  <si>
    <t>7-914-235-3571</t>
  </si>
  <si>
    <t>@o_sardana_Mas_wrestling</t>
  </si>
  <si>
    <t>00420306-00110</t>
  </si>
  <si>
    <t>야쿠츠크 학생</t>
  </si>
  <si>
    <t>КУНУЧАКОВА НАТАЛЬЯ АРТУРОВНА</t>
  </si>
  <si>
    <t>7-950-304-2949</t>
  </si>
  <si>
    <t>@Natalia14173</t>
  </si>
  <si>
    <t>00420613-00112</t>
  </si>
  <si>
    <t>Голбан Богдан Васильевич</t>
  </si>
  <si>
    <t>7-960-954-8472</t>
  </si>
  <si>
    <t>00400227-01434</t>
  </si>
  <si>
    <t>Васенин Кирилл Александрович</t>
  </si>
  <si>
    <t>7-904-576-2185</t>
  </si>
  <si>
    <t>@Hellogoodbau</t>
  </si>
  <si>
    <t>케메로브 쿠즈바스지역</t>
  </si>
  <si>
    <t>00421016-05762</t>
  </si>
  <si>
    <t>투르수노바다리야파르호도브나</t>
  </si>
  <si>
    <t>ТУРСУНОВА ДАРЬЯ ФАРХОДОВНА</t>
  </si>
  <si>
    <t>7-995-373-4158</t>
  </si>
  <si>
    <t>러시아(우즈벡인)</t>
  </si>
  <si>
    <t>하카시아공화국, 사야노고르스크</t>
  </si>
  <si>
    <t>00391111-00151</t>
  </si>
  <si>
    <t>우크라이나 장년</t>
  </si>
  <si>
    <t>1-1구역</t>
  </si>
  <si>
    <t>장년회팀장</t>
  </si>
  <si>
    <t>Троян Володимир Іванович</t>
  </si>
  <si>
    <t>38-068-877-4578</t>
  </si>
  <si>
    <t>@Voloqia</t>
  </si>
  <si>
    <t>노보우크라인카</t>
  </si>
  <si>
    <t>00401127-01038</t>
  </si>
  <si>
    <t>목회자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</si>
  <si>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</si>
  <si>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</si>
  <si>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</si>
  <si>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</si>
  <si>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</si>
  <si>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</si>
  <si>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</si>
  <si>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</si>
  <si>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</si>
  <si>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</si>
  <si>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</si>
  <si>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</si>
  <si>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리브네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</si>
  <si>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</si>
  <si>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</si>
  <si>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</si>
  <si>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</si>
  <si>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</si>
  <si>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</si>
  <si>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</si>
  <si>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</si>
  <si>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</si>
  <si>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00291129-00211</t>
  </si>
  <si>
    <t>Ким Эдуард</t>
  </si>
  <si>
    <t>010-2426-2496/(1(506)-898-3709)</t>
  </si>
  <si>
    <t>@Edward_cbt</t>
  </si>
  <si>
    <t>캐나다</t>
  </si>
  <si>
    <t>프레더릭턴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</si>
  <si>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</si>
  <si>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</si>
  <si>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</si>
  <si>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</si>
  <si>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</si>
  <si>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</si>
  <si>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00410523-00474</t>
  </si>
  <si>
    <t>1-2구역</t>
  </si>
  <si>
    <t>Прудкун Володимир Миколайович</t>
  </si>
  <si>
    <t>380-67-171-9458</t>
  </si>
  <si>
    <t>@vladimirprydkyn</t>
  </si>
  <si>
    <t>오데사</t>
  </si>
  <si>
    <t>00401127-01029</t>
  </si>
  <si>
    <t>목회자9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</si>
  <si>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</si>
  <si>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</si>
  <si>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</si>
  <si>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</si>
  <si>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</si>
  <si>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</si>
  <si>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</si>
  <si>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</si>
  <si>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</si>
  <si>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00410523-00455</t>
  </si>
  <si>
    <t>Лісун Сергій Олександрович</t>
  </si>
  <si>
    <t>380-50-256-0434</t>
  </si>
  <si>
    <t>폴타바</t>
  </si>
  <si>
    <t>00421016-05772</t>
  </si>
  <si>
    <t>바즐축이반칼레느코브치</t>
  </si>
  <si>
    <t>Базильчук Іван Каленикович</t>
  </si>
  <si>
    <t xml:space="preserve">380-98-981-5146
</t>
  </si>
  <si>
    <t>드니프로페트로우스크주, 크리비 리흐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</si>
  <si>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</si>
  <si>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</si>
  <si>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</si>
  <si>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</si>
  <si>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</si>
  <si>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</si>
  <si>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</si>
  <si>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</si>
  <si>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</si>
  <si>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</si>
  <si>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</si>
  <si>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</si>
  <si>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</si>
  <si>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</si>
  <si>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</si>
  <si>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</si>
  <si>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</si>
  <si>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</si>
  <si>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</si>
  <si>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</si>
  <si>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</si>
  <si>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</si>
  <si>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</si>
  <si>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</si>
  <si>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</si>
  <si>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</si>
  <si>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</si>
  <si>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</si>
  <si>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</si>
  <si>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</si>
  <si>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</si>
  <si>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</si>
  <si>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</si>
  <si>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</si>
  <si>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</si>
  <si>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</si>
  <si>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</si>
  <si>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</si>
  <si>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</si>
  <si>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</si>
  <si>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</si>
  <si>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</si>
  <si>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</si>
  <si>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</si>
  <si>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몰도바</t>
  </si>
  <si>
    <t>티라스폴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</si>
  <si>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</si>
  <si>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</si>
  <si>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</si>
  <si>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</si>
  <si>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</si>
  <si>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</si>
  <si>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00390826-00102</t>
  </si>
  <si>
    <t>우크라이나 부녀</t>
  </si>
  <si>
    <t>트로얀라르사아나톨리이브나</t>
  </si>
  <si>
    <t>00410822-01085</t>
  </si>
  <si>
    <t>Троян Лариса Анатоліївна</t>
  </si>
  <si>
    <t>38-097-2365764</t>
  </si>
  <si>
    <t>@Varioha</t>
  </si>
  <si>
    <t>Гордієнко Надія Вікторівна</t>
  </si>
  <si>
    <t>380-66-111-2846</t>
  </si>
  <si>
    <t>@Gordien_ko12</t>
  </si>
  <si>
    <t xml:space="preserve">00420613-00113 </t>
  </si>
  <si>
    <t>ОГАНЕСЯН ЛІДІЯ ГРИГОРІВНА</t>
  </si>
  <si>
    <t>380-96-342-1553</t>
  </si>
  <si>
    <t>00411010-02036</t>
  </si>
  <si>
    <t>Головко Надiя Никифорiвна</t>
  </si>
  <si>
    <t>380-67-270-2154</t>
  </si>
  <si>
    <t>드니프로페트로우스크</t>
  </si>
  <si>
    <t>00411010-02040</t>
  </si>
  <si>
    <t>Головко Лiлiя Анатолiiвна</t>
  </si>
  <si>
    <t>380-93-344-8751</t>
  </si>
  <si>
    <t>00411010-02041</t>
  </si>
  <si>
    <t>Линник Катерина Іванівна</t>
  </si>
  <si>
    <t>380-98-760-0839</t>
  </si>
  <si>
    <t>@katerinalinnikm</t>
  </si>
  <si>
    <t>수미주</t>
  </si>
  <si>
    <t>00420306-00090</t>
  </si>
  <si>
    <t>Скепська Ірина Миколаївна</t>
  </si>
  <si>
    <t>380-99-109-1106</t>
  </si>
  <si>
    <t xml:space="preserve">@Skeps_ka </t>
  </si>
  <si>
    <t>수미</t>
  </si>
  <si>
    <t>00390826-00105</t>
  </si>
  <si>
    <t>Лазаренку Светлана Владимировна</t>
  </si>
  <si>
    <t>37-367-507975</t>
  </si>
  <si>
    <t>@LSvet78</t>
  </si>
  <si>
    <t>발티</t>
  </si>
  <si>
    <t>00411010-02039</t>
  </si>
  <si>
    <t>Мармалюк Марина Владимировна</t>
  </si>
  <si>
    <t>380-66-930-3566</t>
  </si>
  <si>
    <t xml:space="preserve">@marisha239 </t>
  </si>
  <si>
    <t>키로보흐라드주</t>
  </si>
  <si>
    <t>00360830-00348</t>
  </si>
  <si>
    <t>Чечельницкая Анна</t>
  </si>
  <si>
    <t>380-63-727-67-90</t>
  </si>
  <si>
    <t xml:space="preserve">@Annachechelnytska </t>
  </si>
  <si>
    <t>빈니차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</si>
  <si>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</si>
  <si>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</si>
  <si>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</si>
  <si>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</si>
  <si>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</si>
  <si>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두버사리</t>
  </si>
  <si>
    <t>00300725-00027</t>
  </si>
  <si>
    <t>Ким Светлана</t>
  </si>
  <si>
    <t>해외출국(24-03-08)</t>
  </si>
  <si>
    <t>00411010-02038</t>
  </si>
  <si>
    <t>Вергелес Любов Олександрівна</t>
  </si>
  <si>
    <t>380-97-689-2170</t>
  </si>
  <si>
    <t xml:space="preserve">@Vergeleslubov </t>
  </si>
  <si>
    <t>드니프로페트로우스크주</t>
  </si>
  <si>
    <t>00400227-01398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</si>
  <si>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</si>
  <si>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</si>
  <si>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</si>
  <si>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</si>
  <si>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</si>
  <si>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</si>
  <si>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</si>
  <si>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</si>
  <si>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</si>
  <si>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</si>
  <si>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</si>
  <si>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</si>
  <si>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</si>
  <si>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</si>
  <si>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</si>
  <si>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</si>
  <si>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</si>
  <si>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</si>
  <si>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00420613-00114</t>
  </si>
  <si>
    <t>Клебанська Свiтлана Дмiтрiевна</t>
  </si>
  <si>
    <t>373-77-70-4525</t>
  </si>
  <si>
    <t>티라스폴 지역</t>
  </si>
  <si>
    <t>00420613-00115</t>
  </si>
  <si>
    <t>Ковальова Світлана Олександрівна</t>
  </si>
  <si>
    <t>370-66-83-6307</t>
  </si>
  <si>
    <t>리투아니아</t>
  </si>
  <si>
    <t>빌뉴스 지역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</si>
  <si>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</si>
  <si>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</si>
  <si>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</si>
  <si>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</si>
  <si>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</si>
  <si>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출결제외해지(24/2/5~25/2/28)</t>
  </si>
  <si>
    <t>00410326-00093</t>
  </si>
  <si>
    <t>Смірнова Олена Вікторівна</t>
  </si>
  <si>
    <t>995-59-334-7900</t>
  </si>
  <si>
    <t>@LenaaSmirnova</t>
  </si>
  <si>
    <t>카스피</t>
  </si>
  <si>
    <t>00400227-01413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</si>
  <si>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</si>
  <si>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</si>
  <si>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</si>
  <si>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</si>
  <si>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</si>
  <si>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</si>
  <si>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</si>
  <si>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</si>
  <si>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</si>
  <si>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</si>
  <si>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</si>
  <si>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</si>
  <si>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</si>
  <si>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</si>
  <si>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</si>
  <si>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</si>
  <si>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</si>
  <si>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</si>
  <si>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</si>
  <si>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</si>
  <si>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00400227-01401</t>
  </si>
  <si>
    <t>Мануэль Антонио Олена Леонiдiвна</t>
  </si>
  <si>
    <t>3-374-929-5532</t>
  </si>
  <si>
    <t>@Elena_Manue</t>
  </si>
  <si>
    <t>릴</t>
  </si>
  <si>
    <t>00400530-00099</t>
  </si>
  <si>
    <t>프르샤즈뉵류샤므콜라이브나</t>
  </si>
  <si>
    <t>Присяжнюк Люся Николаевна</t>
  </si>
  <si>
    <t>996-552-008-110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</si>
  <si>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</si>
  <si>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</si>
  <si>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</si>
  <si>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</si>
  <si>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</si>
  <si>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</si>
  <si>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</si>
  <si>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</si>
  <si>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</si>
  <si>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</si>
  <si>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</si>
  <si>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</si>
  <si>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</si>
  <si>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</si>
  <si>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</si>
  <si>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</si>
  <si>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</si>
  <si>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</si>
  <si>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</si>
  <si>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</si>
  <si>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</si>
  <si>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</si>
  <si>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</si>
  <si>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</si>
  <si>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</si>
  <si>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</si>
  <si>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</si>
  <si>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</si>
  <si>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</si>
  <si>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</si>
  <si>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</si>
  <si>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</si>
  <si>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</si>
  <si>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</si>
  <si>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</si>
  <si>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</si>
  <si>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00401127-01047</t>
  </si>
  <si>
    <t>Новохацька Ксенія Миколаївна</t>
  </si>
  <si>
    <t>380-95-058-2658</t>
  </si>
  <si>
    <t>@KsenyaNovathaska</t>
  </si>
  <si>
    <t>00410523-00459</t>
  </si>
  <si>
    <t>Лісун Лариса Михайлівна</t>
  </si>
  <si>
    <t>@Iar5d</t>
  </si>
  <si>
    <t>00400530-00110</t>
  </si>
  <si>
    <t>클라브디노바타티야나바실리예브나</t>
  </si>
  <si>
    <t>Клавдинова Татьяна Васильевна</t>
  </si>
  <si>
    <t>380-98-130-5061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</si>
  <si>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</si>
  <si>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</si>
  <si>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</si>
  <si>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</si>
  <si>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</si>
  <si>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</si>
  <si>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00400530-00109</t>
  </si>
  <si>
    <t>00410523-00468</t>
  </si>
  <si>
    <t>Нещадим Алла Анатольевна</t>
  </si>
  <si>
    <t>380-68-578-2813</t>
  </si>
  <si>
    <t>@allaneshadim</t>
  </si>
  <si>
    <t>Середа Ірина Григорівна</t>
  </si>
  <si>
    <t>1-267-262-0720</t>
  </si>
  <si>
    <t>@seredairyna5</t>
  </si>
  <si>
    <t>미국</t>
  </si>
  <si>
    <t>펜실베이니아</t>
  </si>
  <si>
    <t>00410523-00453</t>
  </si>
  <si>
    <t>Мирончикова Лідія Олексіївна</t>
  </si>
  <si>
    <t>380-67-477-3791</t>
  </si>
  <si>
    <t xml:space="preserve">@zabaralida 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</si>
  <si>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</si>
  <si>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</si>
  <si>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</si>
  <si>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</si>
  <si>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</si>
  <si>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탈린</t>
  </si>
  <si>
    <t>00410523-00471</t>
  </si>
  <si>
    <t>Бражко Оксана Олександрівна</t>
  </si>
  <si>
    <t>380-96-309-0512</t>
  </si>
  <si>
    <t>@Ksena1946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</si>
  <si>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</si>
  <si>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</si>
  <si>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</si>
  <si>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</si>
  <si>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</si>
  <si>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</si>
  <si>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</si>
  <si>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</si>
  <si>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</si>
  <si>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</si>
  <si>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</si>
  <si>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</si>
  <si>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</si>
  <si>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</si>
  <si>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</si>
  <si>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</si>
  <si>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</si>
  <si>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</si>
  <si>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</si>
  <si>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</si>
  <si>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</si>
  <si>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00410326-00092</t>
  </si>
  <si>
    <t>00381122-00011</t>
  </si>
  <si>
    <t>Сосновская Наталья Владимировна</t>
  </si>
  <si>
    <t>380-99-037-2566</t>
  </si>
  <si>
    <t>@natala74</t>
  </si>
  <si>
    <t>Рабцун Юлия</t>
  </si>
  <si>
    <t>(380-96)-202-66-47</t>
  </si>
  <si>
    <t>@YuliIanAmin</t>
  </si>
  <si>
    <t>우크라이나(체코피난)</t>
  </si>
  <si>
    <t>키로보흐라드</t>
  </si>
  <si>
    <t>00381122-00012</t>
  </si>
  <si>
    <t>Власюк Алла</t>
  </si>
  <si>
    <t>420-77-564-4294</t>
  </si>
  <si>
    <t>@AllaAmin</t>
  </si>
  <si>
    <t>체코</t>
  </si>
  <si>
    <t>믈라다볼레슬라프</t>
  </si>
  <si>
    <t>00410326-00089</t>
  </si>
  <si>
    <t>Ковальчук Ирина Ивановна</t>
  </si>
  <si>
    <t>380-95-445-2838</t>
  </si>
  <si>
    <t>@Irina08_04</t>
  </si>
  <si>
    <t>지토미르</t>
  </si>
  <si>
    <t>00410822-01057</t>
  </si>
  <si>
    <t>Качковська Людмила Олександрівна</t>
  </si>
  <si>
    <t>380-66-035-8767</t>
  </si>
  <si>
    <t>@Luy_b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</si>
  <si>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</si>
  <si>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</si>
  <si>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</si>
  <si>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</si>
  <si>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</si>
  <si>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00410822-01073</t>
  </si>
  <si>
    <t>00410822-01068</t>
  </si>
  <si>
    <t>Кравченя Людмила Володимирівна</t>
  </si>
  <si>
    <t>380-96-926-7476</t>
  </si>
  <si>
    <t>@Kravlug</t>
  </si>
  <si>
    <t>Пузиня Світлана Василівна</t>
  </si>
  <si>
    <t>380-95-106-7115</t>
  </si>
  <si>
    <t>@puz32</t>
  </si>
  <si>
    <t>00410822-01072</t>
  </si>
  <si>
    <t>ЛЕОНЧИК НАТАЛІЯ ПЕТРІВНА</t>
  </si>
  <si>
    <t>380-97-880-7027</t>
  </si>
  <si>
    <t>@Natalie_Leo41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</si>
  <si>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</si>
  <si>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</si>
  <si>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</si>
  <si>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</si>
  <si>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</si>
  <si>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</si>
  <si>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</si>
  <si>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</si>
  <si>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</si>
  <si>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</si>
  <si>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</si>
  <si>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</si>
  <si>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</si>
  <si>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</si>
  <si>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</si>
  <si>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00390826-00119</t>
  </si>
  <si>
    <t>00400530-00164</t>
  </si>
  <si>
    <t>Егупов Виктор Валериевич</t>
  </si>
  <si>
    <t>38-071-4251159</t>
  </si>
  <si>
    <t>@victoregupov</t>
  </si>
  <si>
    <t>바이츠게오르기이유리예비치</t>
  </si>
  <si>
    <t>Вайц Георгий</t>
  </si>
  <si>
    <t>49-176-8144-5890</t>
  </si>
  <si>
    <t>@J_Son_of_God</t>
  </si>
  <si>
    <t>00410326-00119</t>
  </si>
  <si>
    <t>Юревич Тимофій Євгенович</t>
  </si>
  <si>
    <t>380-66-320-3931</t>
  </si>
  <si>
    <t>@TymofeyJ</t>
  </si>
  <si>
    <t>오스트리아</t>
  </si>
  <si>
    <t>잘츠부르크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</si>
  <si>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</si>
  <si>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</si>
  <si>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</si>
  <si>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</si>
  <si>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</si>
  <si>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</si>
  <si>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</si>
  <si>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</si>
  <si>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00411010-02048</t>
  </si>
  <si>
    <t>Базильчук Дмитро Андрійович</t>
  </si>
  <si>
    <t>380-98-798-9044</t>
  </si>
  <si>
    <t>@DmitriyBazilchuk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</si>
  <si>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</si>
  <si>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</si>
  <si>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</si>
  <si>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</si>
  <si>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</si>
  <si>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</si>
  <si>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</si>
  <si>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</si>
  <si>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</si>
  <si>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</si>
  <si>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</si>
  <si>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</si>
  <si>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</si>
  <si>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00400227-01433</t>
  </si>
  <si>
    <t>Егупов Андрей Валерьевич</t>
  </si>
  <si>
    <t>7-928-139-5593</t>
  </si>
  <si>
    <t>@egupov6</t>
  </si>
  <si>
    <t>도네츠크인민공화, 고를로프카시</t>
  </si>
  <si>
    <t>수감 (25/3/5)</t>
  </si>
  <si>
    <t>00400227-01429</t>
  </si>
  <si>
    <t>Кравченя Марія Петрівна</t>
  </si>
  <si>
    <t>3809-8100-1196</t>
  </si>
  <si>
    <t xml:space="preserve"> @mariakravchenya</t>
  </si>
  <si>
    <t>00400227-01425</t>
  </si>
  <si>
    <t>Макаєва Алiна Вiталiiвна</t>
  </si>
  <si>
    <t>372-5851-7922</t>
  </si>
  <si>
    <t>@Flower_1r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</si>
  <si>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</si>
  <si>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</si>
  <si>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</si>
  <si>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</si>
  <si>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</si>
  <si>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</si>
  <si>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</si>
  <si>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</si>
  <si>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</si>
  <si>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</si>
  <si>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00371218-00470</t>
  </si>
  <si>
    <t>부트르멘코발렌트나세르기이브나</t>
  </si>
  <si>
    <t>Валентина Бутрименко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</si>
  <si>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</si>
  <si>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</si>
  <si>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</si>
  <si>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</si>
  <si>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</si>
  <si>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00410326-00118</t>
  </si>
  <si>
    <t>1-3구역</t>
  </si>
  <si>
    <t>Цап Марія Юріївна</t>
  </si>
  <si>
    <t>380-98-665-4155</t>
  </si>
  <si>
    <t>@Mariya_Tsap</t>
  </si>
  <si>
    <t>자카르파티아</t>
  </si>
  <si>
    <t>00410326-00120</t>
  </si>
  <si>
    <t>Тарасюк Вікторія Іванівка</t>
  </si>
  <si>
    <t>380-96-673-7988</t>
  </si>
  <si>
    <t>@Vika1468</t>
  </si>
  <si>
    <t>00400530-00170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</si>
  <si>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</si>
  <si>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</si>
  <si>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</si>
  <si>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</si>
  <si>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</si>
  <si>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우데발라</t>
  </si>
  <si>
    <t>00410523-00491</t>
  </si>
  <si>
    <t>Бескоровайна Софія Вячеславівна</t>
  </si>
  <si>
    <t>380-68-306-9895</t>
  </si>
  <si>
    <t>@beskorsofi</t>
  </si>
  <si>
    <t>가디야치</t>
  </si>
  <si>
    <t>00401127-01072</t>
  </si>
  <si>
    <t>Banaru Adriana Tudorovici</t>
  </si>
  <si>
    <t>373-78-131-866</t>
  </si>
  <si>
    <t>@banaruadriana</t>
  </si>
  <si>
    <t>오르헤이구</t>
  </si>
  <si>
    <t>00401127-01076</t>
  </si>
  <si>
    <t>Рабцун Єва Олександрівна</t>
  </si>
  <si>
    <t>42-077-686-8250</t>
  </si>
  <si>
    <t>@evelinaaaq</t>
  </si>
  <si>
    <t>믈라다볼레슬라프구</t>
  </si>
  <si>
    <t>00400530-00161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</si>
  <si>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</si>
  <si>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</si>
  <si>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</si>
  <si>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</si>
  <si>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</si>
  <si>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</si>
  <si>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Гузова Виктория Юрьевна</t>
  </si>
  <si>
    <t>380-50-274-1148</t>
  </si>
  <si>
    <t>@viiktoosha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</si>
  <si>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</si>
  <si>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</si>
  <si>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</si>
  <si>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</si>
  <si>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</si>
  <si>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두브냑야나페트리브나</t>
  </si>
  <si>
    <t>ДубинякЯнаПетрівна</t>
  </si>
  <si>
    <t>@yanakim1111</t>
  </si>
  <si>
    <t>몰다비아</t>
  </si>
  <si>
    <t>에디네츠</t>
  </si>
  <si>
    <t>00410523-00486</t>
  </si>
  <si>
    <t>Жиліна Єлизавета Андріївна</t>
  </si>
  <si>
    <t>380-95-498-5303</t>
  </si>
  <si>
    <t>@El_An_Zh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</si>
  <si>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</si>
  <si>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</si>
  <si>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</si>
  <si>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</si>
  <si>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</si>
  <si>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</si>
  <si>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</si>
  <si>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</si>
  <si>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</si>
  <si>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</si>
  <si>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</si>
  <si>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</si>
  <si>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</si>
  <si>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</si>
  <si>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</si>
  <si>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</si>
  <si>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</si>
  <si>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</si>
  <si>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</si>
  <si>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</si>
  <si>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</si>
  <si>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</si>
  <si>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</si>
  <si>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</si>
  <si>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출산 8월 31일~10월 26일(해지:25/11/16)
출결제외해지(24/2/5~25/2/28)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</si>
  <si>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</si>
  <si>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</si>
  <si>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</si>
  <si>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</si>
  <si>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</si>
  <si>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</si>
  <si>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</si>
  <si>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</si>
  <si>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</si>
  <si>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</si>
  <si>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</si>
  <si>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</si>
  <si>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</si>
  <si>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</si>
  <si>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더블린시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</si>
  <si>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</si>
  <si>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</si>
  <si>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</si>
  <si>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</si>
  <si>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</si>
  <si>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</si>
  <si>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</si>
  <si>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</si>
  <si>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</si>
  <si>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</si>
  <si>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</si>
  <si>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</si>
  <si>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브뤼셀시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</si>
  <si>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</si>
  <si>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</si>
  <si>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</si>
  <si>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</si>
  <si>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</si>
  <si>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</si>
  <si>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</si>
  <si>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</si>
  <si>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</si>
  <si>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</si>
  <si>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</si>
  <si>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</si>
  <si>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</si>
  <si>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</si>
  <si>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</si>
  <si>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</si>
  <si>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</si>
  <si>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</si>
  <si>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</si>
  <si>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4-1구역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</si>
  <si>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</si>
  <si>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</si>
  <si>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</si>
  <si>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</si>
  <si>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</si>
  <si>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</si>
  <si>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</si>
  <si>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</si>
  <si>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</si>
  <si>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</si>
  <si>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</si>
  <si>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</si>
  <si>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</si>
  <si>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</si>
  <si>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</si>
  <si>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</si>
  <si>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</si>
  <si>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</si>
  <si>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</si>
  <si>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</si>
  <si>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</si>
  <si>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</si>
  <si>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6/4)출결제외해지(25/6/5~25/8/10)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</si>
  <si>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</si>
  <si>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</si>
  <si>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</si>
  <si>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</si>
  <si>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</si>
  <si>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</si>
  <si>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</si>
  <si>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</si>
  <si>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</si>
  <si>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</si>
  <si>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</si>
  <si>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</si>
  <si>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</si>
  <si>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</si>
  <si>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</si>
  <si>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</si>
  <si>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</si>
  <si>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</si>
  <si>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</si>
  <si>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</si>
  <si>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</si>
  <si>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</si>
  <si>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</si>
  <si>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4-2구역</t>
  </si>
  <si>
    <t>ШЕРШУН ЯНА АНДРІЇВНА</t>
  </si>
  <si>
    <t>380-99-604-7585</t>
  </si>
  <si>
    <t>@Yana_Shersh</t>
  </si>
  <si>
    <t>부차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</si>
  <si>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</si>
  <si>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</si>
  <si>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</si>
  <si>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</si>
  <si>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</si>
  <si>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</si>
  <si>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</si>
  <si>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</si>
  <si>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</si>
  <si>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</si>
  <si>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</si>
  <si>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</si>
  <si>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</si>
  <si>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</si>
  <si>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</si>
  <si>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</si>
  <si>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</si>
  <si>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</si>
  <si>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</si>
  <si>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</si>
  <si>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</si>
  <si>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</si>
  <si>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</si>
  <si>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</si>
  <si>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</si>
  <si>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</si>
  <si>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</si>
  <si>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</si>
  <si>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 xml:space="preserve">00180613-00005
</t>
  </si>
  <si>
    <t>0교역</t>
  </si>
  <si>
    <t>Ли Джин Мо</t>
  </si>
  <si>
    <t>00421002-00018</t>
  </si>
  <si>
    <t>우크라이나새신자</t>
  </si>
  <si>
    <t>고르디옌코아나톨리볼로드므로브치</t>
  </si>
  <si>
    <t>Гордієнко Анатолій Володимир</t>
  </si>
  <si>
    <t>380-95-615-3901</t>
  </si>
  <si>
    <t>수미주, 수미</t>
  </si>
  <si>
    <t>비159</t>
  </si>
  <si>
    <t>00421002-00015</t>
  </si>
  <si>
    <t>파니코세르기빅토로브치</t>
  </si>
  <si>
    <t>Панько Сергій Вікторович</t>
  </si>
  <si>
    <t>380-67-544-1340</t>
  </si>
  <si>
    <t>체르카시주, 고로디셰</t>
  </si>
  <si>
    <t>00421016-05783</t>
  </si>
  <si>
    <t>고몬올렉산드르올렉산드로브치</t>
  </si>
  <si>
    <t>Гомон Олександр Олександрович</t>
  </si>
  <si>
    <t>380-67-563-7785</t>
  </si>
  <si>
    <t>00421016-05779</t>
  </si>
  <si>
    <t>코발룝세르기볼로드므로브치</t>
  </si>
  <si>
    <t>Ковальов Сергій Володимирович</t>
  </si>
  <si>
    <t>380-50-705-4369</t>
  </si>
  <si>
    <t>도네츠크주, 크라마토르스크</t>
  </si>
  <si>
    <t>00421016-05784</t>
  </si>
  <si>
    <t>페도르추크일랴세르기요브치</t>
  </si>
  <si>
    <t>Федорчук Ілля Сергійович</t>
  </si>
  <si>
    <t>380-68-439-0298</t>
  </si>
  <si>
    <t>볼린주, 리피니</t>
  </si>
  <si>
    <t>00421016-05780</t>
  </si>
  <si>
    <t>부랴크유리올렉산드로브치</t>
  </si>
  <si>
    <t>Буряк Юрий Олександравич</t>
  </si>
  <si>
    <t>380-93-646-5997</t>
  </si>
  <si>
    <t>미콜라이우주, 미콜라이우</t>
  </si>
  <si>
    <t>00421016-05781</t>
  </si>
  <si>
    <t>골랴크예브게니겐나디요브치</t>
  </si>
  <si>
    <t>Голяк Евгеній Геннадійович</t>
  </si>
  <si>
    <t>48-515-154-877</t>
  </si>
  <si>
    <t>서포모제주, 그리피노</t>
  </si>
  <si>
    <t>00430115-00884</t>
  </si>
  <si>
    <t>이셴코알렉산드르블라디미로비치</t>
  </si>
  <si>
    <t xml:space="preserve">ИЩЕНКО ОЛЕКСАНДР </t>
  </si>
  <si>
    <t>380-68-267-8119</t>
  </si>
  <si>
    <t>00430115-00888</t>
  </si>
  <si>
    <t>야로쉬루슬란비탈리에비치</t>
  </si>
  <si>
    <t>380-66-324-8510</t>
  </si>
  <si>
    <t>새2-1구역</t>
  </si>
  <si>
    <t>00421002-00019</t>
  </si>
  <si>
    <t xml:space="preserve">쿠블리레샤페트리브나	</t>
  </si>
  <si>
    <t>Кублій Леся Петрівна</t>
  </si>
  <si>
    <t>380-63-211-9581</t>
  </si>
  <si>
    <t>볼린주, 볼로디미르</t>
  </si>
  <si>
    <t>00421002-00020</t>
  </si>
  <si>
    <t>즈불랴크마리야코스탼트니브나</t>
  </si>
  <si>
    <t>Цибуляк Марія Костянтинівна</t>
  </si>
  <si>
    <t>380-67-937-4128</t>
  </si>
  <si>
    <t>체르니우치주, 카먀인카</t>
  </si>
  <si>
    <t>00421002-00016</t>
  </si>
  <si>
    <t>잔모함메드랄리줌베리이브나</t>
  </si>
  <si>
    <t>Джан-Мохаммед Лалі Джумберіївна</t>
  </si>
  <si>
    <t>380-97-746-9379</t>
  </si>
  <si>
    <t>드니프로페트로우스크주, 카먀인스케</t>
  </si>
  <si>
    <t>00421002-00021</t>
  </si>
  <si>
    <t>드쥬바율리야세르기이브나</t>
  </si>
  <si>
    <t>Дзюба Юлія Сергіївна</t>
  </si>
  <si>
    <t>380-99-031-0783</t>
  </si>
  <si>
    <t>도네츠크주, 포크로우스크</t>
  </si>
  <si>
    <t>00421002-00017</t>
  </si>
  <si>
    <t>빌로우소바스비틀라나비탈리이브나</t>
  </si>
  <si>
    <t>Білоусова Світлана Віталіївна</t>
  </si>
  <si>
    <t>49-160-9347-6319</t>
  </si>
  <si>
    <t>니더작센주, 바르징하우젠, 키르히도르프</t>
  </si>
  <si>
    <t>00421002-00022</t>
  </si>
  <si>
    <t>올리페르알리나아나톨리이브나</t>
  </si>
  <si>
    <t>Оліфер Аліна Анатоліївна</t>
  </si>
  <si>
    <t>380-63-258-6688</t>
  </si>
  <si>
    <t>체르니히우주, 데스나</t>
  </si>
  <si>
    <t>00421002-00023</t>
  </si>
  <si>
    <t>비튜크비타볼로드므리브나</t>
  </si>
  <si>
    <t>Вітюк Віта Володимирівна</t>
  </si>
  <si>
    <t>48-88-654-5960</t>
  </si>
  <si>
    <t>쿠야비-포모제주, 토룬</t>
  </si>
  <si>
    <t>00421016-05775</t>
  </si>
  <si>
    <t xml:space="preserve">필라트파티마빅토리브나
</t>
  </si>
  <si>
    <t>Пілат Фатіма Вікторівна</t>
  </si>
  <si>
    <t>380-99-444-4139</t>
  </si>
  <si>
    <t>폴타바주, 파셴키</t>
  </si>
  <si>
    <t>00430115-00885</t>
  </si>
  <si>
    <t>그릅나디야이바니브나</t>
  </si>
  <si>
    <t>Гриб Надія Іванівна</t>
  </si>
  <si>
    <t>380-66-770-8756</t>
  </si>
  <si>
    <t>코로빈치</t>
  </si>
  <si>
    <t>00430115-00886</t>
  </si>
  <si>
    <t>자프나탈리야바슬리브나</t>
  </si>
  <si>
    <t xml:space="preserve">Цап Наталія Василівна  </t>
  </si>
  <si>
    <t>380-68-406-3082</t>
  </si>
  <si>
    <t>키체르니</t>
  </si>
  <si>
    <t>00420306-00096</t>
  </si>
  <si>
    <t>새2-2구역</t>
  </si>
  <si>
    <t>Поліщук Вікторія Олексіївна</t>
  </si>
  <si>
    <t>380-66-885-3086</t>
  </si>
  <si>
    <t xml:space="preserve">@ViktoriiaPolishchuk67 </t>
  </si>
  <si>
    <t>마이코라브카</t>
  </si>
  <si>
    <t>00421016-05773</t>
  </si>
  <si>
    <t>솔로브요바갈르나므콜라이브나</t>
  </si>
  <si>
    <t>Соловйова Галина Миколаївна</t>
  </si>
  <si>
    <t>380-66-880-8675</t>
  </si>
  <si>
    <t>베스트라예탈란드주, 리세킬</t>
  </si>
  <si>
    <t>00421016-05777</t>
  </si>
  <si>
    <t xml:space="preserve">베즈루크류드믈라바슬리브나
</t>
  </si>
  <si>
    <t>Безрук Людмила Василівна</t>
  </si>
  <si>
    <t>380-66-595-1108</t>
  </si>
  <si>
    <t>스위스</t>
  </si>
  <si>
    <t>장크트갈렌 주, 탈</t>
  </si>
  <si>
    <t>00421016-05774</t>
  </si>
  <si>
    <t xml:space="preserve">세르게예바나탈리야올렉시이브나
</t>
  </si>
  <si>
    <t>СЄРГЄЄВА НАТАЛІЯ ОЛЕКСІЇВНА</t>
  </si>
  <si>
    <t>380-96-892-9961</t>
  </si>
  <si>
    <t>볼린주, 노보볼린스크</t>
  </si>
  <si>
    <t>00421016-05776</t>
  </si>
  <si>
    <t xml:space="preserve">바뷰크테탸나페트리브나
</t>
  </si>
  <si>
    <t>Баб'юк Тетяна Петрівна</t>
  </si>
  <si>
    <t>380-93-722-6551</t>
  </si>
  <si>
    <t>우크라이나(러시아)</t>
  </si>
  <si>
    <t>테르노필주, 크레메네츠</t>
  </si>
  <si>
    <t>00421016-05778</t>
  </si>
  <si>
    <t xml:space="preserve">크라마렌코스비틀라나올렉산드리브나
</t>
  </si>
  <si>
    <t>КРАМАРЕНКО СВІТЛАНА ОЛЕКСАНДРІВНА</t>
  </si>
  <si>
    <t>380-96-807-3360</t>
  </si>
  <si>
    <t>00421016-05782</t>
  </si>
  <si>
    <t xml:space="preserve">골랴크올레나올렉시이브나
</t>
  </si>
  <si>
    <t>Голяк Олена Олексіївна</t>
  </si>
  <si>
    <t xml:space="preserve">00430115-00889 </t>
  </si>
  <si>
    <t>빌라안나이바니브나</t>
  </si>
  <si>
    <t>Біла Анна Іванівна</t>
  </si>
  <si>
    <t>380-96-888-4813</t>
  </si>
  <si>
    <t>00430115-00887</t>
  </si>
  <si>
    <t>보스탄알료나</t>
  </si>
  <si>
    <t>Bostan Aliona</t>
  </si>
  <si>
    <t>373-77-56-8891</t>
  </si>
  <si>
    <t>파르카니</t>
  </si>
  <si>
    <t>구역장(팀장)</t>
  </si>
  <si>
    <t>00421002-00027</t>
  </si>
  <si>
    <t xml:space="preserve">트라이타카올레나올레기브나	</t>
  </si>
  <si>
    <t>Трайтака Олена Олегівна</t>
  </si>
  <si>
    <t>380-96-981-8623</t>
  </si>
  <si>
    <t>체르카시주, 스밀라</t>
  </si>
  <si>
    <t>00421002-00024</t>
  </si>
  <si>
    <t>스뉵테탸나파블리브나</t>
  </si>
  <si>
    <t>Синюк Тетяна Павлівна</t>
  </si>
  <si>
    <t>1-630-397-8164</t>
  </si>
  <si>
    <t>일리노이주</t>
  </si>
  <si>
    <t>00421002-00030</t>
  </si>
  <si>
    <t xml:space="preserve">볼로테뉴크올렉산드라세르기이브나	</t>
  </si>
  <si>
    <t>Болотенюк Олександра Сергіївна</t>
  </si>
  <si>
    <t>380-68-557-2649</t>
  </si>
  <si>
    <t>체르카시주, 부잔카</t>
  </si>
  <si>
    <t>00421002-00025</t>
  </si>
  <si>
    <t>마른축블라드슬라바세르기이브나</t>
  </si>
  <si>
    <t>Маринчук Владислава Сергіївна</t>
  </si>
  <si>
    <t>380-93-108-7864</t>
  </si>
  <si>
    <t>볼린주, 코벨</t>
  </si>
  <si>
    <t>00421002-00029</t>
  </si>
  <si>
    <t>사반축릴리야안드리이브나</t>
  </si>
  <si>
    <t>Саванчук Лілія Андріївна</t>
  </si>
  <si>
    <t>380-68-648-5440</t>
  </si>
  <si>
    <t>리브네주, 말루슈카</t>
  </si>
  <si>
    <t>00421002-00028</t>
  </si>
  <si>
    <t>마케예바이르나세르기이브나</t>
  </si>
  <si>
    <t>Макєєва Ірина Сергіївна</t>
  </si>
  <si>
    <t>380-95-941-5351</t>
  </si>
  <si>
    <t>키로보흐라드주, 크로피우니츠키, 히르니체</t>
  </si>
  <si>
    <t>00421002-00026</t>
  </si>
  <si>
    <t>자크흐르스트나빅토리브나</t>
  </si>
  <si>
    <t>Жак Христина Вікторівна</t>
  </si>
  <si>
    <t>010-8435-7553</t>
  </si>
  <si>
    <t>서울시, 마포구</t>
  </si>
  <si>
    <t>00421002-00031</t>
  </si>
  <si>
    <t xml:space="preserve">크라브체냐율리야페트리브나	</t>
  </si>
  <si>
    <t>Кравченя Юлія Петрівна</t>
  </si>
  <si>
    <t>380-96-977-4793</t>
  </si>
  <si>
    <t>리브네주, 사르넨스키</t>
  </si>
  <si>
    <t>00421016-05785</t>
  </si>
  <si>
    <t>골랴크안겔리나예브게니브나</t>
  </si>
  <si>
    <t>Голяк Ангеліна Євгенівна</t>
  </si>
  <si>
    <t>48-518-575-181</t>
  </si>
  <si>
    <t>00430115-00890</t>
  </si>
  <si>
    <t>포스트노바다르야안드리이브나</t>
  </si>
  <si>
    <t>Постнова Дарʼя Андріївна</t>
  </si>
  <si>
    <t>380-98-293-5932</t>
  </si>
  <si>
    <t>리비우</t>
  </si>
  <si>
    <t>00430115-00891</t>
  </si>
  <si>
    <t>테를레즈카야아나스타시야사벨리예브나</t>
  </si>
  <si>
    <t xml:space="preserve">Терлецька Анастасия Савельевна 
</t>
  </si>
  <si>
    <t>380-67-124-9140</t>
  </si>
  <si>
    <t>핀란드</t>
  </si>
  <si>
    <t>리에크사</t>
  </si>
  <si>
    <t>00330526-00001</t>
  </si>
  <si>
    <t>Пак Людмила</t>
  </si>
  <si>
    <t>010-2697-2132/998974322917</t>
  </si>
  <si>
    <t>@LyudaUs</t>
  </si>
  <si>
    <t>타슈켄트</t>
  </si>
  <si>
    <t>지역이동</t>
  </si>
  <si>
    <t>00330526-00002</t>
  </si>
  <si>
    <t xml:space="preserve"> Пак Вадим</t>
  </si>
  <si>
    <t>-99890-9322937</t>
  </si>
  <si>
    <t>@VValentinovic</t>
  </si>
  <si>
    <t>00400819-00468</t>
  </si>
  <si>
    <t>ABDULLAYEV AXMAD REYIMBAYEVICH</t>
  </si>
  <si>
    <t>998-95-904-1266</t>
  </si>
  <si>
    <t>@ahmad120466</t>
  </si>
  <si>
    <t>타슈켄트주</t>
  </si>
  <si>
    <t>00400819-00471</t>
  </si>
  <si>
    <t>BOBROV IGOR LEONIDOVICH</t>
  </si>
  <si>
    <t>@Igorbret17</t>
  </si>
  <si>
    <t>00381122-00015</t>
  </si>
  <si>
    <t>Турсунов Шухрат</t>
  </si>
  <si>
    <t>998-91-528-9594</t>
  </si>
  <si>
    <t>@Shuhrat_tursunov</t>
  </si>
  <si>
    <t>사마르칸트</t>
  </si>
  <si>
    <t>00360423-00589</t>
  </si>
  <si>
    <t>00390826-00061</t>
  </si>
  <si>
    <t>구역장 (25.9.1)</t>
  </si>
  <si>
    <t>부구역장 (25.1.1~25.8.31)</t>
  </si>
  <si>
    <t>Ким Флора</t>
  </si>
  <si>
    <t>99899-8948924</t>
  </si>
  <si>
    <t>@kimflora01</t>
  </si>
  <si>
    <t>2구억</t>
  </si>
  <si>
    <t>한예카테리나발렌티노브나</t>
  </si>
  <si>
    <t>Хан Екатерина Валентиновна</t>
  </si>
  <si>
    <t>998-90-905-0152</t>
  </si>
  <si>
    <t>@katyaahan</t>
  </si>
  <si>
    <t>00360810-00482</t>
  </si>
  <si>
    <t>Мун Елизавета</t>
  </si>
  <si>
    <t>998-90-994-18-85</t>
  </si>
  <si>
    <t>@AYmynliza</t>
  </si>
  <si>
    <t>00371218-00458</t>
  </si>
  <si>
    <t>Асадова Машхура Носировна</t>
  </si>
  <si>
    <t>998-915551190</t>
  </si>
  <si>
    <t>@Masnknyra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</si>
  <si>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</si>
  <si>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</si>
  <si>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</si>
  <si>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</si>
  <si>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</si>
  <si>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</si>
  <si>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</si>
  <si>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00381122-00019</t>
  </si>
  <si>
    <t>Губанкова Валентина</t>
  </si>
  <si>
    <t>998-90-936-3811</t>
  </si>
  <si>
    <t>@Valyagubanqova</t>
  </si>
  <si>
    <t>00371217-01040</t>
  </si>
  <si>
    <t>00410523-00465</t>
  </si>
  <si>
    <t>Пак Зинаида</t>
  </si>
  <si>
    <t>99897-6043459</t>
  </si>
  <si>
    <t>@Zinapak59</t>
  </si>
  <si>
    <t>부구역장 (25.4.1)</t>
  </si>
  <si>
    <t>Табалдиева Роза Коргоновна</t>
  </si>
  <si>
    <t>996-55-852-2833</t>
  </si>
  <si>
    <t>@Roza_Tabaldieva</t>
  </si>
  <si>
    <t>카라발타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</si>
  <si>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</si>
  <si>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</si>
  <si>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</si>
  <si>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</si>
  <si>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</si>
  <si>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</si>
  <si>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</si>
  <si>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</si>
  <si>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</si>
  <si>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비슈케크</t>
  </si>
  <si>
    <t>00401127-01043</t>
  </si>
  <si>
    <t>ДЕНИЩЕНКО ОЛЕСЯ НИКОЛАЕВНА</t>
  </si>
  <si>
    <t>996-55-387-7702</t>
  </si>
  <si>
    <t>@Mommy_dia</t>
  </si>
  <si>
    <t>추이주 카라발타시</t>
  </si>
  <si>
    <t>00410326-00096</t>
  </si>
  <si>
    <t>Темирбаева Айгуль Мырзакматовна</t>
  </si>
  <si>
    <t>996-77-710-4971</t>
  </si>
  <si>
    <t>@Aika7804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</si>
  <si>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</si>
  <si>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</si>
  <si>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</si>
  <si>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</si>
  <si>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</si>
  <si>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추이</t>
  </si>
  <si>
    <t>00410523-00470</t>
  </si>
  <si>
    <t>Онищенко Елена Сергеевна</t>
  </si>
  <si>
    <t>996-70-686-4244</t>
  </si>
  <si>
    <t>@Elena01403</t>
  </si>
  <si>
    <t>00400530-00108</t>
  </si>
  <si>
    <t>00400530-00113</t>
  </si>
  <si>
    <t>구역장(25.1.1)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</si>
  <si>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</si>
  <si>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</si>
  <si>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</si>
  <si>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</si>
  <si>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</si>
  <si>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</si>
  <si>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</si>
  <si>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</si>
  <si>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00401127-01024</t>
  </si>
  <si>
    <t>Drozdova Tatyana Anatolevna</t>
  </si>
  <si>
    <t>998-90-950-4694</t>
  </si>
  <si>
    <t>타슈켄트시 타슈켄트</t>
  </si>
  <si>
    <t>00410822-01074</t>
  </si>
  <si>
    <t>Джуматаева Азиза Тылевовна</t>
  </si>
  <si>
    <t>998-90-914-4473</t>
  </si>
  <si>
    <t>@Aziza197104</t>
  </si>
  <si>
    <t>00410822-01086</t>
  </si>
  <si>
    <t>KIM OKSANA LEONTEVNA</t>
  </si>
  <si>
    <t>998-99-369-0410</t>
  </si>
  <si>
    <t xml:space="preserve"> @oksashka10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</si>
  <si>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</si>
  <si>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</si>
  <si>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</si>
  <si>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</si>
  <si>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</si>
  <si>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</si>
  <si>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00400819-00484</t>
  </si>
  <si>
    <t>БОРОВИКОВА Светлана Владимировна</t>
  </si>
  <si>
    <t>996-55-080-1488</t>
  </si>
  <si>
    <t>잘랄아바트주</t>
  </si>
  <si>
    <t>00400530-00100</t>
  </si>
  <si>
    <t>00400530-00095</t>
  </si>
  <si>
    <t>주마예바부룰뷰뷰주마카드로브나</t>
  </si>
  <si>
    <t>Жумаева Бурул Джумакадыровна</t>
  </si>
  <si>
    <t>@Jburul</t>
  </si>
  <si>
    <t>추이주, 비슈케크</t>
  </si>
  <si>
    <t>4 구역장 예정이었으나 맡을 구역이 없어 부구역장으로 남음</t>
  </si>
  <si>
    <t>사타로바투르두부부주마카드로브나</t>
  </si>
  <si>
    <t>Сатарова Турду Жумакадыровна</t>
  </si>
  <si>
    <t>7-777-789-0456</t>
  </si>
  <si>
    <t>@turdushka</t>
  </si>
  <si>
    <t>00400819-00459</t>
  </si>
  <si>
    <t>나자르베코바쿨자안</t>
  </si>
  <si>
    <t>Назарбекова Кулжаан</t>
  </si>
  <si>
    <t>996-55-507-1029</t>
  </si>
  <si>
    <t>@Gulya14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</si>
  <si>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</si>
  <si>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</si>
  <si>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</si>
  <si>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</si>
  <si>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</si>
  <si>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</si>
  <si>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</si>
  <si>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</si>
  <si>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</si>
  <si>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</si>
  <si>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</si>
  <si>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00410822-01059</t>
  </si>
  <si>
    <t>Турсуналиева Ырызбубу</t>
  </si>
  <si>
    <t>996-70-809-2928</t>
  </si>
  <si>
    <t>@AKJKU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</si>
  <si>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</si>
  <si>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</si>
  <si>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</si>
  <si>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</si>
  <si>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</si>
  <si>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00400819-00489</t>
  </si>
  <si>
    <t>00400819-00494</t>
  </si>
  <si>
    <t>구역장(25.9.1)</t>
  </si>
  <si>
    <t>레임바예바줌라드아흐마도브나</t>
  </si>
  <si>
    <t>REYMBAYEVA ZUMRAD AXMADOVNA</t>
  </si>
  <si>
    <t>998-97-753-3346</t>
  </si>
  <si>
    <t>@zumrad1993</t>
  </si>
  <si>
    <t>레임바예바마무라아흐마도브나</t>
  </si>
  <si>
    <t>REYMBAYEVA MA'MURA AXMADOVNA</t>
  </si>
  <si>
    <t>998-99-100-0674</t>
  </si>
  <si>
    <t>@RMAmurka</t>
  </si>
  <si>
    <t>00410822-01087</t>
  </si>
  <si>
    <t>Эсеналиева Мээрим Омурбековна</t>
  </si>
  <si>
    <t>7-991-879-7635</t>
  </si>
  <si>
    <t>@MeerimEsenalieva</t>
  </si>
  <si>
    <t>00401127-01056</t>
  </si>
  <si>
    <t xml:space="preserve"> Улькина Виктория  Вячеславовна</t>
  </si>
  <si>
    <t>998-90-397-4747</t>
  </si>
  <si>
    <t>/@V_i_C_t_O_r_I_a777</t>
  </si>
  <si>
    <t>타슈켄트시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</si>
  <si>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</si>
  <si>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</si>
  <si>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</si>
  <si>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</si>
  <si>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</si>
  <si>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00391111-00169</t>
  </si>
  <si>
    <t>Токтосунов Ибраим Нурланбекович</t>
  </si>
  <si>
    <t>996-50-516-0170</t>
  </si>
  <si>
    <t>@Ibragim_05</t>
  </si>
  <si>
    <t>비슈케, 이식쿨 지역, 리펜카 마을</t>
  </si>
  <si>
    <t>00410523-00492</t>
  </si>
  <si>
    <t>Юрков Саиджон Сиддикович</t>
  </si>
  <si>
    <t>998-90-948-5444</t>
  </si>
  <si>
    <t>@Saidka2010</t>
  </si>
  <si>
    <t>사명자7구역</t>
  </si>
  <si>
    <t>00401127-01057</t>
  </si>
  <si>
    <t>부구역장 (2023-12-01   2025-08-31</t>
  </si>
  <si>
    <t>아브라모바폴리나발레리예브나</t>
  </si>
  <si>
    <t xml:space="preserve">Абрамова Полина Валерьевна  </t>
  </si>
  <si>
    <t>998-90-127-7750</t>
  </si>
  <si>
    <t>@yurkova_polina</t>
  </si>
  <si>
    <t>00360423-00593</t>
  </si>
  <si>
    <t>Ким Елизавета</t>
  </si>
  <si>
    <t>99890-3212933</t>
  </si>
  <si>
    <t>@lizakim44</t>
  </si>
  <si>
    <t>00410326-00080</t>
  </si>
  <si>
    <t>우즈베키스탄새신자</t>
  </si>
  <si>
    <t>구(25.9.1)</t>
  </si>
  <si>
    <t>새신자부구역장(2025-03-14   2025-08-31)</t>
  </si>
  <si>
    <t>누르무함베토바알튼이스마일로브나</t>
  </si>
  <si>
    <t>Нурмухамбетова Алтын Исмаиловна</t>
  </si>
  <si>
    <t>996-55-554-5471</t>
  </si>
  <si>
    <t>@Altyn321</t>
  </si>
  <si>
    <t>00420613-00131</t>
  </si>
  <si>
    <t>КУШУБАКОВА ЧОЛПОН КАЛМУРАТОВНА</t>
  </si>
  <si>
    <t>996-50-287-4141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</si>
  <si>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</si>
  <si>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</si>
  <si>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</si>
  <si>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</si>
  <si>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00420306-00094</t>
  </si>
  <si>
    <t>Узахбергенова Тамара Кадирнизовна</t>
  </si>
  <si>
    <t>998-90-653-4443</t>
  </si>
  <si>
    <t>@tamarauzb</t>
  </si>
  <si>
    <t>카라칼팍스탄 공화국, 누쿠스시</t>
  </si>
  <si>
    <t>00420306-00085</t>
  </si>
  <si>
    <t>Прадед Зайтуня Закиевна</t>
  </si>
  <si>
    <t>998-90-391-9182</t>
  </si>
  <si>
    <t>@zaitynia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</si>
  <si>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</si>
  <si>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</si>
  <si>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</si>
  <si>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</si>
  <si>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</si>
  <si>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</si>
  <si>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</si>
  <si>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00411226-00976</t>
  </si>
  <si>
    <t>Каниетова Гульмира Калыковна</t>
  </si>
  <si>
    <t>996-77-298-0267</t>
  </si>
  <si>
    <t>이식쿨</t>
  </si>
  <si>
    <t>00420306-00087</t>
  </si>
  <si>
    <t>Кокоева Гулнар Абдрасуловна</t>
  </si>
  <si>
    <t>996-55-210-1260</t>
  </si>
  <si>
    <t>@kokoeva_gul</t>
  </si>
  <si>
    <t>00420306-00086</t>
  </si>
  <si>
    <t>Далиева Мурзабүбү Бакасовна</t>
  </si>
  <si>
    <t>996-70-470-7035</t>
  </si>
  <si>
    <t>@Mirra2555</t>
  </si>
  <si>
    <t>00420613-00133</t>
  </si>
  <si>
    <t>Акматова Мадина Майрамбековна</t>
  </si>
  <si>
    <t>996-55-215-5803</t>
  </si>
  <si>
    <t>00421016-05768</t>
  </si>
  <si>
    <t>뱍글라피라</t>
  </si>
  <si>
    <t>Пяк Глафира</t>
  </si>
  <si>
    <t>998-88-188-5510</t>
  </si>
  <si>
    <t>타슈켄트주, 타슈켄트시</t>
  </si>
  <si>
    <t>00421016-05767</t>
  </si>
  <si>
    <t>김레온티안토노비치</t>
  </si>
  <si>
    <t>Kim Leontiy Antonovich</t>
  </si>
  <si>
    <t>998-99-003-6558</t>
  </si>
  <si>
    <t>00421016-05770</t>
  </si>
  <si>
    <t>토로겔디예바아이잔아만졸로브나</t>
  </si>
  <si>
    <t>Торогельдиева Айжан Аманжоловна</t>
  </si>
  <si>
    <t>996-70-365-9025</t>
  </si>
  <si>
    <t>추이주, 비슈케크시</t>
  </si>
  <si>
    <t>00421016-05769</t>
  </si>
  <si>
    <t>함자에바딜바르에르키노브나</t>
  </si>
  <si>
    <t>XAMZAYEVA DILBAR ERKINOVNA</t>
  </si>
  <si>
    <t>998-94-691-7821</t>
  </si>
  <si>
    <t>00421016-05771</t>
  </si>
  <si>
    <t>아브라모프안드레이안드레예비치</t>
  </si>
  <si>
    <t>Abramov Andrey Andreevich</t>
  </si>
  <si>
    <t>998-90-024-1512</t>
  </si>
  <si>
    <t>00430115-00914</t>
  </si>
  <si>
    <t>우자흐베르게노바스베틀라나카드르니야조브나</t>
  </si>
  <si>
    <t>Узахбергенова Света Кадирниязовна</t>
  </si>
  <si>
    <t>998-77-290-0868</t>
  </si>
  <si>
    <t>카라칼팍스탄 공화국</t>
  </si>
  <si>
    <t>00430115-00913</t>
  </si>
  <si>
    <t>박나탈리야미하일로브나</t>
  </si>
  <si>
    <t>Pak Natalya Mixaylovna</t>
  </si>
  <si>
    <t>010-5939-9866</t>
  </si>
  <si>
    <t>대한민국</t>
  </si>
  <si>
    <t>시흥</t>
  </si>
  <si>
    <t>00430115-00915</t>
  </si>
  <si>
    <t>사이잔나알베르토브나</t>
  </si>
  <si>
    <t>SAY JANNA ALBERTOVNA</t>
  </si>
  <si>
    <t>998-93-589-0867</t>
  </si>
  <si>
    <t>00400227-01381</t>
  </si>
  <si>
    <t>출제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</si>
  <si>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</si>
  <si>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</si>
  <si>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</si>
  <si>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</si>
  <si>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</si>
  <si>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</si>
  <si>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</si>
  <si>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</si>
  <si>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(42.06.25 거동불가, 치매)
출결제외해지(23/6/10~25/2/28)</t>
  </si>
  <si>
    <t>D 신앙유약 (기도모임예정)</t>
  </si>
  <si>
    <t>00311023-00025</t>
  </si>
  <si>
    <t>카자흐스탄(알마티)</t>
  </si>
  <si>
    <t>카자흐스탄알마티</t>
  </si>
  <si>
    <t>00361031-00485</t>
  </si>
  <si>
    <t>00381122-00006</t>
  </si>
  <si>
    <t>00371218-00456</t>
  </si>
  <si>
    <t>Цой Трофим</t>
  </si>
  <si>
    <t>010-8318-5207</t>
  </si>
  <si>
    <t>알마티</t>
  </si>
  <si>
    <t>Цой Афанасий</t>
  </si>
  <si>
    <t>7-701-439-51-15</t>
  </si>
  <si>
    <t>@tsoyafanassiy</t>
  </si>
  <si>
    <t>00390826-00096</t>
  </si>
  <si>
    <t>제놉빅토르페트로비치</t>
  </si>
  <si>
    <t>Зенов Виктор Петрович</t>
  </si>
  <si>
    <t>7705-232-6840</t>
  </si>
  <si>
    <t>@zenov26</t>
  </si>
  <si>
    <t>아스타나</t>
  </si>
  <si>
    <t>00400819-00465</t>
  </si>
  <si>
    <t>Жанузаков Сиазбек Кангашович</t>
  </si>
  <si>
    <t>7-705-572-6464</t>
  </si>
  <si>
    <t>@siazbek11</t>
  </si>
  <si>
    <t>아바이주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</si>
  <si>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</si>
  <si>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</si>
  <si>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</si>
  <si>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</si>
  <si>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</si>
  <si>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</si>
  <si>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</si>
  <si>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</si>
  <si>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</si>
  <si>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</si>
  <si>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00371217-01043</t>
  </si>
  <si>
    <t>두비닌발레리발렌티노비치</t>
  </si>
  <si>
    <t>Дубинин Валерий</t>
  </si>
  <si>
    <t>7-707-360-33-24</t>
  </si>
  <si>
    <t>@Valer739</t>
  </si>
  <si>
    <t>출결제외해지(24/5/16~25/2/28)</t>
  </si>
  <si>
    <t>00400530-00105</t>
  </si>
  <si>
    <t>쁠레솝스키흐스타니슬라프이바노비치</t>
  </si>
  <si>
    <t xml:space="preserve">Плесовских Станислав Иванович </t>
  </si>
  <si>
    <t>7-747-455-6934</t>
  </si>
  <si>
    <t>@Plesovskih_Stas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</si>
  <si>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</si>
  <si>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</si>
  <si>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</si>
  <si>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</si>
  <si>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</si>
  <si>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</si>
  <si>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00410822-01088</t>
  </si>
  <si>
    <t>Беккер Андрей Яковлевич</t>
  </si>
  <si>
    <t>@Andbekker</t>
  </si>
  <si>
    <t>탈디코르간</t>
  </si>
  <si>
    <t>00411010-02044</t>
  </si>
  <si>
    <t>카자흐스탄(악토베)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</si>
  <si>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</si>
  <si>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</si>
  <si>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</si>
  <si>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</si>
  <si>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</si>
  <si>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</si>
  <si>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</si>
  <si>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</si>
  <si>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</si>
  <si>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</si>
  <si>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타슈켄트, 치르칙시</t>
  </si>
  <si>
    <t>00421016-05792</t>
  </si>
  <si>
    <t>칼류즈느이막심세르게예비치</t>
  </si>
  <si>
    <t>Калюжный Максим Сергеевич</t>
  </si>
  <si>
    <t>1994-08-05</t>
  </si>
  <si>
    <t>7-708-731-7736</t>
  </si>
  <si>
    <t>동카자흐스탄주, 리데르시</t>
  </si>
  <si>
    <t>00400530-00134</t>
  </si>
  <si>
    <t>크림에서 이동</t>
  </si>
  <si>
    <t>루킨미하일니콜라예비치</t>
  </si>
  <si>
    <t xml:space="preserve">Лукин Михаил Николаевич </t>
  </si>
  <si>
    <t>7-776-642-7711</t>
  </si>
  <si>
    <t>잠블락스카야주</t>
  </si>
  <si>
    <t>00360423-00588</t>
  </si>
  <si>
    <t>00361031-00484</t>
  </si>
  <si>
    <t>00311023-00026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</si>
  <si>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</si>
  <si>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</si>
  <si>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</si>
  <si>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</si>
  <si>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</si>
  <si>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</si>
  <si>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Цой Лариса</t>
  </si>
  <si>
    <t>010-8217-5304</t>
  </si>
  <si>
    <t>@Larisa5304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</si>
  <si>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</si>
  <si>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</si>
  <si>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</si>
  <si>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</si>
  <si>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</si>
  <si>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</si>
  <si>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</si>
  <si>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00350330-00147</t>
  </si>
  <si>
    <t>Егорова Людмила</t>
  </si>
  <si>
    <t>7-747-479-7479</t>
  </si>
  <si>
    <t>@Lusia5</t>
  </si>
  <si>
    <t>00371218-00457</t>
  </si>
  <si>
    <t>Огнева Ирина</t>
  </si>
  <si>
    <t>7-700-716-24-65</t>
  </si>
  <si>
    <t>출결제외해지 (25/3/6~25/5/11)</t>
  </si>
  <si>
    <t>입원</t>
  </si>
  <si>
    <t>00371218-00455</t>
  </si>
  <si>
    <t>Тё Нина</t>
  </si>
  <si>
    <t>7-701-726-83-88</t>
  </si>
  <si>
    <t>@ninatyo52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</si>
  <si>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</si>
  <si>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</si>
  <si>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</si>
  <si>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</si>
  <si>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</si>
  <si>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00381122-00005</t>
  </si>
  <si>
    <t>김글라피라니콜라예브나</t>
  </si>
  <si>
    <t>Ким Глафира</t>
  </si>
  <si>
    <t>(8-705)-107-48-85</t>
  </si>
  <si>
    <t>@Glafirakim</t>
  </si>
  <si>
    <t>00400227-01380</t>
  </si>
  <si>
    <t>Пак Анна Алексеевна</t>
  </si>
  <si>
    <t>7-705-196-7998</t>
  </si>
  <si>
    <t xml:space="preserve"> @AnnaPak1380</t>
  </si>
  <si>
    <t>알마티시</t>
  </si>
  <si>
    <t>00400819-00460</t>
  </si>
  <si>
    <t>Ботте Юлия Николаевна</t>
  </si>
  <si>
    <t>7-707-997-2944</t>
  </si>
  <si>
    <t>알마티주</t>
  </si>
  <si>
    <t>00410523-00454</t>
  </si>
  <si>
    <t>Пыркова Ольга Александровна</t>
  </si>
  <si>
    <t>7-777-398-0775</t>
  </si>
  <si>
    <t>@Oligapircova54</t>
  </si>
  <si>
    <t>00381122-00002</t>
  </si>
  <si>
    <t>칸라리사표도로브나</t>
  </si>
  <si>
    <t>Кан Лариса</t>
  </si>
  <si>
    <t>7-700-687-9705</t>
  </si>
  <si>
    <t>@larisa_kan49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</si>
  <si>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</si>
  <si>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</si>
  <si>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</si>
  <si>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</si>
  <si>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</si>
  <si>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00430115-00892</t>
  </si>
  <si>
    <t xml:space="preserve">가니예바페르데쉬
</t>
  </si>
  <si>
    <t>Ганиева Пердеш</t>
  </si>
  <si>
    <t>7-705-240-0477</t>
  </si>
  <si>
    <t>00410523-00464</t>
  </si>
  <si>
    <t>00371217-01041</t>
  </si>
  <si>
    <t>БАТЫРЖАНОВА ЗИЯГУЛЬ БАКАНОВНА</t>
  </si>
  <si>
    <t>7-777-678-3300</t>
  </si>
  <si>
    <t>@Ziagul_batyrjanova</t>
  </si>
  <si>
    <t>Миронова Маринa</t>
  </si>
  <si>
    <t>-7-702-340-48-75</t>
  </si>
  <si>
    <t>@marinamironovakamisheva</t>
  </si>
  <si>
    <t>00400819-00473</t>
  </si>
  <si>
    <t>Айтмурзакова Сауле Данабековна</t>
  </si>
  <si>
    <t>7-771-176-7346</t>
  </si>
  <si>
    <t>@saule7788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</si>
  <si>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</si>
  <si>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</si>
  <si>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</si>
  <si>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</si>
  <si>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</si>
  <si>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</si>
  <si>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</si>
  <si>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</si>
  <si>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</si>
  <si>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00410523-00458</t>
  </si>
  <si>
    <t>Валова Наталья Александровна</t>
  </si>
  <si>
    <t>7-701-352-5809</t>
  </si>
  <si>
    <t>@Natalia_Valova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</si>
  <si>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</si>
  <si>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</si>
  <si>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</si>
  <si>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</si>
  <si>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</si>
  <si>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00381122-00009</t>
  </si>
  <si>
    <t>Хожамкулова Гульнара</t>
  </si>
  <si>
    <t>(7-707)-877-84-22</t>
  </si>
  <si>
    <t>@Culnara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</si>
  <si>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</si>
  <si>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</si>
  <si>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</si>
  <si>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</si>
  <si>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</si>
  <si>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00400227-01402</t>
  </si>
  <si>
    <t>Етикпаева Мадина Бакытхановна</t>
  </si>
  <si>
    <t>7-705-679-0009</t>
  </si>
  <si>
    <t>@EtikpaevaM</t>
  </si>
  <si>
    <t>00381122-00016</t>
  </si>
  <si>
    <t>Сагдеева Регина</t>
  </si>
  <si>
    <t>7747-297-8980</t>
  </si>
  <si>
    <t>@ReginaCISKazakhstan</t>
  </si>
  <si>
    <t>00400819-00486</t>
  </si>
  <si>
    <t xml:space="preserve">Черновская Мария Андреевна </t>
  </si>
  <si>
    <t>7-707-314-6182</t>
  </si>
  <si>
    <t>@Chernovskay_Mariy</t>
  </si>
  <si>
    <t>00420306-00111</t>
  </si>
  <si>
    <t>나손키나마리야블라디미로브나</t>
  </si>
  <si>
    <t>Насонкина Мария Владимировна</t>
  </si>
  <si>
    <t>@nassonkina_mary</t>
  </si>
  <si>
    <t>00371218-00467</t>
  </si>
  <si>
    <t>Ан Александра</t>
  </si>
  <si>
    <t>7-700-294-95-53</t>
  </si>
  <si>
    <t>@alexandralan</t>
  </si>
  <si>
    <t>00400227-01404</t>
  </si>
  <si>
    <t>Акпирова Арзигул Амановна</t>
  </si>
  <si>
    <t>7-707-481-7352</t>
  </si>
  <si>
    <t>@akpirova1981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</si>
  <si>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</si>
  <si>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</si>
  <si>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</si>
  <si>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</si>
  <si>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</si>
  <si>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</si>
  <si>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</si>
  <si>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</si>
  <si>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</si>
  <si>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</si>
  <si>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00410523-00467</t>
  </si>
  <si>
    <t>Хасанова Гулсинай Утегеновна</t>
  </si>
  <si>
    <t>7-771-496-1648</t>
  </si>
  <si>
    <t>@Guly6419</t>
  </si>
  <si>
    <t>탈가르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</si>
  <si>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</si>
  <si>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</si>
  <si>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</si>
  <si>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</si>
  <si>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</si>
  <si>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00360423-00596</t>
  </si>
  <si>
    <t>강예카테리나</t>
  </si>
  <si>
    <t>Кан Екатеринa</t>
  </si>
  <si>
    <t>77479550557/010-8088-0311(한국번호)</t>
  </si>
  <si>
    <t>00340624-00327</t>
  </si>
  <si>
    <t>00391111-00148</t>
  </si>
  <si>
    <t>Сидорова Наиля</t>
  </si>
  <si>
    <t>7-705-273-4721</t>
  </si>
  <si>
    <t>@Xi10s</t>
  </si>
  <si>
    <t>아만졸로바굴미라아미로브나</t>
  </si>
  <si>
    <t>Аманжолова Гульмира Амировна</t>
  </si>
  <si>
    <t>8-705-421-7676</t>
  </si>
  <si>
    <t>@Amanzholova_Gulmira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</si>
  <si>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</si>
  <si>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</si>
  <si>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</si>
  <si>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</si>
  <si>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</si>
  <si>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00400819-00461</t>
  </si>
  <si>
    <t>Гуреева Руза Александровна</t>
  </si>
  <si>
    <t>7-702-471-7801</t>
  </si>
  <si>
    <t>카라간다주</t>
  </si>
  <si>
    <t>00411226-00975</t>
  </si>
  <si>
    <t>Кенжетаева Гульсим Рахметоллаевна</t>
  </si>
  <si>
    <t>7-700-375-1675</t>
  </si>
  <si>
    <t>@Gulsa64</t>
  </si>
  <si>
    <t>카라간다</t>
  </si>
  <si>
    <t>00410822-01065</t>
  </si>
  <si>
    <t>Саттарова Алла Борисовна</t>
  </si>
  <si>
    <t>7-705-229-2391</t>
  </si>
  <si>
    <t>@SAllAbor</t>
  </si>
  <si>
    <t>00400227-01384</t>
  </si>
  <si>
    <t>Авяева Вера Петровна</t>
  </si>
  <si>
    <t>7-707-585-8242</t>
  </si>
  <si>
    <t>@VeraAvyaeva1384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</si>
  <si>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</si>
  <si>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</si>
  <si>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</si>
  <si>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</si>
  <si>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</si>
  <si>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00391111-00150</t>
  </si>
  <si>
    <t>Кулинич Алла</t>
  </si>
  <si>
    <t>7-777-459-7382</t>
  </si>
  <si>
    <t>00400819-00467</t>
  </si>
  <si>
    <t>Даулетмуратова Марияна Уралбаевна</t>
  </si>
  <si>
    <t>7-778-466-1511</t>
  </si>
  <si>
    <t>쉼켄트시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</si>
  <si>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</si>
  <si>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</si>
  <si>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</si>
  <si>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</si>
  <si>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</si>
  <si>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00400227-01419</t>
  </si>
  <si>
    <t>Стрюк Ирина Александровна</t>
  </si>
  <si>
    <t>7-777-046-0284</t>
  </si>
  <si>
    <t>울루타우주</t>
  </si>
  <si>
    <t>00410523-00482</t>
  </si>
  <si>
    <t>КАЛЮЖНАЯ ОЛЬГА ВИКТОРОВНА</t>
  </si>
  <si>
    <t>7-705-476-4242</t>
  </si>
  <si>
    <t>@Olga_482</t>
  </si>
  <si>
    <t>동카자흐스탄, 리데르</t>
  </si>
  <si>
    <t>00400819-00479</t>
  </si>
  <si>
    <t>카자흐스탄새신자</t>
  </si>
  <si>
    <t>새8구역</t>
  </si>
  <si>
    <t>МАКСИМОВА НАТАЛЬЯ ИГОРЕВНА</t>
  </si>
  <si>
    <t>7-707-610-6765</t>
  </si>
  <si>
    <t>@Maksimova_natalia7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</si>
  <si>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</si>
  <si>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</si>
  <si>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</si>
  <si>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</si>
  <si>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</si>
  <si>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</si>
  <si>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</si>
  <si>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</si>
  <si>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</si>
  <si>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</si>
  <si>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</si>
  <si>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</si>
  <si>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</si>
  <si>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</si>
  <si>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00411010-02034</t>
  </si>
  <si>
    <t>Тохтарова Фарида Сулеймовна</t>
  </si>
  <si>
    <t>7-702-702-4008</t>
  </si>
  <si>
    <t>@Farida777888</t>
  </si>
  <si>
    <t>00411226-01002</t>
  </si>
  <si>
    <t>Рысбекова Алма Абдисаликызы</t>
  </si>
  <si>
    <t>7-747-408-1236</t>
  </si>
  <si>
    <t>@rysalma</t>
  </si>
  <si>
    <t>157기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</si>
  <si>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</si>
  <si>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</si>
  <si>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</si>
  <si>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</si>
  <si>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</si>
  <si>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</si>
  <si>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00430115-00904</t>
  </si>
  <si>
    <t>고르데예바타티야나이바노브나</t>
  </si>
  <si>
    <t>Гордеева Татьяна Иванова</t>
  </si>
  <si>
    <t>7-747-847-1668</t>
  </si>
  <si>
    <t>00390826-00120</t>
  </si>
  <si>
    <t>카자흐스탄알마티학생</t>
  </si>
  <si>
    <t>학생9구역</t>
  </si>
  <si>
    <t>Плесовских Руфина</t>
  </si>
  <si>
    <t>7-747-816-32-62</t>
  </si>
  <si>
    <t>@Plesovskih_Rufina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</si>
  <si>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</si>
  <si>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</si>
  <si>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</si>
  <si>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</si>
  <si>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</si>
  <si>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00411010-02035</t>
  </si>
  <si>
    <t>ВДОВИНА ВИОЛЕТТА ВИТАЛЬЕВНА</t>
  </si>
  <si>
    <t>7-771-449-9114</t>
  </si>
  <si>
    <t>@Violettik8</t>
  </si>
  <si>
    <t>00421016-05793</t>
  </si>
  <si>
    <t>셈베코바알리야베리코브나</t>
  </si>
  <si>
    <t>Сембекова Алия Бериковна</t>
  </si>
  <si>
    <t>7-747-785-8889</t>
  </si>
  <si>
    <t>카라간다주, 카라간다시</t>
  </si>
  <si>
    <t>Киблер Марина</t>
  </si>
  <si>
    <t>7-747-228-23-20</t>
  </si>
  <si>
    <t>@mkibler55</t>
  </si>
  <si>
    <t>00361031-00483</t>
  </si>
  <si>
    <t>Романова София</t>
  </si>
  <si>
    <t>-7777-284-82-48</t>
  </si>
  <si>
    <t>@sofiyarom2023</t>
  </si>
  <si>
    <t>00381122-00007</t>
  </si>
  <si>
    <t>Комекова Айткуль</t>
  </si>
  <si>
    <t>7-701-555-0539</t>
  </si>
  <si>
    <t>@amanat40</t>
  </si>
  <si>
    <t>00320813-00006</t>
  </si>
  <si>
    <t>Огай Елена</t>
  </si>
  <si>
    <t>010-4134-1098/-998977178222</t>
  </si>
  <si>
    <t>@LenaLn81</t>
  </si>
  <si>
    <t>Плесовских Татьяна</t>
  </si>
  <si>
    <t>(8-747)-285-65-85</t>
  </si>
  <si>
    <t>@Plesovskih_Tanya</t>
  </si>
  <si>
    <t>새11구역</t>
  </si>
  <si>
    <t>00421016-05787</t>
  </si>
  <si>
    <t>를스카야올가세묘노브나</t>
  </si>
  <si>
    <t>Рыльская Ольга Семёнова</t>
  </si>
  <si>
    <t>7-771-959-6681</t>
  </si>
  <si>
    <t>동카자흐스탄주, 글루보콥스키 구역</t>
  </si>
  <si>
    <t>00421016-05788</t>
  </si>
  <si>
    <t>카나피나굴숨주마쉐브나</t>
  </si>
  <si>
    <t>Канафина Гульсум Жумашевна</t>
  </si>
  <si>
    <t>7-702-635-8112</t>
  </si>
  <si>
    <t>00421016-05791</t>
  </si>
  <si>
    <t>아흐메토바굴샤트주마쉐브나</t>
  </si>
  <si>
    <t>Ахметова Гульшат Жумашевна</t>
  </si>
  <si>
    <t>7-747-851-2576</t>
  </si>
  <si>
    <t>카라간다주, 테미르타우시</t>
  </si>
  <si>
    <t>00421016-05789</t>
  </si>
  <si>
    <t>소콜로바안토니다세묘노브나</t>
  </si>
  <si>
    <t>Соколова Антонида Семеновна</t>
  </si>
  <si>
    <t>7-705-337-3156</t>
  </si>
  <si>
    <t>00421016-05790</t>
  </si>
  <si>
    <t>본다렌코옐레나겐나디예브나</t>
  </si>
  <si>
    <t>Бондаренко Елена Геннадьевна</t>
  </si>
  <si>
    <t>7-708-196-9720</t>
  </si>
  <si>
    <t>동카자흐스탄주, 알타이시</t>
  </si>
  <si>
    <t>00430115-00906</t>
  </si>
  <si>
    <t>아이케노바굴나라쿠바이둘로브나</t>
  </si>
  <si>
    <t>Айкенова Гульнара Кувайдулловна</t>
  </si>
  <si>
    <t>7-700-649-5985</t>
  </si>
  <si>
    <t>00430115-00905</t>
  </si>
  <si>
    <t>이브라예바사울레콘카쉐브나</t>
  </si>
  <si>
    <t>Ибраева Сауле Конкашевна</t>
  </si>
  <si>
    <t>7-776-691-6251</t>
  </si>
  <si>
    <t>00371217-01046</t>
  </si>
  <si>
    <t>카자흐스탄악토베</t>
  </si>
  <si>
    <t>00371218-00461</t>
  </si>
  <si>
    <t>나우루즈바예바미르굴비심바예브나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</si>
  <si>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</si>
  <si>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</si>
  <si>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</si>
  <si>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</si>
  <si>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</si>
  <si>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</si>
  <si>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</si>
  <si>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</si>
  <si>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</si>
  <si>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</si>
  <si>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</si>
  <si>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</si>
  <si>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</si>
  <si>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</si>
  <si>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</si>
  <si>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</si>
  <si>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</si>
  <si>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출결제외해지(23/8/17~25/2/28)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</si>
  <si>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</si>
  <si>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</si>
  <si>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</si>
  <si>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</si>
  <si>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</si>
  <si>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</si>
  <si>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</si>
  <si>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</si>
  <si>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</si>
  <si>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</si>
  <si>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</si>
  <si>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</si>
  <si>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</si>
  <si>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</si>
  <si>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</si>
  <si>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</si>
  <si>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</si>
  <si>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</si>
  <si>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출산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</si>
  <si>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</si>
  <si>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</si>
  <si>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</si>
  <si>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</si>
  <si>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</si>
  <si>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</si>
  <si>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</si>
  <si>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</si>
  <si>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</si>
  <si>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</si>
  <si>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알마티 가까움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</si>
  <si>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</si>
  <si>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</si>
  <si>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</si>
  <si>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</si>
  <si>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</si>
  <si>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아크몰라</t>
  </si>
  <si>
    <t>00400819-00476</t>
  </si>
  <si>
    <t>00401127-01012</t>
  </si>
  <si>
    <t>Евбасарова Татьяна Петровна</t>
  </si>
  <si>
    <t>7-705-321-7853</t>
  </si>
  <si>
    <t xml:space="preserve"> @petrovnapx</t>
  </si>
  <si>
    <t>ЖУСУПОВА ЖАНЫЛКАН</t>
  </si>
  <si>
    <t>7-775-834-5147</t>
  </si>
  <si>
    <t>@janyljusup</t>
  </si>
  <si>
    <t>아크몰라주, 아스타나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</si>
  <si>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</si>
  <si>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</si>
  <si>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</si>
  <si>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</si>
  <si>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</si>
  <si>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</si>
  <si>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</si>
  <si>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</si>
  <si>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</si>
  <si>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</si>
  <si>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</si>
  <si>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</si>
  <si>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</si>
  <si>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</si>
  <si>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</si>
  <si>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</si>
  <si>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</si>
  <si>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</si>
  <si>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</si>
  <si>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</si>
  <si>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</si>
  <si>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</si>
  <si>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</si>
  <si>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</si>
  <si>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</si>
  <si>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</si>
  <si>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</si>
  <si>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</si>
  <si>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00381122-00022</t>
  </si>
  <si>
    <t>00410326-00117</t>
  </si>
  <si>
    <t>나우루즈바옙아흐마디아타튜르코비치</t>
  </si>
  <si>
    <t>Наурузбаев Ахмади</t>
  </si>
  <si>
    <t>7-778-180-14-97</t>
  </si>
  <si>
    <t>@akhmadi_3</t>
  </si>
  <si>
    <t>Мамутова Алсу Сухрабовна</t>
  </si>
  <si>
    <t>7-708-356-2526</t>
  </si>
  <si>
    <t>@alsu_m18</t>
  </si>
  <si>
    <t>망기스타우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</si>
  <si>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</si>
  <si>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</si>
  <si>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</si>
  <si>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</si>
  <si>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</si>
  <si>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</si>
  <si>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</si>
  <si>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</si>
  <si>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</si>
  <si>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</si>
  <si>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</si>
  <si>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</si>
  <si>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</si>
  <si>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</si>
  <si>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</si>
  <si>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00421016-05786</t>
  </si>
  <si>
    <t>이스카코바율리야아자마토브나</t>
  </si>
  <si>
    <t>Искакова Юлия Азаматовна</t>
  </si>
  <si>
    <t>7-747-508-6075</t>
  </si>
  <si>
    <t>코스타나이 주</t>
  </si>
  <si>
    <t>00381122-00010</t>
  </si>
  <si>
    <t>00400530-00116</t>
  </si>
  <si>
    <t>00401127-01033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</si>
  <si>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</si>
  <si>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</si>
  <si>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</si>
  <si>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</si>
  <si>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</si>
  <si>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</si>
  <si>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</si>
  <si>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남카자흐스탄 주</t>
  </si>
  <si>
    <t>Шадчнева Ирина Дмитриевна</t>
  </si>
  <si>
    <t>7-705-318-9617</t>
  </si>
  <si>
    <t>@Schadchneva52</t>
  </si>
  <si>
    <t>쉬기스카자흐스탄주 리데르 시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</si>
  <si>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</si>
  <si>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</si>
  <si>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</si>
  <si>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</si>
  <si>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</si>
  <si>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</si>
  <si>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</si>
  <si>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</si>
  <si>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</si>
  <si>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</si>
  <si>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</si>
  <si>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</si>
  <si>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</si>
  <si>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</si>
  <si>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</si>
  <si>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</si>
  <si>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00410822-01070</t>
  </si>
  <si>
    <t>00401127-01023</t>
  </si>
  <si>
    <t>구역장(새신자팀장)</t>
  </si>
  <si>
    <t>DAVIDOVICH ALBINA</t>
  </si>
  <si>
    <t>7-777-920-8855</t>
  </si>
  <si>
    <t>@Aldavid528</t>
  </si>
  <si>
    <t>Сердюк Ольга Иосифовна</t>
  </si>
  <si>
    <t>7-778-619-7832</t>
  </si>
  <si>
    <t>@OlgaSerdyuk62</t>
  </si>
  <si>
    <t>쉬기스카자흐스탄주 세레브랸스크시</t>
  </si>
  <si>
    <t>00410822-01077</t>
  </si>
  <si>
    <t>Абдрахманова Алтынай Шавкатбековна</t>
  </si>
  <si>
    <t>7-705-476-1429</t>
  </si>
  <si>
    <t>@Altyn2906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</si>
  <si>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</si>
  <si>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</si>
  <si>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</si>
  <si>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</si>
  <si>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</si>
  <si>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</si>
  <si>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</si>
  <si>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</si>
  <si>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</si>
  <si>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</si>
  <si>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</si>
  <si>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00410822-01064</t>
  </si>
  <si>
    <t>Бабенко Ирина Владимировна</t>
  </si>
  <si>
    <t>7-777-373-6723</t>
  </si>
  <si>
    <t>@IrinaBabenko64</t>
  </si>
  <si>
    <t>코스타나이</t>
  </si>
  <si>
    <t>사명자6구역</t>
  </si>
  <si>
    <t>Наурузбаева Миргуль</t>
  </si>
  <si>
    <t>@heat_wave_s</t>
  </si>
  <si>
    <t>00391111-00165</t>
  </si>
  <si>
    <t>Тин Елена</t>
  </si>
  <si>
    <t>010-5936-0014</t>
  </si>
  <si>
    <t>@Elena_teen9</t>
  </si>
  <si>
    <t>00410326-00112</t>
  </si>
  <si>
    <t>오스파놉미람</t>
  </si>
  <si>
    <t>Оспанов Мирам</t>
  </si>
  <si>
    <t>7-705-360-7426</t>
  </si>
  <si>
    <t>@MiramOspanov</t>
  </si>
  <si>
    <t>00401127-01013</t>
  </si>
  <si>
    <t>카자흐스탄악토베 새신자</t>
  </si>
  <si>
    <t>00400227-01382</t>
  </si>
  <si>
    <t>새신자1구역</t>
  </si>
  <si>
    <t>Гауф Галина Михайловна</t>
  </si>
  <si>
    <t>7-771-624-6405</t>
  </si>
  <si>
    <t>@gauf_galina</t>
  </si>
  <si>
    <t>아바이주, 세메이시</t>
  </si>
  <si>
    <t>Гилева Любовь Артемовна</t>
  </si>
  <si>
    <t>7-747-848-6388</t>
  </si>
  <si>
    <t xml:space="preserve"> @LUBOVGILEVA</t>
  </si>
  <si>
    <t>쿼스타나이주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</si>
  <si>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</si>
  <si>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</si>
  <si>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</si>
  <si>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</si>
  <si>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</si>
  <si>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</si>
  <si>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</si>
  <si>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</si>
  <si>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국가별 지역 관할</t>
  </si>
  <si>
    <t>사하공화국 (야쿠티야),야쿠츠크</t>
  </si>
  <si>
    <t>해외개척지역</t>
  </si>
  <si>
    <t>벨라루스,폴란드,루마니아</t>
  </si>
  <si>
    <t>직책</t>
  </si>
  <si>
    <t>겸직</t>
  </si>
  <si>
    <t>체크2</t>
  </si>
  <si>
    <t>국내총괄팀장</t>
  </si>
  <si>
    <r>
      <rPr>
        <sz val="9"/>
        <color theme="1"/>
        <rFont val="Calibri"/>
        <family val="2"/>
      </rPr>
      <t>Ким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Сергей</t>
    </r>
  </si>
  <si>
    <t>00390826-00117</t>
  </si>
  <si>
    <t>Сон Игорь Артурович</t>
  </si>
  <si>
    <t>010-97112243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</si>
  <si>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</si>
  <si>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</si>
  <si>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</si>
  <si>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</si>
  <si>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</si>
  <si>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</si>
  <si>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00400227-01416</t>
  </si>
  <si>
    <t>김예브게니알렉산드로비치</t>
  </si>
  <si>
    <t>Ким Евгений Александрович</t>
  </si>
  <si>
    <t>00261114-00053</t>
  </si>
  <si>
    <t>00341026-00033</t>
  </si>
  <si>
    <t>00280508-00022</t>
  </si>
  <si>
    <t>엘리나바투크흐티나</t>
  </si>
  <si>
    <t>Батухтина Элина</t>
  </si>
  <si>
    <t>010-4593-5238</t>
  </si>
  <si>
    <t>00400530-00093</t>
  </si>
  <si>
    <t>이림마니콜라예브나</t>
  </si>
  <si>
    <t>Ли Римма Николаевна</t>
  </si>
  <si>
    <t>998-90-290-3254</t>
  </si>
  <si>
    <t>출결제외해지일 (2025/4/1)</t>
  </si>
  <si>
    <t>출산 (25/7/6)</t>
  </si>
  <si>
    <t>00300823-00110</t>
  </si>
  <si>
    <t>김올가</t>
  </si>
  <si>
    <t>Ким Ольга</t>
  </si>
  <si>
    <t>010-2206-1590</t>
  </si>
  <si>
    <t>신앙유약(24/03/27)</t>
  </si>
  <si>
    <t>00180613-00005</t>
  </si>
  <si>
    <t>010-2058-7374</t>
  </si>
  <si>
    <t>@in2heaven</t>
  </si>
  <si>
    <t>국제센터주강사</t>
  </si>
  <si>
    <t>010-7562-1362</t>
  </si>
  <si>
    <t>@Ciskorea</t>
  </si>
  <si>
    <t>00330526-00005</t>
  </si>
  <si>
    <t>한블라디슬라브</t>
  </si>
  <si>
    <t>Хан Владислав</t>
  </si>
  <si>
    <t>010-7696-1311</t>
  </si>
  <si>
    <t>소통을원하면 총서기 및 홍수정 구역장에게 문의</t>
  </si>
  <si>
    <t>00180506-00010</t>
  </si>
  <si>
    <t>국제부교육부장</t>
  </si>
  <si>
    <t>Ким Хён Джин</t>
  </si>
  <si>
    <t>010-2374-8001</t>
  </si>
  <si>
    <t>@JaceyKim</t>
  </si>
  <si>
    <t>00240624-00014</t>
  </si>
  <si>
    <t>Пак Ын Хе</t>
  </si>
  <si>
    <t>010-7399-4505</t>
  </si>
  <si>
    <t>기획부과장</t>
  </si>
  <si>
    <t>가편성중</t>
  </si>
  <si>
    <t>00230416-00002</t>
  </si>
  <si>
    <t>00350330-00206</t>
  </si>
  <si>
    <t>@philiippok</t>
  </si>
  <si>
    <t>아미르테무르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</si>
  <si>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</si>
  <si>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</si>
  <si>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</si>
  <si>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</si>
  <si>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</si>
  <si>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</si>
  <si>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</si>
  <si>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00330526-00004</t>
  </si>
  <si>
    <t>Масленкова Наталья</t>
  </si>
  <si>
    <t>7-978-5833845</t>
  </si>
  <si>
    <t>@Ial56</t>
  </si>
  <si>
    <t>00381122-00018</t>
  </si>
  <si>
    <t>오사드차클라브디야므콜라이브나</t>
  </si>
  <si>
    <t>Осадчая Клавдия</t>
  </si>
  <si>
    <t>(380-93)-489-06-06</t>
  </si>
  <si>
    <t>출결제외해지(2022/08/30~2025/3/1)</t>
  </si>
  <si>
    <t>사고처리예정자</t>
  </si>
  <si>
    <t>레닌그라드주</t>
  </si>
  <si>
    <t>사랑구역</t>
  </si>
  <si>
    <t>00410326-00082</t>
  </si>
  <si>
    <t>Бочкова Наталия Анатольевна</t>
  </si>
  <si>
    <t>7-925-490-3017</t>
  </si>
  <si>
    <t>00410326-00086</t>
  </si>
  <si>
    <t>파니나옐레나유리예브나</t>
  </si>
  <si>
    <t>Панина Елена Юрьевна</t>
  </si>
  <si>
    <t>7-916-686-2554</t>
  </si>
  <si>
    <t>크림새신자</t>
  </si>
  <si>
    <t>00400227-01407</t>
  </si>
  <si>
    <t>Мурова Анна Александровна</t>
  </si>
  <si>
    <t>7-901-117-4477</t>
  </si>
  <si>
    <t>@murrmurova</t>
  </si>
  <si>
    <t>00400227-01432</t>
  </si>
  <si>
    <t>Андреенко Вероника Андреевна</t>
  </si>
  <si>
    <t>7-959-157-0420</t>
  </si>
  <si>
    <t>@zionllider</t>
  </si>
  <si>
    <t>루간스크</t>
  </si>
  <si>
    <t>7-949-453-9535</t>
  </si>
  <si>
    <t>00410822-01092</t>
  </si>
  <si>
    <t>Пасечник Анна Владимирович</t>
  </si>
  <si>
    <t>375-25-607-6997</t>
  </si>
  <si>
    <t>@anna_6997</t>
  </si>
  <si>
    <t>00400227-01420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</si>
  <si>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</si>
  <si>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</si>
  <si>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</si>
  <si>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</si>
  <si>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</si>
  <si>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</si>
  <si>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</si>
  <si>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</si>
  <si>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</si>
  <si>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</si>
  <si>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</si>
  <si>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</si>
  <si>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</si>
  <si>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</si>
  <si>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</si>
  <si>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</si>
  <si>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출결제외해지(2023/06/20~2025/2/28)</t>
  </si>
  <si>
    <t>니즈니노브고로드 주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</si>
  <si>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</si>
  <si>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</si>
  <si>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</si>
  <si>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</si>
  <si>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</si>
  <si>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</si>
  <si>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</si>
  <si>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</si>
  <si>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</si>
  <si>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</si>
  <si>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</si>
  <si>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</si>
  <si>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</si>
  <si>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</si>
  <si>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</si>
  <si>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</si>
  <si>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</si>
  <si>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</si>
  <si>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</si>
  <si>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</si>
  <si>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</si>
  <si>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</si>
  <si>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</si>
  <si>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</si>
  <si>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군입대(기초군사훈련24.02.29)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</si>
  <si>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</si>
  <si>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</si>
  <si>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</si>
  <si>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</si>
  <si>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</si>
  <si>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</si>
  <si>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</si>
  <si>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</si>
  <si>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</si>
  <si>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</si>
  <si>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</si>
  <si>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r>
      <rPr>
        <sz val="9"/>
        <color theme="1"/>
        <rFont val="Calibri"/>
        <family val="2"/>
      </rPr>
      <t>Амирханян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Лусине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Овиковна</t>
    </r>
  </si>
  <si>
    <t>테미르타우시</t>
  </si>
  <si>
    <t>00400817-00310</t>
  </si>
  <si>
    <t>알비나볼로토바</t>
  </si>
  <si>
    <t>Болотова Альбина</t>
  </si>
  <si>
    <t>7-912-077-4700</t>
  </si>
  <si>
    <t>투먼</t>
  </si>
  <si>
    <t>8914-343-9939</t>
  </si>
  <si>
    <t>연락안됨</t>
  </si>
  <si>
    <t>7-950-728-7630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</si>
  <si>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</si>
  <si>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</si>
  <si>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</si>
  <si>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</si>
  <si>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</si>
  <si>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</si>
  <si>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신앙관리구역</t>
  </si>
  <si>
    <t>00390826-00111</t>
  </si>
  <si>
    <t>스테파시나올가빅토로브나</t>
  </si>
  <si>
    <t>Стефашина Ольга Викторовна</t>
  </si>
  <si>
    <t>7918-1317368</t>
  </si>
  <si>
    <t>출결제외해지(23/3/31~25/2/28)</t>
  </si>
  <si>
    <t>D 신앙유약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</si>
  <si>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</si>
  <si>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</si>
  <si>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</si>
  <si>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</si>
  <si>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</si>
  <si>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</si>
  <si>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</si>
  <si>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</si>
  <si>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</si>
  <si>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</si>
  <si>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</si>
  <si>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</si>
  <si>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</si>
  <si>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</si>
  <si>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</si>
  <si>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00400530-00149</t>
  </si>
  <si>
    <t>우마로바마디나알리세로브나</t>
  </si>
  <si>
    <t>Умарова Мадина Алишеровна</t>
  </si>
  <si>
    <t>998-91-535-8851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</si>
  <si>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</si>
  <si>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</si>
  <si>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</si>
  <si>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</si>
  <si>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</si>
  <si>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 xml:space="preserve">사고처리예정자 </t>
  </si>
  <si>
    <t>새신자1팀</t>
  </si>
  <si>
    <t>00400530-00160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</si>
  <si>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</si>
  <si>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</si>
  <si>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</si>
  <si>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</si>
  <si>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</si>
  <si>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</si>
  <si>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</si>
  <si>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출결제외해지(23/10/17~25/2/28)</t>
  </si>
  <si>
    <t>Амирханян Лусине Овиковна</t>
  </si>
  <si>
    <t>리데르</t>
  </si>
  <si>
    <t>00400819-00502</t>
  </si>
  <si>
    <t>Амангельдыева Аделина Узаровна</t>
  </si>
  <si>
    <t>2009-01-05</t>
  </si>
  <si>
    <t>996-50-825-1288</t>
  </si>
  <si>
    <t>이식쿨주</t>
  </si>
  <si>
    <t>00410822-01094</t>
  </si>
  <si>
    <t>Гуреева Зарина Викторовна</t>
  </si>
  <si>
    <t>7-707-647-9749</t>
  </si>
  <si>
    <t>S</t>
  </si>
  <si>
    <t>취합X</t>
  </si>
  <si>
    <t>42년 8월 개강반</t>
  </si>
  <si>
    <t>유년회</t>
  </si>
  <si>
    <t>00390826-00064</t>
  </si>
  <si>
    <t>박올가페트로브나</t>
  </si>
  <si>
    <t>Пак Ольга Петровна</t>
  </si>
  <si>
    <t>출결제외해지(23/6/5~25/2/28)</t>
  </si>
  <si>
    <t>Yurkova Polina Valerevna</t>
  </si>
  <si>
    <t>00401127-01053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</si>
  <si>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</si>
  <si>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</si>
  <si>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</si>
  <si>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</si>
  <si>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</si>
  <si>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00410523-00462</t>
  </si>
  <si>
    <t>XARGENKO ALLA NIKOLAYEVNA</t>
  </si>
  <si>
    <t>994-50-361-4419</t>
  </si>
  <si>
    <t>자카탈라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</si>
  <si>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</si>
  <si>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</si>
  <si>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</si>
  <si>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</si>
  <si>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</si>
  <si>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</si>
  <si>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</si>
  <si>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</si>
  <si>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</si>
  <si>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</si>
  <si>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</si>
  <si>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</si>
  <si>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</si>
  <si>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</si>
  <si>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</si>
  <si>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우크라이나부녀</t>
  </si>
  <si>
    <t>00340624-00334</t>
  </si>
  <si>
    <t>Кулинич Виктория</t>
  </si>
  <si>
    <t>380-50-211-38-00</t>
  </si>
  <si>
    <t>@Vraestelley</t>
  </si>
  <si>
    <t>00390826-00116</t>
  </si>
  <si>
    <t>다즈카야올가세르기이브나</t>
  </si>
  <si>
    <t>Дацкая Ольга Сергіївна</t>
  </si>
  <si>
    <t xml:space="preserve">@olgadatskaya </t>
  </si>
  <si>
    <t>클레반스카야스베틀라나드미트리예브나</t>
  </si>
  <si>
    <t>코발료바스베틀라나알렉산드로브나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</si>
  <si>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</si>
  <si>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</si>
  <si>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</si>
  <si>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</si>
  <si>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</si>
  <si>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00401127-01046</t>
  </si>
  <si>
    <t>Болотюк Ірина Сергіївна</t>
  </si>
  <si>
    <t>380-98-477-8425</t>
  </si>
  <si>
    <t>폴타바주 가요베마을</t>
  </si>
  <si>
    <t>00410822-01075</t>
  </si>
  <si>
    <t>크르탼시라누쉬</t>
  </si>
  <si>
    <t>კრტიან/სირანუშ</t>
  </si>
  <si>
    <t>995-57-102-4270</t>
  </si>
  <si>
    <t>아할치헤</t>
  </si>
  <si>
    <t>00410523-00490</t>
  </si>
  <si>
    <t>Кольченко Вениамин Евгеньевич</t>
  </si>
  <si>
    <t>7-922-547-6249</t>
  </si>
  <si>
    <t>@Nuggets_KFC</t>
  </si>
  <si>
    <t>00400227-01423</t>
  </si>
  <si>
    <t>Синецький Устим Вiталiйович</t>
  </si>
  <si>
    <t>485-7221-6322</t>
  </si>
  <si>
    <t>@samurai14052018</t>
  </si>
  <si>
    <t>크라쿠프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</si>
  <si>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</si>
  <si>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</si>
  <si>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</si>
  <si>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</si>
  <si>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</si>
  <si>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</si>
  <si>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</si>
  <si>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</si>
  <si>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</si>
  <si>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</si>
  <si>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</si>
  <si>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00400227-01426</t>
  </si>
  <si>
    <t>바흐롬조다무하마드</t>
  </si>
  <si>
    <t>Бахромзода Мухаммад</t>
  </si>
  <si>
    <t>99-255-158-0330</t>
  </si>
  <si>
    <t>두샨베</t>
  </si>
  <si>
    <t>출결제외 (24/7/18 군입대)
출결제외해지(24/2/5~25/2/28)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</si>
  <si>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</si>
  <si>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</si>
  <si>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</si>
  <si>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</si>
  <si>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</si>
  <si>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</si>
  <si>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</si>
  <si>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</si>
  <si>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00400530-00156</t>
  </si>
  <si>
    <t>볼로튝블라다이바노브나</t>
  </si>
  <si>
    <t>Болотюк Влада Ивановна</t>
  </si>
  <si>
    <t>380-96-399-6604</t>
  </si>
  <si>
    <t>@V_la_da0204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</si>
  <si>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</si>
  <si>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</si>
  <si>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</si>
  <si>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</si>
  <si>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</si>
  <si>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</si>
  <si>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</si>
  <si>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</si>
  <si>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</si>
  <si>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</si>
  <si>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</si>
  <si>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00400530-00146</t>
  </si>
  <si>
    <t>루드첸코올가므콜라이브나</t>
  </si>
  <si>
    <t>Рудченко Ольга Миколаївна</t>
  </si>
  <si>
    <t>5-1구역</t>
  </si>
  <si>
    <t>출결제외해지(25/6/5~25/8/10)</t>
  </si>
  <si>
    <t>5-2구역</t>
  </si>
  <si>
    <t>00381122-00017</t>
  </si>
  <si>
    <t>사그데옙티모페이불라토비치</t>
  </si>
  <si>
    <t>Сагдеев Тимофей</t>
  </si>
  <si>
    <t>87071653151</t>
  </si>
  <si>
    <t>00390826-00112</t>
  </si>
  <si>
    <t>코메콥누르벡쉰그스칸지예비치</t>
  </si>
  <si>
    <t>Комеков Нурбек Шынгысказиевич</t>
  </si>
  <si>
    <t>142-43336121</t>
  </si>
  <si>
    <t>00371217-01045</t>
  </si>
  <si>
    <t>마네소브알렉산드르샤무라토비치</t>
  </si>
  <si>
    <t>Манесов Александр</t>
  </si>
  <si>
    <t>7707-1027-388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</si>
  <si>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</si>
  <si>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</si>
  <si>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</si>
  <si>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</si>
  <si>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</si>
  <si>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</si>
  <si>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</si>
  <si>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</si>
  <si>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</si>
  <si>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00371218-00474</t>
  </si>
  <si>
    <t>아슬라노바소피야사비로브나</t>
  </si>
  <si>
    <t>Асланова София</t>
  </si>
  <si>
    <t>7-708-938-26-46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</si>
  <si>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</si>
  <si>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</si>
  <si>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</si>
  <si>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</si>
  <si>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</si>
  <si>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</si>
  <si>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</si>
  <si>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</si>
  <si>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</si>
  <si>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</si>
  <si>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</si>
  <si>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</si>
  <si>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</si>
  <si>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</si>
  <si>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</si>
  <si>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카자흐스탄새신자팀</t>
  </si>
  <si>
    <t>?</t>
  </si>
  <si>
    <t>00400227-01379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</si>
  <si>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</si>
  <si>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</si>
  <si>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</si>
  <si>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</si>
  <si>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</si>
  <si>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</si>
  <si>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</si>
  <si>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</si>
  <si>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</si>
  <si>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</si>
  <si>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</si>
  <si>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</si>
  <si>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</si>
  <si>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</si>
  <si>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</si>
  <si>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</si>
  <si>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2-1구역</t>
  </si>
  <si>
    <t>울루타우스카야지역</t>
  </si>
  <si>
    <t>00400227-01403</t>
  </si>
  <si>
    <t>타이셰바나탈리야그리고리예브나</t>
  </si>
  <si>
    <t>Таишева Наталья Григорьевна</t>
  </si>
  <si>
    <t>7-777-446-0148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</si>
  <si>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</si>
  <si>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</si>
  <si>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</si>
  <si>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</si>
  <si>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</si>
  <si>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</si>
  <si>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</si>
  <si>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</si>
  <si>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</si>
  <si>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</si>
  <si>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</si>
  <si>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</si>
  <si>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</si>
  <si>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</si>
  <si>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2-2구역</t>
  </si>
  <si>
    <t>00410822-01076</t>
  </si>
  <si>
    <t>Радаева Елена Александровна</t>
  </si>
  <si>
    <t>7-777-611-3529</t>
  </si>
  <si>
    <t>울리타우</t>
  </si>
  <si>
    <t>3-1구역</t>
  </si>
  <si>
    <t>3-2구역</t>
  </si>
  <si>
    <t>00400530-00153</t>
  </si>
  <si>
    <t>록테바올레샤세르게예브나</t>
  </si>
  <si>
    <t>Локтева Олеся Сергеевна</t>
  </si>
  <si>
    <t>7-707-821-7383 / 7-778-400-4655</t>
  </si>
  <si>
    <t>출결제외해지(24/2/16~25/2/28)</t>
  </si>
  <si>
    <t>출결제외해지 (24/4/17~7/19)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</si>
  <si>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</si>
  <si>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</si>
  <si>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</si>
  <si>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</si>
  <si>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</si>
  <si>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00401127-01074</t>
  </si>
  <si>
    <t>Гуреев Иван Викторович</t>
  </si>
  <si>
    <t>@Kitty_KillerTg</t>
  </si>
  <si>
    <t>카라간다주 테미르타우시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</si>
  <si>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</si>
  <si>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</si>
  <si>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</si>
  <si>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</si>
  <si>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</si>
  <si>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00400530-00111</t>
  </si>
  <si>
    <t>카나피나인나세르게예브나</t>
  </si>
  <si>
    <t>Канафина  Инна Сергеевна</t>
  </si>
  <si>
    <t>7-708-177-0497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</si>
  <si>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</si>
  <si>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</si>
  <si>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</si>
  <si>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</si>
  <si>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</si>
  <si>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</si>
  <si>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악토베 새신자</t>
  </si>
  <si>
    <t>00401127-01066</t>
  </si>
  <si>
    <t>Сәруарова Манзура Мирамбекқызы</t>
  </si>
  <si>
    <t>7-707-767-2505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</si>
  <si>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</si>
  <si>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</si>
  <si>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</si>
  <si>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</si>
  <si>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</si>
  <si>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</si>
  <si>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</si>
  <si>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</si>
  <si>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</si>
  <si>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</si>
  <si>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</si>
  <si>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00410326-00105</t>
  </si>
  <si>
    <t>바텐코바올가빅토로브나</t>
  </si>
  <si>
    <t>Батенькова Ольга Викторовна</t>
  </si>
  <si>
    <t>7-913-670-4777</t>
  </si>
  <si>
    <t>시베리아</t>
  </si>
  <si>
    <t>새신자2팀</t>
  </si>
  <si>
    <t>КантаковаАнна</t>
  </si>
  <si>
    <t xml:space="preserve">@annakantakova </t>
  </si>
  <si>
    <t>즈파디나이다미하일로브나</t>
  </si>
  <si>
    <t>Ципадина Ида Михайловна</t>
  </si>
  <si>
    <t xml:space="preserve">@natalia_bazhanova 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</si>
  <si>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</si>
  <si>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</si>
  <si>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</si>
  <si>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</si>
  <si>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</si>
  <si>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</si>
  <si>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</si>
  <si>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</si>
  <si>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</si>
  <si>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</si>
  <si>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 xml:space="preserve">@Petrishina69 </t>
  </si>
  <si>
    <t>새신자3팀</t>
  </si>
  <si>
    <t>ЦойТаисия</t>
  </si>
  <si>
    <t>00400819-00472</t>
  </si>
  <si>
    <t>Пролыгина Татьяна Александровна</t>
  </si>
  <si>
    <t>7-919-146-8610</t>
  </si>
  <si>
    <t>출결제외해지(22/2/16~25/3/14)</t>
  </si>
  <si>
    <t xml:space="preserve"> @e04el 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</si>
  <si>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</si>
  <si>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</si>
  <si>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</si>
  <si>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</si>
  <si>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</si>
  <si>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</si>
  <si>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</si>
  <si>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</si>
  <si>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</si>
  <si>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</si>
  <si>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</si>
  <si>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칼리닌그라드주 칼리닌그라드</t>
  </si>
  <si>
    <t>질병(25/01/05)</t>
  </si>
  <si>
    <t>10구역</t>
  </si>
  <si>
    <t>00410326-00109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</si>
  <si>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</si>
  <si>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</si>
  <si>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</si>
  <si>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</si>
  <si>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</si>
  <si>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11구역</t>
  </si>
  <si>
    <t>Ким Сергей</t>
  </si>
  <si>
    <t xml:space="preserve">@execute25 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</si>
  <si>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</si>
  <si>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</si>
  <si>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</si>
  <si>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</si>
  <si>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</si>
  <si>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12구역</t>
  </si>
  <si>
    <t xml:space="preserve">@vikcrimea 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</si>
  <si>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</si>
  <si>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</si>
  <si>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</si>
  <si>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</si>
  <si>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</si>
  <si>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새신자5팀</t>
  </si>
  <si>
    <t>13구역</t>
  </si>
  <si>
    <t>СилинаНаталья</t>
  </si>
  <si>
    <t>14구역</t>
  </si>
  <si>
    <t xml:space="preserve">@Tamara_186 </t>
  </si>
  <si>
    <t>15구역</t>
  </si>
  <si>
    <t>바즐축타티야나이바니브나</t>
  </si>
  <si>
    <t>16구역</t>
  </si>
  <si>
    <t>새신자6팀</t>
  </si>
  <si>
    <t>17구역</t>
  </si>
  <si>
    <t>18구역</t>
  </si>
  <si>
    <t>19구역</t>
  </si>
  <si>
    <t>누쿠스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</si>
  <si>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</si>
  <si>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</si>
  <si>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해외개척</t>
  </si>
  <si>
    <t>인천광역시 연수구</t>
  </si>
  <si>
    <t>00231128-00010</t>
  </si>
  <si>
    <t>010-9080-1384</t>
  </si>
  <si>
    <t>@wani380328</t>
  </si>
  <si>
    <t>차소연</t>
  </si>
  <si>
    <t>00360829-00137</t>
  </si>
  <si>
    <t>010-6419-3607</t>
  </si>
  <si>
    <t>@HyejuPark</t>
  </si>
  <si>
    <t>가구역편성</t>
  </si>
  <si>
    <t>00361031-00505</t>
  </si>
  <si>
    <t>산타카타리나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</si>
  <si>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</si>
  <si>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 중병환자) 상세 : 심장수술, 시력이 거의 보이지 않아 거동 불가</t>
  </si>
  <si>
    <t>세르비아</t>
  </si>
  <si>
    <t>보이보디나</t>
  </si>
  <si>
    <t>불가리아</t>
  </si>
  <si>
    <t>가브로보</t>
  </si>
  <si>
    <t>입원(25/05/22~</t>
  </si>
  <si>
    <t>PAK IN-GA NIKOLAYEVNA</t>
  </si>
  <si>
    <t>광주</t>
  </si>
  <si>
    <t>출결제외해지(23/6/10~25/2/28)</t>
  </si>
  <si>
    <t>출산 (6/1 출선, 출제신청 6/4)</t>
  </si>
  <si>
    <t>@Trofim52</t>
  </si>
  <si>
    <t>00400819-00458</t>
  </si>
  <si>
    <t>암치료입원(42/2/16)/출결제외해지(41/12/15)</t>
  </si>
  <si>
    <t>Катамада Гералиса (ქათამაძე ლარისა)</t>
  </si>
  <si>
    <t>Михалеаская Надежда Ильясовна</t>
  </si>
  <si>
    <t>Зеленчук Наталья Владимировна</t>
  </si>
  <si>
    <t>육사망(자는자)</t>
  </si>
  <si>
    <t>새신자부구역장예정</t>
  </si>
  <si>
    <t>면직</t>
  </si>
  <si>
    <t xml:space="preserve"> 바즐축테탸나이바니브나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</si>
  <si>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</si>
  <si>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</si>
  <si>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</si>
  <si>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</si>
  <si>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</si>
  <si>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</si>
  <si>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</si>
  <si>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</si>
  <si>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</si>
  <si>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</si>
  <si>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</si>
  <si>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</si>
  <si>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전라남도</t>
  </si>
  <si>
    <t>010-2882-8927</t>
  </si>
  <si>
    <t>@soyeon_83</t>
  </si>
  <si>
    <t>Ли Светлана Анатольевна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</si>
  <si>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</si>
  <si>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</si>
  <si>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</si>
  <si>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</si>
  <si>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</si>
  <si>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</si>
  <si>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</si>
  <si>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</si>
  <si>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</si>
  <si>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</si>
  <si>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</si>
  <si>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</si>
  <si>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</si>
  <si>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</si>
  <si>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</si>
  <si>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</si>
  <si>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러시아
</t>
  </si>
  <si>
    <t xml:space="preserve">모스크바
</t>
  </si>
  <si>
    <t xml:space="preserve">7-940-935-9800
</t>
  </si>
  <si>
    <t xml:space="preserve">압하지야
</t>
  </si>
  <si>
    <t xml:space="preserve">375-25-607-6997
</t>
  </si>
  <si>
    <t xml:space="preserve">카자흐스탄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</si>
  <si>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</si>
  <si>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</si>
  <si>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</si>
  <si>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</si>
  <si>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</si>
  <si>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Середа Iрiна Грiгорiвна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</si>
  <si>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</si>
  <si>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</si>
  <si>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</si>
  <si>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</si>
  <si>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</si>
  <si>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출결제외해지(23/07/24~25/2/28)</t>
  </si>
  <si>
    <t>7-707-345-0087</t>
  </si>
  <si>
    <t>수정필요</t>
  </si>
  <si>
    <t xml:space="preserve"> : 개편전</t>
  </si>
  <si>
    <t>↓값붙여넣기★</t>
  </si>
  <si>
    <t>손대지말것↓</t>
  </si>
  <si>
    <t xml:space="preserve"> : 개편 후 자동집계</t>
  </si>
  <si>
    <t>개편 실시간 반영 ↓</t>
  </si>
  <si>
    <t>일치여부</t>
  </si>
  <si>
    <t>조직개편전</t>
  </si>
  <si>
    <t xml:space="preserve"> 행정적용후</t>
  </si>
  <si>
    <t>사용순서</t>
  </si>
  <si>
    <t>1 개편전 일치여부 열에</t>
  </si>
  <si>
    <t>불일치</t>
  </si>
  <si>
    <r>
      <rPr>
        <sz val="11"/>
        <color theme="1"/>
        <rFont val="Calibri"/>
        <family val="2"/>
      </rPr>
      <t xml:space="preserve">인 경우 </t>
    </r>
    <r>
      <rPr>
        <b/>
        <sz val="11"/>
        <color rgb="FF0000FF"/>
        <rFont val="맑은 고딕"/>
        <family val="3"/>
        <charset val="129"/>
      </rPr>
      <t>파란 박스</t>
    </r>
    <r>
      <rPr>
        <sz val="11"/>
        <color rgb="FF0000FF"/>
        <rFont val="맑은 고딕"/>
        <family val="3"/>
        <charset val="129"/>
      </rPr>
      <t xml:space="preserve"> ① </t>
    </r>
    <r>
      <rPr>
        <sz val="11"/>
        <color theme="1"/>
        <rFont val="맑은 고딕"/>
        <family val="3"/>
        <charset val="129"/>
      </rPr>
      <t xml:space="preserve">데이터 복사 → </t>
    </r>
    <r>
      <rPr>
        <b/>
        <sz val="11"/>
        <color rgb="FFC00000"/>
        <rFont val="맑은 고딕"/>
        <family val="3"/>
        <charset val="129"/>
      </rPr>
      <t>빨간 박스 ②</t>
    </r>
    <r>
      <rPr>
        <sz val="11"/>
        <color theme="1"/>
        <rFont val="맑은 고딕"/>
        <family val="3"/>
        <charset val="129"/>
      </rPr>
      <t xml:space="preserve"> 값으로 붙여넣기</t>
    </r>
  </si>
  <si>
    <t>2 [표3] 누적관리 표에 날짜와 성도 수 값으로 붙여넣기</t>
  </si>
  <si>
    <t>총합계</t>
  </si>
  <si>
    <t>②</t>
  </si>
  <si>
    <t>①</t>
  </si>
  <si>
    <t>[표3] 누적관리</t>
  </si>
  <si>
    <t>③</t>
  </si>
  <si>
    <t>누적 관리</t>
  </si>
  <si>
    <t>루블(자체보관)</t>
  </si>
  <si>
    <t>Десятина(십일조)</t>
  </si>
  <si>
    <t>Заметка(메모)</t>
  </si>
  <si>
    <t>Ким Юлия Степановна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</si>
</sst>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mm\.dd\(aaa\)"/>
    <numFmt numFmtId="178" formatCode="00&quot;세&quot;"/>
    <numFmt numFmtId="179" formatCode="m\-d"/>
  </numFmts>
  <fonts count="155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1"/>
      <color rgb="FF000000"/>
      <name val="&quot;Malgun Gothic&quot;"/>
    </font>
    <font>
      <sz val="10"/>
      <color theme="1"/>
      <name val="Calibri"/>
      <family val="2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9"/>
      <color rgb="FF000000"/>
      <name val="&quot;Malgun Gothic&quot;"/>
    </font>
    <font>
      <b/>
      <sz val="9"/>
      <color rgb="FFC00000"/>
      <name val="Malgun Gothic"/>
      <family val="3"/>
      <charset val="129"/>
    </font>
    <font>
      <sz val="11"/>
      <color rgb="FF000000"/>
      <name val="돋움"/>
      <family val="3"/>
      <charset val="129"/>
    </font>
    <font>
      <sz val="12"/>
      <color theme="1"/>
      <name val="Malgun Gothic"/>
      <family val="3"/>
      <charset val="129"/>
    </font>
    <font>
      <b/>
      <sz val="10"/>
      <color rgb="FFC0000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b/>
      <sz val="10"/>
      <color theme="0"/>
      <name val="Calibri"/>
      <family val="2"/>
    </font>
    <font>
      <sz val="7"/>
      <color theme="0"/>
      <name val="Malgun Gothic"/>
      <family val="3"/>
      <charset val="129"/>
    </font>
    <font>
      <sz val="9"/>
      <color rgb="FF0000FF"/>
      <name val="Malgun Gothic"/>
      <family val="3"/>
      <charset val="129"/>
    </font>
    <font>
      <b/>
      <sz val="10"/>
      <color theme="0"/>
      <name val="Malgun Gothic"/>
      <family val="3"/>
      <charset val="129"/>
    </font>
    <font>
      <b/>
      <sz val="8"/>
      <color rgb="FFC00000"/>
      <name val="Malgun Gothic"/>
      <family val="3"/>
      <charset val="129"/>
    </font>
    <font>
      <b/>
      <sz val="16"/>
      <color theme="0"/>
      <name val="Malgun Gothic"/>
      <family val="3"/>
      <charset val="129"/>
    </font>
    <font>
      <b/>
      <sz val="11"/>
      <color rgb="FFC00000"/>
      <name val="Malgun Gothic"/>
      <family val="3"/>
      <charset val="129"/>
    </font>
    <font>
      <b/>
      <sz val="16"/>
      <color rgb="FFC00000"/>
      <name val="Malgun Gothic"/>
      <family val="3"/>
      <charset val="129"/>
    </font>
    <font>
      <b/>
      <sz val="16"/>
      <color rgb="FF0000FF"/>
      <name val="Malgun Gothic"/>
      <family val="3"/>
      <charset val="129"/>
    </font>
    <font>
      <b/>
      <sz val="16"/>
      <color theme="1"/>
      <name val="Malgun Gothic"/>
      <family val="3"/>
      <charset val="129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theme="1"/>
      <name val="Aria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b/>
      <sz val="8"/>
      <color rgb="FFFF0000"/>
      <name val="Calibri"/>
      <family val="2"/>
    </font>
    <font>
      <sz val="9"/>
      <color theme="1"/>
      <name val="맑은 고딕"/>
      <family val="3"/>
      <charset val="129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8"/>
      <name val="Calibri"/>
      <family val="3"/>
      <charset val="129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F9933"/>
        <bgColor rgb="FFFF993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F7CAAC"/>
        <bgColor rgb="FFF7CAAC"/>
      </patternFill>
    </fill>
    <fill>
      <patternFill patternType="solid">
        <fgColor rgb="FFFFD2FF"/>
        <bgColor rgb="FFFFD2FF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4B084"/>
        <bgColor rgb="FFF4B084"/>
      </patternFill>
    </fill>
    <fill>
      <patternFill patternType="solid">
        <fgColor rgb="FFBDD6EE"/>
        <bgColor rgb="FFBDD6EE"/>
      </patternFill>
    </fill>
    <fill>
      <patternFill patternType="solid">
        <fgColor rgb="FFEA9999"/>
        <bgColor rgb="FFEA9999"/>
      </patternFill>
    </fill>
    <fill>
      <patternFill patternType="solid">
        <fgColor rgb="FFFFFFCC"/>
        <bgColor rgb="FFFFFFCC"/>
      </patternFill>
    </fill>
    <fill>
      <patternFill patternType="solid">
        <fgColor rgb="FFF9CB9C"/>
        <bgColor rgb="FFF9CB9C"/>
      </patternFill>
    </fill>
    <fill>
      <patternFill patternType="solid">
        <fgColor rgb="FFFFC000"/>
        <bgColor rgb="FFFFC000"/>
      </patternFill>
    </fill>
    <fill>
      <patternFill patternType="solid">
        <fgColor rgb="FFF6B26B"/>
        <bgColor rgb="FFF6B26B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A5A5A5"/>
        <bgColor rgb="FFA5A5A5"/>
      </patternFill>
    </fill>
    <fill>
      <patternFill patternType="solid">
        <fgColor rgb="FF7B7B7B"/>
        <bgColor rgb="FF7B7B7B"/>
      </patternFill>
    </fill>
    <fill>
      <patternFill patternType="solid">
        <fgColor rgb="FF2F5496"/>
        <bgColor rgb="FF2F5496"/>
      </patternFill>
    </fill>
  </fills>
  <borders count="19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 style="thin">
        <color rgb="FF7F7F7F"/>
      </left>
      <right/>
      <top style="thin">
        <color rgb="FF7F7F7F"/>
      </top>
      <bottom style="double">
        <color rgb="FF7F7F7F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thick">
        <color rgb="FFC00000"/>
      </left>
      <right style="thick">
        <color rgb="FFC00000"/>
      </right>
      <top style="thin">
        <color rgb="FF000000"/>
      </top>
      <bottom style="thin">
        <color rgb="FF000000"/>
      </bottom>
      <diagonal/>
    </border>
    <border>
      <left style="thick">
        <color rgb="FF0000FF"/>
      </left>
      <right style="thick">
        <color rgb="FF0000FF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ck">
        <color rgb="FFC00000"/>
      </left>
      <right style="thick">
        <color rgb="FFC00000"/>
      </right>
      <top style="thin">
        <color rgb="FF000000"/>
      </top>
      <bottom style="thick">
        <color rgb="FFC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ck">
        <color rgb="FF0000FF"/>
      </left>
      <right style="thick">
        <color rgb="FF0000FF"/>
      </right>
      <top/>
      <bottom style="thick">
        <color rgb="FF0000FF"/>
      </bottom>
      <diagonal/>
    </border>
    <border>
      <left style="medium">
        <color rgb="FF000000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/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rgb="FF000000"/>
      </right>
      <top/>
      <bottom style="thin">
        <color rgb="FF7F7F7F"/>
      </bottom>
      <diagonal/>
    </border>
    <border>
      <left style="thin">
        <color rgb="FF7F7F7F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/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 style="thin">
        <color rgb="FF7F7F7F"/>
      </left>
      <right style="medium">
        <color rgb="FF000000"/>
      </right>
      <top style="thin">
        <color rgb="FF7F7F7F"/>
      </top>
      <bottom style="double">
        <color rgb="FF7F7F7F"/>
      </bottom>
      <diagonal/>
    </border>
    <border>
      <left style="medium">
        <color rgb="FF000000"/>
      </left>
      <right style="thin">
        <color rgb="FF7F7F7F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/>
      <bottom style="medium">
        <color rgb="FF000000"/>
      </bottom>
      <diagonal/>
    </border>
    <border>
      <left style="thin">
        <color rgb="FF7F7F7F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7F7F7F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2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center" shrinkToFit="1"/>
    </xf>
    <xf numFmtId="0" fontId="3" fillId="5" borderId="14" xfId="0" applyFont="1" applyFill="1" applyBorder="1" applyAlignment="1">
      <alignment horizontal="center" vertical="center" shrinkToFit="1"/>
    </xf>
    <xf numFmtId="0" fontId="3" fillId="5" borderId="19" xfId="0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15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shrinkToFit="1"/>
    </xf>
    <xf numFmtId="0" fontId="1" fillId="0" borderId="31" xfId="0" applyFont="1" applyBorder="1" applyAlignment="1">
      <alignment vertical="center" shrinkToFit="1"/>
    </xf>
    <xf numFmtId="0" fontId="12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8" fillId="0" borderId="0" xfId="0" applyFont="1" applyAlignment="1">
      <alignment horizontal="center" vertical="center" shrinkToFit="1"/>
    </xf>
    <xf numFmtId="0" fontId="5" fillId="0" borderId="29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5" fillId="0" borderId="23" xfId="0" applyFont="1" applyBorder="1" applyAlignment="1">
      <alignment vertical="center" shrinkToFit="1"/>
    </xf>
    <xf numFmtId="0" fontId="1" fillId="0" borderId="23" xfId="0" applyFont="1" applyBorder="1" applyAlignment="1">
      <alignment vertical="center" shrinkToFit="1"/>
    </xf>
    <xf numFmtId="0" fontId="3" fillId="3" borderId="32" xfId="0" applyFont="1" applyFill="1" applyBorder="1" applyAlignment="1">
      <alignment horizontal="center" vertical="center" shrinkToFit="1"/>
    </xf>
    <xf numFmtId="0" fontId="3" fillId="7" borderId="33" xfId="0" applyFont="1" applyFill="1" applyBorder="1" applyAlignment="1">
      <alignment horizontal="center" vertical="center" shrinkToFit="1"/>
    </xf>
    <xf numFmtId="0" fontId="3" fillId="3" borderId="34" xfId="0" applyFont="1" applyFill="1" applyBorder="1" applyAlignment="1">
      <alignment horizontal="center" vertical="center" shrinkToFit="1"/>
    </xf>
    <xf numFmtId="0" fontId="3" fillId="7" borderId="35" xfId="0" applyFont="1" applyFill="1" applyBorder="1" applyAlignment="1">
      <alignment horizontal="center" vertical="center" shrinkToFit="1"/>
    </xf>
    <xf numFmtId="0" fontId="3" fillId="8" borderId="36" xfId="0" applyFont="1" applyFill="1" applyBorder="1" applyAlignment="1">
      <alignment horizontal="center" vertical="center" shrinkToFit="1"/>
    </xf>
    <xf numFmtId="0" fontId="3" fillId="3" borderId="35" xfId="0" applyFont="1" applyFill="1" applyBorder="1" applyAlignment="1">
      <alignment horizontal="center"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3" fillId="7" borderId="38" xfId="0" applyFont="1" applyFill="1" applyBorder="1" applyAlignment="1">
      <alignment horizontal="center" vertical="center" shrinkToFit="1"/>
    </xf>
    <xf numFmtId="0" fontId="3" fillId="0" borderId="39" xfId="0" applyFont="1" applyBorder="1" applyAlignment="1">
      <alignment horizontal="center" vertical="center" shrinkToFit="1"/>
    </xf>
    <xf numFmtId="0" fontId="3" fillId="0" borderId="40" xfId="0" applyFont="1" applyBorder="1" applyAlignment="1">
      <alignment horizontal="center" vertical="center" shrinkToFit="1"/>
    </xf>
    <xf numFmtId="0" fontId="11" fillId="0" borderId="41" xfId="0" applyFont="1" applyBorder="1" applyAlignment="1">
      <alignment vertical="center" shrinkToFit="1"/>
    </xf>
    <xf numFmtId="0" fontId="1" fillId="9" borderId="42" xfId="0" applyFont="1" applyFill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shrinkToFit="1"/>
    </xf>
    <xf numFmtId="0" fontId="3" fillId="10" borderId="42" xfId="0" applyFont="1" applyFill="1" applyBorder="1" applyAlignment="1">
      <alignment horizontal="center" vertical="center" shrinkToFit="1"/>
    </xf>
    <xf numFmtId="0" fontId="3" fillId="10" borderId="44" xfId="0" applyFont="1" applyFill="1" applyBorder="1" applyAlignment="1">
      <alignment horizontal="center" vertical="center" shrinkToFit="1"/>
    </xf>
    <xf numFmtId="0" fontId="3" fillId="11" borderId="42" xfId="0" applyFont="1" applyFill="1" applyBorder="1" applyAlignment="1">
      <alignment horizontal="center" vertical="center" shrinkToFit="1"/>
    </xf>
    <xf numFmtId="0" fontId="3" fillId="11" borderId="44" xfId="0" applyFont="1" applyFill="1" applyBorder="1" applyAlignment="1">
      <alignment horizontal="center" vertical="center" shrinkToFit="1"/>
    </xf>
    <xf numFmtId="0" fontId="19" fillId="12" borderId="45" xfId="0" applyFont="1" applyFill="1" applyBorder="1" applyAlignment="1">
      <alignment horizontal="center" vertical="center" shrinkToFit="1"/>
    </xf>
    <xf numFmtId="0" fontId="5" fillId="8" borderId="44" xfId="0" applyFont="1" applyFill="1" applyBorder="1" applyAlignment="1">
      <alignment horizontal="center" vertical="center" shrinkToFit="1"/>
    </xf>
    <xf numFmtId="0" fontId="3" fillId="0" borderId="42" xfId="0" applyFont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3" fillId="0" borderId="47" xfId="0" applyFont="1" applyBorder="1" applyAlignment="1">
      <alignment horizontal="center" vertical="center" shrinkToFit="1"/>
    </xf>
    <xf numFmtId="0" fontId="5" fillId="12" borderId="42" xfId="0" applyFont="1" applyFill="1" applyBorder="1" applyAlignment="1">
      <alignment horizontal="center" vertical="center" shrinkToFit="1"/>
    </xf>
    <xf numFmtId="0" fontId="3" fillId="12" borderId="44" xfId="0" applyFont="1" applyFill="1" applyBorder="1" applyAlignment="1">
      <alignment horizontal="center" vertical="center" shrinkToFit="1"/>
    </xf>
    <xf numFmtId="0" fontId="11" fillId="0" borderId="48" xfId="0" applyFont="1" applyBorder="1" applyAlignment="1">
      <alignment vertical="center" shrinkToFit="1"/>
    </xf>
    <xf numFmtId="0" fontId="5" fillId="13" borderId="42" xfId="0" applyFont="1" applyFill="1" applyBorder="1" applyAlignment="1">
      <alignment horizontal="center" vertical="center" shrinkToFit="1"/>
    </xf>
    <xf numFmtId="0" fontId="3" fillId="12" borderId="49" xfId="0" applyFont="1" applyFill="1" applyBorder="1" applyAlignment="1">
      <alignment horizontal="center" vertical="center" shrinkToFit="1"/>
    </xf>
    <xf numFmtId="0" fontId="5" fillId="11" borderId="42" xfId="0" applyFont="1" applyFill="1" applyBorder="1" applyAlignment="1">
      <alignment horizontal="center" vertical="center" shrinkToFit="1"/>
    </xf>
    <xf numFmtId="0" fontId="5" fillId="11" borderId="44" xfId="0" applyFont="1" applyFill="1" applyBorder="1" applyAlignment="1">
      <alignment horizontal="center" vertical="center" shrinkToFit="1"/>
    </xf>
    <xf numFmtId="0" fontId="3" fillId="11" borderId="42" xfId="0" applyFont="1" applyFill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shrinkToFit="1"/>
    </xf>
    <xf numFmtId="0" fontId="20" fillId="8" borderId="42" xfId="0" applyFont="1" applyFill="1" applyBorder="1" applyAlignment="1">
      <alignment horizontal="center" vertical="center" shrinkToFit="1"/>
    </xf>
    <xf numFmtId="0" fontId="11" fillId="0" borderId="44" xfId="0" applyFont="1" applyBorder="1" applyAlignment="1">
      <alignment horizontal="center" vertical="center" shrinkToFit="1"/>
    </xf>
    <xf numFmtId="0" fontId="3" fillId="14" borderId="47" xfId="0" applyFont="1" applyFill="1" applyBorder="1" applyAlignment="1">
      <alignment horizontal="center" vertical="center" shrinkToFit="1"/>
    </xf>
    <xf numFmtId="0" fontId="5" fillId="10" borderId="42" xfId="0" applyFont="1" applyFill="1" applyBorder="1" applyAlignment="1">
      <alignment horizontal="center" vertical="center" shrinkToFit="1"/>
    </xf>
    <xf numFmtId="0" fontId="3" fillId="15" borderId="42" xfId="0" applyFont="1" applyFill="1" applyBorder="1" applyAlignment="1">
      <alignment horizontal="center" vertical="center" shrinkToFit="1"/>
    </xf>
    <xf numFmtId="0" fontId="5" fillId="10" borderId="44" xfId="0" applyFont="1" applyFill="1" applyBorder="1" applyAlignment="1">
      <alignment horizontal="center" vertical="center" shrinkToFit="1"/>
    </xf>
    <xf numFmtId="0" fontId="5" fillId="16" borderId="42" xfId="0" applyFont="1" applyFill="1" applyBorder="1" applyAlignment="1">
      <alignment horizontal="center" vertical="center" shrinkToFit="1"/>
    </xf>
    <xf numFmtId="0" fontId="5" fillId="16" borderId="44" xfId="0" applyFont="1" applyFill="1" applyBorder="1" applyAlignment="1">
      <alignment horizontal="center" vertical="center" shrinkToFit="1"/>
    </xf>
    <xf numFmtId="0" fontId="21" fillId="11" borderId="42" xfId="0" applyFont="1" applyFill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shrinkToFit="1"/>
    </xf>
    <xf numFmtId="0" fontId="20" fillId="0" borderId="42" xfId="0" applyFont="1" applyBorder="1" applyAlignment="1">
      <alignment horizontal="center" vertical="center" shrinkToFit="1"/>
    </xf>
    <xf numFmtId="0" fontId="5" fillId="0" borderId="50" xfId="0" applyFont="1" applyBorder="1" applyAlignment="1">
      <alignment horizontal="center" vertical="center" shrinkToFit="1"/>
    </xf>
    <xf numFmtId="0" fontId="1" fillId="0" borderId="51" xfId="0" applyFont="1" applyBorder="1" applyAlignment="1">
      <alignment horizontal="center" vertical="center" shrinkToFit="1"/>
    </xf>
    <xf numFmtId="0" fontId="19" fillId="0" borderId="42" xfId="0" applyFont="1" applyBorder="1" applyAlignment="1">
      <alignment horizontal="center" vertical="center" shrinkToFit="1"/>
    </xf>
    <xf numFmtId="0" fontId="16" fillId="0" borderId="44" xfId="0" applyFont="1" applyBorder="1" applyAlignment="1">
      <alignment horizontal="center" vertical="center" shrinkToFit="1"/>
    </xf>
    <xf numFmtId="0" fontId="5" fillId="0" borderId="42" xfId="0" applyFont="1" applyBorder="1" applyAlignment="1">
      <alignment horizontal="center" vertical="center" shrinkToFit="1"/>
    </xf>
    <xf numFmtId="0" fontId="5" fillId="9" borderId="52" xfId="0" applyFont="1" applyFill="1" applyBorder="1" applyAlignment="1">
      <alignment horizontal="center" vertical="center" shrinkToFit="1"/>
    </xf>
    <xf numFmtId="0" fontId="22" fillId="0" borderId="42" xfId="0" applyFont="1" applyBorder="1" applyAlignment="1">
      <alignment horizontal="center" vertical="center" shrinkToFit="1"/>
    </xf>
    <xf numFmtId="0" fontId="11" fillId="0" borderId="53" xfId="0" applyFont="1" applyBorder="1" applyAlignment="1">
      <alignment vertical="center" shrinkToFit="1"/>
    </xf>
    <xf numFmtId="0" fontId="5" fillId="9" borderId="54" xfId="0" applyFont="1" applyFill="1" applyBorder="1" applyAlignment="1">
      <alignment horizontal="center" vertical="center" shrinkToFit="1"/>
    </xf>
    <xf numFmtId="0" fontId="22" fillId="11" borderId="42" xfId="0" applyFont="1" applyFill="1" applyBorder="1" applyAlignment="1">
      <alignment horizontal="center" vertical="center" shrinkToFit="1"/>
    </xf>
    <xf numFmtId="0" fontId="5" fillId="0" borderId="51" xfId="0" applyFont="1" applyBorder="1" applyAlignment="1">
      <alignment horizontal="center" vertical="center" shrinkToFit="1"/>
    </xf>
    <xf numFmtId="0" fontId="5" fillId="0" borderId="39" xfId="0" applyFont="1" applyBorder="1" applyAlignment="1">
      <alignment horizontal="center" vertical="center" shrinkToFit="1"/>
    </xf>
    <xf numFmtId="0" fontId="3" fillId="8" borderId="42" xfId="0" applyFont="1" applyFill="1" applyBorder="1" applyAlignment="1">
      <alignment horizontal="center" vertical="center" shrinkToFit="1"/>
    </xf>
    <xf numFmtId="0" fontId="5" fillId="8" borderId="42" xfId="0" applyFont="1" applyFill="1" applyBorder="1" applyAlignment="1">
      <alignment horizontal="center" vertical="center" shrinkToFit="1"/>
    </xf>
    <xf numFmtId="0" fontId="5" fillId="9" borderId="55" xfId="0" applyFont="1" applyFill="1" applyBorder="1" applyAlignment="1">
      <alignment horizontal="center" vertical="center" wrapText="1"/>
    </xf>
    <xf numFmtId="0" fontId="11" fillId="8" borderId="44" xfId="0" applyFont="1" applyFill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shrinkToFit="1"/>
    </xf>
    <xf numFmtId="0" fontId="1" fillId="0" borderId="44" xfId="0" applyFont="1" applyBorder="1" applyAlignment="1">
      <alignment horizontal="center" vertical="center" shrinkToFit="1"/>
    </xf>
    <xf numFmtId="0" fontId="5" fillId="9" borderId="42" xfId="0" applyFont="1" applyFill="1" applyBorder="1" applyAlignment="1">
      <alignment horizontal="center" vertical="center" shrinkToFit="1"/>
    </xf>
    <xf numFmtId="0" fontId="5" fillId="0" borderId="51" xfId="0" applyFont="1" applyBorder="1" applyAlignment="1">
      <alignment vertical="center" shrinkToFit="1"/>
    </xf>
    <xf numFmtId="0" fontId="5" fillId="9" borderId="42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shrinkToFit="1"/>
    </xf>
    <xf numFmtId="0" fontId="3" fillId="8" borderId="44" xfId="0" applyFont="1" applyFill="1" applyBorder="1" applyAlignment="1">
      <alignment horizontal="center" vertical="center" shrinkToFit="1"/>
    </xf>
    <xf numFmtId="0" fontId="5" fillId="0" borderId="56" xfId="0" applyFont="1" applyBorder="1" applyAlignment="1">
      <alignment vertical="center" shrinkToFit="1"/>
    </xf>
    <xf numFmtId="0" fontId="5" fillId="0" borderId="57" xfId="0" applyFont="1" applyBorder="1" applyAlignment="1">
      <alignment vertical="center" shrinkToFit="1"/>
    </xf>
    <xf numFmtId="0" fontId="23" fillId="0" borderId="56" xfId="0" applyFont="1" applyBorder="1" applyAlignment="1">
      <alignment vertical="center"/>
    </xf>
    <xf numFmtId="0" fontId="23" fillId="0" borderId="57" xfId="0" applyFont="1" applyBorder="1" applyAlignment="1">
      <alignment vertical="center"/>
    </xf>
    <xf numFmtId="0" fontId="5" fillId="0" borderId="48" xfId="0" applyFont="1" applyBorder="1" applyAlignment="1">
      <alignment vertical="center" shrinkToFit="1"/>
    </xf>
    <xf numFmtId="0" fontId="3" fillId="0" borderId="58" xfId="0" applyFont="1" applyBorder="1" applyAlignment="1">
      <alignment horizontal="center" vertical="center" shrinkToFit="1"/>
    </xf>
    <xf numFmtId="0" fontId="11" fillId="8" borderId="59" xfId="0" applyFont="1" applyFill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shrinkToFit="1"/>
    </xf>
    <xf numFmtId="0" fontId="11" fillId="8" borderId="6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2" xfId="0" applyFont="1" applyBorder="1" applyAlignment="1">
      <alignment vertical="center" shrinkToFit="1"/>
    </xf>
    <xf numFmtId="0" fontId="1" fillId="0" borderId="63" xfId="0" applyFont="1" applyBorder="1" applyAlignment="1">
      <alignment vertical="center" shrinkToFit="1"/>
    </xf>
    <xf numFmtId="0" fontId="5" fillId="0" borderId="63" xfId="0" applyFont="1" applyBorder="1" applyAlignment="1">
      <alignment vertical="center" shrinkToFit="1"/>
    </xf>
    <xf numFmtId="0" fontId="3" fillId="0" borderId="64" xfId="0" applyFont="1" applyBorder="1" applyAlignment="1">
      <alignment horizontal="center" vertical="center" shrinkToFit="1"/>
    </xf>
    <xf numFmtId="0" fontId="5" fillId="0" borderId="9" xfId="0" applyFont="1" applyBorder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12" xfId="0" applyFont="1" applyBorder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31" xfId="0" applyFont="1" applyBorder="1" applyAlignment="1">
      <alignment vertical="center" shrinkToFit="1"/>
    </xf>
    <xf numFmtId="0" fontId="3" fillId="3" borderId="38" xfId="0" applyFont="1" applyFill="1" applyBorder="1" applyAlignment="1">
      <alignment horizontal="center" vertical="center" shrinkToFit="1"/>
    </xf>
    <xf numFmtId="0" fontId="26" fillId="0" borderId="35" xfId="0" applyFont="1" applyBorder="1" applyAlignment="1">
      <alignment horizontal="center" vertical="center"/>
    </xf>
    <xf numFmtId="0" fontId="27" fillId="7" borderId="67" xfId="0" applyFont="1" applyFill="1" applyBorder="1" applyAlignment="1">
      <alignment horizontal="center" vertical="center"/>
    </xf>
    <xf numFmtId="0" fontId="23" fillId="0" borderId="31" xfId="0" applyFont="1" applyBorder="1" applyAlignment="1">
      <alignment vertical="center"/>
    </xf>
    <xf numFmtId="0" fontId="27" fillId="3" borderId="67" xfId="0" applyFont="1" applyFill="1" applyBorder="1" applyAlignment="1">
      <alignment horizontal="center" vertical="center"/>
    </xf>
    <xf numFmtId="0" fontId="27" fillId="7" borderId="35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center" vertical="center" shrinkToFit="1"/>
    </xf>
    <xf numFmtId="0" fontId="8" fillId="0" borderId="35" xfId="0" applyFont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/>
    </xf>
    <xf numFmtId="0" fontId="16" fillId="16" borderId="68" xfId="0" applyFont="1" applyFill="1" applyBorder="1" applyAlignment="1">
      <alignment horizontal="center" vertical="center" shrinkToFit="1"/>
    </xf>
    <xf numFmtId="0" fontId="16" fillId="16" borderId="69" xfId="0" applyFont="1" applyFill="1" applyBorder="1" applyAlignment="1">
      <alignment horizontal="center" vertical="center" shrinkToFit="1"/>
    </xf>
    <xf numFmtId="0" fontId="16" fillId="16" borderId="55" xfId="0" applyFont="1" applyFill="1" applyBorder="1" applyAlignment="1">
      <alignment horizontal="center" vertical="center" shrinkToFit="1"/>
    </xf>
    <xf numFmtId="0" fontId="16" fillId="16" borderId="49" xfId="0" applyFont="1" applyFill="1" applyBorder="1" applyAlignment="1">
      <alignment horizontal="center" vertical="center" shrinkToFit="1"/>
    </xf>
    <xf numFmtId="0" fontId="16" fillId="12" borderId="55" xfId="0" applyFont="1" applyFill="1" applyBorder="1" applyAlignment="1">
      <alignment horizontal="center" vertical="center" shrinkToFit="1"/>
    </xf>
    <xf numFmtId="0" fontId="16" fillId="12" borderId="49" xfId="0" applyFont="1" applyFill="1" applyBorder="1" applyAlignment="1">
      <alignment horizontal="center" vertical="center" wrapText="1"/>
    </xf>
    <xf numFmtId="0" fontId="16" fillId="11" borderId="55" xfId="0" applyFont="1" applyFill="1" applyBorder="1" applyAlignment="1">
      <alignment horizontal="center" vertical="center" shrinkToFit="1"/>
    </xf>
    <xf numFmtId="0" fontId="11" fillId="11" borderId="44" xfId="0" applyFont="1" applyFill="1" applyBorder="1" applyAlignment="1">
      <alignment horizontal="center" vertical="center" shrinkToFit="1"/>
    </xf>
    <xf numFmtId="0" fontId="3" fillId="3" borderId="70" xfId="0" applyFont="1" applyFill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shrinkToFit="1"/>
    </xf>
    <xf numFmtId="0" fontId="28" fillId="0" borderId="71" xfId="0" applyFont="1" applyBorder="1" applyAlignment="1">
      <alignment horizontal="center" vertical="center" wrapText="1"/>
    </xf>
    <xf numFmtId="0" fontId="1" fillId="13" borderId="44" xfId="0" applyFont="1" applyFill="1" applyBorder="1" applyAlignment="1">
      <alignment horizontal="center" vertical="center" shrinkToFit="1"/>
    </xf>
    <xf numFmtId="0" fontId="5" fillId="12" borderId="44" xfId="0" applyFont="1" applyFill="1" applyBorder="1" applyAlignment="1">
      <alignment horizontal="center" vertical="center" shrinkToFit="1"/>
    </xf>
    <xf numFmtId="0" fontId="15" fillId="0" borderId="72" xfId="0" applyFont="1" applyBorder="1" applyAlignment="1">
      <alignment horizontal="center" vertical="center" shrinkToFit="1"/>
    </xf>
    <xf numFmtId="0" fontId="1" fillId="10" borderId="52" xfId="0" applyFont="1" applyFill="1" applyBorder="1" applyAlignment="1">
      <alignment horizontal="center" vertical="center" shrinkToFit="1"/>
    </xf>
    <xf numFmtId="0" fontId="28" fillId="0" borderId="9" xfId="0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23" fillId="0" borderId="73" xfId="0" applyFont="1" applyBorder="1" applyAlignment="1">
      <alignment vertical="center"/>
    </xf>
    <xf numFmtId="0" fontId="31" fillId="0" borderId="74" xfId="0" applyFont="1" applyBorder="1" applyAlignment="1">
      <alignment horizontal="center" vertical="center" wrapText="1"/>
    </xf>
    <xf numFmtId="0" fontId="30" fillId="11" borderId="75" xfId="0" applyFont="1" applyFill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shrinkToFit="1"/>
    </xf>
    <xf numFmtId="0" fontId="32" fillId="0" borderId="25" xfId="0" applyFont="1" applyBorder="1" applyAlignment="1">
      <alignment vertical="center"/>
    </xf>
    <xf numFmtId="0" fontId="23" fillId="0" borderId="44" xfId="0" applyFont="1" applyBorder="1" applyAlignment="1">
      <alignment vertical="center"/>
    </xf>
    <xf numFmtId="0" fontId="7" fillId="0" borderId="39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shrinkToFit="1"/>
    </xf>
    <xf numFmtId="0" fontId="11" fillId="11" borderId="49" xfId="0" applyFont="1" applyFill="1" applyBorder="1" applyAlignment="1">
      <alignment horizontal="center" vertical="center" shrinkToFit="1"/>
    </xf>
    <xf numFmtId="0" fontId="33" fillId="0" borderId="25" xfId="0" applyFont="1" applyBorder="1" applyAlignment="1">
      <alignment horizontal="center" vertical="center" wrapText="1"/>
    </xf>
    <xf numFmtId="0" fontId="1" fillId="17" borderId="36" xfId="0" applyFont="1" applyFill="1" applyBorder="1" applyAlignment="1">
      <alignment horizontal="center" vertical="center" shrinkToFit="1"/>
    </xf>
    <xf numFmtId="0" fontId="34" fillId="0" borderId="9" xfId="0" applyFont="1" applyBorder="1" applyAlignment="1">
      <alignment horizontal="center" vertical="center"/>
    </xf>
    <xf numFmtId="0" fontId="35" fillId="0" borderId="39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/>
    </xf>
    <xf numFmtId="0" fontId="23" fillId="0" borderId="43" xfId="0" applyFont="1" applyBorder="1" applyAlignment="1">
      <alignment vertical="center"/>
    </xf>
    <xf numFmtId="0" fontId="16" fillId="18" borderId="42" xfId="0" applyFont="1" applyFill="1" applyBorder="1" applyAlignment="1">
      <alignment horizontal="center" vertical="center" shrinkToFit="1"/>
    </xf>
    <xf numFmtId="0" fontId="11" fillId="16" borderId="76" xfId="0" applyFont="1" applyFill="1" applyBorder="1" applyAlignment="1">
      <alignment horizontal="center" vertical="center" shrinkToFit="1"/>
    </xf>
    <xf numFmtId="0" fontId="11" fillId="16" borderId="44" xfId="0" applyFont="1" applyFill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shrinkToFit="1"/>
    </xf>
    <xf numFmtId="0" fontId="11" fillId="11" borderId="42" xfId="0" applyFont="1" applyFill="1" applyBorder="1" applyAlignment="1">
      <alignment horizontal="center" vertical="center" shrinkToFit="1"/>
    </xf>
    <xf numFmtId="0" fontId="11" fillId="8" borderId="42" xfId="0" applyFont="1" applyFill="1" applyBorder="1" applyAlignment="1">
      <alignment horizontal="center" vertical="center" shrinkToFit="1"/>
    </xf>
    <xf numFmtId="0" fontId="1" fillId="0" borderId="43" xfId="0" applyFont="1" applyBorder="1" applyAlignment="1">
      <alignment horizontal="center" vertical="center" shrinkToFit="1"/>
    </xf>
    <xf numFmtId="0" fontId="5" fillId="17" borderId="36" xfId="0" applyFont="1" applyFill="1" applyBorder="1" applyAlignment="1">
      <alignment vertical="center" shrinkToFit="1"/>
    </xf>
    <xf numFmtId="0" fontId="36" fillId="19" borderId="77" xfId="0" applyFont="1" applyFill="1" applyBorder="1" applyAlignment="1">
      <alignment horizontal="center" vertical="center" shrinkToFit="1"/>
    </xf>
    <xf numFmtId="0" fontId="31" fillId="19" borderId="77" xfId="0" applyFont="1" applyFill="1" applyBorder="1" applyAlignment="1">
      <alignment horizontal="center" vertical="center" shrinkToFit="1"/>
    </xf>
    <xf numFmtId="0" fontId="30" fillId="0" borderId="58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11" fillId="16" borderId="44" xfId="0" applyFont="1" applyFill="1" applyBorder="1" applyAlignment="1">
      <alignment horizontal="center" vertical="center" shrinkToFit="1"/>
    </xf>
    <xf numFmtId="0" fontId="32" fillId="0" borderId="25" xfId="0" applyFont="1" applyBorder="1" applyAlignment="1">
      <alignment horizontal="center" vertical="center" wrapText="1"/>
    </xf>
    <xf numFmtId="0" fontId="30" fillId="11" borderId="44" xfId="0" applyFont="1" applyFill="1" applyBorder="1" applyAlignment="1">
      <alignment horizontal="center" vertical="center"/>
    </xf>
    <xf numFmtId="0" fontId="11" fillId="17" borderId="36" xfId="0" applyFont="1" applyFill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shrinkToFit="1"/>
    </xf>
    <xf numFmtId="0" fontId="12" fillId="0" borderId="25" xfId="0" applyFont="1" applyBorder="1" applyAlignment="1">
      <alignment horizontal="center" vertical="center" shrinkToFit="1"/>
    </xf>
    <xf numFmtId="0" fontId="37" fillId="0" borderId="78" xfId="0" applyFont="1" applyBorder="1" applyAlignment="1">
      <alignment horizontal="center" vertical="center" wrapText="1"/>
    </xf>
    <xf numFmtId="0" fontId="38" fillId="0" borderId="25" xfId="0" applyFont="1" applyBorder="1" applyAlignment="1">
      <alignment vertical="center" wrapText="1"/>
    </xf>
    <xf numFmtId="0" fontId="30" fillId="0" borderId="25" xfId="0" applyFont="1" applyBorder="1" applyAlignment="1">
      <alignment horizontal="center" vertical="center" wrapText="1"/>
    </xf>
    <xf numFmtId="0" fontId="5" fillId="11" borderId="52" xfId="0" applyFont="1" applyFill="1" applyBorder="1" applyAlignment="1">
      <alignment horizontal="center" vertical="center" shrinkToFit="1"/>
    </xf>
    <xf numFmtId="0" fontId="16" fillId="18" borderId="55" xfId="0" applyFont="1" applyFill="1" applyBorder="1" applyAlignment="1">
      <alignment horizontal="center" vertical="center" shrinkToFit="1"/>
    </xf>
    <xf numFmtId="0" fontId="11" fillId="16" borderId="42" xfId="0" applyFont="1" applyFill="1" applyBorder="1" applyAlignment="1">
      <alignment horizontal="center" vertical="center" shrinkToFit="1"/>
    </xf>
    <xf numFmtId="0" fontId="16" fillId="8" borderId="44" xfId="0" applyFont="1" applyFill="1" applyBorder="1" applyAlignment="1">
      <alignment horizontal="center" vertical="center" shrinkToFit="1"/>
    </xf>
    <xf numFmtId="0" fontId="5" fillId="8" borderId="36" xfId="0" applyFont="1" applyFill="1" applyBorder="1" applyAlignment="1">
      <alignment vertical="center" shrinkToFit="1"/>
    </xf>
    <xf numFmtId="0" fontId="5" fillId="9" borderId="80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vertical="center" wrapText="1"/>
    </xf>
    <xf numFmtId="0" fontId="30" fillId="9" borderId="75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center" vertical="center" wrapText="1"/>
    </xf>
    <xf numFmtId="0" fontId="30" fillId="9" borderId="52" xfId="0" applyFont="1" applyFill="1" applyBorder="1" applyAlignment="1">
      <alignment horizontal="center" vertical="center"/>
    </xf>
    <xf numFmtId="0" fontId="11" fillId="10" borderId="44" xfId="0" applyFont="1" applyFill="1" applyBorder="1" applyAlignment="1">
      <alignment horizontal="center" vertical="center" shrinkToFit="1"/>
    </xf>
    <xf numFmtId="0" fontId="12" fillId="0" borderId="60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1" fillId="12" borderId="42" xfId="0" applyFont="1" applyFill="1" applyBorder="1" applyAlignment="1">
      <alignment horizontal="center" vertical="center" shrinkToFit="1"/>
    </xf>
    <xf numFmtId="0" fontId="11" fillId="12" borderId="44" xfId="0" applyFont="1" applyFill="1" applyBorder="1" applyAlignment="1">
      <alignment horizontal="center" vertical="center" shrinkToFit="1"/>
    </xf>
    <xf numFmtId="0" fontId="11" fillId="16" borderId="81" xfId="0" applyFont="1" applyFill="1" applyBorder="1" applyAlignment="1">
      <alignment horizontal="center" vertical="center" shrinkToFit="1"/>
    </xf>
    <xf numFmtId="0" fontId="31" fillId="0" borderId="9" xfId="0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 shrinkToFit="1"/>
    </xf>
    <xf numFmtId="0" fontId="30" fillId="0" borderId="9" xfId="0" applyFont="1" applyBorder="1" applyAlignment="1">
      <alignment horizontal="center" vertical="center" wrapText="1"/>
    </xf>
    <xf numFmtId="0" fontId="23" fillId="0" borderId="82" xfId="0" applyFont="1" applyBorder="1" applyAlignment="1">
      <alignment vertical="center"/>
    </xf>
    <xf numFmtId="0" fontId="1" fillId="10" borderId="83" xfId="0" applyFont="1" applyFill="1" applyBorder="1" applyAlignment="1">
      <alignment horizontal="center" vertical="center" shrinkToFit="1"/>
    </xf>
    <xf numFmtId="0" fontId="11" fillId="0" borderId="51" xfId="0" applyFont="1" applyBorder="1" applyAlignment="1">
      <alignment horizontal="center" vertical="center" shrinkToFit="1"/>
    </xf>
    <xf numFmtId="0" fontId="11" fillId="11" borderId="81" xfId="0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wrapText="1"/>
    </xf>
    <xf numFmtId="0" fontId="36" fillId="0" borderId="84" xfId="0" applyFont="1" applyBorder="1" applyAlignment="1">
      <alignment horizontal="center" vertical="center"/>
    </xf>
    <xf numFmtId="0" fontId="16" fillId="11" borderId="44" xfId="0" applyFont="1" applyFill="1" applyBorder="1" applyAlignment="1">
      <alignment horizontal="center" vertical="center" shrinkToFit="1"/>
    </xf>
    <xf numFmtId="0" fontId="16" fillId="11" borderId="76" xfId="0" applyFont="1" applyFill="1" applyBorder="1" applyAlignment="1">
      <alignment horizontal="center" vertical="center" shrinkToFit="1"/>
    </xf>
    <xf numFmtId="0" fontId="11" fillId="11" borderId="81" xfId="0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0" fillId="0" borderId="39" xfId="0" applyFont="1" applyBorder="1" applyAlignment="1">
      <alignment horizontal="center" vertical="center"/>
    </xf>
    <xf numFmtId="0" fontId="36" fillId="19" borderId="85" xfId="0" applyFont="1" applyFill="1" applyBorder="1" applyAlignment="1">
      <alignment horizontal="center" vertical="center" shrinkToFit="1"/>
    </xf>
    <xf numFmtId="0" fontId="23" fillId="0" borderId="9" xfId="0" applyFont="1" applyBorder="1" applyAlignment="1">
      <alignment vertical="center"/>
    </xf>
    <xf numFmtId="0" fontId="28" fillId="0" borderId="9" xfId="0" applyFont="1" applyBorder="1" applyAlignment="1">
      <alignment vertical="center" shrinkToFit="1"/>
    </xf>
    <xf numFmtId="0" fontId="1" fillId="10" borderId="86" xfId="0" applyFont="1" applyFill="1" applyBorder="1" applyAlignment="1">
      <alignment horizontal="center" vertical="center" shrinkToFit="1"/>
    </xf>
    <xf numFmtId="0" fontId="5" fillId="0" borderId="39" xfId="0" applyFont="1" applyBorder="1" applyAlignment="1">
      <alignment horizontal="center" vertical="center" wrapText="1"/>
    </xf>
    <xf numFmtId="0" fontId="31" fillId="0" borderId="25" xfId="0" applyFont="1" applyBorder="1" applyAlignment="1">
      <alignment vertical="center" wrapText="1"/>
    </xf>
    <xf numFmtId="0" fontId="1" fillId="0" borderId="87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 wrapText="1"/>
    </xf>
    <xf numFmtId="0" fontId="30" fillId="0" borderId="60" xfId="0" applyFont="1" applyBorder="1" applyAlignment="1">
      <alignment horizontal="center" vertical="center"/>
    </xf>
    <xf numFmtId="0" fontId="30" fillId="11" borderId="88" xfId="0" applyFont="1" applyFill="1" applyBorder="1" applyAlignment="1">
      <alignment horizontal="center" vertical="center"/>
    </xf>
    <xf numFmtId="0" fontId="11" fillId="11" borderId="44" xfId="0" applyFont="1" applyFill="1" applyBorder="1" applyAlignment="1">
      <alignment horizontal="center" vertical="center" wrapText="1"/>
    </xf>
    <xf numFmtId="0" fontId="5" fillId="0" borderId="7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shrinkToFit="1"/>
    </xf>
    <xf numFmtId="0" fontId="39" fillId="0" borderId="9" xfId="0" applyFont="1" applyBorder="1" applyAlignment="1">
      <alignment horizontal="center" vertical="center"/>
    </xf>
    <xf numFmtId="0" fontId="31" fillId="0" borderId="58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shrinkToFit="1"/>
    </xf>
    <xf numFmtId="0" fontId="11" fillId="0" borderId="39" xfId="0" applyFont="1" applyBorder="1" applyAlignment="1">
      <alignment horizontal="center" vertical="center" shrinkToFit="1"/>
    </xf>
    <xf numFmtId="0" fontId="30" fillId="0" borderId="25" xfId="0" applyFont="1" applyBorder="1" applyAlignment="1">
      <alignment horizontal="center" vertical="center"/>
    </xf>
    <xf numFmtId="0" fontId="11" fillId="20" borderId="44" xfId="0" applyFont="1" applyFill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shrinkToFit="1"/>
    </xf>
    <xf numFmtId="0" fontId="16" fillId="11" borderId="42" xfId="0" applyFont="1" applyFill="1" applyBorder="1" applyAlignment="1">
      <alignment horizontal="center" vertical="center" shrinkToFit="1"/>
    </xf>
    <xf numFmtId="0" fontId="5" fillId="0" borderId="89" xfId="0" applyFont="1" applyBorder="1" applyAlignment="1">
      <alignment horizontal="center" vertical="center"/>
    </xf>
    <xf numFmtId="0" fontId="43" fillId="0" borderId="42" xfId="0" applyFont="1" applyBorder="1" applyAlignment="1">
      <alignment horizontal="center" vertical="center" shrinkToFit="1"/>
    </xf>
    <xf numFmtId="0" fontId="28" fillId="0" borderId="51" xfId="0" applyFont="1" applyBorder="1" applyAlignment="1">
      <alignment horizontal="center" vertical="center" shrinkToFit="1"/>
    </xf>
    <xf numFmtId="0" fontId="31" fillId="0" borderId="84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shrinkToFit="1"/>
    </xf>
    <xf numFmtId="0" fontId="11" fillId="0" borderId="57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5" fillId="10" borderId="81" xfId="0" applyFont="1" applyFill="1" applyBorder="1" applyAlignment="1">
      <alignment horizontal="center" vertical="center" shrinkToFit="1"/>
    </xf>
    <xf numFmtId="0" fontId="11" fillId="8" borderId="36" xfId="0" applyFont="1" applyFill="1" applyBorder="1" applyAlignment="1">
      <alignment horizontal="center" vertical="center" shrinkToFit="1"/>
    </xf>
    <xf numFmtId="0" fontId="5" fillId="0" borderId="91" xfId="0" applyFont="1" applyBorder="1" applyAlignment="1">
      <alignment horizontal="center" vertical="center" wrapText="1"/>
    </xf>
    <xf numFmtId="0" fontId="16" fillId="10" borderId="49" xfId="0" applyFont="1" applyFill="1" applyBorder="1" applyAlignment="1">
      <alignment horizontal="center" vertical="center" shrinkToFit="1"/>
    </xf>
    <xf numFmtId="0" fontId="11" fillId="8" borderId="56" xfId="0" applyFont="1" applyFill="1" applyBorder="1" applyAlignment="1">
      <alignment horizontal="center" vertical="center" shrinkToFit="1"/>
    </xf>
    <xf numFmtId="0" fontId="11" fillId="8" borderId="57" xfId="0" applyFont="1" applyFill="1" applyBorder="1" applyAlignment="1">
      <alignment horizontal="center" vertical="center" wrapText="1"/>
    </xf>
    <xf numFmtId="0" fontId="23" fillId="8" borderId="42" xfId="0" applyFont="1" applyFill="1" applyBorder="1" applyAlignment="1">
      <alignment vertical="center"/>
    </xf>
    <xf numFmtId="0" fontId="23" fillId="8" borderId="44" xfId="0" applyFont="1" applyFill="1" applyBorder="1" applyAlignment="1">
      <alignment vertical="center"/>
    </xf>
    <xf numFmtId="0" fontId="28" fillId="0" borderId="58" xfId="0" applyFont="1" applyBorder="1" applyAlignment="1">
      <alignment horizontal="center" vertical="center" shrinkToFit="1"/>
    </xf>
    <xf numFmtId="0" fontId="11" fillId="11" borderId="56" xfId="0" applyFont="1" applyFill="1" applyBorder="1" applyAlignment="1">
      <alignment horizontal="center" vertical="center" shrinkToFit="1"/>
    </xf>
    <xf numFmtId="0" fontId="16" fillId="10" borderId="57" xfId="0" applyFont="1" applyFill="1" applyBorder="1" applyAlignment="1">
      <alignment horizontal="center" vertical="center" shrinkToFit="1"/>
    </xf>
    <xf numFmtId="0" fontId="31" fillId="0" borderId="25" xfId="0" applyFont="1" applyBorder="1" applyAlignment="1">
      <alignment horizontal="center" vertical="center" wrapText="1"/>
    </xf>
    <xf numFmtId="0" fontId="5" fillId="16" borderId="52" xfId="0" applyFont="1" applyFill="1" applyBorder="1" applyAlignment="1">
      <alignment horizontal="center" vertical="center" shrinkToFit="1"/>
    </xf>
    <xf numFmtId="0" fontId="16" fillId="0" borderId="40" xfId="0" applyFont="1" applyBorder="1" applyAlignment="1">
      <alignment horizontal="center" vertical="center" shrinkToFit="1"/>
    </xf>
    <xf numFmtId="0" fontId="45" fillId="0" borderId="51" xfId="0" applyFont="1" applyBorder="1" applyAlignment="1">
      <alignment horizontal="center" vertical="center" shrinkToFit="1"/>
    </xf>
    <xf numFmtId="0" fontId="5" fillId="12" borderId="52" xfId="0" applyFont="1" applyFill="1" applyBorder="1" applyAlignment="1">
      <alignment horizontal="center" vertical="center" shrinkToFit="1"/>
    </xf>
    <xf numFmtId="0" fontId="23" fillId="0" borderId="39" xfId="0" applyFont="1" applyBorder="1" applyAlignment="1">
      <alignment vertical="center" wrapText="1"/>
    </xf>
    <xf numFmtId="0" fontId="23" fillId="0" borderId="73" xfId="0" applyFont="1" applyBorder="1" applyAlignment="1">
      <alignment vertical="center" wrapText="1"/>
    </xf>
    <xf numFmtId="0" fontId="23" fillId="0" borderId="60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43" fillId="0" borderId="60" xfId="0" applyFont="1" applyBorder="1" applyAlignment="1">
      <alignment horizontal="center" vertical="center" shrinkToFit="1"/>
    </xf>
    <xf numFmtId="0" fontId="1" fillId="13" borderId="57" xfId="0" applyFont="1" applyFill="1" applyBorder="1" applyAlignment="1">
      <alignment horizontal="center" vertical="center" shrinkToFit="1"/>
    </xf>
    <xf numFmtId="0" fontId="42" fillId="0" borderId="0" xfId="0" applyFont="1" applyAlignment="1">
      <alignment vertical="center"/>
    </xf>
    <xf numFmtId="0" fontId="46" fillId="0" borderId="25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15" fillId="0" borderId="56" xfId="0" applyFont="1" applyBorder="1" applyAlignment="1">
      <alignment horizontal="center" vertical="center" shrinkToFit="1"/>
    </xf>
    <xf numFmtId="0" fontId="15" fillId="0" borderId="57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 shrinkToFit="1"/>
    </xf>
    <xf numFmtId="0" fontId="19" fillId="0" borderId="31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0" fontId="5" fillId="0" borderId="29" xfId="0" applyFont="1" applyBorder="1" applyAlignment="1">
      <alignment horizontal="center" vertical="center" shrinkToFit="1"/>
    </xf>
    <xf numFmtId="0" fontId="23" fillId="0" borderId="29" xfId="0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23" fillId="0" borderId="23" xfId="0" applyFont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3" fillId="3" borderId="96" xfId="0" applyFont="1" applyFill="1" applyBorder="1" applyAlignment="1">
      <alignment horizontal="center" vertical="center" shrinkToFit="1"/>
    </xf>
    <xf numFmtId="0" fontId="3" fillId="3" borderId="97" xfId="0" applyFont="1" applyFill="1" applyBorder="1" applyAlignment="1">
      <alignment horizontal="center" vertical="center" shrinkToFit="1"/>
    </xf>
    <xf numFmtId="0" fontId="3" fillId="3" borderId="36" xfId="0" applyFont="1" applyFill="1" applyBorder="1" applyAlignment="1">
      <alignment horizontal="center" vertical="center" shrinkToFit="1"/>
    </xf>
    <xf numFmtId="0" fontId="15" fillId="0" borderId="42" xfId="0" applyFont="1" applyBorder="1" applyAlignment="1">
      <alignment horizontal="center" vertical="center" shrinkToFit="1"/>
    </xf>
    <xf numFmtId="0" fontId="15" fillId="0" borderId="44" xfId="0" applyFont="1" applyBorder="1" applyAlignment="1">
      <alignment horizontal="center" vertical="center" shrinkToFit="1"/>
    </xf>
    <xf numFmtId="0" fontId="3" fillId="0" borderId="42" xfId="0" applyFont="1" applyBorder="1" applyAlignment="1">
      <alignment vertical="center" shrinkToFit="1"/>
    </xf>
    <xf numFmtId="0" fontId="39" fillId="0" borderId="39" xfId="0" applyFont="1" applyBorder="1" applyAlignment="1">
      <alignment horizontal="center" vertical="center" wrapText="1"/>
    </xf>
    <xf numFmtId="0" fontId="30" fillId="0" borderId="31" xfId="0" applyFont="1" applyBorder="1" applyAlignment="1">
      <alignment vertical="center"/>
    </xf>
    <xf numFmtId="0" fontId="47" fillId="0" borderId="25" xfId="0" applyFont="1" applyBorder="1" applyAlignment="1">
      <alignment horizontal="center" vertical="center" wrapText="1"/>
    </xf>
    <xf numFmtId="0" fontId="30" fillId="0" borderId="39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27" fillId="0" borderId="42" xfId="0" applyFont="1" applyBorder="1" applyAlignment="1">
      <alignment horizontal="center" vertical="center"/>
    </xf>
    <xf numFmtId="0" fontId="15" fillId="0" borderId="98" xfId="0" applyFont="1" applyBorder="1" applyAlignment="1">
      <alignment horizontal="center" vertical="center" shrinkToFit="1"/>
    </xf>
    <xf numFmtId="0" fontId="1" fillId="0" borderId="99" xfId="0" applyFont="1" applyBorder="1" applyAlignment="1">
      <alignment horizontal="center" vertical="center" shrinkToFit="1"/>
    </xf>
    <xf numFmtId="0" fontId="42" fillId="0" borderId="31" xfId="0" applyFont="1" applyBorder="1" applyAlignment="1">
      <alignment vertical="center"/>
    </xf>
    <xf numFmtId="0" fontId="5" fillId="0" borderId="100" xfId="0" applyFont="1" applyBorder="1" applyAlignment="1">
      <alignment horizontal="center" vertical="center" shrinkToFit="1"/>
    </xf>
    <xf numFmtId="0" fontId="12" fillId="0" borderId="24" xfId="0" applyFont="1" applyBorder="1" applyAlignment="1">
      <alignment horizontal="center" vertical="center" wrapText="1"/>
    </xf>
    <xf numFmtId="0" fontId="5" fillId="8" borderId="83" xfId="0" applyFont="1" applyFill="1" applyBorder="1" applyAlignment="1">
      <alignment horizontal="center" vertical="center" shrinkToFit="1"/>
    </xf>
    <xf numFmtId="0" fontId="5" fillId="8" borderId="81" xfId="0" applyFont="1" applyFill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 shrinkToFit="1"/>
    </xf>
    <xf numFmtId="0" fontId="3" fillId="8" borderId="101" xfId="0" applyFont="1" applyFill="1" applyBorder="1" applyAlignment="1">
      <alignment horizontal="center" vertical="center" shrinkToFit="1"/>
    </xf>
    <xf numFmtId="0" fontId="1" fillId="21" borderId="36" xfId="0" applyFont="1" applyFill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 wrapText="1"/>
    </xf>
    <xf numFmtId="0" fontId="48" fillId="17" borderId="86" xfId="0" applyFont="1" applyFill="1" applyBorder="1" applyAlignment="1">
      <alignment vertical="center"/>
    </xf>
    <xf numFmtId="0" fontId="11" fillId="0" borderId="73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 wrapText="1"/>
    </xf>
    <xf numFmtId="0" fontId="30" fillId="0" borderId="103" xfId="0" applyFont="1" applyBorder="1" applyAlignment="1">
      <alignment horizontal="center" vertical="center" wrapText="1"/>
    </xf>
    <xf numFmtId="0" fontId="23" fillId="17" borderId="36" xfId="0" applyFont="1" applyFill="1" applyBorder="1" applyAlignment="1">
      <alignment vertical="center"/>
    </xf>
    <xf numFmtId="0" fontId="1" fillId="17" borderId="104" xfId="0" applyFont="1" applyFill="1" applyBorder="1" applyAlignment="1">
      <alignment horizontal="center" vertical="center" shrinkToFit="1"/>
    </xf>
    <xf numFmtId="0" fontId="1" fillId="22" borderId="105" xfId="0" applyFont="1" applyFill="1" applyBorder="1" applyAlignment="1">
      <alignment horizontal="center" vertical="center" shrinkToFit="1"/>
    </xf>
    <xf numFmtId="0" fontId="11" fillId="0" borderId="31" xfId="0" applyFont="1" applyBorder="1" applyAlignment="1">
      <alignment horizontal="center" vertical="center" shrinkToFit="1"/>
    </xf>
    <xf numFmtId="0" fontId="1" fillId="22" borderId="36" xfId="0" applyFont="1" applyFill="1" applyBorder="1" applyAlignment="1">
      <alignment horizontal="center" vertical="center" shrinkToFit="1"/>
    </xf>
    <xf numFmtId="0" fontId="37" fillId="0" borderId="106" xfId="0" applyFont="1" applyBorder="1" applyAlignment="1">
      <alignment horizontal="center" vertical="center" wrapText="1"/>
    </xf>
    <xf numFmtId="0" fontId="32" fillId="0" borderId="25" xfId="0" applyFont="1" applyBorder="1" applyAlignment="1">
      <alignment vertical="center" wrapText="1"/>
    </xf>
    <xf numFmtId="0" fontId="30" fillId="0" borderId="84" xfId="0" applyFont="1" applyBorder="1" applyAlignment="1">
      <alignment vertical="center"/>
    </xf>
    <xf numFmtId="0" fontId="31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49" fillId="0" borderId="42" xfId="0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 shrinkToFit="1"/>
    </xf>
    <xf numFmtId="0" fontId="31" fillId="0" borderId="107" xfId="0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/>
    </xf>
    <xf numFmtId="0" fontId="30" fillId="9" borderId="108" xfId="0" applyFont="1" applyFill="1" applyBorder="1" applyAlignment="1">
      <alignment horizontal="center" vertical="center"/>
    </xf>
    <xf numFmtId="0" fontId="50" fillId="0" borderId="25" xfId="0" applyFont="1" applyBorder="1" applyAlignment="1">
      <alignment horizontal="center" vertical="center" shrinkToFit="1"/>
    </xf>
    <xf numFmtId="0" fontId="1" fillId="0" borderId="78" xfId="0" applyFont="1" applyBorder="1" applyAlignment="1">
      <alignment horizontal="center" vertical="center"/>
    </xf>
    <xf numFmtId="0" fontId="32" fillId="0" borderId="109" xfId="0" applyFont="1" applyBorder="1" applyAlignment="1">
      <alignment horizontal="center" vertical="center" wrapText="1"/>
    </xf>
    <xf numFmtId="0" fontId="11" fillId="20" borderId="81" xfId="0" applyFont="1" applyFill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0" fontId="1" fillId="0" borderId="89" xfId="0" applyFont="1" applyBorder="1" applyAlignment="1">
      <alignment horizontal="center" vertical="center"/>
    </xf>
    <xf numFmtId="0" fontId="46" fillId="0" borderId="25" xfId="0" applyFont="1" applyBorder="1" applyAlignment="1">
      <alignment horizontal="center" vertical="center"/>
    </xf>
    <xf numFmtId="0" fontId="31" fillId="0" borderId="111" xfId="0" applyFont="1" applyBorder="1" applyAlignment="1">
      <alignment horizontal="center" vertical="center"/>
    </xf>
    <xf numFmtId="0" fontId="38" fillId="0" borderId="78" xfId="0" applyFont="1" applyBorder="1" applyAlignment="1">
      <alignment vertical="center" wrapText="1"/>
    </xf>
    <xf numFmtId="0" fontId="11" fillId="20" borderId="112" xfId="0" applyFont="1" applyFill="1" applyBorder="1" applyAlignment="1">
      <alignment horizontal="center" vertical="center" shrinkToFit="1"/>
    </xf>
    <xf numFmtId="0" fontId="4" fillId="8" borderId="42" xfId="0" applyFont="1" applyFill="1" applyBorder="1" applyAlignment="1">
      <alignment horizontal="center" vertical="center" shrinkToFit="1"/>
    </xf>
    <xf numFmtId="0" fontId="51" fillId="0" borderId="30" xfId="0" applyFont="1" applyBorder="1" applyAlignment="1">
      <alignment horizontal="center" vertical="center" shrinkToFit="1"/>
    </xf>
    <xf numFmtId="0" fontId="5" fillId="0" borderId="57" xfId="0" applyFont="1" applyBorder="1" applyAlignment="1">
      <alignment horizontal="center" vertical="center" shrinkToFit="1"/>
    </xf>
    <xf numFmtId="0" fontId="7" fillId="0" borderId="78" xfId="0" applyFont="1" applyBorder="1" applyAlignment="1">
      <alignment horizontal="center" vertical="center"/>
    </xf>
    <xf numFmtId="0" fontId="52" fillId="0" borderId="30" xfId="0" applyFont="1" applyBorder="1" applyAlignment="1">
      <alignment horizontal="center" vertical="center" wrapText="1"/>
    </xf>
    <xf numFmtId="0" fontId="5" fillId="8" borderId="57" xfId="0" applyFont="1" applyFill="1" applyBorder="1" applyAlignment="1">
      <alignment horizontal="center" vertical="center" shrinkToFit="1"/>
    </xf>
    <xf numFmtId="0" fontId="7" fillId="0" borderId="89" xfId="0" applyFont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11" fillId="0" borderId="43" xfId="0" applyFont="1" applyBorder="1" applyAlignment="1">
      <alignment horizontal="center" vertical="center" shrinkToFit="1"/>
    </xf>
    <xf numFmtId="0" fontId="5" fillId="9" borderId="83" xfId="0" applyFont="1" applyFill="1" applyBorder="1" applyAlignment="1">
      <alignment horizontal="center" vertical="center" shrinkToFit="1"/>
    </xf>
    <xf numFmtId="0" fontId="5" fillId="0" borderId="58" xfId="0" applyFont="1" applyBorder="1" applyAlignment="1">
      <alignment horizontal="center" vertical="center" wrapText="1"/>
    </xf>
    <xf numFmtId="0" fontId="11" fillId="20" borderId="81" xfId="0" applyFont="1" applyFill="1" applyBorder="1" applyAlignment="1">
      <alignment horizontal="center" vertical="center" shrinkToFit="1"/>
    </xf>
    <xf numFmtId="0" fontId="53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 shrinkToFit="1"/>
    </xf>
    <xf numFmtId="0" fontId="7" fillId="0" borderId="110" xfId="0" applyFont="1" applyBorder="1" applyAlignment="1">
      <alignment horizontal="center" vertical="center"/>
    </xf>
    <xf numFmtId="0" fontId="23" fillId="0" borderId="42" xfId="0" applyFont="1" applyBorder="1" applyAlignment="1">
      <alignment vertical="center"/>
    </xf>
    <xf numFmtId="0" fontId="42" fillId="0" borderId="30" xfId="0" applyFont="1" applyBorder="1" applyAlignment="1">
      <alignment vertical="center"/>
    </xf>
    <xf numFmtId="0" fontId="42" fillId="0" borderId="21" xfId="0" applyFont="1" applyBorder="1" applyAlignment="1">
      <alignment vertical="center"/>
    </xf>
    <xf numFmtId="0" fontId="54" fillId="0" borderId="25" xfId="0" applyFont="1" applyBorder="1" applyAlignment="1">
      <alignment horizontal="center" vertical="center"/>
    </xf>
    <xf numFmtId="0" fontId="7" fillId="0" borderId="114" xfId="0" applyFont="1" applyBorder="1" applyAlignment="1">
      <alignment horizontal="center" vertical="center" wrapText="1"/>
    </xf>
    <xf numFmtId="0" fontId="5" fillId="11" borderId="115" xfId="0" applyFont="1" applyFill="1" applyBorder="1" applyAlignment="1">
      <alignment horizontal="center" vertical="center" shrinkToFit="1"/>
    </xf>
    <xf numFmtId="0" fontId="37" fillId="0" borderId="5" xfId="0" applyFont="1" applyBorder="1" applyAlignment="1">
      <alignment horizontal="center" vertical="center" wrapText="1"/>
    </xf>
    <xf numFmtId="0" fontId="5" fillId="9" borderId="116" xfId="0" applyFont="1" applyFill="1" applyBorder="1" applyAlignment="1">
      <alignment horizontal="center" vertical="center" shrinkToFit="1"/>
    </xf>
    <xf numFmtId="0" fontId="1" fillId="0" borderId="30" xfId="0" applyFont="1" applyBorder="1" applyAlignment="1">
      <alignment vertical="center" shrinkToFit="1"/>
    </xf>
    <xf numFmtId="0" fontId="1" fillId="0" borderId="21" xfId="0" applyFont="1" applyBorder="1" applyAlignment="1">
      <alignment vertical="center" shrinkToFit="1"/>
    </xf>
    <xf numFmtId="0" fontId="54" fillId="0" borderId="106" xfId="0" applyFont="1" applyBorder="1" applyAlignment="1">
      <alignment horizontal="center" vertical="center"/>
    </xf>
    <xf numFmtId="0" fontId="11" fillId="20" borderId="80" xfId="0" applyFont="1" applyFill="1" applyBorder="1" applyAlignment="1">
      <alignment horizontal="center" vertical="center" shrinkToFit="1"/>
    </xf>
    <xf numFmtId="0" fontId="30" fillId="0" borderId="60" xfId="0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 shrinkToFit="1"/>
    </xf>
    <xf numFmtId="0" fontId="12" fillId="0" borderId="21" xfId="0" applyFont="1" applyBorder="1" applyAlignment="1">
      <alignment vertical="center" shrinkToFit="1"/>
    </xf>
    <xf numFmtId="0" fontId="12" fillId="0" borderId="30" xfId="0" applyFont="1" applyBorder="1" applyAlignment="1">
      <alignment vertical="center" shrinkToFit="1"/>
    </xf>
    <xf numFmtId="0" fontId="5" fillId="9" borderId="75" xfId="0" applyFont="1" applyFill="1" applyBorder="1" applyAlignment="1">
      <alignment horizontal="center" vertical="center" shrinkToFit="1"/>
    </xf>
    <xf numFmtId="0" fontId="11" fillId="20" borderId="44" xfId="0" applyFont="1" applyFill="1" applyBorder="1" applyAlignment="1">
      <alignment horizontal="center" vertical="center" shrinkToFit="1"/>
    </xf>
    <xf numFmtId="0" fontId="11" fillId="0" borderId="43" xfId="0" applyFont="1" applyBorder="1" applyAlignment="1">
      <alignment horizontal="center" vertical="center"/>
    </xf>
    <xf numFmtId="0" fontId="7" fillId="0" borderId="117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 shrinkToFit="1"/>
    </xf>
    <xf numFmtId="0" fontId="3" fillId="0" borderId="51" xfId="0" applyFont="1" applyBorder="1" applyAlignment="1">
      <alignment horizontal="center" vertical="center" shrinkToFit="1"/>
    </xf>
    <xf numFmtId="0" fontId="22" fillId="0" borderId="25" xfId="0" applyFont="1" applyBorder="1" applyAlignment="1">
      <alignment horizontal="center" vertical="center" wrapText="1"/>
    </xf>
    <xf numFmtId="0" fontId="56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vertical="center" shrinkToFit="1"/>
    </xf>
    <xf numFmtId="0" fontId="5" fillId="0" borderId="109" xfId="0" applyFont="1" applyBorder="1" applyAlignment="1">
      <alignment horizontal="center" vertical="center" shrinkToFit="1"/>
    </xf>
    <xf numFmtId="0" fontId="1" fillId="0" borderId="118" xfId="0" applyFont="1" applyBorder="1" applyAlignment="1">
      <alignment horizontal="center" vertical="center" shrinkToFit="1"/>
    </xf>
    <xf numFmtId="0" fontId="50" fillId="0" borderId="25" xfId="0" applyFont="1" applyBorder="1" applyAlignment="1">
      <alignment horizontal="center" vertical="center" wrapText="1"/>
    </xf>
    <xf numFmtId="0" fontId="5" fillId="24" borderId="70" xfId="0" applyFont="1" applyFill="1" applyBorder="1" applyAlignment="1">
      <alignment horizontal="center" vertical="center" shrinkToFit="1"/>
    </xf>
    <xf numFmtId="0" fontId="5" fillId="24" borderId="86" xfId="0" applyFont="1" applyFill="1" applyBorder="1" applyAlignment="1">
      <alignment horizontal="center" vertical="center" shrinkToFit="1"/>
    </xf>
    <xf numFmtId="0" fontId="3" fillId="3" borderId="113" xfId="0" applyFont="1" applyFill="1" applyBorder="1" applyAlignment="1">
      <alignment horizontal="center" vertical="center" shrinkToFit="1"/>
    </xf>
    <xf numFmtId="0" fontId="16" fillId="11" borderId="49" xfId="0" applyFont="1" applyFill="1" applyBorder="1" applyAlignment="1">
      <alignment horizontal="center" vertical="center" shrinkToFit="1"/>
    </xf>
    <xf numFmtId="0" fontId="3" fillId="16" borderId="47" xfId="0" applyFont="1" applyFill="1" applyBorder="1" applyAlignment="1">
      <alignment horizontal="center" vertical="center" shrinkToFit="1"/>
    </xf>
    <xf numFmtId="0" fontId="3" fillId="16" borderId="46" xfId="0" applyFont="1" applyFill="1" applyBorder="1" applyAlignment="1">
      <alignment horizontal="center" vertical="center" wrapText="1"/>
    </xf>
    <xf numFmtId="0" fontId="16" fillId="16" borderId="47" xfId="0" applyFont="1" applyFill="1" applyBorder="1" applyAlignment="1">
      <alignment horizontal="center" vertical="center" shrinkToFit="1"/>
    </xf>
    <xf numFmtId="0" fontId="16" fillId="16" borderId="46" xfId="0" applyFont="1" applyFill="1" applyBorder="1" applyAlignment="1">
      <alignment horizontal="center" vertical="center" shrinkToFit="1"/>
    </xf>
    <xf numFmtId="0" fontId="15" fillId="0" borderId="51" xfId="0" applyFont="1" applyBorder="1" applyAlignment="1">
      <alignment horizontal="center" vertical="center" shrinkToFit="1"/>
    </xf>
    <xf numFmtId="0" fontId="16" fillId="0" borderId="51" xfId="0" applyFont="1" applyBorder="1" applyAlignment="1">
      <alignment horizontal="center" vertical="center" shrinkToFit="1"/>
    </xf>
    <xf numFmtId="0" fontId="11" fillId="11" borderId="49" xfId="0" applyFont="1" applyFill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shrinkToFit="1"/>
    </xf>
    <xf numFmtId="0" fontId="57" fillId="0" borderId="42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wrapText="1"/>
    </xf>
    <xf numFmtId="0" fontId="11" fillId="11" borderId="75" xfId="0" applyFont="1" applyFill="1" applyBorder="1" applyAlignment="1">
      <alignment horizontal="center" vertical="center" shrinkToFit="1"/>
    </xf>
    <xf numFmtId="0" fontId="1" fillId="17" borderId="36" xfId="0" applyFont="1" applyFill="1" applyBorder="1" applyAlignment="1">
      <alignment vertical="center" shrinkToFit="1"/>
    </xf>
    <xf numFmtId="0" fontId="58" fillId="0" borderId="42" xfId="0" applyFont="1" applyBorder="1" applyAlignment="1">
      <alignment horizontal="center" vertical="center" shrinkToFit="1"/>
    </xf>
    <xf numFmtId="0" fontId="51" fillId="0" borderId="47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shrinkToFit="1"/>
    </xf>
    <xf numFmtId="0" fontId="30" fillId="0" borderId="84" xfId="0" applyFont="1" applyBorder="1" applyAlignment="1">
      <alignment horizontal="center" vertical="center"/>
    </xf>
    <xf numFmtId="0" fontId="58" fillId="0" borderId="39" xfId="0" applyFont="1" applyBorder="1" applyAlignment="1">
      <alignment horizontal="center" vertical="center" shrinkToFit="1"/>
    </xf>
    <xf numFmtId="0" fontId="57" fillId="0" borderId="39" xfId="0" applyFont="1" applyBorder="1" applyAlignment="1">
      <alignment horizontal="center" vertical="center" shrinkToFit="1"/>
    </xf>
    <xf numFmtId="0" fontId="11" fillId="13" borderId="55" xfId="0" applyFont="1" applyFill="1" applyBorder="1" applyAlignment="1">
      <alignment horizontal="center" vertical="center" shrinkToFit="1"/>
    </xf>
    <xf numFmtId="0" fontId="11" fillId="13" borderId="44" xfId="0" applyFont="1" applyFill="1" applyBorder="1" applyAlignment="1">
      <alignment horizontal="center" vertical="center" shrinkToFit="1"/>
    </xf>
    <xf numFmtId="0" fontId="11" fillId="11" borderId="76" xfId="0" applyFont="1" applyFill="1" applyBorder="1" applyAlignment="1">
      <alignment horizontal="center" vertical="center" shrinkToFit="1"/>
    </xf>
    <xf numFmtId="0" fontId="59" fillId="0" borderId="39" xfId="0" applyFont="1" applyBorder="1" applyAlignment="1">
      <alignment horizontal="center" vertical="center"/>
    </xf>
    <xf numFmtId="0" fontId="51" fillId="0" borderId="72" xfId="0" applyFont="1" applyBorder="1" applyAlignment="1">
      <alignment horizontal="center" vertical="center" shrinkToFit="1"/>
    </xf>
    <xf numFmtId="0" fontId="5" fillId="12" borderId="81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49" fillId="0" borderId="9" xfId="0" applyFont="1" applyBorder="1" applyAlignment="1">
      <alignment horizontal="center" vertical="center"/>
    </xf>
    <xf numFmtId="0" fontId="60" fillId="0" borderId="78" xfId="0" applyFont="1" applyBorder="1" applyAlignment="1">
      <alignment horizontal="left" vertical="center" shrinkToFit="1"/>
    </xf>
    <xf numFmtId="0" fontId="11" fillId="0" borderId="44" xfId="0" applyFont="1" applyBorder="1" applyAlignment="1">
      <alignment horizontal="center" vertical="center" wrapText="1"/>
    </xf>
    <xf numFmtId="0" fontId="16" fillId="25" borderId="76" xfId="0" applyFont="1" applyFill="1" applyBorder="1" applyAlignment="1">
      <alignment horizontal="center" vertical="center" shrinkToFit="1"/>
    </xf>
    <xf numFmtId="0" fontId="11" fillId="11" borderId="86" xfId="0" applyFont="1" applyFill="1" applyBorder="1" applyAlignment="1">
      <alignment horizontal="center" vertical="center" wrapText="1"/>
    </xf>
    <xf numFmtId="0" fontId="59" fillId="0" borderId="84" xfId="0" applyFont="1" applyBorder="1" applyAlignment="1">
      <alignment horizontal="center" vertical="center"/>
    </xf>
    <xf numFmtId="0" fontId="61" fillId="0" borderId="78" xfId="0" applyFont="1" applyBorder="1" applyAlignment="1">
      <alignment horizontal="left" vertical="center" shrinkToFit="1"/>
    </xf>
    <xf numFmtId="0" fontId="57" fillId="0" borderId="51" xfId="0" applyFont="1" applyBorder="1" applyAlignment="1">
      <alignment horizontal="center" vertical="center" shrinkToFit="1"/>
    </xf>
    <xf numFmtId="0" fontId="11" fillId="8" borderId="44" xfId="0" applyFont="1" applyFill="1" applyBorder="1" applyAlignment="1">
      <alignment horizontal="center" vertical="center" shrinkToFit="1"/>
    </xf>
    <xf numFmtId="0" fontId="51" fillId="0" borderId="58" xfId="0" applyFont="1" applyBorder="1" applyAlignment="1">
      <alignment horizontal="center" vertical="center" shrinkToFit="1"/>
    </xf>
    <xf numFmtId="0" fontId="4" fillId="0" borderId="47" xfId="0" applyFont="1" applyBorder="1" applyAlignment="1">
      <alignment horizontal="center" vertical="center" shrinkToFit="1"/>
    </xf>
    <xf numFmtId="0" fontId="11" fillId="11" borderId="68" xfId="0" applyFont="1" applyFill="1" applyBorder="1" applyAlignment="1">
      <alignment horizontal="center" vertical="center" shrinkToFit="1"/>
    </xf>
    <xf numFmtId="0" fontId="16" fillId="11" borderId="44" xfId="0" applyFont="1" applyFill="1" applyBorder="1" applyAlignment="1">
      <alignment horizontal="center" vertical="center" wrapText="1"/>
    </xf>
    <xf numFmtId="0" fontId="11" fillId="8" borderId="57" xfId="0" applyFont="1" applyFill="1" applyBorder="1" applyAlignment="1">
      <alignment horizontal="center" vertical="center" shrinkToFit="1"/>
    </xf>
    <xf numFmtId="0" fontId="1" fillId="0" borderId="56" xfId="0" applyFont="1" applyBorder="1" applyAlignment="1">
      <alignment horizontal="center" vertical="center" shrinkToFit="1"/>
    </xf>
    <xf numFmtId="0" fontId="5" fillId="11" borderId="57" xfId="0" applyFont="1" applyFill="1" applyBorder="1" applyAlignment="1">
      <alignment horizontal="center" vertical="center" shrinkToFit="1"/>
    </xf>
    <xf numFmtId="0" fontId="62" fillId="8" borderId="76" xfId="0" applyFont="1" applyFill="1" applyBorder="1" applyAlignment="1">
      <alignment horizontal="center" vertical="center" shrinkToFit="1"/>
    </xf>
    <xf numFmtId="0" fontId="11" fillId="0" borderId="50" xfId="0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shrinkToFit="1"/>
    </xf>
    <xf numFmtId="0" fontId="23" fillId="8" borderId="57" xfId="0" applyFont="1" applyFill="1" applyBorder="1" applyAlignment="1">
      <alignment vertical="center"/>
    </xf>
    <xf numFmtId="0" fontId="39" fillId="0" borderId="30" xfId="0" applyFont="1" applyBorder="1" applyAlignment="1">
      <alignment horizontal="center" vertical="center"/>
    </xf>
    <xf numFmtId="0" fontId="11" fillId="11" borderId="57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17" borderId="119" xfId="0" applyFont="1" applyFill="1" applyBorder="1" applyAlignment="1">
      <alignment horizontal="center" vertical="center" shrinkToFit="1"/>
    </xf>
    <xf numFmtId="0" fontId="3" fillId="17" borderId="42" xfId="0" applyFont="1" applyFill="1" applyBorder="1" applyAlignment="1">
      <alignment horizontal="center" vertical="center" shrinkToFit="1"/>
    </xf>
    <xf numFmtId="0" fontId="39" fillId="0" borderId="78" xfId="0" applyFont="1" applyBorder="1" applyAlignment="1">
      <alignment horizontal="center" vertical="center"/>
    </xf>
    <xf numFmtId="0" fontId="5" fillId="26" borderId="44" xfId="0" applyFont="1" applyFill="1" applyBorder="1" applyAlignment="1">
      <alignment horizontal="center" vertical="center" shrinkToFit="1"/>
    </xf>
    <xf numFmtId="0" fontId="1" fillId="8" borderId="36" xfId="0" applyFont="1" applyFill="1" applyBorder="1" applyAlignment="1">
      <alignment horizontal="center" vertical="center" shrinkToFit="1"/>
    </xf>
    <xf numFmtId="0" fontId="31" fillId="15" borderId="70" xfId="0" applyFont="1" applyFill="1" applyBorder="1" applyAlignment="1">
      <alignment horizontal="center" vertical="center" wrapText="1"/>
    </xf>
    <xf numFmtId="0" fontId="5" fillId="11" borderId="81" xfId="0" applyFont="1" applyFill="1" applyBorder="1" applyAlignment="1">
      <alignment horizontal="center" vertical="center" shrinkToFit="1"/>
    </xf>
    <xf numFmtId="0" fontId="35" fillId="0" borderId="25" xfId="0" applyFont="1" applyBorder="1" applyAlignment="1">
      <alignment vertical="center" wrapText="1"/>
    </xf>
    <xf numFmtId="0" fontId="11" fillId="11" borderId="116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vertical="center" shrinkToFit="1"/>
    </xf>
    <xf numFmtId="0" fontId="1" fillId="0" borderId="8" xfId="0" applyFont="1" applyBorder="1" applyAlignment="1">
      <alignment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3" fillId="0" borderId="4" xfId="0" applyFont="1" applyBorder="1" applyAlignment="1">
      <alignment vertical="center"/>
    </xf>
    <xf numFmtId="0" fontId="12" fillId="0" borderId="8" xfId="0" applyFont="1" applyBorder="1" applyAlignment="1">
      <alignment vertical="center" shrinkToFit="1"/>
    </xf>
    <xf numFmtId="0" fontId="12" fillId="0" borderId="23" xfId="0" applyFont="1" applyBorder="1" applyAlignment="1">
      <alignment vertical="center" shrinkToFit="1"/>
    </xf>
    <xf numFmtId="0" fontId="4" fillId="0" borderId="98" xfId="0" applyFont="1" applyBorder="1" applyAlignment="1">
      <alignment horizontal="center" vertical="center"/>
    </xf>
    <xf numFmtId="0" fontId="4" fillId="0" borderId="113" xfId="0" applyFont="1" applyBorder="1" applyAlignment="1">
      <alignment horizontal="center" vertical="center" shrinkToFit="1"/>
    </xf>
    <xf numFmtId="0" fontId="44" fillId="0" borderId="0" xfId="0" applyFont="1" applyAlignment="1">
      <alignment vertical="center" wrapText="1"/>
    </xf>
    <xf numFmtId="0" fontId="5" fillId="27" borderId="36" xfId="0" applyFont="1" applyFill="1" applyBorder="1" applyAlignment="1">
      <alignment vertical="center" shrinkToFit="1"/>
    </xf>
    <xf numFmtId="0" fontId="38" fillId="0" borderId="9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shrinkToFit="1"/>
    </xf>
    <xf numFmtId="0" fontId="8" fillId="0" borderId="43" xfId="0" applyFont="1" applyBorder="1" applyAlignment="1">
      <alignment horizontal="center" vertical="center" shrinkToFit="1"/>
    </xf>
    <xf numFmtId="0" fontId="65" fillId="0" borderId="9" xfId="0" applyFont="1" applyBorder="1" applyAlignment="1">
      <alignment horizontal="center" vertical="center" wrapText="1"/>
    </xf>
    <xf numFmtId="0" fontId="5" fillId="0" borderId="98" xfId="0" applyFont="1" applyBorder="1" applyAlignment="1">
      <alignment horizontal="center" vertical="center" shrinkToFit="1"/>
    </xf>
    <xf numFmtId="0" fontId="3" fillId="0" borderId="113" xfId="0" applyFont="1" applyBorder="1" applyAlignment="1">
      <alignment horizontal="center" vertical="center" shrinkToFit="1"/>
    </xf>
    <xf numFmtId="0" fontId="39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 shrinkToFit="1"/>
    </xf>
    <xf numFmtId="0" fontId="5" fillId="11" borderId="49" xfId="0" applyFont="1" applyFill="1" applyBorder="1" applyAlignment="1">
      <alignment horizontal="center" vertical="center" shrinkToFit="1"/>
    </xf>
    <xf numFmtId="0" fontId="54" fillId="0" borderId="121" xfId="0" applyFont="1" applyBorder="1" applyAlignment="1">
      <alignment horizontal="center" vertical="center" wrapText="1"/>
    </xf>
    <xf numFmtId="0" fontId="5" fillId="28" borderId="44" xfId="0" applyFont="1" applyFill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 wrapText="1"/>
    </xf>
    <xf numFmtId="0" fontId="60" fillId="0" borderId="106" xfId="0" applyFont="1" applyBorder="1" applyAlignment="1">
      <alignment horizontal="left" vertical="center" wrapText="1"/>
    </xf>
    <xf numFmtId="0" fontId="66" fillId="0" borderId="102" xfId="0" applyFont="1" applyBorder="1" applyAlignment="1">
      <alignment horizontal="center" vertical="center"/>
    </xf>
    <xf numFmtId="0" fontId="36" fillId="0" borderId="102" xfId="0" applyFont="1" applyBorder="1" applyAlignment="1">
      <alignment horizontal="center" vertical="center"/>
    </xf>
    <xf numFmtId="0" fontId="30" fillId="0" borderId="10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66" fillId="0" borderId="124" xfId="0" applyFont="1" applyBorder="1" applyAlignment="1">
      <alignment horizontal="center" vertical="center"/>
    </xf>
    <xf numFmtId="0" fontId="36" fillId="0" borderId="124" xfId="0" applyFont="1" applyBorder="1" applyAlignment="1">
      <alignment horizontal="center" vertical="center"/>
    </xf>
    <xf numFmtId="0" fontId="30" fillId="0" borderId="124" xfId="0" applyFont="1" applyBorder="1" applyAlignment="1">
      <alignment horizontal="center" vertical="center"/>
    </xf>
    <xf numFmtId="0" fontId="36" fillId="0" borderId="125" xfId="0" applyFont="1" applyBorder="1" applyAlignment="1">
      <alignment horizontal="center" vertical="center"/>
    </xf>
    <xf numFmtId="0" fontId="12" fillId="0" borderId="31" xfId="0" applyFont="1" applyBorder="1" applyAlignment="1">
      <alignment vertical="center" shrinkToFit="1"/>
    </xf>
    <xf numFmtId="0" fontId="67" fillId="0" borderId="9" xfId="0" applyFont="1" applyBorder="1" applyAlignment="1">
      <alignment horizontal="center" vertical="center" shrinkToFit="1"/>
    </xf>
    <xf numFmtId="0" fontId="1" fillId="8" borderId="70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shrinkToFit="1"/>
    </xf>
    <xf numFmtId="0" fontId="4" fillId="0" borderId="56" xfId="0" applyFont="1" applyBorder="1" applyAlignment="1">
      <alignment horizontal="center" vertical="center" shrinkToFit="1"/>
    </xf>
    <xf numFmtId="0" fontId="66" fillId="0" borderId="126" xfId="0" applyFont="1" applyBorder="1" applyAlignment="1">
      <alignment horizontal="center" vertical="center"/>
    </xf>
    <xf numFmtId="0" fontId="5" fillId="11" borderId="116" xfId="0" applyFont="1" applyFill="1" applyBorder="1" applyAlignment="1">
      <alignment horizontal="center" vertical="center" shrinkToFit="1"/>
    </xf>
    <xf numFmtId="0" fontId="36" fillId="0" borderId="126" xfId="0" applyFont="1" applyBorder="1" applyAlignment="1">
      <alignment horizontal="center" vertical="center"/>
    </xf>
    <xf numFmtId="0" fontId="30" fillId="0" borderId="126" xfId="0" applyFont="1" applyBorder="1" applyAlignment="1">
      <alignment horizontal="center" vertical="center"/>
    </xf>
    <xf numFmtId="0" fontId="12" fillId="0" borderId="90" xfId="0" applyFont="1" applyBorder="1" applyAlignment="1">
      <alignment horizontal="center" vertical="center" shrinkToFit="1"/>
    </xf>
    <xf numFmtId="0" fontId="5" fillId="11" borderId="83" xfId="0" applyFont="1" applyFill="1" applyBorder="1" applyAlignment="1">
      <alignment horizontal="center" vertical="center" shrinkToFit="1"/>
    </xf>
    <xf numFmtId="0" fontId="42" fillId="0" borderId="87" xfId="0" applyFont="1" applyBorder="1" applyAlignment="1">
      <alignment horizontal="center" vertical="center"/>
    </xf>
    <xf numFmtId="0" fontId="12" fillId="0" borderId="9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1" xfId="0" applyFont="1" applyBorder="1" applyAlignment="1">
      <alignment horizontal="center" vertical="center"/>
    </xf>
    <xf numFmtId="0" fontId="58" fillId="0" borderId="56" xfId="0" applyFont="1" applyBorder="1" applyAlignment="1">
      <alignment horizontal="center" vertical="center" shrinkToFit="1"/>
    </xf>
    <xf numFmtId="0" fontId="1" fillId="0" borderId="57" xfId="0" applyFont="1" applyBorder="1" applyAlignment="1">
      <alignment horizontal="center" vertical="center" shrinkToFit="1"/>
    </xf>
    <xf numFmtId="0" fontId="5" fillId="0" borderId="56" xfId="0" applyFont="1" applyBorder="1" applyAlignment="1">
      <alignment horizontal="center" vertical="center" shrinkToFit="1"/>
    </xf>
    <xf numFmtId="0" fontId="11" fillId="0" borderId="90" xfId="0" applyFont="1" applyBorder="1" applyAlignment="1">
      <alignment horizontal="center" vertical="center" shrinkToFit="1"/>
    </xf>
    <xf numFmtId="0" fontId="38" fillId="0" borderId="25" xfId="0" applyFont="1" applyBorder="1" applyAlignment="1">
      <alignment horizontal="left" vertical="center" shrinkToFit="1"/>
    </xf>
    <xf numFmtId="0" fontId="1" fillId="8" borderId="0" xfId="0" applyFont="1" applyFill="1" applyAlignment="1">
      <alignment vertical="center" shrinkToFit="1"/>
    </xf>
    <xf numFmtId="0" fontId="5" fillId="24" borderId="25" xfId="0" applyFont="1" applyFill="1" applyBorder="1" applyAlignment="1">
      <alignment horizontal="center" vertical="center" wrapText="1"/>
    </xf>
    <xf numFmtId="0" fontId="38" fillId="0" borderId="5" xfId="0" applyFont="1" applyBorder="1" applyAlignment="1">
      <alignment horizontal="left" vertical="center" shrinkToFit="1"/>
    </xf>
    <xf numFmtId="0" fontId="5" fillId="12" borderId="57" xfId="0" applyFont="1" applyFill="1" applyBorder="1" applyAlignment="1">
      <alignment horizontal="center" vertical="center" shrinkToFit="1"/>
    </xf>
    <xf numFmtId="0" fontId="54" fillId="0" borderId="5" xfId="0" applyFont="1" applyBorder="1" applyAlignment="1">
      <alignment horizontal="center" vertical="center" wrapText="1"/>
    </xf>
    <xf numFmtId="0" fontId="30" fillId="11" borderId="57" xfId="0" applyFont="1" applyFill="1" applyBorder="1" applyAlignment="1">
      <alignment horizontal="center" vertical="center"/>
    </xf>
    <xf numFmtId="0" fontId="7" fillId="8" borderId="36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shrinkToFit="1"/>
    </xf>
    <xf numFmtId="0" fontId="11" fillId="8" borderId="51" xfId="0" applyFont="1" applyFill="1" applyBorder="1" applyAlignment="1">
      <alignment horizontal="center" vertical="center" shrinkToFit="1"/>
    </xf>
    <xf numFmtId="0" fontId="44" fillId="0" borderId="9" xfId="0" applyFont="1" applyBorder="1" applyAlignment="1">
      <alignment horizontal="left" vertical="center"/>
    </xf>
    <xf numFmtId="0" fontId="7" fillId="29" borderId="78" xfId="0" applyFont="1" applyFill="1" applyBorder="1" applyAlignment="1">
      <alignment horizontal="center" vertical="center"/>
    </xf>
    <xf numFmtId="0" fontId="16" fillId="11" borderId="43" xfId="0" applyFont="1" applyFill="1" applyBorder="1" applyAlignment="1">
      <alignment horizontal="center" vertical="center" shrinkToFit="1"/>
    </xf>
    <xf numFmtId="0" fontId="30" fillId="19" borderId="77" xfId="0" applyFont="1" applyFill="1" applyBorder="1" applyAlignment="1">
      <alignment horizontal="center" vertical="center" shrinkToFit="1"/>
    </xf>
    <xf numFmtId="0" fontId="30" fillId="19" borderId="79" xfId="0" applyFont="1" applyFill="1" applyBorder="1" applyAlignment="1">
      <alignment horizontal="center" vertical="center" shrinkToFit="1"/>
    </xf>
    <xf numFmtId="0" fontId="28" fillId="0" borderId="109" xfId="0" applyFont="1" applyBorder="1" applyAlignment="1">
      <alignment horizontal="center" vertical="center" wrapText="1"/>
    </xf>
    <xf numFmtId="0" fontId="69" fillId="0" borderId="9" xfId="0" applyFont="1" applyBorder="1" applyAlignment="1">
      <alignment vertical="center"/>
    </xf>
    <xf numFmtId="0" fontId="11" fillId="8" borderId="39" xfId="0" applyFont="1" applyFill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/>
    </xf>
    <xf numFmtId="0" fontId="70" fillId="29" borderId="78" xfId="0" applyFont="1" applyFill="1" applyBorder="1" applyAlignment="1">
      <alignment horizontal="center" vertical="center"/>
    </xf>
    <xf numFmtId="0" fontId="44" fillId="0" borderId="14" xfId="0" applyFont="1" applyBorder="1" applyAlignment="1">
      <alignment horizontal="center" vertical="center" wrapText="1"/>
    </xf>
    <xf numFmtId="0" fontId="70" fillId="29" borderId="78" xfId="0" applyFont="1" applyFill="1" applyBorder="1" applyAlignment="1">
      <alignment vertical="center"/>
    </xf>
    <xf numFmtId="0" fontId="70" fillId="29" borderId="129" xfId="0" applyFont="1" applyFill="1" applyBorder="1" applyAlignment="1">
      <alignment horizontal="center" vertical="center"/>
    </xf>
    <xf numFmtId="0" fontId="30" fillId="29" borderId="77" xfId="0" applyFont="1" applyFill="1" applyBorder="1" applyAlignment="1">
      <alignment horizontal="center" vertical="center" shrinkToFit="1"/>
    </xf>
    <xf numFmtId="0" fontId="70" fillId="29" borderId="129" xfId="0" applyFont="1" applyFill="1" applyBorder="1" applyAlignment="1">
      <alignment vertical="center"/>
    </xf>
    <xf numFmtId="0" fontId="30" fillId="0" borderId="92" xfId="0" applyFont="1" applyBorder="1" applyAlignment="1">
      <alignment horizontal="center" vertical="center"/>
    </xf>
    <xf numFmtId="0" fontId="4" fillId="29" borderId="56" xfId="0" applyFont="1" applyFill="1" applyBorder="1" applyAlignment="1">
      <alignment horizontal="center" vertical="center" shrinkToFit="1"/>
    </xf>
    <xf numFmtId="0" fontId="7" fillId="29" borderId="102" xfId="0" applyFont="1" applyFill="1" applyBorder="1" applyAlignment="1">
      <alignment horizontal="center" vertical="center"/>
    </xf>
    <xf numFmtId="0" fontId="10" fillId="0" borderId="130" xfId="0" applyFont="1" applyBorder="1" applyAlignment="1">
      <alignment horizontal="center" vertical="center"/>
    </xf>
    <xf numFmtId="0" fontId="11" fillId="11" borderId="46" xfId="0" applyFont="1" applyFill="1" applyBorder="1" applyAlignment="1">
      <alignment horizontal="center" vertical="center" shrinkToFit="1"/>
    </xf>
    <xf numFmtId="0" fontId="71" fillId="0" borderId="43" xfId="0" applyFont="1" applyBorder="1" applyAlignment="1">
      <alignment horizontal="center" vertical="center"/>
    </xf>
    <xf numFmtId="0" fontId="10" fillId="0" borderId="121" xfId="0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 shrinkToFit="1"/>
    </xf>
    <xf numFmtId="0" fontId="70" fillId="29" borderId="132" xfId="0" applyFont="1" applyFill="1" applyBorder="1" applyAlignment="1">
      <alignment vertical="center"/>
    </xf>
    <xf numFmtId="0" fontId="11" fillId="11" borderId="40" xfId="0" applyFont="1" applyFill="1" applyBorder="1" applyAlignment="1">
      <alignment horizontal="center" vertical="center" shrinkToFit="1"/>
    </xf>
    <xf numFmtId="0" fontId="72" fillId="0" borderId="34" xfId="0" applyFont="1" applyBorder="1" applyAlignment="1">
      <alignment horizontal="center" vertical="center"/>
    </xf>
    <xf numFmtId="0" fontId="72" fillId="0" borderId="35" xfId="0" applyFont="1" applyBorder="1" applyAlignment="1">
      <alignment horizontal="center" vertical="center"/>
    </xf>
    <xf numFmtId="0" fontId="27" fillId="3" borderId="35" xfId="0" applyFont="1" applyFill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72" fillId="0" borderId="25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0" fillId="0" borderId="42" xfId="0" applyFont="1" applyBorder="1" applyAlignment="1">
      <alignment horizontal="center" vertical="center"/>
    </xf>
    <xf numFmtId="0" fontId="63" fillId="0" borderId="71" xfId="0" applyFont="1" applyBorder="1" applyAlignment="1">
      <alignment horizontal="center" vertical="center"/>
    </xf>
    <xf numFmtId="0" fontId="11" fillId="16" borderId="44" xfId="0" applyFont="1" applyFill="1" applyBorder="1" applyAlignment="1">
      <alignment horizontal="center" vertical="center"/>
    </xf>
    <xf numFmtId="0" fontId="73" fillId="0" borderId="25" xfId="0" applyFont="1" applyBorder="1" applyAlignment="1">
      <alignment vertical="center" wrapText="1"/>
    </xf>
    <xf numFmtId="0" fontId="51" fillId="0" borderId="71" xfId="0" applyFont="1" applyBorder="1" applyAlignment="1">
      <alignment horizontal="center" vertical="center"/>
    </xf>
    <xf numFmtId="0" fontId="30" fillId="17" borderId="36" xfId="0" applyFont="1" applyFill="1" applyBorder="1" applyAlignment="1">
      <alignment vertical="center"/>
    </xf>
    <xf numFmtId="0" fontId="30" fillId="11" borderId="52" xfId="0" applyFont="1" applyFill="1" applyBorder="1" applyAlignment="1">
      <alignment horizontal="center" vertical="center"/>
    </xf>
    <xf numFmtId="0" fontId="36" fillId="0" borderId="42" xfId="0" applyFont="1" applyBorder="1" applyAlignment="1">
      <alignment horizontal="center" vertical="center"/>
    </xf>
    <xf numFmtId="0" fontId="30" fillId="17" borderId="104" xfId="0" applyFont="1" applyFill="1" applyBorder="1" applyAlignment="1">
      <alignment vertical="center"/>
    </xf>
    <xf numFmtId="0" fontId="7" fillId="29" borderId="129" xfId="0" applyFont="1" applyFill="1" applyBorder="1" applyAlignment="1">
      <alignment horizontal="center" vertical="center"/>
    </xf>
    <xf numFmtId="0" fontId="30" fillId="16" borderId="44" xfId="0" applyFont="1" applyFill="1" applyBorder="1" applyAlignment="1">
      <alignment horizontal="center" vertical="center"/>
    </xf>
    <xf numFmtId="0" fontId="11" fillId="11" borderId="76" xfId="0" applyFont="1" applyFill="1" applyBorder="1" applyAlignment="1">
      <alignment horizontal="center" vertical="center"/>
    </xf>
    <xf numFmtId="0" fontId="36" fillId="10" borderId="52" xfId="0" applyFont="1" applyFill="1" applyBorder="1" applyAlignment="1">
      <alignment horizontal="center" vertical="center"/>
    </xf>
    <xf numFmtId="0" fontId="49" fillId="11" borderId="42" xfId="0" applyFont="1" applyFill="1" applyBorder="1" applyAlignment="1">
      <alignment horizontal="center" vertical="center"/>
    </xf>
    <xf numFmtId="0" fontId="30" fillId="10" borderId="44" xfId="0" applyFont="1" applyFill="1" applyBorder="1" applyAlignment="1">
      <alignment horizontal="center" vertical="center"/>
    </xf>
    <xf numFmtId="0" fontId="11" fillId="11" borderId="49" xfId="0" applyFont="1" applyFill="1" applyBorder="1" applyAlignment="1">
      <alignment horizontal="center" vertical="center"/>
    </xf>
    <xf numFmtId="0" fontId="36" fillId="0" borderId="51" xfId="0" applyFont="1" applyBorder="1" applyAlignment="1">
      <alignment horizontal="center" vertical="center"/>
    </xf>
    <xf numFmtId="0" fontId="30" fillId="11" borderId="81" xfId="0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0" fillId="11" borderId="86" xfId="0" applyFont="1" applyFill="1" applyBorder="1" applyAlignment="1">
      <alignment horizontal="center" vertical="center"/>
    </xf>
    <xf numFmtId="0" fontId="63" fillId="0" borderId="120" xfId="0" applyFont="1" applyBorder="1" applyAlignment="1">
      <alignment horizontal="center" vertical="center"/>
    </xf>
    <xf numFmtId="0" fontId="11" fillId="11" borderId="61" xfId="0" applyFont="1" applyFill="1" applyBorder="1" applyAlignment="1">
      <alignment horizontal="center" vertical="center"/>
    </xf>
    <xf numFmtId="0" fontId="36" fillId="0" borderId="87" xfId="0" applyFont="1" applyBorder="1" applyAlignment="1">
      <alignment horizontal="center" vertical="center"/>
    </xf>
    <xf numFmtId="0" fontId="64" fillId="0" borderId="71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51" fillId="0" borderId="30" xfId="0" applyFont="1" applyBorder="1" applyAlignment="1">
      <alignment horizontal="center" vertical="center"/>
    </xf>
    <xf numFmtId="0" fontId="7" fillId="0" borderId="122" xfId="0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 shrinkToFit="1"/>
    </xf>
    <xf numFmtId="0" fontId="7" fillId="0" borderId="123" xfId="0" applyFont="1" applyBorder="1" applyAlignment="1">
      <alignment horizontal="center" vertical="center"/>
    </xf>
    <xf numFmtId="0" fontId="1" fillId="0" borderId="122" xfId="0" applyFont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/>
    </xf>
    <xf numFmtId="0" fontId="22" fillId="0" borderId="106" xfId="0" applyFont="1" applyBorder="1" applyAlignment="1">
      <alignment vertical="center"/>
    </xf>
    <xf numFmtId="0" fontId="1" fillId="0" borderId="127" xfId="0" applyFont="1" applyBorder="1" applyAlignment="1">
      <alignment horizontal="center" vertical="center" shrinkToFit="1"/>
    </xf>
    <xf numFmtId="0" fontId="7" fillId="0" borderId="128" xfId="0" applyFont="1" applyBorder="1" applyAlignment="1">
      <alignment horizontal="center" vertical="center"/>
    </xf>
    <xf numFmtId="0" fontId="31" fillId="29" borderId="123" xfId="0" applyFont="1" applyFill="1" applyBorder="1" applyAlignment="1">
      <alignment horizontal="center" vertical="center" shrinkToFit="1"/>
    </xf>
    <xf numFmtId="0" fontId="23" fillId="29" borderId="42" xfId="0" applyFont="1" applyFill="1" applyBorder="1" applyAlignment="1">
      <alignment vertical="center"/>
    </xf>
    <xf numFmtId="0" fontId="42" fillId="0" borderId="9" xfId="0" applyFont="1" applyBorder="1" applyAlignment="1">
      <alignment vertical="center" shrinkToFit="1"/>
    </xf>
    <xf numFmtId="0" fontId="31" fillId="0" borderId="0" xfId="0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39" fillId="0" borderId="0" xfId="0" applyFont="1" applyAlignment="1">
      <alignment vertical="center" shrinkToFit="1"/>
    </xf>
    <xf numFmtId="0" fontId="31" fillId="0" borderId="0" xfId="0" applyFont="1" applyAlignment="1">
      <alignment vertical="center"/>
    </xf>
    <xf numFmtId="0" fontId="31" fillId="0" borderId="0" xfId="0" applyFont="1" applyAlignment="1">
      <alignment vertical="center" shrinkToFit="1"/>
    </xf>
    <xf numFmtId="0" fontId="74" fillId="0" borderId="0" xfId="0" applyFont="1" applyAlignment="1">
      <alignment vertical="center"/>
    </xf>
    <xf numFmtId="176" fontId="39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 shrinkToFit="1"/>
    </xf>
    <xf numFmtId="0" fontId="76" fillId="0" borderId="0" xfId="0" applyFont="1" applyAlignment="1">
      <alignment horizontal="center" vertical="center"/>
    </xf>
    <xf numFmtId="0" fontId="6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7" fillId="0" borderId="0" xfId="0" applyFont="1" applyAlignment="1">
      <alignment horizontal="center" vertical="center"/>
    </xf>
    <xf numFmtId="177" fontId="78" fillId="30" borderId="136" xfId="0" applyNumberFormat="1" applyFont="1" applyFill="1" applyBorder="1" applyAlignment="1">
      <alignment horizontal="center" vertical="center" shrinkToFit="1"/>
    </xf>
    <xf numFmtId="0" fontId="31" fillId="0" borderId="137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0" fontId="79" fillId="31" borderId="138" xfId="0" applyFont="1" applyFill="1" applyBorder="1" applyAlignment="1">
      <alignment horizontal="center" vertical="center"/>
    </xf>
    <xf numFmtId="0" fontId="79" fillId="31" borderId="139" xfId="0" applyFont="1" applyFill="1" applyBorder="1" applyAlignment="1">
      <alignment horizontal="center" vertical="center"/>
    </xf>
    <xf numFmtId="0" fontId="80" fillId="31" borderId="139" xfId="0" applyFont="1" applyFill="1" applyBorder="1" applyAlignment="1">
      <alignment horizontal="center" vertical="center"/>
    </xf>
    <xf numFmtId="0" fontId="80" fillId="31" borderId="139" xfId="0" applyFont="1" applyFill="1" applyBorder="1" applyAlignment="1">
      <alignment horizontal="center" vertical="center" shrinkToFit="1"/>
    </xf>
    <xf numFmtId="0" fontId="81" fillId="32" borderId="140" xfId="0" applyFont="1" applyFill="1" applyBorder="1" applyAlignment="1">
      <alignment horizontal="center" vertical="center"/>
    </xf>
    <xf numFmtId="0" fontId="82" fillId="24" borderId="141" xfId="0" applyFont="1" applyFill="1" applyBorder="1" applyAlignment="1">
      <alignment horizontal="center" vertical="center"/>
    </xf>
    <xf numFmtId="0" fontId="82" fillId="24" borderId="142" xfId="0" applyFont="1" applyFill="1" applyBorder="1" applyAlignment="1">
      <alignment horizontal="center" vertical="center"/>
    </xf>
    <xf numFmtId="0" fontId="82" fillId="33" borderId="141" xfId="0" applyFont="1" applyFill="1" applyBorder="1" applyAlignment="1">
      <alignment horizontal="center" vertical="center"/>
    </xf>
    <xf numFmtId="0" fontId="81" fillId="34" borderId="142" xfId="0" applyFont="1" applyFill="1" applyBorder="1" applyAlignment="1">
      <alignment horizontal="center" vertical="center"/>
    </xf>
    <xf numFmtId="0" fontId="81" fillId="35" borderId="142" xfId="0" applyFont="1" applyFill="1" applyBorder="1" applyAlignment="1">
      <alignment horizontal="center" vertical="center"/>
    </xf>
    <xf numFmtId="0" fontId="81" fillId="36" borderId="143" xfId="0" applyFont="1" applyFill="1" applyBorder="1" applyAlignment="1">
      <alignment horizontal="center" vertical="center"/>
    </xf>
    <xf numFmtId="0" fontId="81" fillId="37" borderId="78" xfId="0" applyFont="1" applyFill="1" applyBorder="1" applyAlignment="1">
      <alignment horizontal="center" vertical="center"/>
    </xf>
    <xf numFmtId="0" fontId="79" fillId="31" borderId="144" xfId="0" applyFont="1" applyFill="1" applyBorder="1" applyAlignment="1">
      <alignment horizontal="center" vertical="center" shrinkToFit="1"/>
    </xf>
    <xf numFmtId="0" fontId="79" fillId="31" borderId="139" xfId="0" applyFont="1" applyFill="1" applyBorder="1" applyAlignment="1">
      <alignment horizontal="center" vertical="center" shrinkToFit="1"/>
    </xf>
    <xf numFmtId="176" fontId="79" fillId="31" borderId="139" xfId="0" applyNumberFormat="1" applyFont="1" applyFill="1" applyBorder="1" applyAlignment="1">
      <alignment horizontal="center" vertical="center"/>
    </xf>
    <xf numFmtId="0" fontId="78" fillId="31" borderId="145" xfId="0" applyFont="1" applyFill="1" applyBorder="1" applyAlignment="1">
      <alignment horizontal="center" vertical="center"/>
    </xf>
    <xf numFmtId="0" fontId="31" fillId="0" borderId="137" xfId="0" applyFont="1" applyBorder="1" applyAlignment="1">
      <alignment horizontal="center" vertical="center" shrinkToFit="1"/>
    </xf>
    <xf numFmtId="0" fontId="57" fillId="0" borderId="137" xfId="0" applyFont="1" applyBorder="1" applyAlignment="1">
      <alignment horizontal="center" vertical="center"/>
    </xf>
    <xf numFmtId="0" fontId="66" fillId="0" borderId="137" xfId="0" applyFont="1" applyBorder="1" applyAlignment="1">
      <alignment horizontal="center" vertical="center"/>
    </xf>
    <xf numFmtId="0" fontId="66" fillId="0" borderId="137" xfId="0" applyFont="1" applyBorder="1" applyAlignment="1">
      <alignment horizontal="center" vertical="center" shrinkToFit="1"/>
    </xf>
    <xf numFmtId="0" fontId="66" fillId="0" borderId="147" xfId="0" applyFont="1" applyBorder="1" applyAlignment="1">
      <alignment horizontal="center" vertical="center" shrinkToFit="1"/>
    </xf>
    <xf numFmtId="0" fontId="31" fillId="0" borderId="148" xfId="0" applyFont="1" applyBorder="1" applyAlignment="1">
      <alignment horizontal="center" vertical="center"/>
    </xf>
    <xf numFmtId="0" fontId="31" fillId="0" borderId="137" xfId="0" applyFont="1" applyBorder="1" applyAlignment="1">
      <alignment horizontal="left" vertical="center"/>
    </xf>
    <xf numFmtId="0" fontId="31" fillId="0" borderId="147" xfId="0" applyFont="1" applyBorder="1" applyAlignment="1">
      <alignment horizontal="center" vertical="center"/>
    </xf>
    <xf numFmtId="176" fontId="31" fillId="0" borderId="137" xfId="0" applyNumberFormat="1" applyFont="1" applyBorder="1" applyAlignment="1">
      <alignment horizontal="center" vertical="center"/>
    </xf>
    <xf numFmtId="178" fontId="31" fillId="0" borderId="137" xfId="0" applyNumberFormat="1" applyFont="1" applyBorder="1" applyAlignment="1">
      <alignment horizontal="center" vertical="center"/>
    </xf>
    <xf numFmtId="0" fontId="7" fillId="0" borderId="137" xfId="0" applyFont="1" applyBorder="1" applyAlignment="1">
      <alignment horizontal="center" vertical="center"/>
    </xf>
    <xf numFmtId="0" fontId="23" fillId="0" borderId="137" xfId="0" applyFont="1" applyBorder="1" applyAlignment="1">
      <alignment vertical="center"/>
    </xf>
    <xf numFmtId="0" fontId="31" fillId="38" borderId="147" xfId="0" applyFont="1" applyFill="1" applyBorder="1" applyAlignment="1">
      <alignment horizontal="center" vertical="center"/>
    </xf>
    <xf numFmtId="0" fontId="31" fillId="39" borderId="137" xfId="0" applyFont="1" applyFill="1" applyBorder="1" applyAlignment="1">
      <alignment horizontal="center" vertical="center"/>
    </xf>
    <xf numFmtId="0" fontId="31" fillId="40" borderId="137" xfId="0" applyFont="1" applyFill="1" applyBorder="1" applyAlignment="1">
      <alignment horizontal="center" vertical="center"/>
    </xf>
    <xf numFmtId="0" fontId="31" fillId="42" borderId="137" xfId="0" applyFont="1" applyFill="1" applyBorder="1" applyAlignment="1">
      <alignment horizontal="center" vertical="center"/>
    </xf>
    <xf numFmtId="0" fontId="31" fillId="43" borderId="137" xfId="0" applyFont="1" applyFill="1" applyBorder="1" applyAlignment="1">
      <alignment horizontal="center" vertical="center"/>
    </xf>
    <xf numFmtId="0" fontId="31" fillId="41" borderId="137" xfId="0" applyFont="1" applyFill="1" applyBorder="1" applyAlignment="1">
      <alignment horizontal="center" vertical="center"/>
    </xf>
    <xf numFmtId="0" fontId="7" fillId="39" borderId="137" xfId="0" applyFont="1" applyFill="1" applyBorder="1" applyAlignment="1">
      <alignment horizontal="center" vertical="center" shrinkToFit="1"/>
    </xf>
    <xf numFmtId="0" fontId="31" fillId="44" borderId="137" xfId="0" applyFont="1" applyFill="1" applyBorder="1" applyAlignment="1">
      <alignment horizontal="center" vertical="center"/>
    </xf>
    <xf numFmtId="0" fontId="23" fillId="0" borderId="147" xfId="0" applyFont="1" applyBorder="1" applyAlignment="1">
      <alignment vertical="center"/>
    </xf>
    <xf numFmtId="0" fontId="23" fillId="0" borderId="148" xfId="0" applyFont="1" applyBorder="1" applyAlignment="1">
      <alignment vertical="center"/>
    </xf>
    <xf numFmtId="0" fontId="31" fillId="44" borderId="147" xfId="0" applyFont="1" applyFill="1" applyBorder="1" applyAlignment="1">
      <alignment horizontal="center" vertical="center"/>
    </xf>
    <xf numFmtId="0" fontId="31" fillId="45" borderId="147" xfId="0" applyFont="1" applyFill="1" applyBorder="1" applyAlignment="1">
      <alignment horizontal="center" vertical="center"/>
    </xf>
    <xf numFmtId="0" fontId="31" fillId="46" borderId="137" xfId="0" applyFont="1" applyFill="1" applyBorder="1" applyAlignment="1">
      <alignment horizontal="center" vertical="center"/>
    </xf>
    <xf numFmtId="0" fontId="66" fillId="0" borderId="147" xfId="0" applyFont="1" applyBorder="1" applyAlignment="1">
      <alignment horizontal="center" vertical="center"/>
    </xf>
    <xf numFmtId="0" fontId="31" fillId="0" borderId="78" xfId="0" applyFont="1" applyBorder="1" applyAlignment="1">
      <alignment horizontal="center" vertical="center"/>
    </xf>
    <xf numFmtId="0" fontId="31" fillId="6" borderId="137" xfId="0" applyFont="1" applyFill="1" applyBorder="1" applyAlignment="1">
      <alignment horizontal="center" vertical="center" shrinkToFit="1"/>
    </xf>
    <xf numFmtId="0" fontId="31" fillId="21" borderId="137" xfId="0" applyFont="1" applyFill="1" applyBorder="1" applyAlignment="1">
      <alignment horizontal="center" vertical="center"/>
    </xf>
    <xf numFmtId="0" fontId="31" fillId="8" borderId="137" xfId="0" applyFont="1" applyFill="1" applyBorder="1" applyAlignment="1">
      <alignment horizontal="center" vertical="center"/>
    </xf>
    <xf numFmtId="0" fontId="23" fillId="47" borderId="137" xfId="0" applyFont="1" applyFill="1" applyBorder="1" applyAlignment="1">
      <alignment vertical="center"/>
    </xf>
    <xf numFmtId="0" fontId="7" fillId="23" borderId="137" xfId="0" applyFont="1" applyFill="1" applyBorder="1" applyAlignment="1">
      <alignment horizontal="center" vertical="center" shrinkToFit="1"/>
    </xf>
    <xf numFmtId="176" fontId="31" fillId="0" borderId="134" xfId="0" applyNumberFormat="1" applyFont="1" applyBorder="1" applyAlignment="1">
      <alignment horizontal="center" vertical="center"/>
    </xf>
    <xf numFmtId="0" fontId="31" fillId="0" borderId="129" xfId="0" applyFont="1" applyBorder="1" applyAlignment="1">
      <alignment horizontal="center" vertical="center"/>
    </xf>
    <xf numFmtId="0" fontId="31" fillId="29" borderId="137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1" fillId="47" borderId="137" xfId="0" applyFont="1" applyFill="1" applyBorder="1" applyAlignment="1">
      <alignment horizontal="center" vertical="center"/>
    </xf>
    <xf numFmtId="0" fontId="31" fillId="18" borderId="137" xfId="0" applyFont="1" applyFill="1" applyBorder="1" applyAlignment="1">
      <alignment horizontal="center" vertical="center"/>
    </xf>
    <xf numFmtId="0" fontId="31" fillId="0" borderId="137" xfId="0" quotePrefix="1" applyFont="1" applyBorder="1" applyAlignment="1">
      <alignment horizontal="center" vertical="center" shrinkToFit="1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 shrinkToFit="1"/>
    </xf>
    <xf numFmtId="176" fontId="31" fillId="0" borderId="0" xfId="0" applyNumberFormat="1" applyFont="1" applyAlignment="1">
      <alignment horizontal="center" vertical="center"/>
    </xf>
    <xf numFmtId="178" fontId="3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31" fillId="20" borderId="78" xfId="0" applyFont="1" applyFill="1" applyBorder="1" applyAlignment="1">
      <alignment vertical="center"/>
    </xf>
    <xf numFmtId="0" fontId="31" fillId="20" borderId="78" xfId="0" applyFont="1" applyFill="1" applyBorder="1" applyAlignment="1">
      <alignment horizontal="center" vertical="center"/>
    </xf>
    <xf numFmtId="0" fontId="31" fillId="0" borderId="78" xfId="0" applyFont="1" applyBorder="1" applyAlignment="1">
      <alignment vertical="center"/>
    </xf>
    <xf numFmtId="0" fontId="31" fillId="0" borderId="150" xfId="0" applyFont="1" applyBorder="1" applyAlignment="1">
      <alignment horizontal="center" vertical="center" shrinkToFit="1"/>
    </xf>
    <xf numFmtId="0" fontId="31" fillId="0" borderId="151" xfId="0" applyFont="1" applyBorder="1" applyAlignment="1">
      <alignment horizontal="center" vertical="center" shrinkToFit="1"/>
    </xf>
    <xf numFmtId="0" fontId="31" fillId="0" borderId="152" xfId="0" applyFont="1" applyBorder="1" applyAlignment="1">
      <alignment horizontal="center" vertical="center" shrinkToFit="1"/>
    </xf>
    <xf numFmtId="0" fontId="31" fillId="19" borderId="137" xfId="0" applyFont="1" applyFill="1" applyBorder="1" applyAlignment="1">
      <alignment horizontal="center" vertical="center"/>
    </xf>
    <xf numFmtId="0" fontId="31" fillId="0" borderId="153" xfId="0" applyFont="1" applyBorder="1" applyAlignment="1">
      <alignment horizontal="center" vertical="center" shrinkToFit="1"/>
    </xf>
    <xf numFmtId="0" fontId="31" fillId="0" borderId="154" xfId="0" applyFont="1" applyBorder="1" applyAlignment="1">
      <alignment horizontal="center" vertical="center" shrinkToFit="1"/>
    </xf>
    <xf numFmtId="0" fontId="31" fillId="0" borderId="92" xfId="0" applyFont="1" applyBorder="1" applyAlignment="1">
      <alignment horizontal="center" vertical="center" shrinkToFit="1"/>
    </xf>
    <xf numFmtId="0" fontId="88" fillId="0" borderId="137" xfId="0" applyFont="1" applyBorder="1" applyAlignment="1">
      <alignment horizontal="center" vertical="center"/>
    </xf>
    <xf numFmtId="0" fontId="31" fillId="38" borderId="137" xfId="0" applyFont="1" applyFill="1" applyBorder="1" applyAlignment="1">
      <alignment horizontal="center" vertical="center"/>
    </xf>
    <xf numFmtId="0" fontId="31" fillId="0" borderId="150" xfId="0" applyFont="1" applyBorder="1" applyAlignment="1">
      <alignment horizontal="center" vertical="center"/>
    </xf>
    <xf numFmtId="0" fontId="31" fillId="0" borderId="155" xfId="0" applyFont="1" applyBorder="1" applyAlignment="1">
      <alignment horizontal="center" vertical="center" shrinkToFit="1"/>
    </xf>
    <xf numFmtId="0" fontId="31" fillId="0" borderId="148" xfId="0" applyFont="1" applyBorder="1" applyAlignment="1">
      <alignment horizontal="center" vertical="center" shrinkToFit="1"/>
    </xf>
    <xf numFmtId="0" fontId="31" fillId="0" borderId="123" xfId="0" applyFont="1" applyBorder="1" applyAlignment="1">
      <alignment horizontal="center" vertical="center" shrinkToFit="1"/>
    </xf>
    <xf numFmtId="0" fontId="31" fillId="0" borderId="128" xfId="0" applyFont="1" applyBorder="1" applyAlignment="1">
      <alignment horizontal="center" vertical="center" shrinkToFit="1"/>
    </xf>
    <xf numFmtId="0" fontId="31" fillId="0" borderId="156" xfId="0" applyFont="1" applyBorder="1" applyAlignment="1">
      <alignment horizontal="center" vertical="center" shrinkToFit="1"/>
    </xf>
    <xf numFmtId="0" fontId="7" fillId="54" borderId="137" xfId="0" applyFont="1" applyFill="1" applyBorder="1" applyAlignment="1">
      <alignment horizontal="center" vertical="center"/>
    </xf>
    <xf numFmtId="0" fontId="66" fillId="6" borderId="137" xfId="0" applyFont="1" applyFill="1" applyBorder="1" applyAlignment="1">
      <alignment horizontal="center" vertical="center" shrinkToFit="1"/>
    </xf>
    <xf numFmtId="0" fontId="43" fillId="0" borderId="137" xfId="0" applyFont="1" applyBorder="1" applyAlignment="1">
      <alignment horizontal="center" vertical="center"/>
    </xf>
    <xf numFmtId="0" fontId="66" fillId="29" borderId="137" xfId="0" applyFont="1" applyFill="1" applyBorder="1" applyAlignment="1">
      <alignment horizontal="center" vertical="center"/>
    </xf>
    <xf numFmtId="176" fontId="7" fillId="0" borderId="134" xfId="0" applyNumberFormat="1" applyFont="1" applyBorder="1" applyAlignment="1">
      <alignment horizontal="center" vertical="center"/>
    </xf>
    <xf numFmtId="0" fontId="7" fillId="21" borderId="137" xfId="0" applyFont="1" applyFill="1" applyBorder="1" applyAlignment="1">
      <alignment horizontal="center" vertical="center" shrinkToFit="1"/>
    </xf>
    <xf numFmtId="0" fontId="66" fillId="29" borderId="147" xfId="0" applyFont="1" applyFill="1" applyBorder="1" applyAlignment="1">
      <alignment horizontal="center" vertical="center" shrinkToFit="1"/>
    </xf>
    <xf numFmtId="0" fontId="31" fillId="25" borderId="137" xfId="0" applyFont="1" applyFill="1" applyBorder="1" applyAlignment="1">
      <alignment horizontal="center" vertical="center"/>
    </xf>
    <xf numFmtId="0" fontId="66" fillId="29" borderId="147" xfId="0" applyFont="1" applyFill="1" applyBorder="1" applyAlignment="1">
      <alignment horizontal="center" vertical="center"/>
    </xf>
    <xf numFmtId="0" fontId="84" fillId="0" borderId="137" xfId="0" applyFont="1" applyBorder="1" applyAlignment="1">
      <alignment horizontal="center" vertical="center"/>
    </xf>
    <xf numFmtId="0" fontId="31" fillId="0" borderId="137" xfId="0" applyFont="1" applyBorder="1" applyAlignment="1">
      <alignment vertical="center"/>
    </xf>
    <xf numFmtId="0" fontId="31" fillId="51" borderId="137" xfId="0" applyFont="1" applyFill="1" applyBorder="1" applyAlignment="1">
      <alignment horizontal="center" vertical="center"/>
    </xf>
    <xf numFmtId="0" fontId="66" fillId="51" borderId="137" xfId="0" applyFont="1" applyFill="1" applyBorder="1" applyAlignment="1">
      <alignment horizontal="center" vertical="center"/>
    </xf>
    <xf numFmtId="0" fontId="23" fillId="51" borderId="147" xfId="0" applyFont="1" applyFill="1" applyBorder="1" applyAlignment="1">
      <alignment vertical="center"/>
    </xf>
    <xf numFmtId="0" fontId="31" fillId="51" borderId="150" xfId="0" applyFont="1" applyFill="1" applyBorder="1" applyAlignment="1">
      <alignment horizontal="center" vertical="center"/>
    </xf>
    <xf numFmtId="0" fontId="23" fillId="51" borderId="148" xfId="0" applyFont="1" applyFill="1" applyBorder="1" applyAlignment="1">
      <alignment vertical="center"/>
    </xf>
    <xf numFmtId="0" fontId="23" fillId="51" borderId="137" xfId="0" applyFont="1" applyFill="1" applyBorder="1" applyAlignment="1">
      <alignment vertical="center"/>
    </xf>
    <xf numFmtId="176" fontId="31" fillId="51" borderId="137" xfId="0" applyNumberFormat="1" applyFont="1" applyFill="1" applyBorder="1" applyAlignment="1">
      <alignment horizontal="center" vertical="center"/>
    </xf>
    <xf numFmtId="178" fontId="31" fillId="51" borderId="137" xfId="0" applyNumberFormat="1" applyFont="1" applyFill="1" applyBorder="1" applyAlignment="1">
      <alignment horizontal="center" vertical="center"/>
    </xf>
    <xf numFmtId="0" fontId="84" fillId="51" borderId="137" xfId="0" applyFont="1" applyFill="1" applyBorder="1" applyAlignment="1">
      <alignment horizontal="center" vertical="center"/>
    </xf>
    <xf numFmtId="0" fontId="31" fillId="0" borderId="155" xfId="0" applyFont="1" applyBorder="1" applyAlignment="1">
      <alignment horizontal="center" vertical="center"/>
    </xf>
    <xf numFmtId="0" fontId="31" fillId="49" borderId="137" xfId="0" applyFont="1" applyFill="1" applyBorder="1" applyAlignment="1">
      <alignment horizontal="center" vertical="center"/>
    </xf>
    <xf numFmtId="0" fontId="7" fillId="48" borderId="137" xfId="0" applyFont="1" applyFill="1" applyBorder="1" applyAlignment="1">
      <alignment horizontal="center" vertical="center"/>
    </xf>
    <xf numFmtId="0" fontId="7" fillId="29" borderId="137" xfId="0" applyFont="1" applyFill="1" applyBorder="1" applyAlignment="1">
      <alignment horizontal="center" vertical="center" shrinkToFit="1"/>
    </xf>
    <xf numFmtId="0" fontId="31" fillId="53" borderId="137" xfId="0" applyFont="1" applyFill="1" applyBorder="1" applyAlignment="1">
      <alignment horizontal="center" vertical="center"/>
    </xf>
    <xf numFmtId="0" fontId="31" fillId="45" borderId="137" xfId="0" applyFont="1" applyFill="1" applyBorder="1" applyAlignment="1">
      <alignment horizontal="center" vertical="center"/>
    </xf>
    <xf numFmtId="0" fontId="66" fillId="41" borderId="147" xfId="0" applyFont="1" applyFill="1" applyBorder="1" applyAlignment="1">
      <alignment horizontal="center" vertical="center" shrinkToFit="1"/>
    </xf>
    <xf numFmtId="0" fontId="23" fillId="17" borderId="137" xfId="0" applyFont="1" applyFill="1" applyBorder="1" applyAlignment="1">
      <alignment vertical="center"/>
    </xf>
    <xf numFmtId="0" fontId="48" fillId="0" borderId="137" xfId="0" applyFont="1" applyBorder="1" applyAlignment="1">
      <alignment horizontal="center" vertical="center"/>
    </xf>
    <xf numFmtId="0" fontId="31" fillId="0" borderId="95" xfId="0" applyFont="1" applyBorder="1" applyAlignment="1">
      <alignment horizontal="center" vertical="center"/>
    </xf>
    <xf numFmtId="0" fontId="31" fillId="0" borderId="134" xfId="0" applyFont="1" applyBorder="1" applyAlignment="1">
      <alignment horizontal="center" vertical="center"/>
    </xf>
    <xf numFmtId="0" fontId="31" fillId="0" borderId="153" xfId="0" applyFont="1" applyBorder="1" applyAlignment="1">
      <alignment horizontal="center" vertical="center"/>
    </xf>
    <xf numFmtId="0" fontId="31" fillId="0" borderId="102" xfId="0" applyFont="1" applyBorder="1" applyAlignment="1">
      <alignment horizontal="center" vertical="center" shrinkToFit="1"/>
    </xf>
    <xf numFmtId="0" fontId="7" fillId="0" borderId="133" xfId="0" applyFont="1" applyBorder="1" applyAlignment="1">
      <alignment horizontal="center" vertical="center"/>
    </xf>
    <xf numFmtId="0" fontId="7" fillId="0" borderId="134" xfId="0" applyFont="1" applyBorder="1" applyAlignment="1">
      <alignment horizontal="center" vertical="center"/>
    </xf>
    <xf numFmtId="0" fontId="31" fillId="0" borderId="102" xfId="0" applyFont="1" applyBorder="1" applyAlignment="1">
      <alignment horizontal="center" vertical="center"/>
    </xf>
    <xf numFmtId="0" fontId="31" fillId="0" borderId="133" xfId="0" applyFont="1" applyBorder="1" applyAlignment="1">
      <alignment horizontal="center" vertical="center"/>
    </xf>
    <xf numFmtId="0" fontId="7" fillId="52" borderId="137" xfId="0" applyFont="1" applyFill="1" applyBorder="1" applyAlignment="1">
      <alignment horizontal="center" vertical="center"/>
    </xf>
    <xf numFmtId="0" fontId="7" fillId="0" borderId="127" xfId="0" applyFont="1" applyBorder="1" applyAlignment="1">
      <alignment horizontal="center" vertical="center"/>
    </xf>
    <xf numFmtId="0" fontId="31" fillId="0" borderId="122" xfId="0" applyFont="1" applyBorder="1" applyAlignment="1">
      <alignment horizontal="center" vertical="center" shrinkToFit="1"/>
    </xf>
    <xf numFmtId="0" fontId="7" fillId="0" borderId="157" xfId="0" applyFont="1" applyBorder="1" applyAlignment="1">
      <alignment horizontal="center" vertical="center"/>
    </xf>
    <xf numFmtId="0" fontId="31" fillId="0" borderId="151" xfId="0" applyFont="1" applyBorder="1" applyAlignment="1">
      <alignment horizontal="center" vertical="center"/>
    </xf>
    <xf numFmtId="0" fontId="31" fillId="0" borderId="127" xfId="0" applyFont="1" applyBorder="1" applyAlignment="1">
      <alignment horizontal="center" vertical="center" shrinkToFit="1"/>
    </xf>
    <xf numFmtId="0" fontId="31" fillId="14" borderId="137" xfId="0" applyFont="1" applyFill="1" applyBorder="1" applyAlignment="1">
      <alignment horizontal="center" vertical="center"/>
    </xf>
    <xf numFmtId="0" fontId="48" fillId="51" borderId="137" xfId="0" applyFont="1" applyFill="1" applyBorder="1" applyAlignment="1">
      <alignment vertical="center"/>
    </xf>
    <xf numFmtId="0" fontId="31" fillId="0" borderId="158" xfId="0" applyFont="1" applyBorder="1" applyAlignment="1">
      <alignment horizontal="center" vertical="center" shrinkToFit="1"/>
    </xf>
    <xf numFmtId="0" fontId="31" fillId="35" borderId="137" xfId="0" applyFont="1" applyFill="1" applyBorder="1" applyAlignment="1">
      <alignment horizontal="center" vertical="center"/>
    </xf>
    <xf numFmtId="0" fontId="31" fillId="0" borderId="92" xfId="0" applyFont="1" applyBorder="1" applyAlignment="1">
      <alignment horizontal="center" vertical="center"/>
    </xf>
    <xf numFmtId="0" fontId="7" fillId="0" borderId="137" xfId="0" applyFont="1" applyBorder="1" applyAlignment="1">
      <alignment horizontal="center" vertical="center" shrinkToFit="1"/>
    </xf>
    <xf numFmtId="0" fontId="7" fillId="0" borderId="94" xfId="0" applyFont="1" applyBorder="1" applyAlignment="1">
      <alignment horizontal="center" vertical="center"/>
    </xf>
    <xf numFmtId="0" fontId="66" fillId="21" borderId="137" xfId="0" applyFont="1" applyFill="1" applyBorder="1" applyAlignment="1">
      <alignment horizontal="center" vertical="center"/>
    </xf>
    <xf numFmtId="0" fontId="12" fillId="0" borderId="78" xfId="0" applyFont="1" applyBorder="1" applyAlignment="1">
      <alignment horizontal="center" vertical="center" shrinkToFit="1"/>
    </xf>
    <xf numFmtId="0" fontId="76" fillId="0" borderId="0" xfId="0" applyFont="1" applyAlignment="1">
      <alignment vertical="center"/>
    </xf>
    <xf numFmtId="0" fontId="31" fillId="55" borderId="137" xfId="0" applyFont="1" applyFill="1" applyBorder="1" applyAlignment="1">
      <alignment horizontal="center" vertical="center"/>
    </xf>
    <xf numFmtId="0" fontId="89" fillId="0" borderId="137" xfId="0" applyFont="1" applyBorder="1" applyAlignment="1">
      <alignment horizontal="center" vertical="center"/>
    </xf>
    <xf numFmtId="0" fontId="89" fillId="0" borderId="137" xfId="0" applyFont="1" applyBorder="1" applyAlignment="1">
      <alignment horizontal="center" vertical="center" shrinkToFit="1"/>
    </xf>
    <xf numFmtId="0" fontId="90" fillId="0" borderId="137" xfId="0" applyFont="1" applyBorder="1" applyAlignment="1">
      <alignment horizontal="center" vertical="center"/>
    </xf>
    <xf numFmtId="0" fontId="90" fillId="0" borderId="137" xfId="0" applyFont="1" applyBorder="1" applyAlignment="1">
      <alignment horizontal="center" vertical="center" shrinkToFit="1"/>
    </xf>
    <xf numFmtId="0" fontId="90" fillId="0" borderId="147" xfId="0" applyFont="1" applyBorder="1" applyAlignment="1">
      <alignment horizontal="center" vertical="center" shrinkToFit="1"/>
    </xf>
    <xf numFmtId="0" fontId="89" fillId="0" borderId="155" xfId="0" applyFont="1" applyBorder="1" applyAlignment="1">
      <alignment horizontal="center" vertical="center" shrinkToFit="1"/>
    </xf>
    <xf numFmtId="0" fontId="89" fillId="0" borderId="148" xfId="0" applyFont="1" applyBorder="1" applyAlignment="1">
      <alignment horizontal="center" vertical="center"/>
    </xf>
    <xf numFmtId="176" fontId="89" fillId="0" borderId="137" xfId="0" applyNumberFormat="1" applyFont="1" applyBorder="1" applyAlignment="1">
      <alignment horizontal="center" vertical="center"/>
    </xf>
    <xf numFmtId="178" fontId="89" fillId="0" borderId="137" xfId="0" applyNumberFormat="1" applyFont="1" applyBorder="1" applyAlignment="1">
      <alignment horizontal="center" vertical="center"/>
    </xf>
    <xf numFmtId="0" fontId="89" fillId="47" borderId="137" xfId="0" applyFont="1" applyFill="1" applyBorder="1" applyAlignment="1">
      <alignment horizontal="center" vertical="center"/>
    </xf>
    <xf numFmtId="0" fontId="31" fillId="17" borderId="137" xfId="0" applyFont="1" applyFill="1" applyBorder="1" applyAlignment="1">
      <alignment horizontal="center" vertical="center"/>
    </xf>
    <xf numFmtId="0" fontId="66" fillId="41" borderId="137" xfId="0" applyFont="1" applyFill="1" applyBorder="1" applyAlignment="1">
      <alignment horizontal="center" vertical="center" shrinkToFit="1"/>
    </xf>
    <xf numFmtId="0" fontId="7" fillId="29" borderId="137" xfId="0" applyFont="1" applyFill="1" applyBorder="1" applyAlignment="1">
      <alignment horizontal="center" vertical="center"/>
    </xf>
    <xf numFmtId="0" fontId="31" fillId="0" borderId="94" xfId="0" applyFont="1" applyBorder="1" applyAlignment="1">
      <alignment horizontal="center" vertical="center"/>
    </xf>
    <xf numFmtId="0" fontId="31" fillId="0" borderId="152" xfId="0" applyFont="1" applyBorder="1" applyAlignment="1">
      <alignment horizontal="center" vertical="center"/>
    </xf>
    <xf numFmtId="179" fontId="7" fillId="0" borderId="137" xfId="0" applyNumberFormat="1" applyFont="1" applyBorder="1" applyAlignment="1">
      <alignment horizontal="center" vertical="center"/>
    </xf>
    <xf numFmtId="0" fontId="7" fillId="21" borderId="137" xfId="0" applyFont="1" applyFill="1" applyBorder="1" applyAlignment="1">
      <alignment horizontal="center" vertical="center"/>
    </xf>
    <xf numFmtId="0" fontId="7" fillId="0" borderId="137" xfId="0" applyFont="1" applyBorder="1" applyAlignment="1">
      <alignment horizontal="left" vertical="center"/>
    </xf>
    <xf numFmtId="0" fontId="7" fillId="42" borderId="137" xfId="0" applyFont="1" applyFill="1" applyBorder="1" applyAlignment="1">
      <alignment horizontal="center" vertical="center"/>
    </xf>
    <xf numFmtId="0" fontId="76" fillId="50" borderId="0" xfId="0" applyFont="1" applyFill="1" applyAlignment="1">
      <alignment horizontal="center" vertical="center"/>
    </xf>
    <xf numFmtId="0" fontId="31" fillId="50" borderId="137" xfId="0" applyFont="1" applyFill="1" applyBorder="1" applyAlignment="1">
      <alignment horizontal="center" vertical="center"/>
    </xf>
    <xf numFmtId="0" fontId="31" fillId="50" borderId="137" xfId="0" applyFont="1" applyFill="1" applyBorder="1" applyAlignment="1">
      <alignment horizontal="center" vertical="center" shrinkToFit="1"/>
    </xf>
    <xf numFmtId="0" fontId="66" fillId="50" borderId="137" xfId="0" applyFont="1" applyFill="1" applyBorder="1" applyAlignment="1">
      <alignment horizontal="center" vertical="center"/>
    </xf>
    <xf numFmtId="0" fontId="66" fillId="50" borderId="147" xfId="0" applyFont="1" applyFill="1" applyBorder="1" applyAlignment="1">
      <alignment horizontal="center" vertical="center" shrinkToFit="1"/>
    </xf>
    <xf numFmtId="0" fontId="31" fillId="50" borderId="150" xfId="0" applyFont="1" applyFill="1" applyBorder="1" applyAlignment="1">
      <alignment horizontal="center" vertical="center" shrinkToFit="1"/>
    </xf>
    <xf numFmtId="0" fontId="31" fillId="50" borderId="148" xfId="0" applyFont="1" applyFill="1" applyBorder="1" applyAlignment="1">
      <alignment horizontal="center" vertical="center"/>
    </xf>
    <xf numFmtId="0" fontId="31" fillId="50" borderId="147" xfId="0" applyFont="1" applyFill="1" applyBorder="1" applyAlignment="1">
      <alignment horizontal="center" vertical="center"/>
    </xf>
    <xf numFmtId="0" fontId="31" fillId="50" borderId="148" xfId="0" applyFont="1" applyFill="1" applyBorder="1" applyAlignment="1">
      <alignment horizontal="center" vertical="center" shrinkToFit="1"/>
    </xf>
    <xf numFmtId="176" fontId="31" fillId="50" borderId="137" xfId="0" applyNumberFormat="1" applyFont="1" applyFill="1" applyBorder="1" applyAlignment="1">
      <alignment horizontal="center" vertical="center"/>
    </xf>
    <xf numFmtId="178" fontId="31" fillId="50" borderId="137" xfId="0" applyNumberFormat="1" applyFont="1" applyFill="1" applyBorder="1" applyAlignment="1">
      <alignment horizontal="center" vertical="center"/>
    </xf>
    <xf numFmtId="0" fontId="7" fillId="50" borderId="137" xfId="0" applyFont="1" applyFill="1" applyBorder="1" applyAlignment="1">
      <alignment horizontal="center" vertical="center"/>
    </xf>
    <xf numFmtId="0" fontId="31" fillId="0" borderId="122" xfId="0" applyFont="1" applyBorder="1" applyAlignment="1">
      <alignment horizontal="center" vertical="center"/>
    </xf>
    <xf numFmtId="0" fontId="21" fillId="47" borderId="137" xfId="0" applyFont="1" applyFill="1" applyBorder="1" applyAlignment="1">
      <alignment horizontal="center" vertical="center"/>
    </xf>
    <xf numFmtId="0" fontId="12" fillId="0" borderId="78" xfId="0" applyFont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 shrinkToFit="1"/>
    </xf>
    <xf numFmtId="0" fontId="7" fillId="0" borderId="122" xfId="0" applyFont="1" applyBorder="1" applyAlignment="1">
      <alignment horizontal="center" vertical="center" shrinkToFit="1"/>
    </xf>
    <xf numFmtId="0" fontId="7" fillId="0" borderId="127" xfId="0" applyFont="1" applyBorder="1" applyAlignment="1">
      <alignment horizontal="center" vertical="center" shrinkToFit="1"/>
    </xf>
    <xf numFmtId="0" fontId="36" fillId="0" borderId="0" xfId="0" applyFont="1" applyAlignment="1">
      <alignment vertical="center" shrinkToFit="1"/>
    </xf>
    <xf numFmtId="0" fontId="38" fillId="20" borderId="78" xfId="0" applyFont="1" applyFill="1" applyBorder="1" applyAlignment="1">
      <alignment vertical="center"/>
    </xf>
    <xf numFmtId="0" fontId="71" fillId="20" borderId="78" xfId="0" applyFont="1" applyFill="1" applyBorder="1" applyAlignment="1">
      <alignment horizontal="center" vertical="center"/>
    </xf>
    <xf numFmtId="0" fontId="69" fillId="0" borderId="78" xfId="0" applyFont="1" applyBorder="1" applyAlignment="1">
      <alignment vertical="center"/>
    </xf>
    <xf numFmtId="0" fontId="71" fillId="0" borderId="78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177" fontId="91" fillId="30" borderId="136" xfId="0" applyNumberFormat="1" applyFont="1" applyFill="1" applyBorder="1" applyAlignment="1">
      <alignment horizontal="center" vertical="center" shrinkToFit="1"/>
    </xf>
    <xf numFmtId="0" fontId="92" fillId="31" borderId="139" xfId="0" applyFont="1" applyFill="1" applyBorder="1" applyAlignment="1">
      <alignment horizontal="center" vertical="center" shrinkToFit="1"/>
    </xf>
    <xf numFmtId="0" fontId="36" fillId="0" borderId="137" xfId="0" applyFont="1" applyBorder="1" applyAlignment="1">
      <alignment horizontal="center" vertical="center" shrinkToFit="1"/>
    </xf>
    <xf numFmtId="0" fontId="36" fillId="0" borderId="137" xfId="0" applyFont="1" applyBorder="1" applyAlignment="1">
      <alignment horizontal="center" vertical="center"/>
    </xf>
    <xf numFmtId="0" fontId="36" fillId="0" borderId="148" xfId="0" applyFont="1" applyBorder="1" applyAlignment="1">
      <alignment horizontal="center" vertical="center" shrinkToFit="1"/>
    </xf>
    <xf numFmtId="0" fontId="71" fillId="0" borderId="0" xfId="0" applyFont="1" applyAlignment="1">
      <alignment horizontal="center" vertical="center"/>
    </xf>
    <xf numFmtId="0" fontId="66" fillId="17" borderId="137" xfId="0" applyFont="1" applyFill="1" applyBorder="1" applyAlignment="1">
      <alignment horizontal="center" vertical="center"/>
    </xf>
    <xf numFmtId="0" fontId="66" fillId="41" borderId="147" xfId="0" applyFont="1" applyFill="1" applyBorder="1" applyAlignment="1">
      <alignment horizontal="center" vertical="center"/>
    </xf>
    <xf numFmtId="0" fontId="66" fillId="51" borderId="147" xfId="0" applyFont="1" applyFill="1" applyBorder="1" applyAlignment="1">
      <alignment horizontal="center" vertical="center"/>
    </xf>
    <xf numFmtId="0" fontId="36" fillId="51" borderId="137" xfId="0" applyFont="1" applyFill="1" applyBorder="1" applyAlignment="1">
      <alignment horizontal="center" vertical="center"/>
    </xf>
    <xf numFmtId="0" fontId="36" fillId="0" borderId="148" xfId="0" applyFont="1" applyBorder="1" applyAlignment="1">
      <alignment horizontal="center" vertical="center"/>
    </xf>
    <xf numFmtId="0" fontId="66" fillId="56" borderId="147" xfId="0" applyFont="1" applyFill="1" applyBorder="1" applyAlignment="1">
      <alignment horizontal="center" vertical="center" shrinkToFit="1"/>
    </xf>
    <xf numFmtId="0" fontId="66" fillId="6" borderId="147" xfId="0" applyFont="1" applyFill="1" applyBorder="1" applyAlignment="1">
      <alignment horizontal="center" vertical="center" shrinkToFit="1"/>
    </xf>
    <xf numFmtId="0" fontId="93" fillId="0" borderId="137" xfId="0" applyFont="1" applyBorder="1" applyAlignment="1">
      <alignment horizontal="center" vertical="center"/>
    </xf>
    <xf numFmtId="0" fontId="66" fillId="6" borderId="137" xfId="0" applyFont="1" applyFill="1" applyBorder="1" applyAlignment="1">
      <alignment horizontal="center" vertical="center"/>
    </xf>
    <xf numFmtId="0" fontId="66" fillId="41" borderId="137" xfId="0" applyFont="1" applyFill="1" applyBorder="1" applyAlignment="1">
      <alignment horizontal="center" vertical="center"/>
    </xf>
    <xf numFmtId="0" fontId="66" fillId="21" borderId="137" xfId="0" applyFont="1" applyFill="1" applyBorder="1" applyAlignment="1">
      <alignment horizontal="center" vertical="center" shrinkToFit="1"/>
    </xf>
    <xf numFmtId="0" fontId="14" fillId="0" borderId="137" xfId="0" applyFont="1" applyBorder="1" applyAlignment="1">
      <alignment horizontal="center" vertical="center" shrinkToFit="1"/>
    </xf>
    <xf numFmtId="0" fontId="66" fillId="56" borderId="137" xfId="0" applyFont="1" applyFill="1" applyBorder="1" applyAlignment="1">
      <alignment horizontal="center" vertical="center"/>
    </xf>
    <xf numFmtId="0" fontId="31" fillId="24" borderId="137" xfId="0" applyFont="1" applyFill="1" applyBorder="1" applyAlignment="1">
      <alignment horizontal="center" vertical="center"/>
    </xf>
    <xf numFmtId="0" fontId="31" fillId="24" borderId="137" xfId="0" applyFont="1" applyFill="1" applyBorder="1" applyAlignment="1">
      <alignment horizontal="center" vertical="center" shrinkToFit="1"/>
    </xf>
    <xf numFmtId="0" fontId="66" fillId="24" borderId="137" xfId="0" applyFont="1" applyFill="1" applyBorder="1" applyAlignment="1">
      <alignment horizontal="center" vertical="center"/>
    </xf>
    <xf numFmtId="0" fontId="66" fillId="24" borderId="137" xfId="0" applyFont="1" applyFill="1" applyBorder="1" applyAlignment="1">
      <alignment horizontal="center" vertical="center" shrinkToFit="1"/>
    </xf>
    <xf numFmtId="0" fontId="66" fillId="24" borderId="147" xfId="0" applyFont="1" applyFill="1" applyBorder="1" applyAlignment="1">
      <alignment horizontal="center" vertical="center" shrinkToFit="1"/>
    </xf>
    <xf numFmtId="0" fontId="31" fillId="24" borderId="150" xfId="0" applyFont="1" applyFill="1" applyBorder="1" applyAlignment="1">
      <alignment horizontal="center" vertical="center" shrinkToFit="1"/>
    </xf>
    <xf numFmtId="0" fontId="31" fillId="24" borderId="148" xfId="0" applyFont="1" applyFill="1" applyBorder="1" applyAlignment="1">
      <alignment horizontal="center" vertical="center"/>
    </xf>
    <xf numFmtId="0" fontId="31" fillId="24" borderId="147" xfId="0" applyFont="1" applyFill="1" applyBorder="1" applyAlignment="1">
      <alignment horizontal="center" vertical="center"/>
    </xf>
    <xf numFmtId="0" fontId="36" fillId="24" borderId="148" xfId="0" applyFont="1" applyFill="1" applyBorder="1" applyAlignment="1">
      <alignment horizontal="center" vertical="center" shrinkToFit="1"/>
    </xf>
    <xf numFmtId="176" fontId="31" fillId="24" borderId="137" xfId="0" applyNumberFormat="1" applyFont="1" applyFill="1" applyBorder="1" applyAlignment="1">
      <alignment horizontal="center" vertical="center"/>
    </xf>
    <xf numFmtId="178" fontId="31" fillId="24" borderId="137" xfId="0" applyNumberFormat="1" applyFont="1" applyFill="1" applyBorder="1" applyAlignment="1">
      <alignment horizontal="center" vertical="center"/>
    </xf>
    <xf numFmtId="0" fontId="7" fillId="24" borderId="137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 shrinkToFit="1"/>
    </xf>
    <xf numFmtId="0" fontId="38" fillId="0" borderId="137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8" fillId="0" borderId="160" xfId="0" applyFont="1" applyBorder="1" applyAlignment="1">
      <alignment horizontal="center" vertical="center"/>
    </xf>
    <xf numFmtId="0" fontId="38" fillId="0" borderId="78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71" fillId="20" borderId="78" xfId="0" applyFont="1" applyFill="1" applyBorder="1" applyAlignment="1">
      <alignment vertical="center"/>
    </xf>
    <xf numFmtId="0" fontId="71" fillId="0" borderId="78" xfId="0" applyFont="1" applyBorder="1" applyAlignment="1">
      <alignment vertical="center"/>
    </xf>
    <xf numFmtId="0" fontId="71" fillId="46" borderId="164" xfId="0" applyFont="1" applyFill="1" applyBorder="1" applyAlignment="1">
      <alignment horizontal="center" vertical="center"/>
    </xf>
    <xf numFmtId="0" fontId="31" fillId="46" borderId="137" xfId="0" applyFont="1" applyFill="1" applyBorder="1" applyAlignment="1">
      <alignment horizontal="center" vertical="center" shrinkToFit="1"/>
    </xf>
    <xf numFmtId="0" fontId="66" fillId="46" borderId="137" xfId="0" applyFont="1" applyFill="1" applyBorder="1" applyAlignment="1">
      <alignment horizontal="center" vertical="center"/>
    </xf>
    <xf numFmtId="0" fontId="66" fillId="46" borderId="137" xfId="0" applyFont="1" applyFill="1" applyBorder="1" applyAlignment="1">
      <alignment horizontal="center" vertical="center" shrinkToFit="1"/>
    </xf>
    <xf numFmtId="0" fontId="66" fillId="46" borderId="162" xfId="0" applyFont="1" applyFill="1" applyBorder="1" applyAlignment="1">
      <alignment horizontal="center" vertical="center" shrinkToFit="1"/>
    </xf>
    <xf numFmtId="0" fontId="31" fillId="46" borderId="153" xfId="0" applyFont="1" applyFill="1" applyBorder="1" applyAlignment="1">
      <alignment horizontal="center" vertical="center" shrinkToFit="1"/>
    </xf>
    <xf numFmtId="0" fontId="31" fillId="46" borderId="161" xfId="0" applyFont="1" applyFill="1" applyBorder="1" applyAlignment="1">
      <alignment horizontal="center" vertical="center"/>
    </xf>
    <xf numFmtId="0" fontId="36" fillId="46" borderId="137" xfId="0" applyFont="1" applyFill="1" applyBorder="1" applyAlignment="1">
      <alignment horizontal="center" vertical="center" shrinkToFit="1"/>
    </xf>
    <xf numFmtId="176" fontId="31" fillId="46" borderId="137" xfId="0" applyNumberFormat="1" applyFont="1" applyFill="1" applyBorder="1" applyAlignment="1">
      <alignment horizontal="center" vertical="center"/>
    </xf>
    <xf numFmtId="178" fontId="31" fillId="46" borderId="137" xfId="0" applyNumberFormat="1" applyFont="1" applyFill="1" applyBorder="1" applyAlignment="1">
      <alignment horizontal="center" vertical="center"/>
    </xf>
    <xf numFmtId="0" fontId="31" fillId="46" borderId="150" xfId="0" applyFont="1" applyFill="1" applyBorder="1" applyAlignment="1">
      <alignment horizontal="center" vertical="center" shrinkToFit="1"/>
    </xf>
    <xf numFmtId="0" fontId="31" fillId="46" borderId="155" xfId="0" applyFont="1" applyFill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39" fillId="0" borderId="0" xfId="0" applyFont="1" applyAlignment="1">
      <alignment horizontal="left" vertical="center"/>
    </xf>
    <xf numFmtId="0" fontId="86" fillId="0" borderId="0" xfId="0" applyFont="1" applyAlignment="1">
      <alignment horizontal="center" vertical="center"/>
    </xf>
    <xf numFmtId="0" fontId="86" fillId="0" borderId="0" xfId="0" applyFont="1" applyAlignment="1">
      <alignment vertical="center"/>
    </xf>
    <xf numFmtId="22" fontId="86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center" vertical="center" wrapText="1"/>
    </xf>
    <xf numFmtId="0" fontId="35" fillId="0" borderId="0" xfId="0" applyFont="1" applyAlignment="1">
      <alignment horizontal="left" vertical="center"/>
    </xf>
    <xf numFmtId="0" fontId="95" fillId="0" borderId="0" xfId="0" applyFont="1" applyAlignment="1">
      <alignment horizontal="right" vertical="center"/>
    </xf>
    <xf numFmtId="0" fontId="8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47" fillId="0" borderId="0" xfId="0" applyFont="1" applyAlignment="1">
      <alignment horizontal="right" vertical="center"/>
    </xf>
    <xf numFmtId="0" fontId="94" fillId="58" borderId="164" xfId="0" applyFont="1" applyFill="1" applyBorder="1" applyAlignment="1">
      <alignment horizontal="center" vertical="center"/>
    </xf>
    <xf numFmtId="176" fontId="94" fillId="58" borderId="167" xfId="0" applyNumberFormat="1" applyFont="1" applyFill="1" applyBorder="1" applyAlignment="1">
      <alignment horizontal="center" vertical="center"/>
    </xf>
    <xf numFmtId="0" fontId="94" fillId="58" borderId="168" xfId="0" applyFont="1" applyFill="1" applyBorder="1" applyAlignment="1">
      <alignment horizontal="center" vertical="center"/>
    </xf>
    <xf numFmtId="0" fontId="38" fillId="12" borderId="22" xfId="0" applyFont="1" applyFill="1" applyBorder="1" applyAlignment="1">
      <alignment horizontal="center" vertical="center"/>
    </xf>
    <xf numFmtId="0" fontId="38" fillId="12" borderId="149" xfId="0" applyFont="1" applyFill="1" applyBorder="1" applyAlignment="1">
      <alignment horizontal="center" vertical="center"/>
    </xf>
    <xf numFmtId="0" fontId="38" fillId="12" borderId="169" xfId="0" applyFont="1" applyFill="1" applyBorder="1" applyAlignment="1">
      <alignment horizontal="center" vertical="center"/>
    </xf>
    <xf numFmtId="0" fontId="38" fillId="12" borderId="170" xfId="0" applyFont="1" applyFill="1" applyBorder="1" applyAlignment="1">
      <alignment horizontal="center" vertical="center"/>
    </xf>
    <xf numFmtId="0" fontId="38" fillId="0" borderId="93" xfId="0" applyFont="1" applyBorder="1" applyAlignment="1">
      <alignment horizontal="center" vertical="center" shrinkToFit="1"/>
    </xf>
    <xf numFmtId="0" fontId="38" fillId="19" borderId="174" xfId="0" applyFont="1" applyFill="1" applyBorder="1" applyAlignment="1">
      <alignment horizontal="center" vertical="center"/>
    </xf>
    <xf numFmtId="0" fontId="38" fillId="20" borderId="168" xfId="0" applyFont="1" applyFill="1" applyBorder="1" applyAlignment="1">
      <alignment horizontal="center" vertical="center"/>
    </xf>
    <xf numFmtId="0" fontId="36" fillId="0" borderId="25" xfId="0" applyFont="1" applyBorder="1" applyAlignment="1">
      <alignment horizontal="center" vertical="center" shrinkToFit="1"/>
    </xf>
    <xf numFmtId="0" fontId="38" fillId="0" borderId="93" xfId="0" applyFont="1" applyBorder="1" applyAlignment="1">
      <alignment horizontal="center" vertical="center"/>
    </xf>
    <xf numFmtId="0" fontId="38" fillId="20" borderId="175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left" vertical="center"/>
    </xf>
    <xf numFmtId="0" fontId="39" fillId="0" borderId="31" xfId="0" applyFont="1" applyBorder="1" applyAlignment="1">
      <alignment vertical="center"/>
    </xf>
    <xf numFmtId="0" fontId="97" fillId="12" borderId="70" xfId="0" applyFont="1" applyFill="1" applyBorder="1" applyAlignment="1">
      <alignment horizontal="center" vertical="center"/>
    </xf>
    <xf numFmtId="0" fontId="39" fillId="0" borderId="9" xfId="0" applyFont="1" applyBorder="1" applyAlignment="1">
      <alignment vertical="center"/>
    </xf>
    <xf numFmtId="0" fontId="39" fillId="0" borderId="30" xfId="0" applyFont="1" applyBorder="1" applyAlignment="1">
      <alignment vertical="center"/>
    </xf>
    <xf numFmtId="0" fontId="39" fillId="0" borderId="4" xfId="0" applyFont="1" applyBorder="1" applyAlignment="1">
      <alignment vertical="center"/>
    </xf>
    <xf numFmtId="0" fontId="39" fillId="0" borderId="21" xfId="0" applyFont="1" applyBorder="1" applyAlignment="1">
      <alignment vertical="center"/>
    </xf>
    <xf numFmtId="0" fontId="38" fillId="0" borderId="25" xfId="0" applyFont="1" applyBorder="1" applyAlignment="1">
      <alignment vertical="center"/>
    </xf>
    <xf numFmtId="0" fontId="38" fillId="0" borderId="176" xfId="0" applyFont="1" applyBorder="1" applyAlignment="1">
      <alignment horizontal="center" vertical="center" shrinkToFit="1"/>
    </xf>
    <xf numFmtId="0" fontId="38" fillId="0" borderId="177" xfId="0" applyFont="1" applyBorder="1" applyAlignment="1">
      <alignment horizontal="center" vertical="center"/>
    </xf>
    <xf numFmtId="0" fontId="38" fillId="0" borderId="178" xfId="0" applyFont="1" applyBorder="1" applyAlignment="1">
      <alignment horizontal="center" vertical="center"/>
    </xf>
    <xf numFmtId="0" fontId="38" fillId="19" borderId="179" xfId="0" applyFont="1" applyFill="1" applyBorder="1" applyAlignment="1">
      <alignment horizontal="center" vertical="center"/>
    </xf>
    <xf numFmtId="0" fontId="38" fillId="0" borderId="120" xfId="0" applyFont="1" applyBorder="1" applyAlignment="1">
      <alignment horizontal="center" vertical="center"/>
    </xf>
    <xf numFmtId="0" fontId="38" fillId="0" borderId="180" xfId="0" applyFont="1" applyBorder="1" applyAlignment="1">
      <alignment horizontal="center" vertical="center"/>
    </xf>
    <xf numFmtId="0" fontId="38" fillId="0" borderId="181" xfId="0" applyFont="1" applyBorder="1" applyAlignment="1">
      <alignment horizontal="center" vertical="center"/>
    </xf>
    <xf numFmtId="0" fontId="38" fillId="20" borderId="182" xfId="0" applyFont="1" applyFill="1" applyBorder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35" fillId="57" borderId="183" xfId="0" applyFont="1" applyFill="1" applyBorder="1" applyAlignment="1">
      <alignment horizontal="center" vertical="center"/>
    </xf>
    <xf numFmtId="176" fontId="21" fillId="57" borderId="184" xfId="0" applyNumberFormat="1" applyFont="1" applyFill="1" applyBorder="1" applyAlignment="1">
      <alignment horizontal="center" vertical="center"/>
    </xf>
    <xf numFmtId="176" fontId="35" fillId="57" borderId="185" xfId="0" applyNumberFormat="1" applyFont="1" applyFill="1" applyBorder="1" applyAlignment="1">
      <alignment horizontal="center" vertical="center"/>
    </xf>
    <xf numFmtId="176" fontId="35" fillId="57" borderId="186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8" fillId="0" borderId="187" xfId="0" applyFont="1" applyBorder="1" applyAlignment="1">
      <alignment horizontal="center" vertical="center" shrinkToFit="1"/>
    </xf>
    <xf numFmtId="0" fontId="38" fillId="0" borderId="159" xfId="0" applyFont="1" applyBorder="1" applyAlignment="1">
      <alignment horizontal="center" vertical="center"/>
    </xf>
    <xf numFmtId="0" fontId="38" fillId="0" borderId="129" xfId="0" applyFont="1" applyBorder="1" applyAlignment="1">
      <alignment horizontal="center" vertical="center"/>
    </xf>
    <xf numFmtId="0" fontId="38" fillId="17" borderId="163" xfId="0" applyFont="1" applyFill="1" applyBorder="1" applyAlignment="1">
      <alignment horizontal="center" vertical="center"/>
    </xf>
    <xf numFmtId="0" fontId="38" fillId="17" borderId="159" xfId="0" applyFont="1" applyFill="1" applyBorder="1" applyAlignment="1">
      <alignment horizontal="center" vertical="center"/>
    </xf>
    <xf numFmtId="0" fontId="38" fillId="17" borderId="160" xfId="0" applyFont="1" applyFill="1" applyBorder="1" applyAlignment="1">
      <alignment horizontal="center" vertical="center"/>
    </xf>
    <xf numFmtId="0" fontId="38" fillId="0" borderId="188" xfId="0" applyFont="1" applyBorder="1" applyAlignment="1">
      <alignment horizontal="center" vertical="center"/>
    </xf>
    <xf numFmtId="0" fontId="38" fillId="0" borderId="77" xfId="0" applyFont="1" applyBorder="1" applyAlignment="1">
      <alignment horizontal="center" vertical="center" shrinkToFit="1"/>
    </xf>
    <xf numFmtId="0" fontId="38" fillId="17" borderId="137" xfId="0" applyFont="1" applyFill="1" applyBorder="1" applyAlignment="1">
      <alignment horizontal="center" vertical="center"/>
    </xf>
    <xf numFmtId="0" fontId="38" fillId="0" borderId="147" xfId="0" applyFont="1" applyBorder="1" applyAlignment="1">
      <alignment horizontal="center" vertical="center"/>
    </xf>
    <xf numFmtId="0" fontId="38" fillId="17" borderId="78" xfId="0" applyFont="1" applyFill="1" applyBorder="1" applyAlignment="1">
      <alignment horizontal="center" vertical="center"/>
    </xf>
    <xf numFmtId="0" fontId="38" fillId="0" borderId="148" xfId="0" applyFont="1" applyBorder="1" applyAlignment="1">
      <alignment horizontal="center" vertical="center"/>
    </xf>
    <xf numFmtId="0" fontId="38" fillId="17" borderId="147" xfId="0" applyFont="1" applyFill="1" applyBorder="1" applyAlignment="1">
      <alignment horizontal="center" vertical="center"/>
    </xf>
    <xf numFmtId="0" fontId="38" fillId="0" borderId="189" xfId="0" applyFont="1" applyBorder="1" applyAlignment="1">
      <alignment horizontal="center" vertical="center"/>
    </xf>
    <xf numFmtId="0" fontId="38" fillId="0" borderId="77" xfId="0" applyFont="1" applyBorder="1" applyAlignment="1">
      <alignment vertical="center"/>
    </xf>
    <xf numFmtId="0" fontId="38" fillId="0" borderId="190" xfId="0" applyFont="1" applyBorder="1" applyAlignment="1">
      <alignment horizontal="center" vertical="center" shrinkToFit="1"/>
    </xf>
    <xf numFmtId="0" fontId="38" fillId="0" borderId="165" xfId="0" applyFont="1" applyBorder="1" applyAlignment="1">
      <alignment horizontal="center" vertical="center"/>
    </xf>
    <xf numFmtId="0" fontId="38" fillId="17" borderId="165" xfId="0" applyFont="1" applyFill="1" applyBorder="1" applyAlignment="1">
      <alignment horizontal="center" vertical="center"/>
    </xf>
    <xf numFmtId="0" fontId="38" fillId="0" borderId="166" xfId="0" applyFont="1" applyBorder="1" applyAlignment="1">
      <alignment horizontal="center" vertical="center"/>
    </xf>
    <xf numFmtId="0" fontId="38" fillId="0" borderId="135" xfId="0" applyFont="1" applyBorder="1" applyAlignment="1">
      <alignment horizontal="center" vertical="center"/>
    </xf>
    <xf numFmtId="0" fontId="38" fillId="17" borderId="135" xfId="0" applyFont="1" applyFill="1" applyBorder="1" applyAlignment="1">
      <alignment horizontal="center" vertical="center"/>
    </xf>
    <xf numFmtId="0" fontId="38" fillId="0" borderId="191" xfId="0" applyFont="1" applyBorder="1" applyAlignment="1">
      <alignment horizontal="center" vertical="center"/>
    </xf>
    <xf numFmtId="0" fontId="38" fillId="17" borderId="166" xfId="0" applyFont="1" applyFill="1" applyBorder="1" applyAlignment="1">
      <alignment horizontal="center" vertical="center"/>
    </xf>
    <xf numFmtId="0" fontId="38" fillId="47" borderId="166" xfId="0" applyFont="1" applyFill="1" applyBorder="1" applyAlignment="1">
      <alignment horizontal="center" vertical="center"/>
    </xf>
    <xf numFmtId="0" fontId="38" fillId="47" borderId="192" xfId="0" applyFont="1" applyFill="1" applyBorder="1" applyAlignment="1">
      <alignment horizontal="center" vertical="center"/>
    </xf>
    <xf numFmtId="0" fontId="38" fillId="0" borderId="193" xfId="0" applyFont="1" applyBorder="1" applyAlignment="1">
      <alignment horizontal="center" vertical="center"/>
    </xf>
    <xf numFmtId="0" fontId="38" fillId="0" borderId="194" xfId="0" applyFont="1" applyBorder="1" applyAlignment="1">
      <alignment horizontal="center" vertical="center"/>
    </xf>
    <xf numFmtId="0" fontId="38" fillId="0" borderId="195" xfId="0" applyFont="1" applyBorder="1" applyAlignment="1">
      <alignment horizontal="center" vertical="center"/>
    </xf>
    <xf numFmtId="0" fontId="38" fillId="0" borderId="196" xfId="0" applyFont="1" applyBorder="1" applyAlignment="1">
      <alignment horizontal="center" vertical="center"/>
    </xf>
    <xf numFmtId="0" fontId="38" fillId="0" borderId="197" xfId="0" applyFont="1" applyBorder="1" applyAlignment="1">
      <alignment vertical="center"/>
    </xf>
    <xf numFmtId="0" fontId="3" fillId="3" borderId="10" xfId="0" applyFont="1" applyFill="1" applyBorder="1" applyAlignment="1">
      <alignment horizontal="center" vertical="center" shrinkToFit="1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3" fillId="3" borderId="19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3" fillId="3" borderId="65" xfId="0" applyFont="1" applyFill="1" applyBorder="1" applyAlignment="1">
      <alignment horizontal="center" vertical="center" shrinkToFit="1"/>
    </xf>
    <xf numFmtId="0" fontId="6" fillId="0" borderId="66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27" fillId="3" borderId="93" xfId="0" applyFont="1" applyFill="1" applyBorder="1" applyAlignment="1">
      <alignment horizontal="center" vertical="center"/>
    </xf>
    <xf numFmtId="0" fontId="6" fillId="0" borderId="94" xfId="0" applyFont="1" applyBorder="1" applyAlignment="1">
      <alignment vertical="center"/>
    </xf>
    <xf numFmtId="0" fontId="6" fillId="0" borderId="95" xfId="0" applyFont="1" applyBorder="1" applyAlignment="1">
      <alignment vertical="center"/>
    </xf>
    <xf numFmtId="0" fontId="3" fillId="3" borderId="16" xfId="0" applyFont="1" applyFill="1" applyBorder="1" applyAlignment="1">
      <alignment horizontal="center" vertical="center" shrinkToFit="1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3" fillId="3" borderId="29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26" fillId="0" borderId="1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6" fillId="0" borderId="2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shrinkToFit="1"/>
    </xf>
    <xf numFmtId="0" fontId="27" fillId="2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shrinkToFit="1"/>
    </xf>
    <xf numFmtId="0" fontId="30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27" fillId="2" borderId="10" xfId="0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 shrinkToFit="1"/>
    </xf>
    <xf numFmtId="0" fontId="6" fillId="0" borderId="15" xfId="0" applyFont="1" applyBorder="1" applyAlignment="1">
      <alignment vertical="center"/>
    </xf>
    <xf numFmtId="0" fontId="68" fillId="4" borderId="16" xfId="0" applyFont="1" applyFill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shrinkToFit="1"/>
    </xf>
    <xf numFmtId="0" fontId="5" fillId="3" borderId="10" xfId="0" applyFont="1" applyFill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19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68" fillId="4" borderId="10" xfId="0" applyFont="1" applyFill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shrinkToFit="1"/>
    </xf>
    <xf numFmtId="0" fontId="5" fillId="3" borderId="26" xfId="0" applyFont="1" applyFill="1" applyBorder="1" applyAlignment="1">
      <alignment horizontal="center" vertical="center" shrinkToFit="1"/>
    </xf>
    <xf numFmtId="0" fontId="6" fillId="0" borderId="27" xfId="0" applyFont="1" applyBorder="1" applyAlignment="1">
      <alignment vertical="center"/>
    </xf>
    <xf numFmtId="0" fontId="13" fillId="3" borderId="29" xfId="0" applyFont="1" applyFill="1" applyBorder="1" applyAlignment="1">
      <alignment horizontal="center" vertical="center" shrinkToFit="1"/>
    </xf>
    <xf numFmtId="0" fontId="24" fillId="3" borderId="10" xfId="0" applyFont="1" applyFill="1" applyBorder="1" applyAlignment="1">
      <alignment horizontal="center" vertical="center" shrinkToFit="1"/>
    </xf>
    <xf numFmtId="0" fontId="74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22" fontId="86" fillId="0" borderId="0" xfId="0" applyNumberFormat="1" applyFont="1" applyAlignment="1">
      <alignment horizontal="center" vertical="center"/>
    </xf>
    <xf numFmtId="0" fontId="96" fillId="59" borderId="171" xfId="0" applyFont="1" applyFill="1" applyBorder="1" applyAlignment="1">
      <alignment horizontal="center" vertical="center"/>
    </xf>
    <xf numFmtId="0" fontId="6" fillId="0" borderId="172" xfId="0" applyFont="1" applyBorder="1" applyAlignment="1">
      <alignment vertical="center"/>
    </xf>
    <xf numFmtId="0" fontId="6" fillId="0" borderId="173" xfId="0" applyFont="1" applyBorder="1" applyAlignment="1">
      <alignment vertical="center"/>
    </xf>
  </cellXfs>
  <cellStyles count="1">
    <cellStyle name="표준" xfId="0" builtinId="0"/>
  </cellStyles>
  <dxfs count="162"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C00000"/>
      </font>
      <fill>
        <patternFill patternType="solid">
          <fgColor rgb="FFD6DCE4"/>
          <bgColor rgb="FFD6DCE4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276225</xdr:colOff>
      <xdr:row>0</xdr:row>
      <xdr:rowOff>38100</xdr:rowOff>
    </xdr:from>
    <xdr:ext cx="2838450" cy="1247775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318E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2EFD9"/>
    <pageSetUpPr fitToPage="1"/>
  </sheetPr>
  <dimension ref="A1:DM345"/>
  <sheetViews>
    <sheetView workbookViewId="0"/>
  </sheetViews>
  <sheetFormatPr defaultColWidth="14.44140625" defaultRowHeight="15" customHeight="1"/>
  <cols>
    <col min="1" max="2" width="5.44140625" customWidth="1"/>
    <col min="3" max="3" width="23.6640625" customWidth="1"/>
    <col min="4" max="4" width="6.5546875" customWidth="1"/>
    <col min="5" max="5" width="2.33203125" customWidth="1"/>
    <col min="6" max="6" width="21.5546875" customWidth="1"/>
    <col min="7" max="7" width="5.44140625" customWidth="1"/>
    <col min="8" max="8" width="3.33203125" customWidth="1"/>
    <col min="9" max="9" width="23" customWidth="1"/>
    <col min="10" max="10" width="5.44140625" customWidth="1"/>
    <col min="11" max="11" width="3.5546875" customWidth="1"/>
    <col min="12" max="12" width="24.109375" customWidth="1"/>
    <col min="13" max="13" width="4.88671875" customWidth="1"/>
    <col min="14" max="14" width="1.88671875" customWidth="1"/>
    <col min="15" max="15" width="21.5546875" customWidth="1"/>
    <col min="16" max="16" width="4.88671875" customWidth="1"/>
    <col min="17" max="17" width="1.44140625" customWidth="1"/>
    <col min="18" max="18" width="23" customWidth="1"/>
    <col min="19" max="19" width="4.88671875" customWidth="1"/>
    <col min="20" max="20" width="1.44140625" customWidth="1"/>
    <col min="21" max="21" width="23.109375" customWidth="1"/>
    <col min="22" max="22" width="4.88671875" customWidth="1"/>
    <col min="23" max="23" width="1.44140625" customWidth="1"/>
    <col min="24" max="24" width="23" customWidth="1"/>
    <col min="25" max="25" width="6.109375" customWidth="1"/>
    <col min="26" max="26" width="2" customWidth="1"/>
    <col min="27" max="27" width="20.6640625" customWidth="1"/>
    <col min="28" max="28" width="4.88671875" customWidth="1"/>
    <col min="29" max="29" width="2.44140625" customWidth="1"/>
    <col min="30" max="30" width="20.88671875" customWidth="1"/>
    <col min="31" max="31" width="4.88671875" customWidth="1"/>
    <col min="32" max="32" width="1.44140625" customWidth="1"/>
    <col min="33" max="33" width="20.44140625" customWidth="1"/>
    <col min="34" max="34" width="5.6640625" customWidth="1"/>
    <col min="35" max="35" width="2" customWidth="1"/>
    <col min="36" max="36" width="18.88671875" customWidth="1"/>
    <col min="37" max="37" width="4.88671875" customWidth="1"/>
    <col min="38" max="38" width="1.44140625" customWidth="1"/>
    <col min="39" max="39" width="19.5546875" customWidth="1"/>
    <col min="40" max="40" width="4.88671875" customWidth="1"/>
    <col min="41" max="41" width="1.44140625" customWidth="1"/>
    <col min="42" max="42" width="19" customWidth="1"/>
    <col min="43" max="43" width="6.109375" customWidth="1"/>
    <col min="44" max="44" width="2.44140625" customWidth="1"/>
    <col min="45" max="45" width="18.44140625" customWidth="1"/>
    <col min="46" max="46" width="7.44140625" customWidth="1"/>
    <col min="47" max="47" width="1.6640625" customWidth="1"/>
    <col min="48" max="48" width="20.6640625" customWidth="1"/>
    <col min="49" max="49" width="5.88671875" customWidth="1"/>
    <col min="50" max="50" width="1.5546875" customWidth="1"/>
    <col min="51" max="51" width="21.33203125" customWidth="1"/>
    <col min="52" max="52" width="7.109375" customWidth="1"/>
    <col min="53" max="53" width="2.109375" customWidth="1"/>
    <col min="54" max="54" width="18.109375" customWidth="1"/>
    <col min="55" max="55" width="5.88671875" customWidth="1"/>
    <col min="56" max="56" width="2.33203125" customWidth="1"/>
    <col min="57" max="57" width="17.88671875" customWidth="1"/>
    <col min="58" max="58" width="7.33203125" customWidth="1"/>
    <col min="59" max="59" width="2.33203125" customWidth="1"/>
    <col min="60" max="60" width="15.44140625" customWidth="1"/>
    <col min="61" max="61" width="6.88671875" customWidth="1"/>
    <col min="62" max="62" width="3.109375" customWidth="1"/>
    <col min="63" max="63" width="20.5546875" customWidth="1"/>
    <col min="64" max="64" width="6.44140625" customWidth="1"/>
    <col min="65" max="65" width="2.88671875" customWidth="1"/>
    <col min="66" max="66" width="17.6640625" customWidth="1"/>
    <col min="67" max="67" width="5.109375" customWidth="1"/>
    <col min="68" max="68" width="3.109375" customWidth="1"/>
    <col min="69" max="69" width="19.109375" customWidth="1"/>
    <col min="70" max="70" width="5.6640625" customWidth="1"/>
    <col min="71" max="71" width="19.109375" customWidth="1"/>
    <col min="72" max="73" width="3.33203125" customWidth="1"/>
    <col min="74" max="74" width="21.6640625" customWidth="1"/>
    <col min="75" max="75" width="7.109375" customWidth="1"/>
    <col min="76" max="76" width="3.109375" customWidth="1"/>
    <col min="77" max="77" width="18" customWidth="1"/>
    <col min="78" max="78" width="5.6640625" customWidth="1"/>
    <col min="79" max="79" width="3.109375" customWidth="1"/>
    <col min="80" max="80" width="21.109375" customWidth="1"/>
    <col min="81" max="81" width="5.6640625" customWidth="1"/>
    <col min="82" max="82" width="3.109375" customWidth="1"/>
    <col min="83" max="83" width="21.5546875" customWidth="1"/>
    <col min="84" max="84" width="6.44140625" customWidth="1"/>
    <col min="85" max="85" width="3" customWidth="1"/>
    <col min="86" max="86" width="21.5546875" customWidth="1"/>
    <col min="87" max="87" width="6.6640625" customWidth="1"/>
    <col min="88" max="88" width="3" customWidth="1"/>
    <col min="89" max="89" width="20.44140625" customWidth="1"/>
    <col min="90" max="90" width="5.6640625" customWidth="1"/>
    <col min="91" max="91" width="3.109375" customWidth="1"/>
    <col min="92" max="92" width="18" customWidth="1"/>
    <col min="93" max="93" width="5.6640625" customWidth="1"/>
    <col min="94" max="94" width="3.109375" customWidth="1"/>
    <col min="95" max="95" width="18" customWidth="1"/>
    <col min="96" max="96" width="5.6640625" customWidth="1"/>
    <col min="97" max="97" width="3.109375" customWidth="1"/>
    <col min="98" max="98" width="21.5546875" customWidth="1"/>
    <col min="99" max="99" width="7.33203125" customWidth="1"/>
    <col min="100" max="100" width="3.109375" customWidth="1"/>
    <col min="101" max="101" width="22.33203125" customWidth="1"/>
    <col min="102" max="102" width="6.88671875" customWidth="1"/>
    <col min="103" max="103" width="3.5546875" customWidth="1"/>
    <col min="104" max="104" width="20.44140625" customWidth="1"/>
    <col min="105" max="105" width="5.6640625" customWidth="1"/>
    <col min="106" max="106" width="3.88671875" customWidth="1"/>
    <col min="107" max="107" width="20.44140625" customWidth="1"/>
    <col min="108" max="108" width="5.6640625" customWidth="1"/>
    <col min="109" max="109" width="3.109375" customWidth="1"/>
    <col min="110" max="110" width="18" customWidth="1"/>
    <col min="111" max="111" width="5.6640625" customWidth="1"/>
    <col min="112" max="112" width="3.109375" customWidth="1"/>
    <col min="113" max="113" width="18" customWidth="1"/>
    <col min="114" max="114" width="5.6640625" customWidth="1"/>
    <col min="115" max="115" width="3.109375" customWidth="1"/>
    <col min="116" max="116" width="18" customWidth="1"/>
    <col min="117" max="117" width="5.6640625" customWidth="1"/>
  </cols>
  <sheetData>
    <row r="1" spans="1:117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</row>
    <row r="2" spans="1:117" ht="40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1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934" t="s">
        <v>0</v>
      </c>
      <c r="AS2" s="935"/>
      <c r="AT2" s="935"/>
      <c r="AU2" s="935"/>
      <c r="AV2" s="935"/>
      <c r="AW2" s="935"/>
      <c r="AX2" s="935"/>
      <c r="AY2" s="935"/>
      <c r="AZ2" s="935"/>
      <c r="BA2" s="935"/>
      <c r="BB2" s="935"/>
      <c r="BC2" s="3"/>
      <c r="BD2" s="3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</row>
    <row r="3" spans="1:117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3"/>
      <c r="N3" s="3"/>
      <c r="O3" s="3"/>
      <c r="P3" s="3"/>
      <c r="Q3" s="3"/>
      <c r="R3" s="1"/>
      <c r="S3" s="2"/>
      <c r="T3" s="1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"/>
      <c r="AP3" s="4"/>
      <c r="AQ3" s="4"/>
      <c r="AR3" s="935"/>
      <c r="AS3" s="935"/>
      <c r="AT3" s="935"/>
      <c r="AU3" s="935"/>
      <c r="AV3" s="935"/>
      <c r="AW3" s="935"/>
      <c r="AX3" s="935"/>
      <c r="AY3" s="935"/>
      <c r="AZ3" s="935"/>
      <c r="BA3" s="935"/>
      <c r="BB3" s="935"/>
      <c r="BC3" s="4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</row>
    <row r="4" spans="1:117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1"/>
      <c r="N4" s="1"/>
      <c r="O4" s="1"/>
      <c r="P4" s="1"/>
      <c r="Q4" s="1"/>
      <c r="R4" s="1"/>
      <c r="S4" s="2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2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5"/>
      <c r="BF4" s="936"/>
      <c r="BG4" s="935"/>
      <c r="BH4" s="936" t="s">
        <v>731</v>
      </c>
      <c r="BI4" s="935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</row>
    <row r="5" spans="1:117" ht="9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8"/>
      <c r="N5" s="8"/>
      <c r="O5" s="8"/>
      <c r="P5" s="8"/>
      <c r="Q5" s="9"/>
      <c r="R5" s="8"/>
      <c r="S5" s="9"/>
      <c r="T5" s="8"/>
      <c r="U5" s="8"/>
      <c r="V5" s="8"/>
      <c r="W5" s="8"/>
      <c r="X5" s="9"/>
      <c r="Y5" s="8"/>
      <c r="Z5" s="8"/>
      <c r="AA5" s="9"/>
      <c r="AB5" s="9"/>
      <c r="AC5" s="8"/>
      <c r="AD5" s="8"/>
      <c r="AE5" s="8"/>
      <c r="AF5" s="8"/>
      <c r="AG5" s="8"/>
      <c r="AH5" s="8"/>
      <c r="AI5" s="8"/>
      <c r="AJ5" s="8"/>
      <c r="AK5" s="9"/>
      <c r="AL5" s="9"/>
      <c r="AM5" s="9"/>
      <c r="AN5" s="9"/>
      <c r="AO5" s="1"/>
      <c r="AP5" s="1"/>
      <c r="AQ5" s="1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1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ht="1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8"/>
      <c r="N6" s="8"/>
      <c r="O6" s="8"/>
      <c r="P6" s="8"/>
      <c r="Q6" s="8"/>
      <c r="R6" s="8"/>
      <c r="S6" s="9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9"/>
      <c r="AO6" s="1"/>
      <c r="AP6" s="1"/>
      <c r="AQ6" s="1"/>
      <c r="AR6" s="9"/>
      <c r="AS6" s="9"/>
      <c r="AT6" s="9"/>
      <c r="AU6" s="9"/>
      <c r="AV6" s="9"/>
      <c r="AW6" s="937" t="s">
        <v>1</v>
      </c>
      <c r="AX6" s="916"/>
      <c r="AY6" s="916"/>
      <c r="AZ6" s="916"/>
      <c r="BA6" s="917"/>
      <c r="BB6" s="174"/>
      <c r="BC6" s="1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</row>
    <row r="7" spans="1:117" ht="1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8"/>
      <c r="N7" s="8"/>
      <c r="O7" s="8"/>
      <c r="P7" s="8"/>
      <c r="Q7" s="8"/>
      <c r="R7" s="8"/>
      <c r="S7" s="9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9"/>
      <c r="AO7" s="1"/>
      <c r="AP7" s="1"/>
      <c r="AQ7" s="1"/>
      <c r="AR7" s="938" t="s">
        <v>2</v>
      </c>
      <c r="AS7" s="928"/>
      <c r="AT7" s="928"/>
      <c r="AU7" s="9"/>
      <c r="AV7" s="9"/>
      <c r="AW7" s="512" t="s">
        <v>3</v>
      </c>
      <c r="AX7" s="939" t="s">
        <v>4</v>
      </c>
      <c r="AY7" s="910"/>
      <c r="AZ7" s="910"/>
      <c r="BA7" s="911"/>
      <c r="BB7" s="174"/>
      <c r="BC7" s="1"/>
      <c r="BD7" s="8"/>
      <c r="BE7" s="940" t="s">
        <v>5</v>
      </c>
      <c r="BF7" s="935"/>
      <c r="BG7" s="935"/>
      <c r="BH7" s="935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8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8"/>
      <c r="DG7" s="6"/>
      <c r="DH7" s="8"/>
      <c r="DI7" s="6"/>
      <c r="DJ7" s="6"/>
      <c r="DK7" s="6"/>
      <c r="DL7" s="6"/>
      <c r="DM7" s="6"/>
    </row>
    <row r="8" spans="1:117" ht="1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8"/>
      <c r="N8" s="8"/>
      <c r="O8" s="8"/>
      <c r="P8" s="8"/>
      <c r="Q8" s="8"/>
      <c r="R8" s="8"/>
      <c r="S8" s="9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9"/>
      <c r="AO8" s="1"/>
      <c r="AP8" s="1"/>
      <c r="AQ8" s="1"/>
      <c r="AR8" s="941" t="s">
        <v>6</v>
      </c>
      <c r="AS8" s="917"/>
      <c r="AT8" s="942" t="s">
        <v>7</v>
      </c>
      <c r="AU8" s="917"/>
      <c r="AV8" s="11"/>
      <c r="AW8" s="9"/>
      <c r="AX8" s="9"/>
      <c r="AY8" s="9"/>
      <c r="AZ8" s="12"/>
      <c r="BA8" s="11"/>
      <c r="BB8" s="11"/>
      <c r="BC8" s="943" t="s">
        <v>8</v>
      </c>
      <c r="BD8" s="907"/>
      <c r="BE8" s="908"/>
      <c r="BF8" s="944" t="s">
        <v>9</v>
      </c>
      <c r="BG8" s="90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8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8"/>
      <c r="DG8" s="6"/>
      <c r="DH8" s="8"/>
      <c r="DI8" s="6"/>
      <c r="DJ8" s="6"/>
      <c r="DK8" s="6"/>
      <c r="DL8" s="6"/>
      <c r="DM8" s="6"/>
    </row>
    <row r="9" spans="1:117" ht="1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8"/>
      <c r="N9" s="8"/>
      <c r="O9" s="8"/>
      <c r="P9" s="8"/>
      <c r="Q9" s="8"/>
      <c r="R9" s="8"/>
      <c r="S9" s="9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9"/>
      <c r="AO9" s="1"/>
      <c r="AP9" s="1"/>
      <c r="AQ9" s="1"/>
      <c r="AR9" s="955" t="s">
        <v>10</v>
      </c>
      <c r="AS9" s="946"/>
      <c r="AT9" s="945" t="s">
        <v>9</v>
      </c>
      <c r="AU9" s="946"/>
      <c r="AV9" s="9"/>
      <c r="AW9" s="9"/>
      <c r="AX9" s="9"/>
      <c r="AY9" s="9"/>
      <c r="AZ9" s="12"/>
      <c r="BA9" s="174"/>
      <c r="BB9" s="174"/>
      <c r="BC9" s="947" t="s">
        <v>11</v>
      </c>
      <c r="BD9" s="922"/>
      <c r="BE9" s="923"/>
      <c r="BF9" s="948" t="s">
        <v>12</v>
      </c>
      <c r="BG9" s="90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8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8"/>
      <c r="DG9" s="6"/>
      <c r="DH9" s="8"/>
      <c r="DI9" s="6"/>
      <c r="DJ9" s="6"/>
      <c r="DK9" s="6"/>
      <c r="DL9" s="6"/>
      <c r="DM9" s="6"/>
    </row>
    <row r="10" spans="1:117" ht="1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9"/>
      <c r="AO10" s="1"/>
      <c r="AP10" s="1"/>
      <c r="AQ10" s="1"/>
      <c r="AR10" s="956" t="s">
        <v>13</v>
      </c>
      <c r="AS10" s="911"/>
      <c r="AT10" s="957" t="s">
        <v>14</v>
      </c>
      <c r="AU10" s="911"/>
      <c r="AV10" s="9"/>
      <c r="AW10" s="9"/>
      <c r="AX10" s="9"/>
      <c r="AY10" s="9"/>
      <c r="AZ10" s="12"/>
      <c r="BA10" s="174"/>
      <c r="BB10" s="174"/>
      <c r="BC10" s="959" t="s">
        <v>11</v>
      </c>
      <c r="BD10" s="907"/>
      <c r="BE10" s="908"/>
      <c r="BF10" s="960" t="s">
        <v>15</v>
      </c>
      <c r="BG10" s="929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8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8"/>
      <c r="DG10" s="6"/>
      <c r="DH10" s="8"/>
      <c r="DI10" s="6"/>
      <c r="DJ10" s="6"/>
      <c r="DK10" s="6"/>
      <c r="DL10" s="6"/>
      <c r="DM10" s="6"/>
    </row>
    <row r="11" spans="1:117" ht="1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8"/>
      <c r="N11" s="8"/>
      <c r="O11" s="8"/>
      <c r="P11" s="8"/>
      <c r="Q11" s="8"/>
      <c r="R11" s="8"/>
      <c r="S11" s="9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9"/>
      <c r="AO11" s="1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12"/>
      <c r="BA11" s="174"/>
      <c r="BB11" s="174"/>
      <c r="BC11" s="959" t="s">
        <v>16</v>
      </c>
      <c r="BD11" s="907"/>
      <c r="BE11" s="908"/>
      <c r="BF11" s="960" t="s">
        <v>17</v>
      </c>
      <c r="BG11" s="929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8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8"/>
      <c r="DG11" s="6"/>
      <c r="DH11" s="8"/>
      <c r="DI11" s="6"/>
      <c r="DJ11" s="6"/>
      <c r="DK11" s="6"/>
      <c r="DL11" s="6"/>
      <c r="DM11" s="6"/>
    </row>
    <row r="12" spans="1:117" ht="1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8"/>
      <c r="N12" s="8"/>
      <c r="O12" s="8"/>
      <c r="P12" s="8"/>
      <c r="Q12" s="8"/>
      <c r="R12" s="8"/>
      <c r="S12" s="9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9"/>
      <c r="AO12" s="1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12"/>
      <c r="BA12" s="9"/>
      <c r="BB12" s="9"/>
      <c r="BC12" s="9"/>
      <c r="BD12" s="9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8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8"/>
      <c r="DG12" s="6"/>
      <c r="DH12" s="8"/>
      <c r="DI12" s="6"/>
      <c r="DJ12" s="6"/>
      <c r="DK12" s="6"/>
      <c r="DL12" s="6"/>
      <c r="DM12" s="6"/>
    </row>
    <row r="13" spans="1:117" ht="1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8"/>
      <c r="N13" s="8"/>
      <c r="O13" s="8"/>
      <c r="P13" s="8"/>
      <c r="Q13" s="8"/>
      <c r="R13" s="8"/>
      <c r="S13" s="9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9"/>
      <c r="AO13" s="1"/>
      <c r="AP13" s="9"/>
      <c r="AQ13" s="9"/>
      <c r="AR13" s="9"/>
      <c r="AS13" s="9"/>
      <c r="AT13" s="9"/>
      <c r="AU13" s="9"/>
      <c r="AV13" s="9"/>
      <c r="AW13" s="9"/>
      <c r="AX13" s="13"/>
      <c r="AY13" s="9"/>
      <c r="AZ13" s="12"/>
      <c r="BA13" s="9"/>
      <c r="BB13" s="9"/>
      <c r="BC13" s="9"/>
      <c r="BD13" s="9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8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8"/>
      <c r="DG13" s="6"/>
      <c r="DH13" s="8"/>
      <c r="DI13" s="6"/>
      <c r="DJ13" s="6"/>
      <c r="DK13" s="6"/>
      <c r="DL13" s="6"/>
      <c r="DM13" s="6"/>
    </row>
    <row r="14" spans="1:117" ht="1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8"/>
      <c r="N14" s="8"/>
      <c r="O14" s="8"/>
      <c r="P14" s="8"/>
      <c r="Q14" s="8"/>
      <c r="R14" s="8"/>
      <c r="S14" s="9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9"/>
      <c r="AO14" s="1"/>
      <c r="AP14" s="941" t="s">
        <v>732</v>
      </c>
      <c r="AQ14" s="916"/>
      <c r="AR14" s="917"/>
      <c r="AS14" s="958" t="s">
        <v>733</v>
      </c>
      <c r="AT14" s="916"/>
      <c r="AU14" s="917"/>
      <c r="AV14" s="11"/>
      <c r="AW14" s="11"/>
      <c r="AX14" s="11"/>
      <c r="AY14" s="15"/>
      <c r="AZ14" s="11"/>
      <c r="BA14" s="11"/>
      <c r="BB14" s="11"/>
      <c r="BC14" s="961" t="s">
        <v>27</v>
      </c>
      <c r="BD14" s="907"/>
      <c r="BE14" s="908"/>
      <c r="BF14" s="950" t="s">
        <v>28</v>
      </c>
      <c r="BG14" s="908"/>
      <c r="BH14" s="16" t="s">
        <v>21</v>
      </c>
      <c r="BI14" s="954" t="s">
        <v>22</v>
      </c>
      <c r="BJ14" s="90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8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8"/>
      <c r="DG14" s="6"/>
      <c r="DH14" s="8"/>
      <c r="DI14" s="6"/>
      <c r="DJ14" s="6"/>
      <c r="DK14" s="6"/>
      <c r="DL14" s="6"/>
      <c r="DM14" s="6"/>
    </row>
    <row r="15" spans="1:117" ht="1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8"/>
      <c r="N15" s="8"/>
      <c r="O15" s="8"/>
      <c r="P15" s="8"/>
      <c r="Q15" s="8"/>
      <c r="R15" s="8"/>
      <c r="S15" s="9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9"/>
      <c r="AO15" s="1"/>
      <c r="AP15" s="17" t="s">
        <v>23</v>
      </c>
      <c r="AQ15" s="962" t="s">
        <v>24</v>
      </c>
      <c r="AR15" s="963"/>
      <c r="AS15" s="14" t="s">
        <v>18</v>
      </c>
      <c r="AT15" s="953" t="s">
        <v>19</v>
      </c>
      <c r="AU15" s="908"/>
      <c r="AV15" s="9"/>
      <c r="AW15" s="9"/>
      <c r="AX15" s="9"/>
      <c r="AY15" s="9"/>
      <c r="AZ15" s="12"/>
      <c r="BA15" s="9"/>
      <c r="BB15" s="9"/>
      <c r="BC15" s="949" t="s">
        <v>734</v>
      </c>
      <c r="BD15" s="907"/>
      <c r="BE15" s="908"/>
      <c r="BF15" s="950" t="s">
        <v>9</v>
      </c>
      <c r="BG15" s="908"/>
      <c r="BH15" s="16" t="s">
        <v>31</v>
      </c>
      <c r="BI15" s="951" t="s">
        <v>32</v>
      </c>
      <c r="BJ15" s="929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8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8"/>
      <c r="DG15" s="6"/>
      <c r="DH15" s="8"/>
      <c r="DI15" s="6"/>
      <c r="DJ15" s="6"/>
      <c r="DK15" s="6"/>
      <c r="DL15" s="6"/>
      <c r="DM15" s="6"/>
    </row>
    <row r="16" spans="1:117" ht="1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8"/>
      <c r="N16" s="8"/>
      <c r="O16" s="8"/>
      <c r="P16" s="8"/>
      <c r="Q16" s="8"/>
      <c r="R16" s="8"/>
      <c r="S16" s="9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9"/>
      <c r="AO16" s="1"/>
      <c r="AP16" s="513" t="s">
        <v>23</v>
      </c>
      <c r="AQ16" s="953" t="s">
        <v>33</v>
      </c>
      <c r="AR16" s="908"/>
      <c r="AS16" s="18" t="s">
        <v>25</v>
      </c>
      <c r="AT16" s="953" t="s">
        <v>26</v>
      </c>
      <c r="AU16" s="908"/>
      <c r="AV16" s="9"/>
      <c r="AW16" s="9"/>
      <c r="AX16" s="9"/>
      <c r="AY16" s="9"/>
      <c r="AZ16" s="12"/>
      <c r="BA16" s="9"/>
      <c r="BB16" s="9"/>
      <c r="BC16" s="952" t="s">
        <v>29</v>
      </c>
      <c r="BD16" s="907"/>
      <c r="BE16" s="908"/>
      <c r="BF16" s="953" t="s">
        <v>30</v>
      </c>
      <c r="BG16" s="908"/>
      <c r="BH16" s="16" t="s">
        <v>31</v>
      </c>
      <c r="BI16" s="951" t="s">
        <v>37</v>
      </c>
      <c r="BJ16" s="929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6"/>
      <c r="CG16" s="8"/>
      <c r="CH16" s="8"/>
      <c r="CI16" s="6"/>
      <c r="CJ16" s="8"/>
      <c r="CK16" s="8"/>
      <c r="CL16" s="8"/>
      <c r="CM16" s="8"/>
      <c r="CN16" s="8"/>
      <c r="CO16" s="8"/>
      <c r="CP16" s="8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8"/>
      <c r="DD16" s="8"/>
      <c r="DE16" s="8"/>
      <c r="DF16" s="8"/>
      <c r="DG16" s="8"/>
      <c r="DH16" s="8"/>
      <c r="DI16" s="6"/>
      <c r="DJ16" s="6"/>
      <c r="DK16" s="6"/>
      <c r="DL16" s="6"/>
      <c r="DM16" s="6"/>
    </row>
    <row r="17" spans="1:117" ht="1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8"/>
      <c r="N17" s="8"/>
      <c r="O17" s="8"/>
      <c r="P17" s="8"/>
      <c r="Q17" s="8"/>
      <c r="R17" s="8"/>
      <c r="S17" s="9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9"/>
      <c r="AO17" s="1"/>
      <c r="AP17" s="8"/>
      <c r="AQ17" s="8"/>
      <c r="AR17" s="8"/>
      <c r="AS17" s="19" t="s">
        <v>34</v>
      </c>
      <c r="AT17" s="953" t="s">
        <v>35</v>
      </c>
      <c r="AU17" s="908"/>
      <c r="AV17" s="9"/>
      <c r="AW17" s="9"/>
      <c r="AX17" s="9"/>
      <c r="AY17" s="9"/>
      <c r="AZ17" s="12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6"/>
      <c r="CE17" s="8"/>
      <c r="CF17" s="6"/>
      <c r="CG17" s="6"/>
      <c r="CH17" s="8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6"/>
      <c r="DJ17" s="6"/>
      <c r="DK17" s="6"/>
      <c r="DL17" s="6"/>
      <c r="DM17" s="6"/>
    </row>
    <row r="18" spans="1:117" ht="1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8"/>
      <c r="N18" s="8"/>
      <c r="O18" s="8"/>
      <c r="P18" s="8"/>
      <c r="Q18" s="8"/>
      <c r="R18" s="8"/>
      <c r="S18" s="9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9"/>
      <c r="AO18" s="1"/>
      <c r="AP18" s="8"/>
      <c r="AQ18" s="8"/>
      <c r="AR18" s="8"/>
      <c r="AS18" s="19" t="s">
        <v>18</v>
      </c>
      <c r="AT18" s="953" t="s">
        <v>38</v>
      </c>
      <c r="AU18" s="908"/>
      <c r="AV18" s="8"/>
      <c r="AW18" s="8"/>
      <c r="AX18" s="9"/>
      <c r="AY18" s="9"/>
      <c r="AZ18" s="12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6"/>
      <c r="CE18" s="8"/>
      <c r="CF18" s="6"/>
      <c r="CG18" s="6"/>
      <c r="CH18" s="8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6"/>
      <c r="DJ18" s="6"/>
      <c r="DK18" s="6"/>
      <c r="DL18" s="6"/>
      <c r="DM18" s="6"/>
    </row>
    <row r="19" spans="1:117" ht="1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8"/>
      <c r="N19" s="8"/>
      <c r="O19" s="8"/>
      <c r="P19" s="8"/>
      <c r="Q19" s="8"/>
      <c r="R19" s="8"/>
      <c r="S19" s="9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19" t="s">
        <v>18</v>
      </c>
      <c r="AT19" s="953" t="s">
        <v>133</v>
      </c>
      <c r="AU19" s="908"/>
      <c r="AV19" s="8"/>
      <c r="AW19" s="8"/>
      <c r="AX19" s="9"/>
      <c r="AY19" s="9"/>
      <c r="AZ19" s="12"/>
      <c r="BA19" s="8"/>
      <c r="BB19" s="8"/>
      <c r="BC19" s="8"/>
      <c r="BD19" s="8"/>
      <c r="BE19" s="8"/>
      <c r="BF19" s="8"/>
      <c r="BG19" s="9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6"/>
      <c r="CE19" s="8"/>
      <c r="CF19" s="6"/>
      <c r="CG19" s="6"/>
      <c r="CH19" s="8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6"/>
      <c r="DJ19" s="6"/>
      <c r="DK19" s="6"/>
      <c r="DL19" s="6"/>
      <c r="DM19" s="6"/>
    </row>
    <row r="20" spans="1:117" ht="1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8"/>
      <c r="N20" s="8"/>
      <c r="O20" s="8"/>
      <c r="P20" s="8"/>
      <c r="Q20" s="8"/>
      <c r="R20" s="8"/>
      <c r="S20" s="9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8"/>
      <c r="AX20" s="9"/>
      <c r="AY20" s="9"/>
      <c r="AZ20" s="12"/>
      <c r="BA20" s="8"/>
      <c r="BB20" s="8"/>
      <c r="BC20" s="8"/>
      <c r="BD20" s="8"/>
      <c r="BE20" s="8"/>
      <c r="BF20" s="8"/>
      <c r="BG20" s="9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6"/>
      <c r="CE20" s="8"/>
      <c r="CF20" s="6"/>
      <c r="CG20" s="6"/>
      <c r="CH20" s="8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6"/>
      <c r="DJ20" s="6"/>
      <c r="DK20" s="6"/>
      <c r="DL20" s="6"/>
      <c r="DM20" s="6"/>
    </row>
    <row r="21" spans="1:117" ht="1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8"/>
      <c r="N21" s="8"/>
      <c r="O21" s="8"/>
      <c r="P21" s="8"/>
      <c r="Q21" s="8"/>
      <c r="R21" s="8"/>
      <c r="S21" s="9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8"/>
      <c r="AX21" s="9"/>
      <c r="AY21" s="9"/>
      <c r="AZ21" s="12"/>
      <c r="BA21" s="8"/>
      <c r="BB21" s="8"/>
      <c r="BC21" s="8"/>
      <c r="BD21" s="8"/>
      <c r="BE21" s="8"/>
      <c r="BF21" s="8"/>
      <c r="BG21" s="9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6"/>
      <c r="CE21" s="8"/>
      <c r="CF21" s="6"/>
      <c r="CG21" s="6"/>
      <c r="CH21" s="8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6"/>
      <c r="DJ21" s="6"/>
      <c r="DK21" s="6"/>
      <c r="DL21" s="6"/>
      <c r="DM21" s="6"/>
    </row>
    <row r="22" spans="1:117" ht="1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8"/>
      <c r="N22" s="8"/>
      <c r="O22" s="8"/>
      <c r="P22" s="8"/>
      <c r="Q22" s="8"/>
      <c r="R22" s="8"/>
      <c r="S22" s="9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  <c r="AW22" s="8"/>
      <c r="AX22" s="9"/>
      <c r="AY22" s="9"/>
      <c r="AZ22" s="12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6"/>
      <c r="CE22" s="8"/>
      <c r="CF22" s="6"/>
      <c r="CG22" s="6"/>
      <c r="CH22" s="8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6"/>
      <c r="DJ22" s="6"/>
      <c r="DK22" s="6"/>
      <c r="DL22" s="6"/>
      <c r="DM22" s="6"/>
    </row>
    <row r="23" spans="1:117" ht="18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  <c r="M23" s="9"/>
      <c r="N23" s="8"/>
      <c r="O23" s="8"/>
      <c r="P23" s="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10"/>
      <c r="AK23" s="20"/>
      <c r="AL23" s="8"/>
      <c r="AM23" s="21"/>
      <c r="AN23" s="20"/>
      <c r="AO23" s="20"/>
      <c r="AP23" s="20"/>
      <c r="AQ23" s="20"/>
      <c r="AR23" s="20"/>
      <c r="AS23" s="20"/>
      <c r="AT23" s="20"/>
      <c r="AU23" s="8"/>
      <c r="AV23" s="964" t="s">
        <v>39</v>
      </c>
      <c r="AW23" s="925"/>
      <c r="AX23" s="925"/>
      <c r="AY23" s="925"/>
      <c r="AZ23" s="925"/>
      <c r="BA23" s="925"/>
      <c r="BB23" s="925"/>
      <c r="BC23" s="925"/>
      <c r="BD23" s="926"/>
      <c r="BE23" s="22"/>
      <c r="BF23" s="20"/>
      <c r="BG23" s="23"/>
      <c r="BH23" s="24"/>
      <c r="BI23" s="20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</row>
    <row r="24" spans="1:117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9"/>
      <c r="N24" s="8"/>
      <c r="O24" s="8"/>
      <c r="P24" s="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20"/>
      <c r="AK24" s="25"/>
      <c r="AL24" s="8"/>
      <c r="AM24" s="21"/>
      <c r="AN24" s="20"/>
      <c r="AO24" s="20"/>
      <c r="AP24" s="20"/>
      <c r="AQ24" s="20"/>
      <c r="AR24" s="20"/>
      <c r="AS24" s="20"/>
      <c r="AT24" s="20"/>
      <c r="AU24" s="8"/>
      <c r="AV24" s="927"/>
      <c r="AW24" s="928"/>
      <c r="AX24" s="928"/>
      <c r="AY24" s="928"/>
      <c r="AZ24" s="928"/>
      <c r="BA24" s="928"/>
      <c r="BB24" s="928"/>
      <c r="BC24" s="928"/>
      <c r="BD24" s="929"/>
      <c r="BE24" s="20"/>
      <c r="BF24" s="20"/>
      <c r="BG24" s="23"/>
      <c r="BH24" s="24"/>
      <c r="BI24" s="20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</row>
    <row r="25" spans="1:117" ht="3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9"/>
      <c r="N25" s="8"/>
      <c r="O25" s="8"/>
      <c r="P25" s="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23"/>
      <c r="AD25" s="8"/>
      <c r="AE25" s="8"/>
      <c r="AF25" s="8"/>
      <c r="AG25" s="8"/>
      <c r="AH25" s="8"/>
      <c r="AI25" s="8"/>
      <c r="AJ25" s="20"/>
      <c r="AK25" s="25"/>
      <c r="AL25" s="20"/>
      <c r="AM25" s="21"/>
      <c r="AN25" s="20"/>
      <c r="AO25" s="8"/>
      <c r="AP25" s="20"/>
      <c r="AQ25" s="26"/>
      <c r="AR25" s="8"/>
      <c r="AS25" s="9"/>
      <c r="AT25" s="9"/>
      <c r="AU25" s="8"/>
      <c r="AV25" s="9"/>
      <c r="AW25" s="9"/>
      <c r="AX25" s="23"/>
      <c r="AY25" s="27"/>
      <c r="AZ25" s="8"/>
      <c r="BA25" s="23"/>
      <c r="BB25" s="25"/>
      <c r="BC25" s="2"/>
      <c r="BD25" s="8"/>
      <c r="BE25" s="28"/>
      <c r="BF25" s="20"/>
      <c r="BG25" s="23"/>
      <c r="BH25" s="24"/>
      <c r="BI25" s="20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9"/>
      <c r="BV25" s="9"/>
      <c r="BW25" s="9"/>
      <c r="BX25" s="9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</row>
    <row r="26" spans="1:117" ht="20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9"/>
      <c r="N26" s="8"/>
      <c r="O26" s="8"/>
      <c r="P26" s="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20"/>
      <c r="AK26" s="25"/>
      <c r="AL26" s="20"/>
      <c r="AM26" s="21"/>
      <c r="AN26" s="20"/>
      <c r="AO26" s="8"/>
      <c r="AP26" s="21"/>
      <c r="AQ26" s="20"/>
      <c r="AR26" s="8"/>
      <c r="AS26" s="9"/>
      <c r="AT26" s="9"/>
      <c r="AU26" s="8"/>
      <c r="AV26" s="9"/>
      <c r="AW26" s="906" t="s">
        <v>40</v>
      </c>
      <c r="AX26" s="907"/>
      <c r="AY26" s="907"/>
      <c r="AZ26" s="907"/>
      <c r="BA26" s="907"/>
      <c r="BB26" s="908"/>
      <c r="BC26" s="2"/>
      <c r="BD26" s="8"/>
      <c r="BE26" s="28"/>
      <c r="BF26" s="20"/>
      <c r="BG26" s="29"/>
      <c r="BH26" s="30"/>
      <c r="BI26" s="20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9"/>
      <c r="BV26" s="9"/>
      <c r="BW26" s="9"/>
      <c r="BX26" s="9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</row>
    <row r="27" spans="1:117" ht="23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9"/>
      <c r="N27" s="8"/>
      <c r="O27" s="8"/>
      <c r="P27" s="9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23"/>
      <c r="AD27" s="8"/>
      <c r="AE27" s="8"/>
      <c r="AF27" s="8"/>
      <c r="AG27" s="8"/>
      <c r="AH27" s="8"/>
      <c r="AI27" s="8"/>
      <c r="AJ27" s="20"/>
      <c r="AK27" s="25"/>
      <c r="AL27" s="20"/>
      <c r="AM27" s="21"/>
      <c r="AN27" s="20"/>
      <c r="AO27" s="8"/>
      <c r="AP27" s="21"/>
      <c r="AQ27" s="25"/>
      <c r="AR27" s="8"/>
      <c r="AS27" s="9"/>
      <c r="AT27" s="9"/>
      <c r="AU27" s="9"/>
      <c r="AV27" s="9"/>
      <c r="AW27" s="906" t="s">
        <v>735</v>
      </c>
      <c r="AX27" s="907"/>
      <c r="AY27" s="907"/>
      <c r="AZ27" s="907"/>
      <c r="BA27" s="907"/>
      <c r="BB27" s="908"/>
      <c r="BC27" s="8"/>
      <c r="BD27" s="8"/>
      <c r="BE27" s="26"/>
      <c r="BF27" s="8"/>
      <c r="BG27" s="8"/>
      <c r="BH27" s="26"/>
      <c r="BI27" s="20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9"/>
      <c r="BV27" s="9"/>
      <c r="BW27" s="9"/>
      <c r="BX27" s="9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</row>
    <row r="28" spans="1:117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  <c r="M28" s="9"/>
      <c r="N28" s="8"/>
      <c r="O28" s="8"/>
      <c r="P28" s="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3"/>
      <c r="AD28" s="8"/>
      <c r="AE28" s="8"/>
      <c r="AF28" s="8"/>
      <c r="AG28" s="8"/>
      <c r="AH28" s="8"/>
      <c r="AI28" s="8"/>
      <c r="AJ28" s="20"/>
      <c r="AK28" s="21"/>
      <c r="AL28" s="20"/>
      <c r="AM28" s="8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0"/>
      <c r="BJ28" s="8"/>
      <c r="BK28" s="8"/>
      <c r="BL28" s="8"/>
      <c r="BM28" s="8"/>
      <c r="BN28" s="8"/>
      <c r="BO28" s="8"/>
      <c r="BP28" s="8"/>
      <c r="BQ28" s="8"/>
      <c r="BR28" s="8"/>
      <c r="BS28" s="9"/>
      <c r="BT28" s="9"/>
      <c r="BU28" s="9"/>
      <c r="BV28" s="9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</row>
    <row r="29" spans="1:117" ht="20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9"/>
      <c r="M29" s="9"/>
      <c r="N29" s="8"/>
      <c r="O29" s="8"/>
      <c r="P29" s="9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23"/>
      <c r="AD29" s="8"/>
      <c r="AE29" s="8"/>
      <c r="AF29" s="8"/>
      <c r="AG29" s="8"/>
      <c r="AH29" s="8"/>
      <c r="AI29" s="8"/>
      <c r="AJ29" s="21"/>
      <c r="AK29" s="31"/>
      <c r="AL29" s="32"/>
      <c r="AM29" s="32"/>
      <c r="AN29" s="31"/>
      <c r="AO29" s="32"/>
      <c r="AP29" s="33"/>
      <c r="AQ29" s="31"/>
      <c r="AR29" s="32"/>
      <c r="AS29" s="33"/>
      <c r="AT29" s="31"/>
      <c r="AU29" s="32"/>
      <c r="AV29" s="15"/>
      <c r="AW29" s="32"/>
      <c r="AX29" s="32"/>
      <c r="AY29" s="34"/>
      <c r="AZ29" s="32"/>
      <c r="BA29" s="32"/>
      <c r="BB29" s="34"/>
      <c r="BC29" s="32"/>
      <c r="BD29" s="32"/>
      <c r="BE29" s="32"/>
      <c r="BF29" s="31"/>
      <c r="BG29" s="32"/>
      <c r="BH29" s="32"/>
      <c r="BI29" s="31"/>
      <c r="BJ29" s="32"/>
      <c r="BK29" s="32"/>
      <c r="BL29" s="31"/>
      <c r="BM29" s="32"/>
      <c r="BN29" s="33"/>
      <c r="BO29" s="20"/>
      <c r="BP29" s="8"/>
      <c r="BQ29" s="9"/>
      <c r="BR29" s="9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</row>
    <row r="30" spans="1:117" ht="3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9"/>
      <c r="N30" s="8"/>
      <c r="O30" s="8"/>
      <c r="P30" s="9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23"/>
      <c r="AD30" s="8"/>
      <c r="AE30" s="8"/>
      <c r="AF30" s="8"/>
      <c r="AG30" s="8"/>
      <c r="AH30" s="8"/>
      <c r="AI30" s="8"/>
      <c r="AJ30" s="35" t="s">
        <v>41</v>
      </c>
      <c r="AK30" s="36">
        <f>COUNTA(AK31:AK43)</f>
        <v>6</v>
      </c>
      <c r="AL30" s="23"/>
      <c r="AM30" s="35" t="s">
        <v>42</v>
      </c>
      <c r="AN30" s="36">
        <f>COUNTA(AN31:AN43)</f>
        <v>7</v>
      </c>
      <c r="AO30" s="8"/>
      <c r="AP30" s="37" t="s">
        <v>43</v>
      </c>
      <c r="AQ30" s="38">
        <f>COUNTA(AQ31:AQ41)</f>
        <v>8</v>
      </c>
      <c r="AR30" s="8"/>
      <c r="AS30" s="37" t="s">
        <v>44</v>
      </c>
      <c r="AT30" s="38">
        <f>COUNTA(AT31:AT41)</f>
        <v>7</v>
      </c>
      <c r="AU30" s="39"/>
      <c r="AV30" s="37" t="s">
        <v>45</v>
      </c>
      <c r="AW30" s="38">
        <f>COUNTA(AW31:AW43)</f>
        <v>9</v>
      </c>
      <c r="AX30" s="8"/>
      <c r="AY30" s="37" t="s">
        <v>46</v>
      </c>
      <c r="AZ30" s="40">
        <f>COUNTA(AZ31:AZ41)</f>
        <v>6</v>
      </c>
      <c r="BA30" s="8"/>
      <c r="BB30" s="37" t="s">
        <v>47</v>
      </c>
      <c r="BC30" s="40">
        <f>COUNTA(BC31:BC41)</f>
        <v>7</v>
      </c>
      <c r="BD30" s="8"/>
      <c r="BE30" s="37" t="s">
        <v>48</v>
      </c>
      <c r="BF30" s="40">
        <f>COUNTA(BF31:BF41)</f>
        <v>8</v>
      </c>
      <c r="BG30" s="8"/>
      <c r="BH30" s="37" t="s">
        <v>49</v>
      </c>
      <c r="BI30" s="40">
        <f>COUNTA(BI31:BI41)</f>
        <v>5</v>
      </c>
      <c r="BJ30" s="8"/>
      <c r="BK30" s="37" t="s">
        <v>50</v>
      </c>
      <c r="BL30" s="40">
        <f>COUNTA(BL31:BL41)</f>
        <v>6</v>
      </c>
      <c r="BM30" s="8"/>
      <c r="BN30" s="37" t="s">
        <v>51</v>
      </c>
      <c r="BO30" s="40">
        <f>COUNTA(BO31:BO41)</f>
        <v>8</v>
      </c>
      <c r="BP30" s="8"/>
      <c r="BQ30" s="9"/>
      <c r="BR30" s="9"/>
      <c r="BS30" s="8"/>
      <c r="BT30" s="8"/>
      <c r="BU30" s="8"/>
      <c r="BV30" s="41" t="s">
        <v>52</v>
      </c>
      <c r="BW30" s="42">
        <f>COUNTA(BW31:BW42)</f>
        <v>11</v>
      </c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</row>
    <row r="31" spans="1:117" ht="3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  <c r="M31" s="9"/>
      <c r="N31" s="8"/>
      <c r="O31" s="8"/>
      <c r="P31" s="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23"/>
      <c r="AD31" s="8"/>
      <c r="AE31" s="8"/>
      <c r="AF31" s="8"/>
      <c r="AG31" s="8"/>
      <c r="AH31" s="8"/>
      <c r="AI31" s="8"/>
      <c r="AJ31" s="43" t="s">
        <v>53</v>
      </c>
      <c r="AK31" s="44" t="s">
        <v>54</v>
      </c>
      <c r="AL31" s="45" t="s">
        <v>55</v>
      </c>
      <c r="AM31" s="46" t="s">
        <v>56</v>
      </c>
      <c r="AN31" s="47" t="s">
        <v>54</v>
      </c>
      <c r="AO31" s="8" t="s">
        <v>55</v>
      </c>
      <c r="AP31" s="48" t="s">
        <v>57</v>
      </c>
      <c r="AQ31" s="49"/>
      <c r="AR31" s="8"/>
      <c r="AS31" s="48" t="s">
        <v>58</v>
      </c>
      <c r="AT31" s="49" t="s">
        <v>59</v>
      </c>
      <c r="AU31" s="8" t="s">
        <v>55</v>
      </c>
      <c r="AV31" s="69" t="s">
        <v>93</v>
      </c>
      <c r="AW31" s="51" t="s">
        <v>59</v>
      </c>
      <c r="AX31" s="8" t="s">
        <v>55</v>
      </c>
      <c r="AY31" s="52" t="s">
        <v>4</v>
      </c>
      <c r="AZ31" s="53" t="s">
        <v>60</v>
      </c>
      <c r="BA31" s="8" t="s">
        <v>55</v>
      </c>
      <c r="BB31" s="50" t="s">
        <v>61</v>
      </c>
      <c r="BC31" s="51" t="s">
        <v>59</v>
      </c>
      <c r="BD31" s="8" t="s">
        <v>55</v>
      </c>
      <c r="BE31" s="50" t="s">
        <v>61</v>
      </c>
      <c r="BF31" s="51" t="s">
        <v>59</v>
      </c>
      <c r="BG31" s="8"/>
      <c r="BH31" s="48" t="s">
        <v>62</v>
      </c>
      <c r="BI31" s="49" t="s">
        <v>59</v>
      </c>
      <c r="BJ31" s="8" t="s">
        <v>55</v>
      </c>
      <c r="BK31" s="54" t="s">
        <v>9</v>
      </c>
      <c r="BL31" s="55" t="s">
        <v>54</v>
      </c>
      <c r="BM31" s="8" t="s">
        <v>55</v>
      </c>
      <c r="BN31" s="56" t="s">
        <v>7</v>
      </c>
      <c r="BO31" s="55" t="s">
        <v>54</v>
      </c>
      <c r="BP31" s="8" t="s">
        <v>55</v>
      </c>
      <c r="BQ31" s="9"/>
      <c r="BR31" s="9"/>
      <c r="BS31" s="8"/>
      <c r="BT31" s="8"/>
      <c r="BU31" s="8"/>
      <c r="BV31" s="66" t="s">
        <v>24</v>
      </c>
      <c r="BW31" s="67" t="s">
        <v>76</v>
      </c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</row>
    <row r="32" spans="1:117" ht="3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  <c r="M32" s="9"/>
      <c r="N32" s="8"/>
      <c r="O32" s="8"/>
      <c r="P32" s="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23"/>
      <c r="AD32" s="8"/>
      <c r="AE32" s="8"/>
      <c r="AF32" s="8"/>
      <c r="AG32" s="8"/>
      <c r="AH32" s="8"/>
      <c r="AI32" s="8"/>
      <c r="AJ32" s="57" t="s">
        <v>64</v>
      </c>
      <c r="AK32" s="58" t="s">
        <v>65</v>
      </c>
      <c r="AL32" s="59"/>
      <c r="AM32" s="60" t="s">
        <v>66</v>
      </c>
      <c r="AN32" s="61" t="s">
        <v>65</v>
      </c>
      <c r="AO32" s="8"/>
      <c r="AP32" s="62" t="s">
        <v>67</v>
      </c>
      <c r="AQ32" s="63" t="s">
        <v>59</v>
      </c>
      <c r="AR32" s="8"/>
      <c r="AS32" s="62" t="s">
        <v>68</v>
      </c>
      <c r="AT32" s="51" t="s">
        <v>59</v>
      </c>
      <c r="AU32" s="8" t="s">
        <v>69</v>
      </c>
      <c r="AV32" s="50" t="s">
        <v>70</v>
      </c>
      <c r="AW32" s="51" t="s">
        <v>59</v>
      </c>
      <c r="AX32" s="8" t="s">
        <v>69</v>
      </c>
      <c r="AY32" s="52" t="s">
        <v>71</v>
      </c>
      <c r="AZ32" s="53" t="s">
        <v>60</v>
      </c>
      <c r="BA32" s="8"/>
      <c r="BB32" s="50" t="s">
        <v>22</v>
      </c>
      <c r="BC32" s="51" t="s">
        <v>59</v>
      </c>
      <c r="BD32" s="8" t="s">
        <v>69</v>
      </c>
      <c r="BE32" s="50" t="s">
        <v>72</v>
      </c>
      <c r="BF32" s="51" t="s">
        <v>59</v>
      </c>
      <c r="BG32" s="8" t="s">
        <v>69</v>
      </c>
      <c r="BH32" s="64" t="s">
        <v>73</v>
      </c>
      <c r="BI32" s="49" t="s">
        <v>59</v>
      </c>
      <c r="BJ32" s="8" t="s">
        <v>69</v>
      </c>
      <c r="BK32" s="54" t="s">
        <v>74</v>
      </c>
      <c r="BL32" s="44" t="s">
        <v>54</v>
      </c>
      <c r="BM32" s="8"/>
      <c r="BN32" s="54" t="s">
        <v>75</v>
      </c>
      <c r="BO32" s="65" t="s">
        <v>54</v>
      </c>
      <c r="BP32" s="8" t="s">
        <v>69</v>
      </c>
      <c r="BQ32" s="9"/>
      <c r="BR32" s="9"/>
      <c r="BS32" s="8"/>
      <c r="BT32" s="8"/>
      <c r="BU32" s="8"/>
      <c r="BV32" s="76" t="s">
        <v>35</v>
      </c>
      <c r="BW32" s="77" t="s">
        <v>89</v>
      </c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</row>
    <row r="33" spans="1:117" ht="3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9"/>
      <c r="M33" s="9"/>
      <c r="N33" s="8"/>
      <c r="O33" s="8"/>
      <c r="P33" s="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23"/>
      <c r="AD33" s="8"/>
      <c r="AE33" s="8"/>
      <c r="AF33" s="8"/>
      <c r="AG33" s="8"/>
      <c r="AH33" s="8"/>
      <c r="AI33" s="8"/>
      <c r="AJ33" s="57" t="s">
        <v>77</v>
      </c>
      <c r="AK33" s="58" t="s">
        <v>65</v>
      </c>
      <c r="AL33" s="59"/>
      <c r="AM33" s="68" t="s">
        <v>78</v>
      </c>
      <c r="AN33" s="61" t="s">
        <v>65</v>
      </c>
      <c r="AO33" s="8"/>
      <c r="AP33" s="69" t="s">
        <v>79</v>
      </c>
      <c r="AQ33" s="63" t="s">
        <v>59</v>
      </c>
      <c r="AR33" s="8"/>
      <c r="AS33" s="70" t="s">
        <v>80</v>
      </c>
      <c r="AT33" s="71" t="s">
        <v>59</v>
      </c>
      <c r="AU33" s="8"/>
      <c r="AV33" s="50" t="s">
        <v>81</v>
      </c>
      <c r="AW33" s="51" t="s">
        <v>59</v>
      </c>
      <c r="AX33" s="8"/>
      <c r="AY33" s="72" t="s">
        <v>104</v>
      </c>
      <c r="AZ33" s="73" t="s">
        <v>83</v>
      </c>
      <c r="BA33" s="8"/>
      <c r="BB33" s="50" t="s">
        <v>84</v>
      </c>
      <c r="BC33" s="51" t="s">
        <v>59</v>
      </c>
      <c r="BD33" s="8"/>
      <c r="BE33" s="50" t="s">
        <v>85</v>
      </c>
      <c r="BF33" s="51" t="s">
        <v>59</v>
      </c>
      <c r="BG33" s="8"/>
      <c r="BH33" s="74" t="s">
        <v>86</v>
      </c>
      <c r="BI33" s="49" t="s">
        <v>59</v>
      </c>
      <c r="BJ33" s="8"/>
      <c r="BK33" s="54" t="s">
        <v>87</v>
      </c>
      <c r="BL33" s="75" t="s">
        <v>54</v>
      </c>
      <c r="BM33" s="8"/>
      <c r="BN33" s="43" t="s">
        <v>88</v>
      </c>
      <c r="BO33" s="75" t="s">
        <v>54</v>
      </c>
      <c r="BP33" s="23"/>
      <c r="BQ33" s="9"/>
      <c r="BR33" s="9"/>
      <c r="BS33" s="8"/>
      <c r="BT33" s="8"/>
      <c r="BU33" s="8"/>
      <c r="BV33" s="79" t="s">
        <v>32</v>
      </c>
      <c r="BW33" s="80" t="s">
        <v>98</v>
      </c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</row>
    <row r="34" spans="1:117" ht="3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  <c r="M34" s="9"/>
      <c r="N34" s="8"/>
      <c r="O34" s="8"/>
      <c r="P34" s="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23"/>
      <c r="AD34" s="8"/>
      <c r="AE34" s="8"/>
      <c r="AF34" s="8"/>
      <c r="AG34" s="8"/>
      <c r="AH34" s="8"/>
      <c r="AI34" s="8"/>
      <c r="AJ34" s="57" t="s">
        <v>90</v>
      </c>
      <c r="AK34" s="58" t="s">
        <v>65</v>
      </c>
      <c r="AL34" s="59"/>
      <c r="AM34" s="78" t="s">
        <v>91</v>
      </c>
      <c r="AN34" s="65" t="s">
        <v>54</v>
      </c>
      <c r="AO34" s="8"/>
      <c r="AP34" s="62" t="s">
        <v>101</v>
      </c>
      <c r="AQ34" s="51" t="s">
        <v>59</v>
      </c>
      <c r="AR34" s="8"/>
      <c r="AS34" s="69" t="s">
        <v>92</v>
      </c>
      <c r="AT34" s="63" t="s">
        <v>59</v>
      </c>
      <c r="AU34" s="8"/>
      <c r="AV34" s="72" t="s">
        <v>103</v>
      </c>
      <c r="AW34" s="73" t="s">
        <v>83</v>
      </c>
      <c r="AX34" s="8"/>
      <c r="AY34" s="62" t="s">
        <v>112</v>
      </c>
      <c r="AZ34" s="51" t="s">
        <v>59</v>
      </c>
      <c r="BA34" s="8"/>
      <c r="BB34" s="50" t="s">
        <v>19</v>
      </c>
      <c r="BC34" s="51" t="s">
        <v>59</v>
      </c>
      <c r="BD34" s="8"/>
      <c r="BE34" s="50" t="s">
        <v>105</v>
      </c>
      <c r="BF34" s="51" t="s">
        <v>59</v>
      </c>
      <c r="BG34" s="8"/>
      <c r="BH34" s="74" t="s">
        <v>96</v>
      </c>
      <c r="BI34" s="49" t="s">
        <v>59</v>
      </c>
      <c r="BJ34" s="8"/>
      <c r="BK34" s="54" t="s">
        <v>97</v>
      </c>
      <c r="BL34" s="75" t="s">
        <v>54</v>
      </c>
      <c r="BM34" s="8"/>
      <c r="BN34" s="54" t="s">
        <v>20</v>
      </c>
      <c r="BO34" s="65" t="s">
        <v>54</v>
      </c>
      <c r="BP34" s="23"/>
      <c r="BQ34" s="9"/>
      <c r="BR34" s="9"/>
      <c r="BS34" s="8"/>
      <c r="BT34" s="8"/>
      <c r="BU34" s="8"/>
      <c r="BV34" s="79" t="s">
        <v>37</v>
      </c>
      <c r="BW34" s="80" t="s">
        <v>98</v>
      </c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</row>
    <row r="35" spans="1:117" ht="3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  <c r="M35" s="9"/>
      <c r="N35" s="8"/>
      <c r="O35" s="8"/>
      <c r="P35" s="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23"/>
      <c r="AD35" s="8"/>
      <c r="AE35" s="8"/>
      <c r="AF35" s="8"/>
      <c r="AG35" s="8"/>
      <c r="AH35" s="8"/>
      <c r="AI35" s="8"/>
      <c r="AJ35" s="60" t="s">
        <v>99</v>
      </c>
      <c r="AK35" s="58" t="s">
        <v>65</v>
      </c>
      <c r="AL35" s="59"/>
      <c r="AM35" s="81" t="s">
        <v>100</v>
      </c>
      <c r="AN35" s="82" t="s">
        <v>54</v>
      </c>
      <c r="AO35" s="8"/>
      <c r="AP35" s="48" t="s">
        <v>736</v>
      </c>
      <c r="AQ35" s="63" t="s">
        <v>59</v>
      </c>
      <c r="AR35" s="8"/>
      <c r="AS35" s="48" t="s">
        <v>102</v>
      </c>
      <c r="AT35" s="71" t="s">
        <v>59</v>
      </c>
      <c r="AU35" s="8"/>
      <c r="AV35" s="62" t="s">
        <v>111</v>
      </c>
      <c r="AW35" s="63" t="s">
        <v>59</v>
      </c>
      <c r="AX35" s="8"/>
      <c r="AY35" s="86" t="s">
        <v>118</v>
      </c>
      <c r="AZ35" s="51" t="s">
        <v>59</v>
      </c>
      <c r="BA35" s="8"/>
      <c r="BB35" s="50" t="s">
        <v>12</v>
      </c>
      <c r="BC35" s="51" t="s">
        <v>59</v>
      </c>
      <c r="BD35" s="8" t="s">
        <v>69</v>
      </c>
      <c r="BE35" s="50" t="s">
        <v>113</v>
      </c>
      <c r="BF35" s="51" t="s">
        <v>59</v>
      </c>
      <c r="BG35" s="8"/>
      <c r="BH35" s="74" t="s">
        <v>106</v>
      </c>
      <c r="BI35" s="49" t="s">
        <v>59</v>
      </c>
      <c r="BJ35" s="8"/>
      <c r="BK35" s="43" t="s">
        <v>30</v>
      </c>
      <c r="BL35" s="75" t="s">
        <v>54</v>
      </c>
      <c r="BM35" s="8"/>
      <c r="BN35" s="83" t="s">
        <v>107</v>
      </c>
      <c r="BO35" s="65" t="s">
        <v>54</v>
      </c>
      <c r="BP35" s="29"/>
      <c r="BQ35" s="9"/>
      <c r="BR35" s="9"/>
      <c r="BS35" s="8"/>
      <c r="BT35" s="8"/>
      <c r="BU35" s="8"/>
      <c r="BV35" s="89" t="s">
        <v>14</v>
      </c>
      <c r="BW35" s="67" t="s">
        <v>63</v>
      </c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</row>
    <row r="36" spans="1:117" ht="3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9"/>
      <c r="N36" s="8"/>
      <c r="O36" s="8"/>
      <c r="P36" s="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23"/>
      <c r="AD36" s="8"/>
      <c r="AE36" s="8"/>
      <c r="AF36" s="8"/>
      <c r="AG36" s="8"/>
      <c r="AH36" s="8"/>
      <c r="AI36" s="8"/>
      <c r="AJ36" s="60" t="s">
        <v>108</v>
      </c>
      <c r="AK36" s="58" t="s">
        <v>65</v>
      </c>
      <c r="AL36" s="84"/>
      <c r="AM36" s="85" t="s">
        <v>109</v>
      </c>
      <c r="AN36" s="47" t="s">
        <v>54</v>
      </c>
      <c r="AO36" s="8"/>
      <c r="AP36" s="62" t="s">
        <v>737</v>
      </c>
      <c r="AQ36" s="63" t="s">
        <v>59</v>
      </c>
      <c r="AR36" s="8"/>
      <c r="AS36" s="86" t="s">
        <v>110</v>
      </c>
      <c r="AT36" s="71" t="s">
        <v>59</v>
      </c>
      <c r="AU36" s="8"/>
      <c r="AV36" s="62" t="s">
        <v>117</v>
      </c>
      <c r="AW36" s="51" t="s">
        <v>59</v>
      </c>
      <c r="AX36" s="8"/>
      <c r="AY36" s="93" t="s">
        <v>124</v>
      </c>
      <c r="AZ36" s="94" t="s">
        <v>54</v>
      </c>
      <c r="BA36" s="8"/>
      <c r="BB36" s="50" t="s">
        <v>15</v>
      </c>
      <c r="BC36" s="51" t="s">
        <v>59</v>
      </c>
      <c r="BD36" s="9"/>
      <c r="BE36" s="50" t="s">
        <v>120</v>
      </c>
      <c r="BF36" s="51" t="s">
        <v>59</v>
      </c>
      <c r="BG36" s="8"/>
      <c r="BH36" s="87"/>
      <c r="BI36" s="75"/>
      <c r="BJ36" s="8"/>
      <c r="BK36" s="88" t="s">
        <v>36</v>
      </c>
      <c r="BL36" s="75" t="s">
        <v>54</v>
      </c>
      <c r="BM36" s="8"/>
      <c r="BN36" s="87" t="s">
        <v>114</v>
      </c>
      <c r="BO36" s="75" t="s">
        <v>54</v>
      </c>
      <c r="BP36" s="8"/>
      <c r="BQ36" s="9"/>
      <c r="BR36" s="9"/>
      <c r="BS36" s="8"/>
      <c r="BT36" s="8"/>
      <c r="BU36" s="8"/>
      <c r="BV36" s="54" t="s">
        <v>26</v>
      </c>
      <c r="BW36" s="92" t="s">
        <v>89</v>
      </c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1"/>
      <c r="CM36" s="1"/>
      <c r="CN36" s="1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1"/>
      <c r="DG36" s="8"/>
      <c r="DH36" s="8"/>
      <c r="DI36" s="8"/>
      <c r="DJ36" s="8"/>
      <c r="DK36" s="8"/>
      <c r="DL36" s="8"/>
      <c r="DM36" s="8"/>
    </row>
    <row r="37" spans="1:117" ht="3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9"/>
      <c r="M37" s="9"/>
      <c r="N37" s="8"/>
      <c r="O37" s="8"/>
      <c r="P37" s="8"/>
      <c r="Q37" s="1"/>
      <c r="R37" s="1"/>
      <c r="S37" s="1"/>
      <c r="T37" s="1"/>
      <c r="U37" s="1"/>
      <c r="V37" s="1"/>
      <c r="W37" s="1"/>
      <c r="X37" s="8"/>
      <c r="Y37" s="8"/>
      <c r="Z37" s="1"/>
      <c r="AA37" s="8"/>
      <c r="AB37" s="8"/>
      <c r="AC37" s="23"/>
      <c r="AD37" s="8"/>
      <c r="AE37" s="8"/>
      <c r="AF37" s="8"/>
      <c r="AG37" s="8"/>
      <c r="AH37" s="8"/>
      <c r="AI37" s="8"/>
      <c r="AJ37" s="90"/>
      <c r="AK37" s="53"/>
      <c r="AL37" s="23"/>
      <c r="AM37" s="87" t="s">
        <v>738</v>
      </c>
      <c r="AN37" s="75" t="s">
        <v>54</v>
      </c>
      <c r="AO37" s="8"/>
      <c r="AP37" s="91" t="s">
        <v>115</v>
      </c>
      <c r="AQ37" s="51" t="s">
        <v>59</v>
      </c>
      <c r="AR37" s="1"/>
      <c r="AS37" s="87" t="s">
        <v>116</v>
      </c>
      <c r="AT37" s="75" t="s">
        <v>54</v>
      </c>
      <c r="AU37" s="8"/>
      <c r="AV37" s="62" t="s">
        <v>123</v>
      </c>
      <c r="AW37" s="51" t="s">
        <v>59</v>
      </c>
      <c r="AX37" s="1"/>
      <c r="AY37" s="90"/>
      <c r="AZ37" s="53"/>
      <c r="BA37" s="1"/>
      <c r="BB37" s="50" t="s">
        <v>119</v>
      </c>
      <c r="BC37" s="51" t="s">
        <v>59</v>
      </c>
      <c r="BD37" s="8"/>
      <c r="BE37" s="50" t="s">
        <v>125</v>
      </c>
      <c r="BF37" s="51" t="s">
        <v>59</v>
      </c>
      <c r="BG37" s="8"/>
      <c r="BH37" s="87"/>
      <c r="BI37" s="75"/>
      <c r="BJ37" s="8"/>
      <c r="BK37" s="88" t="s">
        <v>121</v>
      </c>
      <c r="BL37" s="75"/>
      <c r="BM37" s="8"/>
      <c r="BN37" s="87" t="s">
        <v>122</v>
      </c>
      <c r="BO37" s="75" t="s">
        <v>54</v>
      </c>
      <c r="BP37" s="8"/>
      <c r="BQ37" s="9"/>
      <c r="BR37" s="9"/>
      <c r="BS37" s="8"/>
      <c r="BT37" s="8"/>
      <c r="BU37" s="8"/>
      <c r="BV37" s="12" t="s">
        <v>33</v>
      </c>
      <c r="BW37" s="92" t="s">
        <v>76</v>
      </c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8"/>
      <c r="DD37" s="8"/>
      <c r="DE37" s="8"/>
      <c r="DF37" s="1"/>
      <c r="DG37" s="1"/>
      <c r="DH37" s="1"/>
      <c r="DI37" s="1"/>
      <c r="DJ37" s="1"/>
      <c r="DK37" s="1"/>
      <c r="DL37" s="1"/>
      <c r="DM37" s="1"/>
    </row>
    <row r="38" spans="1:117" ht="3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9"/>
      <c r="M38" s="9"/>
      <c r="N38" s="8"/>
      <c r="O38" s="8"/>
      <c r="P38" s="8"/>
      <c r="Q38" s="1"/>
      <c r="R38" s="1"/>
      <c r="S38" s="1"/>
      <c r="T38" s="1"/>
      <c r="U38" s="1"/>
      <c r="V38" s="1"/>
      <c r="W38" s="1"/>
      <c r="X38" s="8"/>
      <c r="Y38" s="8"/>
      <c r="Z38" s="1"/>
      <c r="AA38" s="8"/>
      <c r="AB38" s="8"/>
      <c r="AC38" s="23"/>
      <c r="AD38" s="8"/>
      <c r="AE38" s="8"/>
      <c r="AF38" s="8"/>
      <c r="AG38" s="8"/>
      <c r="AH38" s="8"/>
      <c r="AI38" s="8"/>
      <c r="AJ38" s="90"/>
      <c r="AK38" s="53"/>
      <c r="AL38" s="23"/>
      <c r="AM38" s="90"/>
      <c r="AN38" s="53"/>
      <c r="AO38" s="1"/>
      <c r="AP38" s="79" t="s">
        <v>739</v>
      </c>
      <c r="AQ38" s="73" t="s">
        <v>83</v>
      </c>
      <c r="AR38" s="1"/>
      <c r="AS38" s="89"/>
      <c r="AT38" s="53"/>
      <c r="AU38" s="8"/>
      <c r="AV38" s="97" t="s">
        <v>128</v>
      </c>
      <c r="AW38" s="51" t="s">
        <v>59</v>
      </c>
      <c r="AX38" s="1"/>
      <c r="AY38" s="90"/>
      <c r="AZ38" s="53"/>
      <c r="BA38" s="1"/>
      <c r="BB38" s="87"/>
      <c r="BC38" s="75"/>
      <c r="BD38" s="8"/>
      <c r="BE38" s="50" t="s">
        <v>129</v>
      </c>
      <c r="BF38" s="51" t="s">
        <v>59</v>
      </c>
      <c r="BG38" s="8"/>
      <c r="BH38" s="87"/>
      <c r="BI38" s="75"/>
      <c r="BJ38" s="8"/>
      <c r="BK38" s="87"/>
      <c r="BL38" s="75"/>
      <c r="BM38" s="8"/>
      <c r="BN38" s="83" t="s">
        <v>126</v>
      </c>
      <c r="BO38" s="75" t="s">
        <v>54</v>
      </c>
      <c r="BP38" s="8"/>
      <c r="BQ38" s="9"/>
      <c r="BR38" s="9"/>
      <c r="BS38" s="8"/>
      <c r="BT38" s="8"/>
      <c r="BU38" s="8"/>
      <c r="BV38" s="12" t="s">
        <v>28</v>
      </c>
      <c r="BW38" s="98" t="s">
        <v>130</v>
      </c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8"/>
      <c r="DD38" s="8"/>
      <c r="DE38" s="8"/>
      <c r="DF38" s="1"/>
      <c r="DG38" s="1"/>
      <c r="DH38" s="1"/>
      <c r="DI38" s="1"/>
      <c r="DJ38" s="1"/>
      <c r="DK38" s="1"/>
      <c r="DL38" s="1"/>
      <c r="DM38" s="1"/>
    </row>
    <row r="39" spans="1:117" ht="3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9"/>
      <c r="M39" s="9"/>
      <c r="N39" s="8"/>
      <c r="O39" s="8"/>
      <c r="P39" s="8"/>
      <c r="Q39" s="1"/>
      <c r="R39" s="1"/>
      <c r="S39" s="1"/>
      <c r="T39" s="1"/>
      <c r="U39" s="1"/>
      <c r="V39" s="1"/>
      <c r="W39" s="1"/>
      <c r="X39" s="8"/>
      <c r="Y39" s="8"/>
      <c r="Z39" s="1"/>
      <c r="AA39" s="8"/>
      <c r="AB39" s="8"/>
      <c r="AC39" s="23"/>
      <c r="AD39" s="8"/>
      <c r="AE39" s="8"/>
      <c r="AF39" s="8"/>
      <c r="AG39" s="8"/>
      <c r="AH39" s="8"/>
      <c r="AI39" s="8"/>
      <c r="AJ39" s="90"/>
      <c r="AK39" s="53"/>
      <c r="AL39" s="23"/>
      <c r="AM39" s="90"/>
      <c r="AN39" s="53"/>
      <c r="AO39" s="8"/>
      <c r="AP39" s="95" t="s">
        <v>127</v>
      </c>
      <c r="AQ39" s="94" t="s">
        <v>54</v>
      </c>
      <c r="AR39" s="1"/>
      <c r="AS39" s="96"/>
      <c r="AT39" s="53"/>
      <c r="AU39" s="8"/>
      <c r="AV39" s="90" t="s">
        <v>131</v>
      </c>
      <c r="AW39" s="51" t="s">
        <v>59</v>
      </c>
      <c r="AX39" s="1"/>
      <c r="AY39" s="90"/>
      <c r="AZ39" s="53"/>
      <c r="BA39" s="1"/>
      <c r="BB39" s="90"/>
      <c r="BC39" s="53"/>
      <c r="BD39" s="8"/>
      <c r="BE39" s="87"/>
      <c r="BF39" s="75"/>
      <c r="BG39" s="8"/>
      <c r="BH39" s="96"/>
      <c r="BI39" s="75"/>
      <c r="BJ39" s="8"/>
      <c r="BK39" s="87"/>
      <c r="BL39" s="75"/>
      <c r="BM39" s="8"/>
      <c r="BN39" s="87"/>
      <c r="BO39" s="75"/>
      <c r="BP39" s="8"/>
      <c r="BQ39" s="9"/>
      <c r="BR39" s="9"/>
      <c r="BS39" s="8"/>
      <c r="BT39" s="8"/>
      <c r="BU39" s="8"/>
      <c r="BV39" s="12" t="s">
        <v>17</v>
      </c>
      <c r="BW39" s="77" t="s">
        <v>132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8"/>
      <c r="DD39" s="8"/>
      <c r="DE39" s="8"/>
      <c r="DF39" s="1"/>
      <c r="DG39" s="1"/>
      <c r="DH39" s="1"/>
      <c r="DI39" s="1"/>
      <c r="DJ39" s="1"/>
      <c r="DK39" s="1"/>
      <c r="DL39" s="1"/>
      <c r="DM39" s="1"/>
    </row>
    <row r="40" spans="1:117" ht="3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9"/>
      <c r="M40" s="9"/>
      <c r="N40" s="8"/>
      <c r="O40" s="8"/>
      <c r="P40" s="8"/>
      <c r="Q40" s="1"/>
      <c r="R40" s="1"/>
      <c r="S40" s="1"/>
      <c r="T40" s="1"/>
      <c r="U40" s="1"/>
      <c r="V40" s="1"/>
      <c r="W40" s="1"/>
      <c r="X40" s="8"/>
      <c r="Y40" s="8"/>
      <c r="Z40" s="1"/>
      <c r="AA40" s="8"/>
      <c r="AB40" s="8"/>
      <c r="AC40" s="23"/>
      <c r="AD40" s="8"/>
      <c r="AE40" s="8"/>
      <c r="AF40" s="8"/>
      <c r="AG40" s="8"/>
      <c r="AH40" s="8"/>
      <c r="AI40" s="8"/>
      <c r="AJ40" s="90"/>
      <c r="AK40" s="53"/>
      <c r="AL40" s="23"/>
      <c r="AM40" s="90"/>
      <c r="AN40" s="53"/>
      <c r="AO40" s="1"/>
      <c r="AP40" s="89"/>
      <c r="AQ40" s="53"/>
      <c r="AR40" s="1"/>
      <c r="AS40" s="96"/>
      <c r="AT40" s="53"/>
      <c r="AU40" s="8"/>
      <c r="AV40" s="87"/>
      <c r="AW40" s="53"/>
      <c r="AX40" s="1"/>
      <c r="AY40" s="87"/>
      <c r="AZ40" s="99"/>
      <c r="BA40" s="1"/>
      <c r="BB40" s="87"/>
      <c r="BC40" s="99"/>
      <c r="BD40" s="8"/>
      <c r="BE40" s="87"/>
      <c r="BF40" s="99"/>
      <c r="BG40" s="8"/>
      <c r="BH40" s="87"/>
      <c r="BI40" s="99"/>
      <c r="BJ40" s="8"/>
      <c r="BK40" s="87"/>
      <c r="BL40" s="99"/>
      <c r="BM40" s="8"/>
      <c r="BN40" s="87"/>
      <c r="BO40" s="65"/>
      <c r="BP40" s="8"/>
      <c r="BQ40" s="9"/>
      <c r="BR40" s="9"/>
      <c r="BS40" s="1"/>
      <c r="BT40" s="1"/>
      <c r="BU40" s="1"/>
      <c r="BV40" s="105" t="s">
        <v>38</v>
      </c>
      <c r="BW40" s="106" t="s">
        <v>98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8"/>
      <c r="DD40" s="8"/>
      <c r="DE40" s="8"/>
      <c r="DF40" s="1"/>
      <c r="DG40" s="1"/>
      <c r="DH40" s="1"/>
      <c r="DI40" s="1"/>
      <c r="DJ40" s="1"/>
      <c r="DK40" s="1"/>
      <c r="DL40" s="1"/>
      <c r="DM40" s="1"/>
    </row>
    <row r="41" spans="1:117" ht="3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9"/>
      <c r="M41" s="9"/>
      <c r="N41" s="8"/>
      <c r="O41" s="8"/>
      <c r="P41" s="8"/>
      <c r="Q41" s="1"/>
      <c r="R41" s="1"/>
      <c r="S41" s="1"/>
      <c r="T41" s="1"/>
      <c r="U41" s="1"/>
      <c r="V41" s="1"/>
      <c r="W41" s="1"/>
      <c r="X41" s="8"/>
      <c r="Y41" s="8"/>
      <c r="Z41" s="1"/>
      <c r="AA41" s="8"/>
      <c r="AB41" s="8"/>
      <c r="AC41" s="23"/>
      <c r="AD41" s="8"/>
      <c r="AE41" s="8"/>
      <c r="AF41" s="8"/>
      <c r="AG41" s="8"/>
      <c r="AH41" s="8"/>
      <c r="AI41" s="8"/>
      <c r="AJ41" s="100"/>
      <c r="AK41" s="101"/>
      <c r="AL41" s="23"/>
      <c r="AM41" s="102"/>
      <c r="AN41" s="103"/>
      <c r="AO41" s="1"/>
      <c r="AP41" s="102"/>
      <c r="AQ41" s="103"/>
      <c r="AR41" s="1"/>
      <c r="AS41" s="102"/>
      <c r="AT41" s="103"/>
      <c r="AU41" s="8"/>
      <c r="AV41" s="102"/>
      <c r="AW41" s="103"/>
      <c r="AX41" s="1"/>
      <c r="AY41" s="102"/>
      <c r="AZ41" s="103"/>
      <c r="BA41" s="1"/>
      <c r="BB41" s="102"/>
      <c r="BC41" s="103"/>
      <c r="BD41" s="104"/>
      <c r="BE41" s="102"/>
      <c r="BF41" s="103"/>
      <c r="BG41" s="104"/>
      <c r="BH41" s="102"/>
      <c r="BI41" s="103"/>
      <c r="BJ41" s="104"/>
      <c r="BK41" s="102"/>
      <c r="BL41" s="103"/>
      <c r="BM41" s="104"/>
      <c r="BN41" s="102"/>
      <c r="BO41" s="103"/>
      <c r="BP41" s="104"/>
      <c r="BQ41" s="9"/>
      <c r="BR41" s="9"/>
      <c r="BS41" s="1"/>
      <c r="BT41" s="1"/>
      <c r="BU41" s="1"/>
      <c r="BV41" s="107" t="s">
        <v>133</v>
      </c>
      <c r="BW41" s="108" t="s">
        <v>98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8"/>
      <c r="DD41" s="8"/>
      <c r="DE41" s="8"/>
      <c r="DF41" s="1"/>
      <c r="DG41" s="1"/>
      <c r="DH41" s="1"/>
      <c r="DI41" s="1"/>
      <c r="DJ41" s="1"/>
      <c r="DK41" s="1"/>
      <c r="DL41" s="1"/>
      <c r="DM41" s="1"/>
    </row>
    <row r="42" spans="1:117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9"/>
      <c r="M42" s="9"/>
      <c r="N42" s="8"/>
      <c r="O42" s="8"/>
      <c r="P42" s="8"/>
      <c r="Q42" s="1"/>
      <c r="R42" s="1"/>
      <c r="S42" s="1"/>
      <c r="T42" s="1"/>
      <c r="U42" s="1"/>
      <c r="V42" s="1"/>
      <c r="W42" s="1"/>
      <c r="X42" s="8"/>
      <c r="Y42" s="8"/>
      <c r="Z42" s="1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8"/>
      <c r="DD42" s="8"/>
      <c r="DE42" s="8"/>
      <c r="DF42" s="1"/>
      <c r="DG42" s="1"/>
      <c r="DH42" s="1"/>
      <c r="DI42" s="1"/>
      <c r="DJ42" s="1"/>
      <c r="DK42" s="1"/>
      <c r="DL42" s="1"/>
      <c r="DM42" s="1"/>
    </row>
    <row r="43" spans="1:117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9"/>
      <c r="M43" s="9"/>
      <c r="N43" s="8"/>
      <c r="O43" s="8"/>
      <c r="P43" s="8"/>
      <c r="Q43" s="1"/>
      <c r="R43" s="1"/>
      <c r="S43" s="1"/>
      <c r="T43" s="1"/>
      <c r="U43" s="1"/>
      <c r="V43" s="1"/>
      <c r="W43" s="1"/>
      <c r="X43" s="8"/>
      <c r="Y43" s="8"/>
      <c r="Z43" s="1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9"/>
      <c r="BP43" s="9"/>
      <c r="BQ43" s="9"/>
      <c r="BR43" s="9"/>
      <c r="BS43" s="1"/>
      <c r="BT43" s="1"/>
      <c r="BU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8"/>
      <c r="DD43" s="8"/>
      <c r="DE43" s="8"/>
      <c r="DF43" s="1"/>
      <c r="DG43" s="1"/>
      <c r="DH43" s="1"/>
      <c r="DI43" s="1"/>
      <c r="DJ43" s="1"/>
      <c r="DK43" s="1"/>
      <c r="DL43" s="1"/>
      <c r="DM43" s="1"/>
    </row>
    <row r="44" spans="1:117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9"/>
      <c r="M44" s="9"/>
      <c r="N44" s="8"/>
      <c r="O44" s="8"/>
      <c r="P44" s="8"/>
      <c r="Q44" s="1"/>
      <c r="R44" s="1"/>
      <c r="S44" s="1"/>
      <c r="T44" s="1"/>
      <c r="U44" s="1"/>
      <c r="V44" s="1"/>
      <c r="W44" s="1"/>
      <c r="X44" s="8"/>
      <c r="Y44" s="8"/>
      <c r="Z44" s="1"/>
      <c r="AA44" s="8"/>
      <c r="AB44" s="8"/>
      <c r="AC44" s="23"/>
      <c r="AD44" s="20"/>
      <c r="AE44" s="25"/>
      <c r="AF44" s="1"/>
      <c r="AG44" s="8"/>
      <c r="AH44" s="8"/>
      <c r="AI44" s="8"/>
      <c r="AJ44" s="8"/>
      <c r="AK44" s="8"/>
      <c r="AL44" s="8"/>
      <c r="AM44" s="9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1"/>
      <c r="BF44" s="1"/>
      <c r="BG44" s="1"/>
      <c r="BH44" s="8"/>
      <c r="BI44" s="8"/>
      <c r="BJ44" s="8"/>
      <c r="BK44" s="8"/>
      <c r="BL44" s="8"/>
      <c r="BM44" s="8"/>
      <c r="BN44" s="8"/>
      <c r="BO44" s="9"/>
      <c r="BP44" s="9"/>
      <c r="BQ44" s="9"/>
      <c r="BR44" s="9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8"/>
      <c r="DD44" s="8"/>
      <c r="DE44" s="8"/>
      <c r="DF44" s="1"/>
      <c r="DG44" s="1"/>
      <c r="DH44" s="1"/>
      <c r="DI44" s="1"/>
      <c r="DJ44" s="1"/>
      <c r="DK44" s="1"/>
      <c r="DL44" s="1"/>
      <c r="DM44" s="1"/>
    </row>
    <row r="45" spans="1:117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9"/>
      <c r="M45" s="9"/>
      <c r="N45" s="8"/>
      <c r="O45" s="8"/>
      <c r="P45" s="8"/>
      <c r="Q45" s="1"/>
      <c r="R45" s="1"/>
      <c r="S45" s="1"/>
      <c r="T45" s="1"/>
      <c r="U45" s="1"/>
      <c r="V45" s="1"/>
      <c r="W45" s="1"/>
      <c r="X45" s="8"/>
      <c r="Y45" s="8"/>
      <c r="Z45" s="1"/>
      <c r="AA45" s="8"/>
      <c r="AB45" s="8"/>
      <c r="AC45" s="23"/>
      <c r="AD45" s="20"/>
      <c r="AE45" s="25"/>
      <c r="AF45" s="1"/>
      <c r="AG45" s="8"/>
      <c r="AH45" s="8"/>
      <c r="AI45" s="8"/>
      <c r="AJ45" s="8"/>
      <c r="AK45" s="8"/>
      <c r="AL45" s="8"/>
      <c r="AM45" s="9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1"/>
      <c r="BF45" s="1"/>
      <c r="BG45" s="1"/>
      <c r="BH45" s="8"/>
      <c r="BI45" s="8"/>
      <c r="BJ45" s="8"/>
      <c r="BK45" s="8"/>
      <c r="BL45" s="8"/>
      <c r="BM45" s="8"/>
      <c r="BN45" s="8"/>
      <c r="BO45" s="9"/>
      <c r="BP45" s="9"/>
      <c r="BQ45" s="9"/>
      <c r="BR45" s="9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8"/>
      <c r="DD45" s="8"/>
      <c r="DE45" s="8"/>
      <c r="DF45" s="1"/>
      <c r="DG45" s="1"/>
      <c r="DH45" s="1"/>
      <c r="DI45" s="1"/>
      <c r="DJ45" s="1"/>
      <c r="DK45" s="1"/>
      <c r="DL45" s="1"/>
      <c r="DM45" s="1"/>
    </row>
    <row r="46" spans="1:117" ht="3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9"/>
      <c r="M46" s="9"/>
      <c r="N46" s="8"/>
      <c r="O46" s="8"/>
      <c r="P46" s="8"/>
      <c r="Q46" s="1"/>
      <c r="R46" s="1"/>
      <c r="S46" s="1"/>
      <c r="T46" s="1"/>
      <c r="U46" s="1"/>
      <c r="V46" s="1"/>
      <c r="W46" s="1"/>
      <c r="X46" s="1"/>
      <c r="Y46" s="1"/>
      <c r="Z46" s="1"/>
      <c r="AA46" s="8"/>
      <c r="AB46" s="8"/>
      <c r="AC46" s="23"/>
      <c r="AD46" s="20"/>
      <c r="AE46" s="25"/>
      <c r="AF46" s="1"/>
      <c r="AG46" s="8"/>
      <c r="AH46" s="8"/>
      <c r="AI46" s="8"/>
      <c r="AJ46" s="8"/>
      <c r="AK46" s="8"/>
      <c r="AL46" s="8"/>
      <c r="AM46" s="9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1"/>
      <c r="BF46" s="1"/>
      <c r="BG46" s="1"/>
      <c r="BH46" s="8"/>
      <c r="BI46" s="8"/>
      <c r="BJ46" s="8"/>
      <c r="BK46" s="8"/>
      <c r="BL46" s="8"/>
      <c r="BM46" s="8"/>
      <c r="BN46" s="8"/>
      <c r="BO46" s="9"/>
      <c r="BP46" s="9"/>
      <c r="BQ46" s="9"/>
      <c r="BR46" s="9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8"/>
      <c r="DD46" s="8"/>
      <c r="DE46" s="8"/>
      <c r="DF46" s="1"/>
      <c r="DG46" s="1"/>
      <c r="DH46" s="1"/>
      <c r="DI46" s="1"/>
      <c r="DJ46" s="1"/>
      <c r="DK46" s="1"/>
      <c r="DL46" s="1"/>
      <c r="DM46" s="1"/>
    </row>
    <row r="47" spans="1:117" ht="3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9"/>
      <c r="M47" s="9"/>
      <c r="N47" s="8"/>
      <c r="O47" s="8"/>
      <c r="P47" s="8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8"/>
      <c r="AH47" s="8"/>
      <c r="AI47" s="8"/>
      <c r="AJ47" s="8"/>
      <c r="AK47" s="8"/>
      <c r="AL47" s="8"/>
      <c r="AM47" s="9"/>
      <c r="AN47" s="8"/>
      <c r="AO47" s="8"/>
      <c r="AP47" s="8"/>
      <c r="AQ47" s="8"/>
      <c r="AR47" s="8"/>
      <c r="AS47" s="8"/>
      <c r="AT47" s="8"/>
      <c r="AU47" s="8"/>
      <c r="AV47" s="965" t="s">
        <v>134</v>
      </c>
      <c r="AW47" s="907"/>
      <c r="AX47" s="907"/>
      <c r="AY47" s="907"/>
      <c r="AZ47" s="907"/>
      <c r="BA47" s="907"/>
      <c r="BB47" s="907"/>
      <c r="BC47" s="907"/>
      <c r="BD47" s="907"/>
      <c r="BE47" s="908"/>
      <c r="BF47" s="8"/>
      <c r="BG47" s="8"/>
      <c r="BH47" s="1"/>
      <c r="BI47" s="1"/>
      <c r="BJ47" s="1"/>
      <c r="BK47" s="1"/>
      <c r="BL47" s="1"/>
      <c r="BM47" s="1"/>
      <c r="BN47" s="8"/>
      <c r="BO47" s="9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8"/>
      <c r="DD47" s="8"/>
      <c r="DE47" s="8"/>
      <c r="DF47" s="1"/>
      <c r="DG47" s="1"/>
      <c r="DH47" s="1"/>
      <c r="DI47" s="1"/>
      <c r="DJ47" s="1"/>
      <c r="DK47" s="1"/>
      <c r="DL47" s="1"/>
      <c r="DM47" s="1"/>
    </row>
    <row r="48" spans="1:117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9"/>
      <c r="M48" s="9"/>
      <c r="N48" s="8"/>
      <c r="O48" s="8"/>
      <c r="P48" s="8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8"/>
      <c r="AH48" s="8"/>
      <c r="AI48" s="8"/>
      <c r="AJ48" s="8"/>
      <c r="AK48" s="8"/>
      <c r="AL48" s="8"/>
      <c r="AM48" s="9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6"/>
      <c r="BG48" s="1"/>
      <c r="BH48" s="1"/>
      <c r="BI48" s="1"/>
      <c r="BJ48" s="1"/>
      <c r="BK48" s="1"/>
      <c r="BL48" s="1"/>
      <c r="BM48" s="1"/>
      <c r="BN48" s="8"/>
      <c r="BO48" s="9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924" t="s">
        <v>135</v>
      </c>
      <c r="CC48" s="925"/>
      <c r="CD48" s="925"/>
      <c r="CE48" s="925"/>
      <c r="CF48" s="925"/>
      <c r="CG48" s="926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</row>
    <row r="49" spans="1:117" ht="9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  <c r="M49" s="9"/>
      <c r="N49" s="8"/>
      <c r="O49" s="8"/>
      <c r="P49" s="8"/>
      <c r="Q49" s="8"/>
      <c r="R49" s="8"/>
      <c r="S49" s="8"/>
      <c r="T49" s="8"/>
      <c r="U49" s="8"/>
      <c r="V49" s="8"/>
      <c r="W49" s="8"/>
      <c r="X49" s="9"/>
      <c r="Y49" s="8"/>
      <c r="Z49" s="8"/>
      <c r="AA49" s="9"/>
      <c r="AB49" s="9"/>
      <c r="AC49" s="9"/>
      <c r="AD49" s="9"/>
      <c r="AE49" s="9"/>
      <c r="AF49" s="9"/>
      <c r="AG49" s="8"/>
      <c r="AH49" s="8"/>
      <c r="AI49" s="8"/>
      <c r="AJ49" s="8"/>
      <c r="AK49" s="8"/>
      <c r="AL49" s="8"/>
      <c r="AM49" s="9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"/>
      <c r="BK49" s="8"/>
      <c r="BL49" s="8"/>
      <c r="BM49" s="8"/>
      <c r="BN49" s="8"/>
      <c r="BO49" s="9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927"/>
      <c r="CC49" s="928"/>
      <c r="CD49" s="928"/>
      <c r="CE49" s="928"/>
      <c r="CF49" s="928"/>
      <c r="CG49" s="929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</row>
    <row r="50" spans="1:117" ht="24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  <c r="M50" s="9"/>
      <c r="N50" s="8"/>
      <c r="O50" s="8"/>
      <c r="P50" s="8"/>
      <c r="Q50" s="8"/>
      <c r="R50" s="8"/>
      <c r="S50" s="8"/>
      <c r="T50" s="8"/>
      <c r="U50" s="8"/>
      <c r="V50" s="8"/>
      <c r="W50" s="8"/>
      <c r="X50" s="9"/>
      <c r="Y50" s="8"/>
      <c r="Z50" s="8"/>
      <c r="AA50" s="9"/>
      <c r="AB50" s="9"/>
      <c r="AC50" s="9"/>
      <c r="AD50" s="9"/>
      <c r="AE50" s="9"/>
      <c r="AF50" s="9"/>
      <c r="AG50" s="8"/>
      <c r="AH50" s="8"/>
      <c r="AI50" s="8"/>
      <c r="AJ50" s="8"/>
      <c r="AK50" s="8"/>
      <c r="AL50" s="8"/>
      <c r="AM50" s="9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"/>
      <c r="BK50" s="8"/>
      <c r="BL50" s="8"/>
      <c r="BM50" s="8"/>
      <c r="BN50" s="8"/>
      <c r="BO50" s="9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906" t="s">
        <v>136</v>
      </c>
      <c r="CC50" s="907"/>
      <c r="CD50" s="907"/>
      <c r="CE50" s="907"/>
      <c r="CF50" s="907"/>
      <c r="CG50" s="908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</row>
    <row r="51" spans="1:117" ht="29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9"/>
      <c r="M51" s="9"/>
      <c r="N51" s="8"/>
      <c r="O51" s="8"/>
      <c r="P51" s="8"/>
      <c r="Q51" s="8"/>
      <c r="R51" s="9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109"/>
      <c r="AF51" s="109"/>
      <c r="AG51" s="109"/>
      <c r="AH51" s="8"/>
      <c r="AI51" s="8"/>
      <c r="AJ51" s="8"/>
      <c r="AK51" s="8"/>
      <c r="AL51" s="8"/>
      <c r="AM51" s="9"/>
      <c r="AN51" s="8"/>
      <c r="AO51" s="8"/>
      <c r="AP51" s="8"/>
      <c r="AQ51" s="8"/>
      <c r="AR51" s="8"/>
      <c r="AS51" s="8"/>
      <c r="AT51" s="8"/>
      <c r="AU51" s="8"/>
      <c r="AV51" s="9"/>
      <c r="AW51" s="8"/>
      <c r="AX51" s="8"/>
      <c r="AY51" s="9"/>
      <c r="AZ51" s="8"/>
      <c r="BA51" s="8"/>
      <c r="BB51" s="9"/>
      <c r="BC51" s="6"/>
      <c r="BD51" s="8"/>
      <c r="BE51" s="8"/>
      <c r="BF51" s="8"/>
      <c r="BG51" s="8"/>
      <c r="BH51" s="8"/>
      <c r="BI51" s="8"/>
      <c r="BJ51" s="1"/>
      <c r="BK51" s="8"/>
      <c r="BL51" s="8"/>
      <c r="BM51" s="8"/>
      <c r="BN51" s="8"/>
      <c r="BO51" s="9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8"/>
      <c r="CD51" s="8"/>
      <c r="CE51" s="8"/>
      <c r="CF51" s="8"/>
      <c r="CG51" s="8"/>
      <c r="CH51" s="8"/>
      <c r="CI51" s="8"/>
      <c r="CJ51" s="8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</row>
    <row r="52" spans="1:117" ht="17.25" customHeight="1">
      <c r="A52" s="8"/>
      <c r="B52" s="8"/>
      <c r="C52" s="8"/>
      <c r="D52" s="8"/>
      <c r="E52" s="8"/>
      <c r="F52" s="8"/>
      <c r="G52" s="8"/>
      <c r="H52" s="8"/>
      <c r="I52" s="8"/>
      <c r="J52" s="31"/>
      <c r="K52" s="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11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3"/>
      <c r="BI52" s="8"/>
      <c r="BJ52" s="8"/>
      <c r="BK52" s="8"/>
      <c r="BL52" s="8"/>
      <c r="BM52" s="1"/>
      <c r="BN52" s="8"/>
      <c r="BO52" s="8"/>
      <c r="BP52" s="1"/>
      <c r="BQ52" s="1"/>
      <c r="BR52" s="1"/>
      <c r="BS52" s="1"/>
      <c r="BT52" s="1"/>
      <c r="BU52" s="1"/>
      <c r="BV52" s="8"/>
      <c r="BW52" s="8"/>
      <c r="BX52" s="8"/>
      <c r="BY52" s="110"/>
      <c r="BZ52" s="111"/>
      <c r="CA52" s="111"/>
      <c r="CB52" s="111"/>
      <c r="CC52" s="112"/>
      <c r="CD52" s="112"/>
      <c r="CE52" s="112"/>
      <c r="CF52" s="112"/>
      <c r="CG52" s="112"/>
      <c r="CH52" s="112"/>
      <c r="CI52" s="112"/>
      <c r="CJ52" s="112"/>
      <c r="CK52" s="113"/>
      <c r="CL52" s="6"/>
      <c r="CM52" s="6"/>
      <c r="CN52" s="6"/>
      <c r="CO52" s="6"/>
      <c r="CP52" s="6"/>
      <c r="CQ52" s="6"/>
      <c r="CR52" s="6"/>
      <c r="CS52" s="6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</row>
    <row r="53" spans="1:117" ht="21.75" customHeight="1">
      <c r="A53" s="8"/>
      <c r="B53" s="8"/>
      <c r="C53" s="8"/>
      <c r="D53" s="8"/>
      <c r="E53" s="8"/>
      <c r="F53" s="8"/>
      <c r="G53" s="8"/>
      <c r="H53" s="8"/>
      <c r="I53" s="906" t="s">
        <v>137</v>
      </c>
      <c r="J53" s="907"/>
      <c r="K53" s="907"/>
      <c r="L53" s="908"/>
      <c r="M53" s="9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906" t="s">
        <v>138</v>
      </c>
      <c r="AL53" s="907"/>
      <c r="AM53" s="907"/>
      <c r="AN53" s="907"/>
      <c r="AO53" s="907"/>
      <c r="AP53" s="908"/>
      <c r="AQ53" s="9"/>
      <c r="AR53" s="9"/>
      <c r="AS53" s="9"/>
      <c r="AT53" s="9"/>
      <c r="AU53" s="9"/>
      <c r="AV53" s="9"/>
      <c r="AW53" s="8"/>
      <c r="AX53" s="8"/>
      <c r="AY53" s="9"/>
      <c r="AZ53" s="114"/>
      <c r="BA53" s="8"/>
      <c r="BB53" s="8"/>
      <c r="BC53" s="8"/>
      <c r="BD53" s="8"/>
      <c r="BE53" s="8"/>
      <c r="BF53" s="8"/>
      <c r="BG53" s="8"/>
      <c r="BH53" s="906" t="s">
        <v>139</v>
      </c>
      <c r="BI53" s="907"/>
      <c r="BJ53" s="908"/>
      <c r="BK53" s="8"/>
      <c r="BL53" s="8"/>
      <c r="BM53" s="1"/>
      <c r="BN53" s="8"/>
      <c r="BO53" s="8"/>
      <c r="BP53" s="1"/>
      <c r="BQ53" s="1"/>
      <c r="BR53" s="1"/>
      <c r="BS53" s="1"/>
      <c r="BT53" s="1"/>
      <c r="BU53" s="1"/>
      <c r="BV53" s="1"/>
      <c r="BW53" s="915" t="s">
        <v>140</v>
      </c>
      <c r="BX53" s="916"/>
      <c r="BY53" s="917"/>
      <c r="BZ53" s="6"/>
      <c r="CA53" s="8"/>
      <c r="CB53" s="8"/>
      <c r="CC53" s="6"/>
      <c r="CD53" s="8"/>
      <c r="CE53" s="1"/>
      <c r="CF53" s="1"/>
      <c r="CG53" s="8"/>
      <c r="CH53" s="6"/>
      <c r="CI53" s="6"/>
      <c r="CJ53" s="8"/>
      <c r="CK53" s="915" t="s">
        <v>141</v>
      </c>
      <c r="CL53" s="916"/>
      <c r="CM53" s="917"/>
      <c r="CN53" s="6"/>
      <c r="CO53" s="6"/>
      <c r="CP53" s="6"/>
      <c r="CQ53" s="6"/>
      <c r="CR53" s="2"/>
      <c r="CS53" s="6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</row>
    <row r="54" spans="1:117" ht="19.5" customHeight="1">
      <c r="A54" s="8"/>
      <c r="B54" s="8"/>
      <c r="C54" s="8"/>
      <c r="D54" s="8"/>
      <c r="E54" s="8"/>
      <c r="F54" s="8"/>
      <c r="G54" s="8"/>
      <c r="H54" s="8"/>
      <c r="I54" s="906" t="s">
        <v>142</v>
      </c>
      <c r="J54" s="907"/>
      <c r="K54" s="907"/>
      <c r="L54" s="908"/>
      <c r="M54" s="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9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9"/>
      <c r="AZ54" s="114"/>
      <c r="BA54" s="8"/>
      <c r="BB54" s="8"/>
      <c r="BC54" s="8"/>
      <c r="BD54" s="8"/>
      <c r="BE54" s="115"/>
      <c r="BF54" s="115"/>
      <c r="BG54" s="8"/>
      <c r="BH54" s="912" t="s">
        <v>142</v>
      </c>
      <c r="BI54" s="913"/>
      <c r="BJ54" s="914"/>
      <c r="BK54" s="8"/>
      <c r="BL54" s="8"/>
      <c r="BM54" s="1"/>
      <c r="BN54" s="8"/>
      <c r="BO54" s="8"/>
      <c r="BP54" s="1"/>
      <c r="BQ54" s="1"/>
      <c r="BR54" s="1"/>
      <c r="BS54" s="1"/>
      <c r="BT54" s="1"/>
      <c r="BU54" s="1"/>
      <c r="BV54" s="6"/>
      <c r="BW54" s="909" t="s">
        <v>143</v>
      </c>
      <c r="BX54" s="910"/>
      <c r="BY54" s="911"/>
      <c r="BZ54" s="6"/>
      <c r="CA54" s="8"/>
      <c r="CB54" s="8"/>
      <c r="CC54" s="6"/>
      <c r="CD54" s="8"/>
      <c r="CE54" s="1"/>
      <c r="CF54" s="1"/>
      <c r="CG54" s="8"/>
      <c r="CH54" s="6"/>
      <c r="CI54" s="6"/>
      <c r="CJ54" s="8"/>
      <c r="CK54" s="909" t="s">
        <v>144</v>
      </c>
      <c r="CL54" s="910"/>
      <c r="CM54" s="911"/>
      <c r="CN54" s="6"/>
      <c r="CO54" s="6"/>
      <c r="CP54" s="6"/>
      <c r="CQ54" s="6"/>
      <c r="CR54" s="6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</row>
    <row r="55" spans="1:117" ht="10.5" customHeight="1">
      <c r="A55" s="8"/>
      <c r="B55" s="8"/>
      <c r="C55" s="8"/>
      <c r="D55" s="8"/>
      <c r="E55" s="8"/>
      <c r="F55" s="8"/>
      <c r="G55" s="8"/>
      <c r="H55" s="8"/>
      <c r="I55" s="9"/>
      <c r="J55" s="9"/>
      <c r="K55" s="8"/>
      <c r="L55" s="8"/>
      <c r="M55" s="116"/>
      <c r="N55" s="8"/>
      <c r="O55" s="116"/>
      <c r="P55" s="109"/>
      <c r="Q55" s="109"/>
      <c r="R55" s="116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117"/>
      <c r="AF55" s="117"/>
      <c r="AG55" s="117"/>
      <c r="AH55" s="117"/>
      <c r="AI55" s="117"/>
      <c r="AJ55" s="117"/>
      <c r="AK55" s="117"/>
      <c r="AL55" s="117"/>
      <c r="AM55" s="118"/>
      <c r="AN55" s="117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9"/>
      <c r="AZ55" s="114"/>
      <c r="BA55" s="8"/>
      <c r="BB55" s="8"/>
      <c r="BC55" s="8"/>
      <c r="BD55" s="8"/>
      <c r="BE55" s="115"/>
      <c r="BF55" s="115"/>
      <c r="BG55" s="8"/>
      <c r="BH55" s="115"/>
      <c r="BI55" s="115"/>
      <c r="BJ55" s="8"/>
      <c r="BK55" s="8"/>
      <c r="BL55" s="8"/>
      <c r="BM55" s="1"/>
      <c r="BN55" s="8"/>
      <c r="BO55" s="8"/>
      <c r="BP55" s="1"/>
      <c r="BQ55" s="1"/>
      <c r="BR55" s="1"/>
      <c r="BS55" s="1"/>
      <c r="BT55" s="1"/>
      <c r="BU55" s="1"/>
      <c r="BV55" s="6"/>
      <c r="BW55" s="6"/>
      <c r="BX55" s="6"/>
      <c r="BY55" s="6"/>
      <c r="BZ55" s="6"/>
      <c r="CA55" s="8"/>
      <c r="CB55" s="6"/>
      <c r="CC55" s="6"/>
      <c r="CD55" s="8"/>
      <c r="CE55" s="1"/>
      <c r="CF55" s="1"/>
      <c r="CG55" s="1"/>
      <c r="CH55" s="1"/>
      <c r="CI55" s="1"/>
      <c r="CJ55" s="8"/>
      <c r="CK55" s="1"/>
      <c r="CL55" s="6"/>
      <c r="CM55" s="8"/>
      <c r="CN55" s="6"/>
      <c r="CO55" s="6"/>
      <c r="CP55" s="6"/>
      <c r="CQ55" s="6"/>
      <c r="CR55" s="6"/>
      <c r="CS55" s="6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</row>
    <row r="56" spans="1:117" ht="9.75" customHeight="1">
      <c r="A56" s="8"/>
      <c r="B56" s="8"/>
      <c r="C56" s="9"/>
      <c r="D56" s="119"/>
      <c r="E56" s="32"/>
      <c r="F56" s="33"/>
      <c r="G56" s="31"/>
      <c r="H56" s="32"/>
      <c r="I56" s="33"/>
      <c r="J56" s="31"/>
      <c r="K56" s="31"/>
      <c r="L56" s="31"/>
      <c r="M56" s="31"/>
      <c r="N56" s="31"/>
      <c r="O56" s="31"/>
      <c r="P56" s="8"/>
      <c r="Q56" s="31"/>
      <c r="R56" s="31"/>
      <c r="S56" s="8"/>
      <c r="T56" s="8"/>
      <c r="U56" s="8"/>
      <c r="V56" s="8"/>
      <c r="W56" s="8"/>
      <c r="X56" s="8"/>
      <c r="Y56" s="8"/>
      <c r="Z56" s="8"/>
      <c r="AA56" s="8"/>
      <c r="AB56" s="31"/>
      <c r="AC56" s="32"/>
      <c r="AD56" s="32"/>
      <c r="AE56" s="31"/>
      <c r="AF56" s="32"/>
      <c r="AG56" s="32"/>
      <c r="AH56" s="31"/>
      <c r="AI56" s="32"/>
      <c r="AJ56" s="32"/>
      <c r="AK56" s="31"/>
      <c r="AL56" s="32"/>
      <c r="AM56" s="15"/>
      <c r="AN56" s="31"/>
      <c r="AO56" s="32"/>
      <c r="AP56" s="32"/>
      <c r="AQ56" s="31" t="s">
        <v>145</v>
      </c>
      <c r="AR56" s="32"/>
      <c r="AS56" s="32"/>
      <c r="AT56" s="32"/>
      <c r="AU56" s="32"/>
      <c r="AV56" s="8"/>
      <c r="AW56" s="8"/>
      <c r="AX56" s="8"/>
      <c r="AY56" s="9"/>
      <c r="AZ56" s="114"/>
      <c r="BA56" s="8"/>
      <c r="BB56" s="8"/>
      <c r="BC56" s="8"/>
      <c r="BD56" s="8"/>
      <c r="BE56" s="120"/>
      <c r="BF56" s="31"/>
      <c r="BG56" s="8"/>
      <c r="BH56" s="33"/>
      <c r="BI56" s="32"/>
      <c r="BJ56" s="32"/>
      <c r="BK56" s="33"/>
      <c r="BL56" s="8"/>
      <c r="BM56" s="1"/>
      <c r="BN56" s="8"/>
      <c r="BO56" s="8"/>
      <c r="BP56" s="1"/>
      <c r="BQ56" s="1"/>
      <c r="BR56" s="1"/>
      <c r="BS56" s="1"/>
      <c r="BT56" s="1"/>
      <c r="BU56" s="1"/>
      <c r="BV56" s="6"/>
      <c r="BW56" s="6"/>
      <c r="BX56" s="6"/>
      <c r="BY56" s="2"/>
      <c r="BZ56" s="2"/>
      <c r="CA56" s="2"/>
      <c r="CB56" s="8"/>
      <c r="CC56" s="6"/>
      <c r="CD56" s="8"/>
      <c r="CE56" s="1"/>
      <c r="CF56" s="31"/>
      <c r="CG56" s="32"/>
      <c r="CH56" s="33"/>
      <c r="CI56" s="31"/>
      <c r="CJ56" s="32"/>
      <c r="CK56" s="33"/>
      <c r="CL56" s="31"/>
      <c r="CM56" s="32"/>
      <c r="CN56" s="33"/>
      <c r="CO56" s="31"/>
      <c r="CP56" s="32"/>
      <c r="CQ56" s="116"/>
      <c r="CR56" s="32"/>
      <c r="CS56" s="32"/>
      <c r="CT56" s="116"/>
      <c r="CU56" s="6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</row>
    <row r="57" spans="1:117" ht="30" customHeight="1">
      <c r="A57" s="8"/>
      <c r="B57" s="8"/>
      <c r="C57" s="37" t="s">
        <v>146</v>
      </c>
      <c r="D57" s="40">
        <f>COUNTA(D58:D66)</f>
        <v>9</v>
      </c>
      <c r="E57" s="8"/>
      <c r="F57" s="37" t="s">
        <v>147</v>
      </c>
      <c r="G57" s="40">
        <f>COUNTA(G58:G65)</f>
        <v>7</v>
      </c>
      <c r="H57" s="8"/>
      <c r="I57" s="37" t="s">
        <v>148</v>
      </c>
      <c r="J57" s="40">
        <f>COUNTA(J58:J64)</f>
        <v>6</v>
      </c>
      <c r="K57" s="8"/>
      <c r="L57" s="37" t="s">
        <v>149</v>
      </c>
      <c r="M57" s="40">
        <f>COUNTA(M58:M64)</f>
        <v>5</v>
      </c>
      <c r="N57" s="8"/>
      <c r="O57" s="37" t="s">
        <v>150</v>
      </c>
      <c r="P57" s="40">
        <v>3</v>
      </c>
      <c r="Q57" s="8"/>
      <c r="R57" s="37" t="s">
        <v>740</v>
      </c>
      <c r="S57" s="40">
        <v>3</v>
      </c>
      <c r="T57" s="8"/>
      <c r="U57" s="8"/>
      <c r="V57" s="8"/>
      <c r="W57" s="8"/>
      <c r="X57" s="37" t="s">
        <v>151</v>
      </c>
      <c r="Y57" s="121">
        <f>COUNTA(Y58:Y65)</f>
        <v>5</v>
      </c>
      <c r="Z57" s="9"/>
      <c r="AA57" s="37" t="s">
        <v>152</v>
      </c>
      <c r="AB57" s="122">
        <f>COUNTA(AB58:AB72)</f>
        <v>11</v>
      </c>
      <c r="AC57" s="8"/>
      <c r="AD57" s="37" t="s">
        <v>153</v>
      </c>
      <c r="AE57" s="122">
        <f>COUNTA(AE58:AE72)</f>
        <v>8</v>
      </c>
      <c r="AF57" s="8"/>
      <c r="AG57" s="37" t="s">
        <v>154</v>
      </c>
      <c r="AH57" s="121">
        <f>COUNTA(AH58:AH68)</f>
        <v>6</v>
      </c>
      <c r="AI57" s="8"/>
      <c r="AJ57" s="37" t="s">
        <v>155</v>
      </c>
      <c r="AK57" s="121">
        <f>COUNTA(AK58:AK68)</f>
        <v>8</v>
      </c>
      <c r="AL57" s="8"/>
      <c r="AM57" s="37" t="s">
        <v>156</v>
      </c>
      <c r="AN57" s="121">
        <f>COUNTA(AN58:AN70)</f>
        <v>4</v>
      </c>
      <c r="AO57" s="9"/>
      <c r="AP57" s="37" t="s">
        <v>157</v>
      </c>
      <c r="AQ57" s="123">
        <f>COUNTA(AQ58:AQ68)</f>
        <v>8</v>
      </c>
      <c r="AR57" s="124"/>
      <c r="AS57" s="37" t="s">
        <v>158</v>
      </c>
      <c r="AT57" s="123">
        <f>COUNTA(AT58:AT68)</f>
        <v>8</v>
      </c>
      <c r="AU57" s="124"/>
      <c r="AV57" s="37" t="s">
        <v>159</v>
      </c>
      <c r="AW57" s="125">
        <f>COUNTA(AW58:AW77)</f>
        <v>6</v>
      </c>
      <c r="AX57" s="8"/>
      <c r="AY57" s="9"/>
      <c r="AZ57" s="114"/>
      <c r="BA57" s="8"/>
      <c r="BB57" s="8"/>
      <c r="BC57" s="8"/>
      <c r="BD57" s="8"/>
      <c r="BE57" s="37" t="s">
        <v>160</v>
      </c>
      <c r="BF57" s="40">
        <f>COUNTA(BF58:BF68)</f>
        <v>3</v>
      </c>
      <c r="BG57" s="8"/>
      <c r="BH57" s="37" t="s">
        <v>161</v>
      </c>
      <c r="BI57" s="40">
        <f>COUNTA(BI58:BI68)</f>
        <v>7</v>
      </c>
      <c r="BJ57" s="8"/>
      <c r="BK57" s="37" t="s">
        <v>162</v>
      </c>
      <c r="BL57" s="40">
        <v>5</v>
      </c>
      <c r="BM57" s="8"/>
      <c r="BN57" s="37" t="s">
        <v>163</v>
      </c>
      <c r="BO57" s="126">
        <f>COUNTA(BO58:BO68)</f>
        <v>6</v>
      </c>
      <c r="BP57" s="1"/>
      <c r="BQ57" s="1"/>
      <c r="BR57" s="1"/>
      <c r="BS57" s="1"/>
      <c r="BT57" s="1"/>
      <c r="BU57" s="1"/>
      <c r="BV57" s="37" t="s">
        <v>164</v>
      </c>
      <c r="BW57" s="40">
        <f>COUNTA(BW58:BW70)</f>
        <v>11</v>
      </c>
      <c r="BX57" s="1"/>
      <c r="BY57" s="37" t="s">
        <v>165</v>
      </c>
      <c r="BZ57" s="40">
        <f>COUNTA(BZ58:BZ73)</f>
        <v>10</v>
      </c>
      <c r="CA57" s="1"/>
      <c r="CB57" s="8"/>
      <c r="CC57" s="6"/>
      <c r="CD57" s="8"/>
      <c r="CE57" s="41" t="s">
        <v>166</v>
      </c>
      <c r="CF57" s="121">
        <f>COUNTA(CF58:CF73)</f>
        <v>13</v>
      </c>
      <c r="CG57" s="1"/>
      <c r="CH57" s="41" t="s">
        <v>167</v>
      </c>
      <c r="CI57" s="121">
        <f>COUNTA(CI58:CI73)</f>
        <v>7</v>
      </c>
      <c r="CJ57" s="1"/>
      <c r="CK57" s="37" t="s">
        <v>168</v>
      </c>
      <c r="CL57" s="40">
        <f>COUNTA(CL58:CL68)</f>
        <v>5</v>
      </c>
      <c r="CM57" s="1"/>
      <c r="CN57" s="37" t="s">
        <v>169</v>
      </c>
      <c r="CO57" s="40">
        <f>COUNTA(CO58:CO68)</f>
        <v>7</v>
      </c>
      <c r="CP57" s="1"/>
      <c r="CQ57" s="127" t="s">
        <v>170</v>
      </c>
      <c r="CR57" s="128">
        <f>COUNTA(CR58:CR70)</f>
        <v>4</v>
      </c>
      <c r="CS57" s="1"/>
      <c r="CT57" s="129" t="s">
        <v>171</v>
      </c>
      <c r="CU57" s="122">
        <f>COUNTA(CU58:CU72)</f>
        <v>9</v>
      </c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</row>
    <row r="58" spans="1:117" ht="30" customHeight="1">
      <c r="A58" s="8"/>
      <c r="B58" s="8"/>
      <c r="C58" s="130" t="s">
        <v>172</v>
      </c>
      <c r="D58" s="131" t="s">
        <v>83</v>
      </c>
      <c r="E58" s="8" t="s">
        <v>173</v>
      </c>
      <c r="F58" s="132" t="s">
        <v>174</v>
      </c>
      <c r="G58" s="133" t="s">
        <v>83</v>
      </c>
      <c r="H58" s="8" t="s">
        <v>55</v>
      </c>
      <c r="I58" s="134" t="s">
        <v>175</v>
      </c>
      <c r="J58" s="135" t="s">
        <v>65</v>
      </c>
      <c r="K58" s="8" t="s">
        <v>55</v>
      </c>
      <c r="L58" s="136" t="s">
        <v>176</v>
      </c>
      <c r="M58" s="137" t="s">
        <v>59</v>
      </c>
      <c r="N58" s="8" t="s">
        <v>55</v>
      </c>
      <c r="O58" s="514" t="s">
        <v>215</v>
      </c>
      <c r="P58" s="137" t="s">
        <v>59</v>
      </c>
      <c r="Q58" s="8" t="s">
        <v>55</v>
      </c>
      <c r="R58" s="130" t="s">
        <v>172</v>
      </c>
      <c r="S58" s="131" t="s">
        <v>83</v>
      </c>
      <c r="T58" s="8"/>
      <c r="U58" s="8"/>
      <c r="V58" s="8"/>
      <c r="W58" s="8"/>
      <c r="X58" s="138" t="s">
        <v>30</v>
      </c>
      <c r="Y58" s="139" t="s">
        <v>54</v>
      </c>
      <c r="Z58" s="23" t="s">
        <v>55</v>
      </c>
      <c r="AA58" s="140" t="s">
        <v>177</v>
      </c>
      <c r="AB58" s="141" t="s">
        <v>65</v>
      </c>
      <c r="AC58" s="8" t="s">
        <v>178</v>
      </c>
      <c r="AD58" s="515" t="s">
        <v>179</v>
      </c>
      <c r="AE58" s="142" t="s">
        <v>65</v>
      </c>
      <c r="AF58" s="8" t="s">
        <v>178</v>
      </c>
      <c r="AG58" s="143" t="s">
        <v>180</v>
      </c>
      <c r="AH58" s="144" t="s">
        <v>59</v>
      </c>
      <c r="AI58" s="8" t="s">
        <v>178</v>
      </c>
      <c r="AJ58" s="145" t="s">
        <v>741</v>
      </c>
      <c r="AK58" s="144" t="s">
        <v>59</v>
      </c>
      <c r="AL58" s="8" t="s">
        <v>178</v>
      </c>
      <c r="AM58" s="145" t="s">
        <v>742</v>
      </c>
      <c r="AN58" s="144" t="s">
        <v>59</v>
      </c>
      <c r="AO58" s="23" t="s">
        <v>55</v>
      </c>
      <c r="AP58" s="146" t="s">
        <v>181</v>
      </c>
      <c r="AQ58" s="147"/>
      <c r="AR58" s="23" t="s">
        <v>55</v>
      </c>
      <c r="AS58" s="148" t="s">
        <v>182</v>
      </c>
      <c r="AT58" s="149" t="s">
        <v>59</v>
      </c>
      <c r="AU58" s="23" t="s">
        <v>55</v>
      </c>
      <c r="AV58" s="138" t="s">
        <v>30</v>
      </c>
      <c r="AW58" s="147"/>
      <c r="AX58" s="23" t="s">
        <v>55</v>
      </c>
      <c r="AY58" s="9"/>
      <c r="AZ58" s="114"/>
      <c r="BA58" s="8"/>
      <c r="BB58" s="8"/>
      <c r="BC58" s="8"/>
      <c r="BD58" s="8"/>
      <c r="BE58" s="150" t="s">
        <v>183</v>
      </c>
      <c r="BF58" s="133"/>
      <c r="BG58" s="8" t="s">
        <v>173</v>
      </c>
      <c r="BH58" s="150" t="s">
        <v>183</v>
      </c>
      <c r="BI58" s="133" t="s">
        <v>83</v>
      </c>
      <c r="BJ58" s="8" t="s">
        <v>173</v>
      </c>
      <c r="BK58" s="132" t="s">
        <v>183</v>
      </c>
      <c r="BL58" s="133"/>
      <c r="BM58" s="8" t="s">
        <v>173</v>
      </c>
      <c r="BN58" s="151" t="s">
        <v>184</v>
      </c>
      <c r="BO58" s="152"/>
      <c r="BP58" s="1"/>
      <c r="BQ58" s="1"/>
      <c r="BR58" s="1"/>
      <c r="BS58" s="1"/>
      <c r="BT58" s="1"/>
      <c r="BU58" s="1"/>
      <c r="BV58" s="153" t="s">
        <v>185</v>
      </c>
      <c r="BW58" s="142" t="s">
        <v>65</v>
      </c>
      <c r="BX58" s="7" t="s">
        <v>55</v>
      </c>
      <c r="BY58" s="154" t="s">
        <v>186</v>
      </c>
      <c r="BZ58" s="142" t="s">
        <v>65</v>
      </c>
      <c r="CA58" s="7" t="s">
        <v>55</v>
      </c>
      <c r="CB58" s="8"/>
      <c r="CC58" s="6"/>
      <c r="CD58" s="8"/>
      <c r="CE58" s="154" t="s">
        <v>743</v>
      </c>
      <c r="CF58" s="155" t="s">
        <v>59</v>
      </c>
      <c r="CG58" s="8" t="s">
        <v>173</v>
      </c>
      <c r="CH58" s="156" t="s">
        <v>187</v>
      </c>
      <c r="CI58" s="155" t="s">
        <v>59</v>
      </c>
      <c r="CJ58" s="157" t="s">
        <v>69</v>
      </c>
      <c r="CK58" s="158" t="s">
        <v>188</v>
      </c>
      <c r="CL58" s="82" t="s">
        <v>54</v>
      </c>
      <c r="CM58" s="157" t="s">
        <v>69</v>
      </c>
      <c r="CN58" s="154" t="s">
        <v>189</v>
      </c>
      <c r="CO58" s="155" t="s">
        <v>59</v>
      </c>
      <c r="CP58" s="8" t="s">
        <v>55</v>
      </c>
      <c r="CQ58" s="159" t="s">
        <v>190</v>
      </c>
      <c r="CR58" s="160"/>
      <c r="CS58" s="7" t="s">
        <v>55</v>
      </c>
      <c r="CT58" s="161" t="s">
        <v>176</v>
      </c>
      <c r="CU58" s="162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</row>
    <row r="59" spans="1:117" ht="30" customHeight="1">
      <c r="A59" s="8"/>
      <c r="B59" s="8"/>
      <c r="C59" s="163" t="s">
        <v>191</v>
      </c>
      <c r="D59" s="131" t="s">
        <v>83</v>
      </c>
      <c r="E59" s="8" t="s">
        <v>192</v>
      </c>
      <c r="F59" s="164" t="s">
        <v>193</v>
      </c>
      <c r="G59" s="165" t="s">
        <v>83</v>
      </c>
      <c r="H59" s="8" t="s">
        <v>69</v>
      </c>
      <c r="I59" s="166" t="s">
        <v>194</v>
      </c>
      <c r="J59" s="67" t="s">
        <v>54</v>
      </c>
      <c r="K59" s="8" t="s">
        <v>69</v>
      </c>
      <c r="L59" s="167" t="s">
        <v>195</v>
      </c>
      <c r="M59" s="137" t="s">
        <v>59</v>
      </c>
      <c r="N59" s="8" t="s">
        <v>69</v>
      </c>
      <c r="O59" s="516" t="s">
        <v>744</v>
      </c>
      <c r="P59" s="517" t="s">
        <v>59</v>
      </c>
      <c r="Q59" s="8"/>
      <c r="R59" s="168" t="s">
        <v>196</v>
      </c>
      <c r="S59" s="137" t="s">
        <v>59</v>
      </c>
      <c r="T59" s="8"/>
      <c r="U59" s="8"/>
      <c r="V59" s="8"/>
      <c r="W59" s="8"/>
      <c r="X59" s="145" t="s">
        <v>745</v>
      </c>
      <c r="Y59" s="169" t="s">
        <v>54</v>
      </c>
      <c r="Z59" s="170" t="s">
        <v>69</v>
      </c>
      <c r="AA59" s="171" t="s">
        <v>197</v>
      </c>
      <c r="AB59" s="141" t="s">
        <v>65</v>
      </c>
      <c r="AC59" s="170" t="s">
        <v>69</v>
      </c>
      <c r="AD59" s="518" t="s">
        <v>198</v>
      </c>
      <c r="AE59" s="142" t="s">
        <v>65</v>
      </c>
      <c r="AF59" s="170"/>
      <c r="AG59" s="145" t="s">
        <v>746</v>
      </c>
      <c r="AH59" s="144" t="s">
        <v>59</v>
      </c>
      <c r="AI59" s="170"/>
      <c r="AJ59" s="145" t="s">
        <v>747</v>
      </c>
      <c r="AK59" s="144" t="s">
        <v>59</v>
      </c>
      <c r="AL59" s="170" t="s">
        <v>199</v>
      </c>
      <c r="AM59" s="145" t="s">
        <v>748</v>
      </c>
      <c r="AN59" s="144" t="s">
        <v>59</v>
      </c>
      <c r="AO59" s="170" t="s">
        <v>69</v>
      </c>
      <c r="AP59" s="173" t="s">
        <v>200</v>
      </c>
      <c r="AQ59" s="144" t="s">
        <v>59</v>
      </c>
      <c r="AR59" s="170" t="s">
        <v>69</v>
      </c>
      <c r="AS59" s="148" t="s">
        <v>201</v>
      </c>
      <c r="AT59" s="149" t="s">
        <v>59</v>
      </c>
      <c r="AU59" s="174"/>
      <c r="AV59" s="146" t="s">
        <v>202</v>
      </c>
      <c r="AW59" s="149" t="s">
        <v>59</v>
      </c>
      <c r="AX59" s="174"/>
      <c r="AY59" s="9"/>
      <c r="AZ59" s="114"/>
      <c r="BA59" s="8"/>
      <c r="BB59" s="8"/>
      <c r="BC59" s="8"/>
      <c r="BD59" s="8"/>
      <c r="BE59" s="150" t="s">
        <v>203</v>
      </c>
      <c r="BF59" s="137" t="s">
        <v>59</v>
      </c>
      <c r="BG59" s="23"/>
      <c r="BH59" s="166" t="s">
        <v>204</v>
      </c>
      <c r="BI59" s="175" t="s">
        <v>83</v>
      </c>
      <c r="BJ59" s="23"/>
      <c r="BK59" s="154" t="s">
        <v>749</v>
      </c>
      <c r="BL59" s="71" t="s">
        <v>59</v>
      </c>
      <c r="BM59" s="23"/>
      <c r="BN59" s="176" t="s">
        <v>205</v>
      </c>
      <c r="BO59" s="177" t="s">
        <v>59</v>
      </c>
      <c r="BP59" s="178" t="s">
        <v>69</v>
      </c>
      <c r="BQ59" s="1"/>
      <c r="BR59" s="1"/>
      <c r="BS59" s="1"/>
      <c r="BT59" s="1"/>
      <c r="BU59" s="1"/>
      <c r="BV59" s="179" t="s">
        <v>206</v>
      </c>
      <c r="BW59" s="142" t="s">
        <v>65</v>
      </c>
      <c r="BX59" s="157" t="s">
        <v>69</v>
      </c>
      <c r="BY59" s="180" t="s">
        <v>750</v>
      </c>
      <c r="BZ59" s="142" t="s">
        <v>65</v>
      </c>
      <c r="CA59" s="157" t="s">
        <v>69</v>
      </c>
      <c r="CB59" s="8"/>
      <c r="CC59" s="6"/>
      <c r="CD59" s="8"/>
      <c r="CE59" s="154" t="s">
        <v>207</v>
      </c>
      <c r="CF59" s="155" t="s">
        <v>59</v>
      </c>
      <c r="CG59" s="2"/>
      <c r="CH59" s="181" t="s">
        <v>208</v>
      </c>
      <c r="CI59" s="155" t="s">
        <v>59</v>
      </c>
      <c r="CJ59" s="2"/>
      <c r="CK59" s="154" t="s">
        <v>751</v>
      </c>
      <c r="CL59" s="175" t="s">
        <v>83</v>
      </c>
      <c r="CM59" s="2"/>
      <c r="CN59" s="182" t="s">
        <v>209</v>
      </c>
      <c r="CO59" s="63" t="s">
        <v>59</v>
      </c>
      <c r="CP59" s="2" t="s">
        <v>55</v>
      </c>
      <c r="CQ59" s="183" t="s">
        <v>210</v>
      </c>
      <c r="CR59" s="73" t="s">
        <v>83</v>
      </c>
      <c r="CS59" s="157" t="s">
        <v>69</v>
      </c>
      <c r="CT59" s="184" t="s">
        <v>211</v>
      </c>
      <c r="CU59" s="185" t="s">
        <v>59</v>
      </c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</row>
    <row r="60" spans="1:117" ht="30" customHeight="1">
      <c r="A60" s="8"/>
      <c r="B60" s="8"/>
      <c r="C60" s="186" t="s">
        <v>181</v>
      </c>
      <c r="D60" s="133" t="s">
        <v>83</v>
      </c>
      <c r="E60" s="8" t="s">
        <v>192</v>
      </c>
      <c r="F60" s="187" t="s">
        <v>212</v>
      </c>
      <c r="G60" s="175" t="s">
        <v>83</v>
      </c>
      <c r="H60" s="8"/>
      <c r="I60" s="187" t="s">
        <v>213</v>
      </c>
      <c r="J60" s="175" t="s">
        <v>83</v>
      </c>
      <c r="K60" s="8"/>
      <c r="L60" s="187" t="s">
        <v>214</v>
      </c>
      <c r="M60" s="175" t="s">
        <v>83</v>
      </c>
      <c r="N60" s="8"/>
      <c r="O60" s="516" t="s">
        <v>752</v>
      </c>
      <c r="P60" s="517" t="s">
        <v>59</v>
      </c>
      <c r="Q60" s="8"/>
      <c r="R60" s="201" t="s">
        <v>753</v>
      </c>
      <c r="S60" s="137" t="s">
        <v>59</v>
      </c>
      <c r="T60" s="8"/>
      <c r="U60" s="8"/>
      <c r="V60" s="8"/>
      <c r="W60" s="8"/>
      <c r="X60" s="166" t="s">
        <v>216</v>
      </c>
      <c r="Y60" s="188" t="s">
        <v>54</v>
      </c>
      <c r="Z60" s="189"/>
      <c r="AA60" s="171" t="s">
        <v>217</v>
      </c>
      <c r="AB60" s="141" t="s">
        <v>65</v>
      </c>
      <c r="AC60" s="8"/>
      <c r="AD60" s="519" t="s">
        <v>218</v>
      </c>
      <c r="AE60" s="190" t="s">
        <v>54</v>
      </c>
      <c r="AF60" s="8"/>
      <c r="AG60" s="145" t="s">
        <v>754</v>
      </c>
      <c r="AH60" s="144" t="s">
        <v>59</v>
      </c>
      <c r="AI60" s="8"/>
      <c r="AJ60" s="145" t="s">
        <v>219</v>
      </c>
      <c r="AK60" s="144" t="s">
        <v>59</v>
      </c>
      <c r="AL60" s="20"/>
      <c r="AM60" s="218" t="s">
        <v>755</v>
      </c>
      <c r="AN60" s="144" t="s">
        <v>59</v>
      </c>
      <c r="AO60" s="189"/>
      <c r="AP60" s="173" t="s">
        <v>220</v>
      </c>
      <c r="AQ60" s="144" t="s">
        <v>59</v>
      </c>
      <c r="AR60" s="170" t="s">
        <v>69</v>
      </c>
      <c r="AS60" s="191" t="s">
        <v>221</v>
      </c>
      <c r="AT60" s="192" t="s">
        <v>54</v>
      </c>
      <c r="AU60" s="174"/>
      <c r="AV60" s="193" t="s">
        <v>756</v>
      </c>
      <c r="AW60" s="192" t="s">
        <v>54</v>
      </c>
      <c r="AX60" s="174"/>
      <c r="AY60" s="9"/>
      <c r="AZ60" s="114"/>
      <c r="BA60" s="8"/>
      <c r="BB60" s="8"/>
      <c r="BC60" s="8"/>
      <c r="BD60" s="8"/>
      <c r="BE60" s="166" t="s">
        <v>222</v>
      </c>
      <c r="BF60" s="137" t="s">
        <v>59</v>
      </c>
      <c r="BG60" s="23"/>
      <c r="BH60" s="166" t="s">
        <v>223</v>
      </c>
      <c r="BI60" s="175" t="s">
        <v>83</v>
      </c>
      <c r="BJ60" s="23"/>
      <c r="BK60" s="181" t="s">
        <v>224</v>
      </c>
      <c r="BL60" s="175" t="s">
        <v>83</v>
      </c>
      <c r="BM60" s="23"/>
      <c r="BN60" s="176" t="s">
        <v>225</v>
      </c>
      <c r="BO60" s="194" t="s">
        <v>54</v>
      </c>
      <c r="BP60" s="1"/>
      <c r="BQ60" s="1"/>
      <c r="BR60" s="1"/>
      <c r="BS60" s="1"/>
      <c r="BT60" s="1"/>
      <c r="BU60" s="1"/>
      <c r="BV60" s="179" t="s">
        <v>226</v>
      </c>
      <c r="BW60" s="142" t="s">
        <v>65</v>
      </c>
      <c r="BX60" s="2"/>
      <c r="BY60" s="180" t="s">
        <v>757</v>
      </c>
      <c r="BZ60" s="142" t="s">
        <v>65</v>
      </c>
      <c r="CA60" s="2"/>
      <c r="CB60" s="8"/>
      <c r="CC60" s="6"/>
      <c r="CD60" s="8"/>
      <c r="CE60" s="166" t="s">
        <v>227</v>
      </c>
      <c r="CF60" s="195" t="s">
        <v>59</v>
      </c>
      <c r="CG60" s="2"/>
      <c r="CH60" s="196" t="s">
        <v>228</v>
      </c>
      <c r="CI60" s="155" t="s">
        <v>59</v>
      </c>
      <c r="CJ60" s="2"/>
      <c r="CK60" s="197" t="s">
        <v>229</v>
      </c>
      <c r="CL60" s="175" t="s">
        <v>83</v>
      </c>
      <c r="CM60" s="2"/>
      <c r="CN60" s="182" t="s">
        <v>230</v>
      </c>
      <c r="CO60" s="63" t="s">
        <v>59</v>
      </c>
      <c r="CP60" s="2"/>
      <c r="CQ60" s="183" t="s">
        <v>231</v>
      </c>
      <c r="CR60" s="73" t="s">
        <v>83</v>
      </c>
      <c r="CS60" s="2"/>
      <c r="CT60" s="184" t="s">
        <v>232</v>
      </c>
      <c r="CU60" s="185" t="s">
        <v>59</v>
      </c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</row>
    <row r="61" spans="1:117" ht="30" customHeight="1">
      <c r="A61" s="8"/>
      <c r="B61" s="8"/>
      <c r="C61" s="198" t="s">
        <v>179</v>
      </c>
      <c r="D61" s="199" t="s">
        <v>65</v>
      </c>
      <c r="E61" s="8" t="s">
        <v>233</v>
      </c>
      <c r="F61" s="187" t="s">
        <v>234</v>
      </c>
      <c r="G61" s="200" t="s">
        <v>83</v>
      </c>
      <c r="H61" s="8"/>
      <c r="I61" s="198" t="s">
        <v>235</v>
      </c>
      <c r="J61" s="199" t="s">
        <v>65</v>
      </c>
      <c r="K61" s="8"/>
      <c r="L61" s="167" t="s">
        <v>236</v>
      </c>
      <c r="M61" s="137" t="s">
        <v>59</v>
      </c>
      <c r="N61" s="8"/>
      <c r="O61" s="516" t="s">
        <v>758</v>
      </c>
      <c r="P61" s="517" t="s">
        <v>59</v>
      </c>
      <c r="Q61" s="8"/>
      <c r="R61" s="201"/>
      <c r="S61" s="92"/>
      <c r="T61" s="8"/>
      <c r="U61" s="8"/>
      <c r="V61" s="8"/>
      <c r="W61" s="8"/>
      <c r="X61" s="202" t="s">
        <v>759</v>
      </c>
      <c r="Y61" s="169" t="s">
        <v>54</v>
      </c>
      <c r="Z61" s="20"/>
      <c r="AA61" s="171" t="s">
        <v>237</v>
      </c>
      <c r="AB61" s="142" t="s">
        <v>65</v>
      </c>
      <c r="AC61" s="8"/>
      <c r="AD61" s="304" t="s">
        <v>238</v>
      </c>
      <c r="AE61" s="190" t="s">
        <v>54</v>
      </c>
      <c r="AF61" s="8"/>
      <c r="AG61" s="145" t="s">
        <v>760</v>
      </c>
      <c r="AH61" s="144" t="s">
        <v>59</v>
      </c>
      <c r="AI61" s="8"/>
      <c r="AJ61" s="145" t="s">
        <v>761</v>
      </c>
      <c r="AK61" s="144" t="s">
        <v>59</v>
      </c>
      <c r="AL61" s="2"/>
      <c r="AM61" s="520" t="s">
        <v>762</v>
      </c>
      <c r="AN61" s="144" t="s">
        <v>59</v>
      </c>
      <c r="AO61" s="20"/>
      <c r="AP61" s="203" t="s">
        <v>239</v>
      </c>
      <c r="AQ61" s="131" t="s">
        <v>83</v>
      </c>
      <c r="AR61" s="204"/>
      <c r="AS61" s="148" t="s">
        <v>240</v>
      </c>
      <c r="AT61" s="149" t="s">
        <v>59</v>
      </c>
      <c r="AU61" s="174"/>
      <c r="AV61" s="145" t="s">
        <v>763</v>
      </c>
      <c r="AW61" s="205" t="s">
        <v>59</v>
      </c>
      <c r="AX61" s="174"/>
      <c r="AY61" s="9"/>
      <c r="AZ61" s="114"/>
      <c r="BA61" s="8"/>
      <c r="BB61" s="8"/>
      <c r="BC61" s="8"/>
      <c r="BD61" s="8"/>
      <c r="BE61" s="206" t="s">
        <v>241</v>
      </c>
      <c r="BF61" s="207" t="s">
        <v>59</v>
      </c>
      <c r="BG61" s="23"/>
      <c r="BH61" s="166" t="s">
        <v>242</v>
      </c>
      <c r="BI61" s="175" t="s">
        <v>83</v>
      </c>
      <c r="BJ61" s="23"/>
      <c r="BK61" s="208" t="s">
        <v>243</v>
      </c>
      <c r="BL61" s="73" t="s">
        <v>83</v>
      </c>
      <c r="BM61" s="23"/>
      <c r="BN61" s="176" t="s">
        <v>244</v>
      </c>
      <c r="BO61" s="194" t="s">
        <v>54</v>
      </c>
      <c r="BP61" s="1"/>
      <c r="BQ61" s="1"/>
      <c r="BR61" s="1"/>
      <c r="BS61" s="1"/>
      <c r="BT61" s="1"/>
      <c r="BU61" s="1"/>
      <c r="BV61" s="179" t="s">
        <v>245</v>
      </c>
      <c r="BW61" s="142" t="s">
        <v>65</v>
      </c>
      <c r="BX61" s="2" t="s">
        <v>246</v>
      </c>
      <c r="BY61" s="180" t="s">
        <v>764</v>
      </c>
      <c r="BZ61" s="142" t="s">
        <v>65</v>
      </c>
      <c r="CA61" s="2" t="s">
        <v>246</v>
      </c>
      <c r="CB61" s="8"/>
      <c r="CC61" s="6"/>
      <c r="CD61" s="8"/>
      <c r="CE61" s="209" t="s">
        <v>247</v>
      </c>
      <c r="CF61" s="175" t="s">
        <v>83</v>
      </c>
      <c r="CG61" s="2"/>
      <c r="CH61" s="154" t="s">
        <v>248</v>
      </c>
      <c r="CI61" s="155" t="s">
        <v>59</v>
      </c>
      <c r="CJ61" s="2" t="s">
        <v>249</v>
      </c>
      <c r="CK61" s="197" t="s">
        <v>250</v>
      </c>
      <c r="CL61" s="155" t="s">
        <v>59</v>
      </c>
      <c r="CM61" s="2"/>
      <c r="CN61" s="182" t="s">
        <v>251</v>
      </c>
      <c r="CO61" s="63" t="s">
        <v>59</v>
      </c>
      <c r="CP61" s="2"/>
      <c r="CQ61" s="183" t="s">
        <v>252</v>
      </c>
      <c r="CR61" s="63" t="s">
        <v>59</v>
      </c>
      <c r="CS61" s="2"/>
      <c r="CT61" s="184" t="s">
        <v>253</v>
      </c>
      <c r="CU61" s="185" t="s">
        <v>59</v>
      </c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</row>
    <row r="62" spans="1:117" ht="30" customHeight="1">
      <c r="A62" s="8"/>
      <c r="B62" s="8"/>
      <c r="C62" s="136" t="s">
        <v>254</v>
      </c>
      <c r="D62" s="210" t="s">
        <v>59</v>
      </c>
      <c r="E62" s="8" t="s">
        <v>233</v>
      </c>
      <c r="F62" s="211" t="s">
        <v>255</v>
      </c>
      <c r="G62" s="212" t="s">
        <v>59</v>
      </c>
      <c r="H62" s="8"/>
      <c r="I62" s="213" t="s">
        <v>256</v>
      </c>
      <c r="J62" s="199" t="s">
        <v>65</v>
      </c>
      <c r="K62" s="214"/>
      <c r="L62" s="166" t="s">
        <v>765</v>
      </c>
      <c r="M62" s="67" t="s">
        <v>54</v>
      </c>
      <c r="N62" s="8"/>
      <c r="O62" s="516" t="s">
        <v>766</v>
      </c>
      <c r="P62" s="517" t="s">
        <v>59</v>
      </c>
      <c r="Q62" s="8"/>
      <c r="R62" s="168"/>
      <c r="S62" s="92"/>
      <c r="T62" s="8"/>
      <c r="U62" s="8"/>
      <c r="V62" s="8"/>
      <c r="W62" s="8"/>
      <c r="X62" s="215" t="s">
        <v>257</v>
      </c>
      <c r="Y62" s="139" t="s">
        <v>54</v>
      </c>
      <c r="Z62" s="20"/>
      <c r="AA62" s="216" t="s">
        <v>258</v>
      </c>
      <c r="AB62" s="142" t="s">
        <v>65</v>
      </c>
      <c r="AC62" s="8"/>
      <c r="AD62" s="521" t="s">
        <v>259</v>
      </c>
      <c r="AE62" s="190" t="s">
        <v>54</v>
      </c>
      <c r="AF62" s="8"/>
      <c r="AG62" s="145" t="s">
        <v>767</v>
      </c>
      <c r="AH62" s="144" t="s">
        <v>59</v>
      </c>
      <c r="AI62" s="8"/>
      <c r="AJ62" s="145" t="s">
        <v>768</v>
      </c>
      <c r="AK62" s="144" t="s">
        <v>59</v>
      </c>
      <c r="AL62" s="2"/>
      <c r="AM62" s="145"/>
      <c r="AN62" s="92"/>
      <c r="AO62" s="20"/>
      <c r="AP62" s="203" t="s">
        <v>260</v>
      </c>
      <c r="AQ62" s="131" t="s">
        <v>83</v>
      </c>
      <c r="AR62" s="204"/>
      <c r="AS62" s="148" t="s">
        <v>261</v>
      </c>
      <c r="AT62" s="149" t="s">
        <v>59</v>
      </c>
      <c r="AU62" s="174"/>
      <c r="AV62" s="218" t="s">
        <v>769</v>
      </c>
      <c r="AW62" s="219" t="s">
        <v>59</v>
      </c>
      <c r="AX62" s="174"/>
      <c r="AY62" s="9"/>
      <c r="AZ62" s="114"/>
      <c r="BA62" s="8"/>
      <c r="BB62" s="8"/>
      <c r="BC62" s="8"/>
      <c r="BD62" s="8"/>
      <c r="BE62" s="220"/>
      <c r="BF62" s="53"/>
      <c r="BG62" s="23"/>
      <c r="BH62" s="166" t="s">
        <v>262</v>
      </c>
      <c r="BI62" s="199" t="s">
        <v>65</v>
      </c>
      <c r="BJ62" s="23"/>
      <c r="BK62" s="181" t="s">
        <v>263</v>
      </c>
      <c r="BL62" s="175" t="s">
        <v>83</v>
      </c>
      <c r="BM62" s="23"/>
      <c r="BN62" s="176" t="s">
        <v>264</v>
      </c>
      <c r="BO62" s="177" t="s">
        <v>59</v>
      </c>
      <c r="BP62" s="1"/>
      <c r="BQ62" s="1"/>
      <c r="BR62" s="1"/>
      <c r="BS62" s="1"/>
      <c r="BT62" s="1"/>
      <c r="BU62" s="1"/>
      <c r="BV62" s="221" t="s">
        <v>265</v>
      </c>
      <c r="BW62" s="142" t="s">
        <v>65</v>
      </c>
      <c r="BX62" s="2"/>
      <c r="BY62" s="54" t="s">
        <v>770</v>
      </c>
      <c r="BZ62" s="63" t="s">
        <v>59</v>
      </c>
      <c r="CA62" s="2"/>
      <c r="CB62" s="8"/>
      <c r="CC62" s="6"/>
      <c r="CD62" s="8"/>
      <c r="CE62" s="222" t="s">
        <v>266</v>
      </c>
      <c r="CF62" s="175" t="s">
        <v>83</v>
      </c>
      <c r="CG62" s="2"/>
      <c r="CH62" s="223" t="s">
        <v>267</v>
      </c>
      <c r="CI62" s="155" t="s">
        <v>59</v>
      </c>
      <c r="CJ62" s="2"/>
      <c r="CK62" s="224" t="s">
        <v>771</v>
      </c>
      <c r="CL62" s="225" t="s">
        <v>59</v>
      </c>
      <c r="CM62" s="2"/>
      <c r="CN62" s="182" t="s">
        <v>268</v>
      </c>
      <c r="CO62" s="63" t="s">
        <v>59</v>
      </c>
      <c r="CP62" s="2"/>
      <c r="CQ62" s="183" t="s">
        <v>269</v>
      </c>
      <c r="CR62" s="63" t="s">
        <v>59</v>
      </c>
      <c r="CS62" s="2"/>
      <c r="CT62" s="184" t="s">
        <v>270</v>
      </c>
      <c r="CU62" s="185" t="s">
        <v>59</v>
      </c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</row>
    <row r="63" spans="1:117" ht="30" customHeight="1">
      <c r="A63" s="8"/>
      <c r="B63" s="8"/>
      <c r="C63" s="167" t="s">
        <v>271</v>
      </c>
      <c r="D63" s="226" t="s">
        <v>59</v>
      </c>
      <c r="E63" s="8" t="s">
        <v>192</v>
      </c>
      <c r="F63" s="227" t="s">
        <v>272</v>
      </c>
      <c r="G63" s="200" t="s">
        <v>83</v>
      </c>
      <c r="H63" s="8"/>
      <c r="I63" s="213" t="s">
        <v>772</v>
      </c>
      <c r="J63" s="199" t="s">
        <v>65</v>
      </c>
      <c r="K63" s="8"/>
      <c r="L63" s="166"/>
      <c r="M63" s="67"/>
      <c r="N63" s="8"/>
      <c r="O63" s="522"/>
      <c r="P63" s="92"/>
      <c r="Q63" s="8"/>
      <c r="R63" s="168"/>
      <c r="S63" s="92"/>
      <c r="T63" s="8"/>
      <c r="U63" s="8"/>
      <c r="V63" s="8"/>
      <c r="W63" s="8"/>
      <c r="X63" s="215"/>
      <c r="Y63" s="139"/>
      <c r="Z63" s="20"/>
      <c r="AA63" s="228" t="s">
        <v>273</v>
      </c>
      <c r="AB63" s="142" t="s">
        <v>65</v>
      </c>
      <c r="AC63" s="20"/>
      <c r="AD63" s="523" t="s">
        <v>274</v>
      </c>
      <c r="AE63" s="190" t="s">
        <v>54</v>
      </c>
      <c r="AF63" s="20"/>
      <c r="AG63" s="202" t="s">
        <v>275</v>
      </c>
      <c r="AH63" s="144" t="s">
        <v>59</v>
      </c>
      <c r="AI63" s="20"/>
      <c r="AJ63" s="229" t="s">
        <v>773</v>
      </c>
      <c r="AK63" s="144" t="s">
        <v>59</v>
      </c>
      <c r="AL63" s="20"/>
      <c r="AM63" s="145"/>
      <c r="AN63" s="92"/>
      <c r="AO63" s="20"/>
      <c r="AP63" s="173" t="s">
        <v>276</v>
      </c>
      <c r="AQ63" s="144" t="s">
        <v>59</v>
      </c>
      <c r="AR63" s="204"/>
      <c r="AS63" s="191" t="s">
        <v>277</v>
      </c>
      <c r="AT63" s="192" t="s">
        <v>54</v>
      </c>
      <c r="AU63" s="174"/>
      <c r="AV63" s="230" t="s">
        <v>278</v>
      </c>
      <c r="AW63" s="149" t="s">
        <v>59</v>
      </c>
      <c r="AX63" s="174"/>
      <c r="AY63" s="9"/>
      <c r="AZ63" s="114"/>
      <c r="BA63" s="8"/>
      <c r="BB63" s="8"/>
      <c r="BC63" s="8"/>
      <c r="BD63" s="8"/>
      <c r="BE63" s="231"/>
      <c r="BF63" s="80"/>
      <c r="BG63" s="23"/>
      <c r="BH63" s="232" t="s">
        <v>279</v>
      </c>
      <c r="BI63" s="155" t="s">
        <v>59</v>
      </c>
      <c r="BJ63" s="23"/>
      <c r="BK63" s="154" t="s">
        <v>774</v>
      </c>
      <c r="BL63" s="73" t="s">
        <v>83</v>
      </c>
      <c r="BM63" s="23"/>
      <c r="BN63" s="233" t="s">
        <v>280</v>
      </c>
      <c r="BO63" s="234" t="s">
        <v>281</v>
      </c>
      <c r="BP63" s="1"/>
      <c r="BQ63" s="1"/>
      <c r="BR63" s="1"/>
      <c r="BS63" s="1"/>
      <c r="BT63" s="1"/>
      <c r="BU63" s="1"/>
      <c r="BV63" s="221" t="s">
        <v>282</v>
      </c>
      <c r="BW63" s="142" t="s">
        <v>65</v>
      </c>
      <c r="BX63" s="2"/>
      <c r="BY63" s="54" t="s">
        <v>775</v>
      </c>
      <c r="BZ63" s="63" t="s">
        <v>59</v>
      </c>
      <c r="CA63" s="2"/>
      <c r="CB63" s="8"/>
      <c r="CC63" s="6"/>
      <c r="CD63" s="8"/>
      <c r="CE63" s="235" t="s">
        <v>283</v>
      </c>
      <c r="CF63" s="137" t="s">
        <v>59</v>
      </c>
      <c r="CG63" s="2"/>
      <c r="CH63" s="524" t="s">
        <v>776</v>
      </c>
      <c r="CI63" s="155" t="s">
        <v>59</v>
      </c>
      <c r="CJ63" s="2"/>
      <c r="CK63" s="236"/>
      <c r="CL63" s="237"/>
      <c r="CM63" s="2"/>
      <c r="CN63" s="182" t="s">
        <v>284</v>
      </c>
      <c r="CO63" s="63" t="s">
        <v>59</v>
      </c>
      <c r="CP63" s="2"/>
      <c r="CQ63" s="236"/>
      <c r="CR63" s="237"/>
      <c r="CS63" s="2"/>
      <c r="CT63" s="184" t="s">
        <v>285</v>
      </c>
      <c r="CU63" s="185" t="s">
        <v>59</v>
      </c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</row>
    <row r="64" spans="1:117" ht="30" customHeight="1">
      <c r="A64" s="8"/>
      <c r="B64" s="8"/>
      <c r="C64" s="238" t="s">
        <v>286</v>
      </c>
      <c r="D64" s="226" t="s">
        <v>59</v>
      </c>
      <c r="E64" s="8" t="s">
        <v>192</v>
      </c>
      <c r="F64" s="239" t="s">
        <v>287</v>
      </c>
      <c r="G64" s="212" t="s">
        <v>59</v>
      </c>
      <c r="H64" s="8"/>
      <c r="I64" s="168"/>
      <c r="J64" s="92"/>
      <c r="K64" s="8"/>
      <c r="L64" s="168"/>
      <c r="M64" s="92"/>
      <c r="N64" s="8"/>
      <c r="O64" s="168"/>
      <c r="P64" s="92"/>
      <c r="Q64" s="8"/>
      <c r="R64" s="168"/>
      <c r="S64" s="92"/>
      <c r="T64" s="8"/>
      <c r="U64" s="8"/>
      <c r="V64" s="8"/>
      <c r="W64" s="8"/>
      <c r="X64" s="168"/>
      <c r="Y64" s="92"/>
      <c r="Z64" s="20"/>
      <c r="AA64" s="240" t="s">
        <v>288</v>
      </c>
      <c r="AB64" s="142" t="s">
        <v>65</v>
      </c>
      <c r="AC64" s="8"/>
      <c r="AD64" s="393" t="s">
        <v>777</v>
      </c>
      <c r="AE64" s="190" t="s">
        <v>54</v>
      </c>
      <c r="AF64" s="8"/>
      <c r="AG64" s="168"/>
      <c r="AH64" s="92"/>
      <c r="AI64" s="8"/>
      <c r="AJ64" s="525" t="s">
        <v>289</v>
      </c>
      <c r="AK64" s="205" t="s">
        <v>59</v>
      </c>
      <c r="AL64" s="8"/>
      <c r="AM64" s="145"/>
      <c r="AN64" s="92"/>
      <c r="AO64" s="20"/>
      <c r="AP64" s="145" t="s">
        <v>778</v>
      </c>
      <c r="AQ64" s="144" t="s">
        <v>59</v>
      </c>
      <c r="AR64" s="204"/>
      <c r="AS64" s="145" t="s">
        <v>779</v>
      </c>
      <c r="AT64" s="149" t="s">
        <v>59</v>
      </c>
      <c r="AU64" s="174"/>
      <c r="AV64" s="242" t="s">
        <v>290</v>
      </c>
      <c r="AW64" s="192" t="s">
        <v>54</v>
      </c>
      <c r="AX64" s="174"/>
      <c r="AY64" s="9"/>
      <c r="AZ64" s="114"/>
      <c r="BA64" s="8"/>
      <c r="BB64" s="8"/>
      <c r="BC64" s="8"/>
      <c r="BD64" s="8"/>
      <c r="BE64" s="243"/>
      <c r="BF64" s="244"/>
      <c r="BG64" s="178" t="s">
        <v>69</v>
      </c>
      <c r="BH64" s="243" t="s">
        <v>291</v>
      </c>
      <c r="BI64" s="244" t="s">
        <v>54</v>
      </c>
      <c r="BJ64" s="178" t="s">
        <v>69</v>
      </c>
      <c r="BK64" s="245" t="s">
        <v>780</v>
      </c>
      <c r="BL64" s="246" t="s">
        <v>59</v>
      </c>
      <c r="BM64" s="247"/>
      <c r="BN64" s="526" t="s">
        <v>781</v>
      </c>
      <c r="BO64" s="194" t="s">
        <v>54</v>
      </c>
      <c r="BP64" s="1"/>
      <c r="BQ64" s="1"/>
      <c r="BR64" s="1"/>
      <c r="BS64" s="1"/>
      <c r="BT64" s="1"/>
      <c r="BU64" s="1"/>
      <c r="BV64" s="221" t="s">
        <v>292</v>
      </c>
      <c r="BW64" s="142" t="s">
        <v>65</v>
      </c>
      <c r="BX64" s="2"/>
      <c r="BY64" s="248" t="s">
        <v>293</v>
      </c>
      <c r="BZ64" s="142" t="s">
        <v>65</v>
      </c>
      <c r="CA64" s="2"/>
      <c r="CB64" s="8"/>
      <c r="CC64" s="6"/>
      <c r="CD64" s="8"/>
      <c r="CE64" s="235" t="s">
        <v>294</v>
      </c>
      <c r="CF64" s="137" t="s">
        <v>59</v>
      </c>
      <c r="CG64" s="2"/>
      <c r="CH64" s="527" t="s">
        <v>782</v>
      </c>
      <c r="CI64" s="155" t="s">
        <v>59</v>
      </c>
      <c r="CJ64" s="2"/>
      <c r="CK64" s="236"/>
      <c r="CL64" s="237"/>
      <c r="CM64" s="2"/>
      <c r="CN64" s="182" t="s">
        <v>295</v>
      </c>
      <c r="CO64" s="63" t="s">
        <v>59</v>
      </c>
      <c r="CP64" s="2"/>
      <c r="CQ64" s="236"/>
      <c r="CR64" s="237"/>
      <c r="CS64" s="2"/>
      <c r="CT64" s="184" t="s">
        <v>296</v>
      </c>
      <c r="CU64" s="185" t="s">
        <v>59</v>
      </c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</row>
    <row r="65" spans="1:117" ht="30" customHeight="1">
      <c r="A65" s="8"/>
      <c r="B65" s="8"/>
      <c r="C65" s="238" t="s">
        <v>297</v>
      </c>
      <c r="D65" s="249" t="s">
        <v>59</v>
      </c>
      <c r="E65" s="8" t="s">
        <v>192</v>
      </c>
      <c r="F65" s="250"/>
      <c r="G65" s="251"/>
      <c r="H65" s="9"/>
      <c r="I65" s="250"/>
      <c r="J65" s="251"/>
      <c r="K65" s="9"/>
      <c r="L65" s="250"/>
      <c r="M65" s="251"/>
      <c r="N65" s="9"/>
      <c r="O65" s="250"/>
      <c r="P65" s="251"/>
      <c r="Q65" s="9"/>
      <c r="R65" s="250"/>
      <c r="S65" s="251"/>
      <c r="T65" s="9"/>
      <c r="U65" s="8"/>
      <c r="V65" s="8"/>
      <c r="W65" s="8"/>
      <c r="X65" s="252"/>
      <c r="Y65" s="253"/>
      <c r="Z65" s="8"/>
      <c r="AA65" s="254" t="s">
        <v>298</v>
      </c>
      <c r="AB65" s="141" t="s">
        <v>65</v>
      </c>
      <c r="AC65" s="8"/>
      <c r="AD65" s="528" t="s">
        <v>783</v>
      </c>
      <c r="AE65" s="142" t="s">
        <v>65</v>
      </c>
      <c r="AF65" s="8"/>
      <c r="AG65" s="252"/>
      <c r="AH65" s="253"/>
      <c r="AI65" s="8"/>
      <c r="AJ65" s="145" t="s">
        <v>299</v>
      </c>
      <c r="AK65" s="219" t="s">
        <v>59</v>
      </c>
      <c r="AL65" s="8" t="s">
        <v>178</v>
      </c>
      <c r="AM65" s="145"/>
      <c r="AN65" s="92"/>
      <c r="AO65" s="8"/>
      <c r="AP65" s="526" t="s">
        <v>784</v>
      </c>
      <c r="AQ65" s="131" t="s">
        <v>83</v>
      </c>
      <c r="AR65" s="204"/>
      <c r="AS65" s="168" t="s">
        <v>300</v>
      </c>
      <c r="AT65" s="192" t="s">
        <v>54</v>
      </c>
      <c r="AU65" s="174"/>
      <c r="AV65" s="252"/>
      <c r="AW65" s="253"/>
      <c r="AX65" s="174"/>
      <c r="AY65" s="9"/>
      <c r="AZ65" s="114"/>
      <c r="BA65" s="8"/>
      <c r="BB65" s="8"/>
      <c r="BC65" s="8"/>
      <c r="BD65" s="8"/>
      <c r="BE65" s="8"/>
      <c r="BF65" s="8"/>
      <c r="BG65" s="23"/>
      <c r="BH65" s="33"/>
      <c r="BI65" s="8"/>
      <c r="BJ65" s="8"/>
      <c r="BK65" s="8"/>
      <c r="BL65" s="8"/>
      <c r="BM65" s="8"/>
      <c r="BN65" s="8"/>
      <c r="BO65" s="8"/>
      <c r="BP65" s="8"/>
      <c r="BQ65" s="1"/>
      <c r="BR65" s="1"/>
      <c r="BS65" s="1"/>
      <c r="BT65" s="1"/>
      <c r="BU65" s="1"/>
      <c r="BV65" s="221" t="s">
        <v>301</v>
      </c>
      <c r="BW65" s="142" t="s">
        <v>65</v>
      </c>
      <c r="BX65" s="2"/>
      <c r="BY65" s="197" t="s">
        <v>302</v>
      </c>
      <c r="BZ65" s="142" t="s">
        <v>65</v>
      </c>
      <c r="CA65" s="2"/>
      <c r="CB65" s="8"/>
      <c r="CC65" s="6"/>
      <c r="CD65" s="8"/>
      <c r="CE65" s="235" t="s">
        <v>303</v>
      </c>
      <c r="CF65" s="137" t="s">
        <v>59</v>
      </c>
      <c r="CG65" s="2"/>
      <c r="CH65" s="236"/>
      <c r="CI65" s="237"/>
      <c r="CJ65" s="2"/>
      <c r="CK65" s="236"/>
      <c r="CL65" s="237"/>
      <c r="CM65" s="2"/>
      <c r="CN65" s="236"/>
      <c r="CO65" s="237"/>
      <c r="CP65" s="2"/>
      <c r="CQ65" s="236"/>
      <c r="CR65" s="237"/>
      <c r="CS65" s="2"/>
      <c r="CT65" s="184" t="s">
        <v>304</v>
      </c>
      <c r="CU65" s="185" t="s">
        <v>59</v>
      </c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</row>
    <row r="66" spans="1:117" ht="30" customHeight="1">
      <c r="A66" s="8"/>
      <c r="B66" s="8"/>
      <c r="C66" s="255" t="s">
        <v>305</v>
      </c>
      <c r="D66" s="256" t="s">
        <v>59</v>
      </c>
      <c r="E66" s="9" t="s">
        <v>192</v>
      </c>
      <c r="F66" s="9"/>
      <c r="G66" s="9"/>
      <c r="H66" s="9"/>
      <c r="I66" s="9"/>
      <c r="J66" s="9"/>
      <c r="K66" s="9"/>
      <c r="L66" s="9"/>
      <c r="M66" s="9"/>
      <c r="N66" s="9"/>
      <c r="O66" s="8"/>
      <c r="P66" s="8"/>
      <c r="Q66" s="9"/>
      <c r="R66" s="8"/>
      <c r="S66" s="8"/>
      <c r="T66" s="9"/>
      <c r="U66" s="8"/>
      <c r="V66" s="8"/>
      <c r="W66" s="8"/>
      <c r="X66" s="252"/>
      <c r="Y66" s="253"/>
      <c r="Z66" s="1"/>
      <c r="AA66" s="241" t="s">
        <v>785</v>
      </c>
      <c r="AB66" s="94" t="s">
        <v>54</v>
      </c>
      <c r="AC66" s="1"/>
      <c r="AD66" s="172"/>
      <c r="AE66" s="92"/>
      <c r="AF66" s="1"/>
      <c r="AG66" s="252"/>
      <c r="AH66" s="253"/>
      <c r="AI66" s="1"/>
      <c r="AJ66" s="252"/>
      <c r="AK66" s="253"/>
      <c r="AL66" s="1"/>
      <c r="AM66" s="145"/>
      <c r="AN66" s="92"/>
      <c r="AO66" s="1"/>
      <c r="AP66" s="529" t="s">
        <v>786</v>
      </c>
      <c r="AQ66" s="131" t="s">
        <v>83</v>
      </c>
      <c r="AR66" s="204"/>
      <c r="AS66" s="168"/>
      <c r="AT66" s="92"/>
      <c r="AU66" s="174"/>
      <c r="AV66" s="252"/>
      <c r="AW66" s="253"/>
      <c r="AX66" s="174"/>
      <c r="AY66" s="9"/>
      <c r="AZ66" s="114"/>
      <c r="BA66" s="8"/>
      <c r="BB66" s="8"/>
      <c r="BC66" s="8"/>
      <c r="BD66" s="8"/>
      <c r="BE66" s="8"/>
      <c r="BF66" s="8"/>
      <c r="BG66" s="8"/>
      <c r="BH66" s="120"/>
      <c r="BI66" s="8"/>
      <c r="BJ66" s="8"/>
      <c r="BK66" s="8"/>
      <c r="BL66" s="8"/>
      <c r="BM66" s="8"/>
      <c r="BN66" s="8"/>
      <c r="BO66" s="8"/>
      <c r="BP66" s="8"/>
      <c r="BQ66" s="1"/>
      <c r="BR66" s="1"/>
      <c r="BS66" s="1"/>
      <c r="BT66" s="1"/>
      <c r="BU66" s="1"/>
      <c r="BV66" s="257" t="s">
        <v>306</v>
      </c>
      <c r="BW66" s="258" t="s">
        <v>83</v>
      </c>
      <c r="BX66" s="2"/>
      <c r="BY66" s="239" t="s">
        <v>307</v>
      </c>
      <c r="BZ66" s="142" t="s">
        <v>65</v>
      </c>
      <c r="CA66" s="2"/>
      <c r="CB66" s="8"/>
      <c r="CC66" s="6"/>
      <c r="CD66" s="8"/>
      <c r="CE66" s="150" t="s">
        <v>308</v>
      </c>
      <c r="CF66" s="259" t="s">
        <v>54</v>
      </c>
      <c r="CG66" s="2"/>
      <c r="CH66" s="236"/>
      <c r="CI66" s="237"/>
      <c r="CJ66" s="8"/>
      <c r="CK66" s="236"/>
      <c r="CL66" s="237"/>
      <c r="CM66" s="8"/>
      <c r="CN66" s="236"/>
      <c r="CO66" s="237"/>
      <c r="CP66" s="8"/>
      <c r="CQ66" s="236"/>
      <c r="CR66" s="237"/>
      <c r="CS66" s="2"/>
      <c r="CT66" s="184" t="s">
        <v>309</v>
      </c>
      <c r="CU66" s="185" t="s">
        <v>59</v>
      </c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</row>
    <row r="67" spans="1:117" ht="30" customHeight="1">
      <c r="A67" s="8"/>
      <c r="B67" s="8"/>
      <c r="C67" s="8"/>
      <c r="D67" s="8"/>
      <c r="E67" s="8"/>
      <c r="F67" s="8"/>
      <c r="G67" s="8"/>
      <c r="H67" s="8"/>
      <c r="I67" s="9"/>
      <c r="J67" s="9"/>
      <c r="K67" s="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252"/>
      <c r="Y67" s="253"/>
      <c r="Z67" s="1"/>
      <c r="AA67" s="260" t="s">
        <v>310</v>
      </c>
      <c r="AB67" s="141" t="s">
        <v>65</v>
      </c>
      <c r="AC67" s="1"/>
      <c r="AD67" s="172"/>
      <c r="AE67" s="92"/>
      <c r="AF67" s="1"/>
      <c r="AG67" s="252"/>
      <c r="AH67" s="253"/>
      <c r="AI67" s="1"/>
      <c r="AJ67" s="252"/>
      <c r="AK67" s="253"/>
      <c r="AL67" s="1"/>
      <c r="AM67" s="168"/>
      <c r="AN67" s="92"/>
      <c r="AO67" s="1"/>
      <c r="AP67" s="168"/>
      <c r="AQ67" s="92"/>
      <c r="AR67" s="124"/>
      <c r="AS67" s="168"/>
      <c r="AT67" s="92"/>
      <c r="AU67" s="124"/>
      <c r="AV67" s="252"/>
      <c r="AW67" s="253"/>
      <c r="AX67" s="1"/>
      <c r="AY67" s="9"/>
      <c r="AZ67" s="114"/>
      <c r="BA67" s="8"/>
      <c r="BB67" s="8"/>
      <c r="BC67" s="8"/>
      <c r="BD67" s="8"/>
      <c r="BE67" s="8"/>
      <c r="BF67" s="8"/>
      <c r="BG67" s="8"/>
      <c r="BH67" s="483"/>
      <c r="BI67" s="8"/>
      <c r="BJ67" s="8"/>
      <c r="BK67" s="8"/>
      <c r="BL67" s="8"/>
      <c r="BM67" s="8"/>
      <c r="BN67" s="8"/>
      <c r="BO67" s="8"/>
      <c r="BP67" s="8"/>
      <c r="BQ67" s="1"/>
      <c r="BR67" s="1"/>
      <c r="BS67" s="1"/>
      <c r="BT67" s="1"/>
      <c r="BU67" s="1"/>
      <c r="BV67" s="257" t="s">
        <v>311</v>
      </c>
      <c r="BW67" s="261" t="s">
        <v>65</v>
      </c>
      <c r="BX67" s="8"/>
      <c r="BY67" s="524" t="s">
        <v>787</v>
      </c>
      <c r="BZ67" s="142" t="s">
        <v>65</v>
      </c>
      <c r="CA67" s="8"/>
      <c r="CB67" s="8"/>
      <c r="CC67" s="6"/>
      <c r="CD67" s="8"/>
      <c r="CE67" s="530" t="s">
        <v>312</v>
      </c>
      <c r="CF67" s="137" t="s">
        <v>59</v>
      </c>
      <c r="CG67" s="2"/>
      <c r="CH67" s="236"/>
      <c r="CI67" s="237"/>
      <c r="CJ67" s="8"/>
      <c r="CK67" s="236"/>
      <c r="CL67" s="237"/>
      <c r="CM67" s="8"/>
      <c r="CN67" s="236"/>
      <c r="CO67" s="237"/>
      <c r="CP67" s="8"/>
      <c r="CQ67" s="236"/>
      <c r="CR67" s="237"/>
      <c r="CS67" s="8"/>
      <c r="CT67" s="184" t="s">
        <v>313</v>
      </c>
      <c r="CU67" s="185" t="s">
        <v>59</v>
      </c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</row>
    <row r="68" spans="1:117" ht="29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9"/>
      <c r="M68" s="9"/>
      <c r="N68" s="9"/>
      <c r="O68" s="8"/>
      <c r="P68" s="8"/>
      <c r="Q68" s="8"/>
      <c r="R68" s="8"/>
      <c r="S68" s="8"/>
      <c r="T68" s="8"/>
      <c r="U68" s="8"/>
      <c r="V68" s="8"/>
      <c r="W68" s="8"/>
      <c r="X68" s="264"/>
      <c r="Y68" s="265"/>
      <c r="Z68" s="8"/>
      <c r="AA68" s="266" t="s">
        <v>788</v>
      </c>
      <c r="AB68" s="267" t="s">
        <v>65</v>
      </c>
      <c r="AC68" s="1"/>
      <c r="AD68" s="172"/>
      <c r="AE68" s="92"/>
      <c r="AF68" s="1"/>
      <c r="AG68" s="264"/>
      <c r="AH68" s="265"/>
      <c r="AI68" s="1"/>
      <c r="AJ68" s="264"/>
      <c r="AK68" s="265"/>
      <c r="AL68" s="8"/>
      <c r="AM68" s="250"/>
      <c r="AN68" s="251"/>
      <c r="AO68" s="8"/>
      <c r="AP68" s="250"/>
      <c r="AQ68" s="251"/>
      <c r="AR68" s="124"/>
      <c r="AS68" s="250"/>
      <c r="AT68" s="251"/>
      <c r="AU68" s="124"/>
      <c r="AV68" s="250"/>
      <c r="AW68" s="251"/>
      <c r="AX68" s="1"/>
      <c r="AY68" s="9"/>
      <c r="AZ68" s="114"/>
      <c r="BA68" s="8"/>
      <c r="BB68" s="8"/>
      <c r="BC68" s="8"/>
      <c r="BD68" s="8"/>
      <c r="BE68" s="8"/>
      <c r="BF68" s="8"/>
      <c r="BG68" s="8"/>
      <c r="BH68" s="120"/>
      <c r="BI68" s="8"/>
      <c r="BJ68" s="8"/>
      <c r="BK68" s="8"/>
      <c r="BL68" s="8"/>
      <c r="BM68" s="8"/>
      <c r="BN68" s="8"/>
      <c r="BO68" s="8"/>
      <c r="BP68" s="8"/>
      <c r="BQ68" s="1"/>
      <c r="BR68" s="1"/>
      <c r="BS68" s="268"/>
      <c r="BT68" s="268"/>
      <c r="BU68" s="268"/>
      <c r="BV68" s="269" t="s">
        <v>314</v>
      </c>
      <c r="BW68" s="73" t="s">
        <v>83</v>
      </c>
      <c r="BX68" s="8"/>
      <c r="BY68" s="262"/>
      <c r="BZ68" s="263"/>
      <c r="CA68" s="8"/>
      <c r="CB68" s="8"/>
      <c r="CC68" s="6"/>
      <c r="CD68" s="8"/>
      <c r="CE68" s="530" t="s">
        <v>315</v>
      </c>
      <c r="CF68" s="137" t="s">
        <v>59</v>
      </c>
      <c r="CG68" s="2"/>
      <c r="CH68" s="236"/>
      <c r="CI68" s="237"/>
      <c r="CJ68" s="8"/>
      <c r="CK68" s="236"/>
      <c r="CL68" s="237"/>
      <c r="CM68" s="8"/>
      <c r="CN68" s="236"/>
      <c r="CO68" s="237"/>
      <c r="CP68" s="8"/>
      <c r="CQ68" s="236"/>
      <c r="CR68" s="237"/>
      <c r="CS68" s="8"/>
      <c r="CT68" s="217"/>
      <c r="CU68" s="124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</row>
    <row r="69" spans="1:117" ht="29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9"/>
      <c r="M69" s="9"/>
      <c r="N69" s="9"/>
      <c r="O69" s="9"/>
      <c r="P69" s="9"/>
      <c r="Q69" s="8"/>
      <c r="R69" s="8"/>
      <c r="S69" s="8"/>
      <c r="T69" s="8"/>
      <c r="U69" s="8"/>
      <c r="V69" s="8"/>
      <c r="W69" s="8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1"/>
      <c r="AO69" s="1"/>
      <c r="AP69" s="1"/>
      <c r="AQ69" s="1"/>
      <c r="AR69" s="1"/>
      <c r="AS69" s="1"/>
      <c r="AT69" s="1"/>
      <c r="AU69" s="1"/>
      <c r="AV69" s="252"/>
      <c r="AW69" s="253"/>
      <c r="AX69" s="1"/>
      <c r="AY69" s="9"/>
      <c r="AZ69" s="114"/>
      <c r="BA69" s="8"/>
      <c r="BB69" s="8"/>
      <c r="BC69" s="8"/>
      <c r="BD69" s="8"/>
      <c r="BE69" s="8"/>
      <c r="BF69" s="8"/>
      <c r="BG69" s="8"/>
      <c r="BH69" s="120"/>
      <c r="BI69" s="8"/>
      <c r="BJ69" s="8"/>
      <c r="BK69" s="8"/>
      <c r="BL69" s="8"/>
      <c r="BM69" s="8"/>
      <c r="BN69" s="8"/>
      <c r="BO69" s="8"/>
      <c r="BP69" s="8"/>
      <c r="BQ69" s="6"/>
      <c r="BR69" s="6"/>
      <c r="BS69" s="6"/>
      <c r="BT69" s="6"/>
      <c r="BU69" s="6"/>
      <c r="BV69" s="154"/>
      <c r="BW69" s="270"/>
      <c r="BX69" s="8"/>
      <c r="BY69" s="154"/>
      <c r="BZ69" s="270"/>
      <c r="CA69" s="8"/>
      <c r="CB69" s="8"/>
      <c r="CC69" s="6"/>
      <c r="CD69" s="8"/>
      <c r="CE69" s="50" t="s">
        <v>316</v>
      </c>
      <c r="CF69" s="51" t="s">
        <v>59</v>
      </c>
      <c r="CG69" s="2"/>
      <c r="CH69" s="154"/>
      <c r="CI69" s="270"/>
      <c r="CJ69" s="8"/>
      <c r="CK69" s="154"/>
      <c r="CL69" s="270"/>
      <c r="CM69" s="8"/>
      <c r="CN69" s="154"/>
      <c r="CO69" s="270"/>
      <c r="CP69" s="8"/>
      <c r="CQ69" s="154"/>
      <c r="CR69" s="270"/>
      <c r="CS69" s="8"/>
      <c r="CT69" s="271"/>
      <c r="CU69" s="272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</row>
    <row r="70" spans="1:117" ht="29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9"/>
      <c r="M70" s="9"/>
      <c r="N70" s="9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14"/>
      <c r="BA70" s="8"/>
      <c r="BB70" s="8"/>
      <c r="BC70" s="8"/>
      <c r="BD70" s="8"/>
      <c r="BE70" s="8"/>
      <c r="BF70" s="8"/>
      <c r="BG70" s="8"/>
      <c r="BH70" s="120"/>
      <c r="BI70" s="8"/>
      <c r="BJ70" s="8"/>
      <c r="BK70" s="8"/>
      <c r="BL70" s="8"/>
      <c r="BM70" s="8"/>
      <c r="BN70" s="8"/>
      <c r="BO70" s="8"/>
      <c r="BP70" s="6"/>
      <c r="BQ70" s="6"/>
      <c r="BR70" s="6"/>
      <c r="BS70" s="6"/>
      <c r="BT70" s="6"/>
      <c r="BU70" s="6"/>
      <c r="BV70" s="273"/>
      <c r="BW70" s="274"/>
      <c r="BX70" s="8"/>
      <c r="BY70" s="273"/>
      <c r="BZ70" s="274"/>
      <c r="CA70" s="8"/>
      <c r="CB70" s="8"/>
      <c r="CC70" s="6"/>
      <c r="CD70" s="8"/>
      <c r="CE70" s="531" t="s">
        <v>789</v>
      </c>
      <c r="CF70" s="175" t="s">
        <v>83</v>
      </c>
      <c r="CG70" s="2"/>
      <c r="CH70" s="273"/>
      <c r="CI70" s="274"/>
      <c r="CJ70" s="8"/>
      <c r="CK70" s="273"/>
      <c r="CL70" s="274"/>
      <c r="CM70" s="8"/>
      <c r="CN70" s="273"/>
      <c r="CO70" s="274"/>
      <c r="CP70" s="8"/>
      <c r="CQ70" s="273"/>
      <c r="CR70" s="274"/>
      <c r="CS70" s="8"/>
      <c r="CT70" s="275"/>
      <c r="CU70" s="276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</row>
    <row r="71" spans="1:117" ht="27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14"/>
      <c r="BA71" s="8"/>
      <c r="BB71" s="8"/>
      <c r="BC71" s="8"/>
      <c r="BD71" s="8"/>
      <c r="BE71" s="8"/>
      <c r="BF71" s="8"/>
      <c r="BG71" s="115"/>
      <c r="BH71" s="277"/>
      <c r="BI71" s="8"/>
      <c r="BJ71" s="8"/>
      <c r="BK71" s="8"/>
      <c r="BL71" s="8"/>
      <c r="BM71" s="8"/>
      <c r="BN71" s="8"/>
      <c r="BO71" s="8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8"/>
      <c r="CG71" s="8"/>
      <c r="CH71" s="6"/>
      <c r="CI71" s="6"/>
      <c r="CJ71" s="8"/>
      <c r="CK71" s="6"/>
      <c r="CL71" s="6"/>
      <c r="CM71" s="6"/>
      <c r="CN71" s="6"/>
      <c r="CO71" s="6"/>
      <c r="CP71" s="6"/>
      <c r="CQ71" s="6"/>
      <c r="CR71" s="6"/>
      <c r="CS71" s="6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</row>
    <row r="72" spans="1:117" ht="27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8"/>
      <c r="AJ72" s="8"/>
      <c r="AK72" s="8"/>
      <c r="AL72" s="8"/>
      <c r="AM72" s="9"/>
      <c r="AN72" s="20"/>
      <c r="AO72" s="8"/>
      <c r="AP72" s="8"/>
      <c r="AQ72" s="8"/>
      <c r="AR72" s="8"/>
      <c r="AS72" s="8"/>
      <c r="AT72" s="8"/>
      <c r="AU72" s="8"/>
      <c r="AV72" s="1"/>
      <c r="AW72" s="1"/>
      <c r="AX72" s="8"/>
      <c r="AY72" s="9"/>
      <c r="AZ72" s="114"/>
      <c r="BA72" s="8"/>
      <c r="BB72" s="8"/>
      <c r="BC72" s="8"/>
      <c r="BD72" s="8"/>
      <c r="BE72" s="8"/>
      <c r="BF72" s="8"/>
      <c r="BG72" s="115"/>
      <c r="BH72" s="277"/>
      <c r="BI72" s="8"/>
      <c r="BJ72" s="8"/>
      <c r="BK72" s="8"/>
      <c r="BL72" s="8"/>
      <c r="BM72" s="8"/>
      <c r="BN72" s="8"/>
      <c r="BO72" s="8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8"/>
      <c r="CG72" s="8"/>
      <c r="CH72" s="1"/>
      <c r="CI72" s="1"/>
      <c r="CJ72" s="8"/>
      <c r="CK72" s="1"/>
      <c r="CL72" s="1"/>
      <c r="CM72" s="1"/>
      <c r="CN72" s="8"/>
      <c r="CO72" s="8"/>
      <c r="CP72" s="8"/>
      <c r="CQ72" s="8"/>
      <c r="CR72" s="8"/>
      <c r="CS72" s="8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</row>
    <row r="73" spans="1:117" ht="27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8"/>
      <c r="AK73" s="8"/>
      <c r="AL73" s="8"/>
      <c r="AM73" s="9"/>
      <c r="AN73" s="20"/>
      <c r="AO73" s="8"/>
      <c r="AP73" s="8"/>
      <c r="AQ73" s="8"/>
      <c r="AR73" s="8"/>
      <c r="AS73" s="8"/>
      <c r="AT73" s="8"/>
      <c r="AU73" s="8"/>
      <c r="AV73" s="1"/>
      <c r="AW73" s="1"/>
      <c r="AX73" s="8"/>
      <c r="AY73" s="9"/>
      <c r="AZ73" s="114"/>
      <c r="BA73" s="8"/>
      <c r="BB73" s="8"/>
      <c r="BC73" s="8"/>
      <c r="BD73" s="8"/>
      <c r="BE73" s="8"/>
      <c r="BF73" s="8"/>
      <c r="BG73" s="115"/>
      <c r="BH73" s="277"/>
      <c r="BI73" s="8"/>
      <c r="BJ73" s="8"/>
      <c r="BK73" s="8"/>
      <c r="BL73" s="8"/>
      <c r="BM73" s="8"/>
      <c r="BN73" s="8"/>
      <c r="BO73" s="8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8"/>
      <c r="CG73" s="8"/>
      <c r="CH73" s="8"/>
      <c r="CI73" s="8"/>
      <c r="CJ73" s="8"/>
      <c r="CK73" s="6"/>
      <c r="CL73" s="8"/>
      <c r="CM73" s="8"/>
      <c r="CN73" s="8"/>
      <c r="CO73" s="8"/>
      <c r="CP73" s="8"/>
      <c r="CQ73" s="8"/>
      <c r="CR73" s="8"/>
      <c r="CS73" s="8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</row>
    <row r="74" spans="1:117" ht="27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8"/>
      <c r="AK74" s="8"/>
      <c r="AL74" s="8"/>
      <c r="AM74" s="9"/>
      <c r="AN74" s="20"/>
      <c r="AO74" s="8"/>
      <c r="AP74" s="8"/>
      <c r="AQ74" s="8"/>
      <c r="AR74" s="8"/>
      <c r="AS74" s="8"/>
      <c r="AT74" s="8"/>
      <c r="AU74" s="8"/>
      <c r="AV74" s="1"/>
      <c r="AW74" s="1"/>
      <c r="AX74" s="8"/>
      <c r="AY74" s="9"/>
      <c r="AZ74" s="114"/>
      <c r="BA74" s="8"/>
      <c r="BB74" s="8"/>
      <c r="BC74" s="8"/>
      <c r="BD74" s="8"/>
      <c r="BE74" s="8"/>
      <c r="BF74" s="8"/>
      <c r="BG74" s="115"/>
      <c r="BH74" s="277"/>
      <c r="BI74" s="8"/>
      <c r="BJ74" s="8"/>
      <c r="BK74" s="8"/>
      <c r="BL74" s="8"/>
      <c r="BM74" s="8"/>
      <c r="BN74" s="8"/>
      <c r="BO74" s="8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8"/>
      <c r="CG74" s="8"/>
      <c r="CH74" s="8"/>
      <c r="CI74" s="8"/>
      <c r="CJ74" s="8"/>
      <c r="CK74" s="6"/>
      <c r="CL74" s="8"/>
      <c r="CM74" s="8"/>
      <c r="CN74" s="8"/>
      <c r="CO74" s="8"/>
      <c r="CP74" s="8"/>
      <c r="CQ74" s="8"/>
      <c r="CR74" s="8"/>
      <c r="CS74" s="8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</row>
    <row r="75" spans="1:117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1"/>
      <c r="AW75" s="1"/>
      <c r="AX75" s="9"/>
      <c r="AY75" s="9"/>
      <c r="AZ75" s="12"/>
      <c r="BA75" s="9"/>
      <c r="BB75" s="8"/>
      <c r="BC75" s="8"/>
      <c r="BD75" s="8"/>
      <c r="BE75" s="9"/>
      <c r="BF75" s="9"/>
      <c r="BG75" s="9"/>
      <c r="BH75" s="9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2"/>
      <c r="CG75" s="2"/>
      <c r="CH75" s="8"/>
      <c r="CI75" s="8"/>
      <c r="CJ75" s="8"/>
      <c r="CK75" s="6"/>
      <c r="CL75" s="8"/>
      <c r="CM75" s="8"/>
      <c r="CN75" s="8"/>
      <c r="CO75" s="8"/>
      <c r="CP75" s="8"/>
      <c r="CQ75" s="8"/>
      <c r="CR75" s="8"/>
      <c r="CS75" s="8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</row>
    <row r="76" spans="1:117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1"/>
      <c r="AW76" s="1"/>
      <c r="AX76" s="9"/>
      <c r="AY76" s="9"/>
      <c r="AZ76" s="12"/>
      <c r="BA76" s="9"/>
      <c r="BB76" s="8"/>
      <c r="BC76" s="8"/>
      <c r="BD76" s="8"/>
      <c r="BE76" s="9"/>
      <c r="BF76" s="9"/>
      <c r="BG76" s="9"/>
      <c r="BH76" s="9"/>
      <c r="BI76" s="8"/>
      <c r="BJ76" s="8"/>
      <c r="BK76" s="8"/>
      <c r="BL76" s="8"/>
      <c r="BM76" s="8"/>
      <c r="BN76" s="8"/>
      <c r="BO76" s="8"/>
      <c r="BP76" s="268"/>
      <c r="BQ76" s="268"/>
      <c r="BR76" s="268"/>
      <c r="BS76" s="268"/>
      <c r="BT76" s="268"/>
      <c r="BU76" s="268"/>
      <c r="BV76" s="6"/>
      <c r="BW76" s="6"/>
      <c r="BX76" s="8"/>
      <c r="BY76" s="8"/>
      <c r="BZ76" s="6"/>
      <c r="CA76" s="8"/>
      <c r="CB76" s="268"/>
      <c r="CC76" s="268"/>
      <c r="CD76" s="6"/>
      <c r="CE76" s="6"/>
      <c r="CF76" s="2"/>
      <c r="CG76" s="2"/>
      <c r="CH76" s="8"/>
      <c r="CI76" s="8"/>
      <c r="CJ76" s="8"/>
      <c r="CK76" s="6"/>
      <c r="CL76" s="8"/>
      <c r="CM76" s="8"/>
      <c r="CN76" s="8"/>
      <c r="CO76" s="8"/>
      <c r="CP76" s="8"/>
      <c r="CQ76" s="8"/>
      <c r="CR76" s="8"/>
      <c r="CS76" s="8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</row>
    <row r="77" spans="1:117" ht="17.25" customHeight="1">
      <c r="A77" s="8"/>
      <c r="B77" s="8"/>
      <c r="C77" s="8"/>
      <c r="D77" s="8"/>
      <c r="E77" s="8"/>
      <c r="F77" s="8"/>
      <c r="G77" s="8"/>
      <c r="H77" s="8"/>
      <c r="I77" s="9"/>
      <c r="J77" s="9"/>
      <c r="K77" s="9"/>
      <c r="L77" s="915" t="s">
        <v>317</v>
      </c>
      <c r="M77" s="916"/>
      <c r="N77" s="916"/>
      <c r="O77" s="917"/>
      <c r="P77" s="9"/>
      <c r="Q77" s="9"/>
      <c r="R77" s="9"/>
      <c r="S77" s="9"/>
      <c r="T77" s="9"/>
      <c r="U77" s="9"/>
      <c r="V77" s="9"/>
      <c r="W77" s="9"/>
      <c r="X77" s="1"/>
      <c r="Y77" s="1"/>
      <c r="Z77" s="1"/>
      <c r="AA77" s="8"/>
      <c r="AB77" s="8"/>
      <c r="AC77" s="8"/>
      <c r="AD77" s="9"/>
      <c r="AE77" s="9"/>
      <c r="AF77" s="9"/>
      <c r="AG77" s="174"/>
      <c r="AH77" s="174"/>
      <c r="AI77" s="174"/>
      <c r="AJ77" s="918" t="s">
        <v>318</v>
      </c>
      <c r="AK77" s="919"/>
      <c r="AL77" s="919"/>
      <c r="AM77" s="919"/>
      <c r="AN77" s="919"/>
      <c r="AO77" s="919"/>
      <c r="AP77" s="920"/>
      <c r="AQ77" s="8"/>
      <c r="AR77" s="8"/>
      <c r="AS77" s="174"/>
      <c r="AT77" s="174"/>
      <c r="AU77" s="174"/>
      <c r="AV77" s="1"/>
      <c r="AW77" s="1"/>
      <c r="AX77" s="174"/>
      <c r="AY77" s="9"/>
      <c r="AZ77" s="114"/>
      <c r="BA77" s="8"/>
      <c r="BB77" s="8"/>
      <c r="BC77" s="8"/>
      <c r="BD77" s="8"/>
      <c r="BE77" s="8"/>
      <c r="BF77" s="8"/>
      <c r="BG77" s="8"/>
      <c r="BH77" s="906" t="s">
        <v>319</v>
      </c>
      <c r="BI77" s="907"/>
      <c r="BJ77" s="908"/>
      <c r="BK77" s="8"/>
      <c r="BL77" s="8"/>
      <c r="BM77" s="8"/>
      <c r="BN77" s="8"/>
      <c r="BO77" s="8"/>
      <c r="BP77" s="6"/>
      <c r="BQ77" s="268"/>
      <c r="BR77" s="268"/>
      <c r="BS77" s="268"/>
      <c r="BT77" s="268"/>
      <c r="BU77" s="268"/>
      <c r="BV77" s="8"/>
      <c r="BW77" s="8"/>
      <c r="BX77" s="8"/>
      <c r="BY77" s="8"/>
      <c r="BZ77" s="8"/>
      <c r="CA77" s="8"/>
      <c r="CB77" s="8"/>
      <c r="CC77" s="921" t="s">
        <v>320</v>
      </c>
      <c r="CD77" s="922"/>
      <c r="CE77" s="923"/>
      <c r="CF77" s="6"/>
      <c r="CG77" s="6"/>
      <c r="CH77" s="8"/>
      <c r="CI77" s="8"/>
      <c r="CJ77" s="8"/>
      <c r="CK77" s="6"/>
      <c r="CL77" s="6"/>
      <c r="CM77" s="8"/>
      <c r="CN77" s="8"/>
      <c r="CO77" s="8"/>
      <c r="CP77" s="8"/>
      <c r="CQ77" s="8"/>
      <c r="CR77" s="8"/>
      <c r="CS77" s="8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</row>
    <row r="78" spans="1:117" ht="15.75" customHeight="1">
      <c r="A78" s="8"/>
      <c r="B78" s="8"/>
      <c r="C78" s="8"/>
      <c r="D78" s="8"/>
      <c r="E78" s="8"/>
      <c r="F78" s="8"/>
      <c r="G78" s="8"/>
      <c r="H78" s="8"/>
      <c r="I78" s="9"/>
      <c r="J78" s="9"/>
      <c r="K78" s="9"/>
      <c r="L78" s="909" t="s">
        <v>321</v>
      </c>
      <c r="M78" s="910"/>
      <c r="N78" s="910"/>
      <c r="O78" s="911"/>
      <c r="P78" s="9"/>
      <c r="Q78" s="9"/>
      <c r="R78" s="7"/>
      <c r="S78" s="9"/>
      <c r="T78" s="9"/>
      <c r="U78" s="7"/>
      <c r="V78" s="8"/>
      <c r="W78" s="8"/>
      <c r="X78" s="1"/>
      <c r="Y78" s="1"/>
      <c r="Z78" s="1"/>
      <c r="AA78" s="8"/>
      <c r="AB78" s="8"/>
      <c r="AC78" s="8"/>
      <c r="AD78" s="9"/>
      <c r="AE78" s="9"/>
      <c r="AF78" s="9"/>
      <c r="AG78" s="174"/>
      <c r="AH78" s="174"/>
      <c r="AI78" s="174"/>
      <c r="AJ78" s="918" t="s">
        <v>322</v>
      </c>
      <c r="AK78" s="919"/>
      <c r="AL78" s="919"/>
      <c r="AM78" s="919"/>
      <c r="AN78" s="919"/>
      <c r="AO78" s="919"/>
      <c r="AP78" s="920"/>
      <c r="AQ78" s="8"/>
      <c r="AR78" s="8"/>
      <c r="AS78" s="174"/>
      <c r="AT78" s="174"/>
      <c r="AU78" s="174"/>
      <c r="AV78" s="1"/>
      <c r="AW78" s="1"/>
      <c r="AX78" s="174"/>
      <c r="AY78" s="9"/>
      <c r="AZ78" s="114"/>
      <c r="BA78" s="8"/>
      <c r="BB78" s="8"/>
      <c r="BC78" s="8"/>
      <c r="BD78" s="8"/>
      <c r="BE78" s="8"/>
      <c r="BF78" s="8"/>
      <c r="BG78" s="8"/>
      <c r="BH78" s="906" t="s">
        <v>323</v>
      </c>
      <c r="BI78" s="907"/>
      <c r="BJ78" s="908"/>
      <c r="BK78" s="8"/>
      <c r="BL78" s="8"/>
      <c r="BM78" s="8"/>
      <c r="BN78" s="8"/>
      <c r="BO78" s="8"/>
      <c r="BP78" s="6"/>
      <c r="BQ78" s="268"/>
      <c r="BR78" s="268"/>
      <c r="BS78" s="268"/>
      <c r="BT78" s="268"/>
      <c r="BU78" s="268"/>
      <c r="BV78" s="8"/>
      <c r="BW78" s="8"/>
      <c r="BX78" s="8"/>
      <c r="BY78" s="8"/>
      <c r="BZ78" s="8"/>
      <c r="CA78" s="8"/>
      <c r="CB78" s="8"/>
      <c r="CC78" s="912" t="s">
        <v>324</v>
      </c>
      <c r="CD78" s="913"/>
      <c r="CE78" s="914"/>
      <c r="CF78" s="6"/>
      <c r="CG78" s="6"/>
      <c r="CH78" s="8"/>
      <c r="CI78" s="8"/>
      <c r="CJ78" s="8"/>
      <c r="CK78" s="6"/>
      <c r="CL78" s="6"/>
      <c r="CM78" s="8"/>
      <c r="CN78" s="8"/>
      <c r="CO78" s="8"/>
      <c r="CP78" s="8"/>
      <c r="CQ78" s="8"/>
      <c r="CR78" s="8"/>
      <c r="CS78" s="8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</row>
    <row r="79" spans="1:117" ht="24" customHeight="1">
      <c r="A79" s="8"/>
      <c r="B79" s="8"/>
      <c r="C79" s="8"/>
      <c r="D79" s="8"/>
      <c r="E79" s="8"/>
      <c r="F79" s="8"/>
      <c r="G79" s="8"/>
      <c r="H79" s="8"/>
      <c r="I79" s="9"/>
      <c r="J79" s="8"/>
      <c r="K79" s="8"/>
      <c r="L79" s="8"/>
      <c r="M79" s="8"/>
      <c r="N79" s="8"/>
      <c r="O79" s="9"/>
      <c r="P79" s="9"/>
      <c r="Q79" s="9"/>
      <c r="R79" s="9"/>
      <c r="S79" s="9"/>
      <c r="T79" s="9"/>
      <c r="U79" s="7"/>
      <c r="V79" s="9"/>
      <c r="W79" s="9"/>
      <c r="X79" s="1">
        <f>SUM(M81,P81,S81,V81)</f>
        <v>18</v>
      </c>
      <c r="Y79" s="1"/>
      <c r="Z79" s="1"/>
      <c r="AA79" s="1"/>
      <c r="AB79" s="1"/>
      <c r="AC79" s="1"/>
      <c r="AD79" s="9"/>
      <c r="AE79" s="9"/>
      <c r="AF79" s="9"/>
      <c r="AG79" s="174"/>
      <c r="AH79" s="174"/>
      <c r="AI79" s="174"/>
      <c r="AJ79" s="174"/>
      <c r="AK79" s="174"/>
      <c r="AL79" s="174"/>
      <c r="AM79" s="278"/>
      <c r="AN79" s="174"/>
      <c r="AO79" s="174"/>
      <c r="AP79" s="174"/>
      <c r="AQ79" s="8">
        <f>SUM(AH81,AK81,AN81,AQ81,AT81)</f>
        <v>40</v>
      </c>
      <c r="AR79" s="8"/>
      <c r="AS79" s="174"/>
      <c r="AT79" s="174"/>
      <c r="AU79" s="174"/>
      <c r="AV79" s="1"/>
      <c r="AW79" s="1"/>
      <c r="AX79" s="174"/>
      <c r="AY79" s="9"/>
      <c r="AZ79" s="114"/>
      <c r="BA79" s="8"/>
      <c r="BB79" s="8"/>
      <c r="BC79" s="8"/>
      <c r="BD79" s="8"/>
      <c r="BE79" s="8"/>
      <c r="BF79" s="8"/>
      <c r="BG79" s="8"/>
      <c r="BH79" s="277"/>
      <c r="BI79" s="115"/>
      <c r="BJ79" s="115"/>
      <c r="BK79" s="8"/>
      <c r="BL79" s="8"/>
      <c r="BM79" s="8"/>
      <c r="BN79" s="8"/>
      <c r="BO79" s="8"/>
      <c r="BP79" s="6"/>
      <c r="BQ79" s="268"/>
      <c r="BR79" s="268"/>
      <c r="BS79" s="268"/>
      <c r="BT79" s="268"/>
      <c r="BU79" s="268"/>
      <c r="BV79" s="8"/>
      <c r="BW79" s="6"/>
      <c r="BX79" s="6"/>
      <c r="BY79" s="8"/>
      <c r="BZ79" s="8"/>
      <c r="CA79" s="8"/>
      <c r="CB79" s="6"/>
      <c r="CC79" s="8"/>
      <c r="CD79" s="120"/>
      <c r="CE79" s="8"/>
      <c r="CF79" s="6"/>
      <c r="CG79" s="6"/>
      <c r="CH79" s="8"/>
      <c r="CI79" s="8"/>
      <c r="CJ79" s="8"/>
      <c r="CK79" s="6"/>
      <c r="CL79" s="6"/>
      <c r="CM79" s="8"/>
      <c r="CN79" s="8"/>
      <c r="CO79" s="8"/>
      <c r="CP79" s="8"/>
      <c r="CQ79" s="8"/>
      <c r="CR79" s="8"/>
      <c r="CS79" s="8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</row>
    <row r="80" spans="1:117" ht="30" customHeight="1">
      <c r="A80" s="1"/>
      <c r="B80" s="1"/>
      <c r="C80" s="1"/>
      <c r="D80" s="1"/>
      <c r="E80" s="1"/>
      <c r="F80" s="1"/>
      <c r="G80" s="1"/>
      <c r="H80" s="1"/>
      <c r="I80" s="9"/>
      <c r="J80" s="31"/>
      <c r="K80" s="32"/>
      <c r="L80" s="33"/>
      <c r="M80" s="279"/>
      <c r="N80" s="11"/>
      <c r="O80" s="33"/>
      <c r="P80" s="8"/>
      <c r="Q80" s="8"/>
      <c r="R80" s="7"/>
      <c r="S80" s="9"/>
      <c r="T80" s="9"/>
      <c r="U80" s="7"/>
      <c r="V80" s="8"/>
      <c r="W80" s="8"/>
      <c r="X80" s="1"/>
      <c r="Y80" s="1"/>
      <c r="Z80" s="1"/>
      <c r="AA80" s="1"/>
      <c r="AB80" s="8"/>
      <c r="AC80" s="8"/>
      <c r="AD80" s="174"/>
      <c r="AE80" s="280"/>
      <c r="AF80" s="281"/>
      <c r="AG80" s="282"/>
      <c r="AH80" s="280"/>
      <c r="AI80" s="281"/>
      <c r="AJ80" s="283"/>
      <c r="AK80" s="281"/>
      <c r="AL80" s="281"/>
      <c r="AM80" s="283"/>
      <c r="AN80" s="281"/>
      <c r="AO80" s="281"/>
      <c r="AP80" s="282"/>
      <c r="AQ80" s="281"/>
      <c r="AR80" s="281"/>
      <c r="AS80" s="282"/>
      <c r="AT80" s="174"/>
      <c r="AU80" s="174"/>
      <c r="AV80" s="1"/>
      <c r="AW80" s="1"/>
      <c r="AX80" s="174"/>
      <c r="AY80" s="9"/>
      <c r="AZ80" s="114"/>
      <c r="BA80" s="8"/>
      <c r="BB80" s="8"/>
      <c r="BC80" s="8"/>
      <c r="BD80" s="8"/>
      <c r="BE80" s="8"/>
      <c r="BF80" s="8"/>
      <c r="BG80" s="8"/>
      <c r="BH80" s="277"/>
      <c r="BI80" s="8"/>
      <c r="BJ80" s="8"/>
      <c r="BK80" s="8"/>
      <c r="BL80" s="8"/>
      <c r="BM80" s="8"/>
      <c r="BN80" s="8"/>
      <c r="BO80" s="8"/>
      <c r="BP80" s="6"/>
      <c r="BQ80" s="268"/>
      <c r="BR80" s="268"/>
      <c r="BS80" s="268"/>
      <c r="BT80" s="268"/>
      <c r="BU80" s="268"/>
      <c r="BV80" s="8"/>
      <c r="BW80" s="31"/>
      <c r="BX80" s="32"/>
      <c r="BY80" s="32"/>
      <c r="BZ80" s="31"/>
      <c r="CA80" s="32"/>
      <c r="CB80" s="32"/>
      <c r="CC80" s="31"/>
      <c r="CD80" s="32"/>
      <c r="CE80" s="32"/>
      <c r="CF80" s="31"/>
      <c r="CG80" s="32"/>
      <c r="CH80" s="33"/>
      <c r="CI80" s="32"/>
      <c r="CJ80" s="32"/>
      <c r="CK80" s="33"/>
      <c r="CL80" s="32"/>
      <c r="CM80" s="32"/>
      <c r="CN80" s="33"/>
      <c r="CO80" s="6"/>
      <c r="CP80" s="8"/>
      <c r="CQ80" s="8"/>
      <c r="CR80" s="8"/>
      <c r="CS80" s="8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</row>
    <row r="81" spans="1:117" ht="30" customHeight="1">
      <c r="A81" s="1"/>
      <c r="B81" s="1"/>
      <c r="C81" s="1"/>
      <c r="D81" s="1"/>
      <c r="E81" s="1"/>
      <c r="F81" s="1"/>
      <c r="G81" s="1"/>
      <c r="H81" s="1"/>
      <c r="I81" s="37" t="s">
        <v>164</v>
      </c>
      <c r="J81" s="40">
        <f>COUNTA(J82:J97)</f>
        <v>15</v>
      </c>
      <c r="K81" s="8"/>
      <c r="L81" s="37" t="s">
        <v>169</v>
      </c>
      <c r="M81" s="40">
        <f>COUNTA(M82:M97)</f>
        <v>8</v>
      </c>
      <c r="N81" s="1"/>
      <c r="O81" s="37" t="s">
        <v>170</v>
      </c>
      <c r="P81" s="40">
        <f>COUNTA(P82:P96)</f>
        <v>10</v>
      </c>
      <c r="Q81" s="1"/>
      <c r="R81" s="9"/>
      <c r="S81" s="9"/>
      <c r="T81" s="9"/>
      <c r="U81" s="7"/>
      <c r="V81" s="9"/>
      <c r="W81" s="9"/>
      <c r="X81" s="1"/>
      <c r="Y81" s="1"/>
      <c r="Z81" s="1"/>
      <c r="AA81" s="1"/>
      <c r="AB81" s="6"/>
      <c r="AC81" s="1"/>
      <c r="AD81" s="284" t="s">
        <v>164</v>
      </c>
      <c r="AE81" s="126">
        <f>COUNTA(AE82:AE97)</f>
        <v>9</v>
      </c>
      <c r="AF81" s="124"/>
      <c r="AG81" s="284" t="s">
        <v>169</v>
      </c>
      <c r="AH81" s="125">
        <f>COUNTA(AH82:AH97)</f>
        <v>10</v>
      </c>
      <c r="AI81" s="124"/>
      <c r="AJ81" s="284" t="s">
        <v>170</v>
      </c>
      <c r="AK81" s="128">
        <f>COUNTA(AK82:AK94)</f>
        <v>3</v>
      </c>
      <c r="AL81" s="124"/>
      <c r="AM81" s="284" t="s">
        <v>171</v>
      </c>
      <c r="AN81" s="128">
        <f>COUNTA(AN82:AN94)</f>
        <v>8</v>
      </c>
      <c r="AO81" s="174"/>
      <c r="AP81" s="284" t="s">
        <v>325</v>
      </c>
      <c r="AQ81" s="126">
        <f>COUNTA(AQ82:AQ96)</f>
        <v>8</v>
      </c>
      <c r="AR81" s="174"/>
      <c r="AS81" s="284" t="s">
        <v>326</v>
      </c>
      <c r="AT81" s="126">
        <f>COUNTA(AT82:AT97)</f>
        <v>11</v>
      </c>
      <c r="AU81" s="174"/>
      <c r="AV81" s="1"/>
      <c r="AW81" s="1"/>
      <c r="AX81" s="174"/>
      <c r="AY81" s="9"/>
      <c r="AZ81" s="114"/>
      <c r="BA81" s="8"/>
      <c r="BB81" s="8"/>
      <c r="BC81" s="8"/>
      <c r="BD81" s="8"/>
      <c r="BE81" s="37" t="s">
        <v>164</v>
      </c>
      <c r="BF81" s="38">
        <f>COUNTA(BF82:BF92)</f>
        <v>7</v>
      </c>
      <c r="BG81" s="8"/>
      <c r="BH81" s="37" t="s">
        <v>169</v>
      </c>
      <c r="BI81" s="40">
        <v>6</v>
      </c>
      <c r="BJ81" s="1"/>
      <c r="BK81" s="37" t="s">
        <v>170</v>
      </c>
      <c r="BL81" s="38">
        <f>COUNTA(BL82:BL92)</f>
        <v>4</v>
      </c>
      <c r="BM81" s="1"/>
      <c r="BN81" s="8"/>
      <c r="BO81" s="8"/>
      <c r="BP81" s="6"/>
      <c r="BQ81" s="268"/>
      <c r="BR81" s="268"/>
      <c r="BS81" s="268"/>
      <c r="BT81" s="268"/>
      <c r="BU81" s="268"/>
      <c r="BV81" s="37" t="s">
        <v>327</v>
      </c>
      <c r="BW81" s="40">
        <f>COUNTA(BW82:BW91)</f>
        <v>3</v>
      </c>
      <c r="BX81" s="8"/>
      <c r="BY81" s="285" t="s">
        <v>328</v>
      </c>
      <c r="BZ81" s="286">
        <f>COUNTA(BZ82:BZ100)</f>
        <v>19</v>
      </c>
      <c r="CA81" s="287"/>
      <c r="CB81" s="37" t="s">
        <v>329</v>
      </c>
      <c r="CC81" s="40">
        <f>COUNTA(CC82:CC100)</f>
        <v>0</v>
      </c>
      <c r="CD81" s="6"/>
      <c r="CE81" s="37" t="s">
        <v>330</v>
      </c>
      <c r="CF81" s="40">
        <f>COUNTA(CF82:CF100)</f>
        <v>16</v>
      </c>
      <c r="CG81" s="6"/>
      <c r="CH81" s="37" t="s">
        <v>331</v>
      </c>
      <c r="CI81" s="38">
        <f>COUNTA(CI82:CI96)</f>
        <v>9</v>
      </c>
      <c r="CJ81" s="1"/>
      <c r="CK81" s="41" t="s">
        <v>332</v>
      </c>
      <c r="CL81" s="38">
        <f>COUNTA(CL82:CL92)</f>
        <v>8</v>
      </c>
      <c r="CM81" s="1"/>
      <c r="CN81" s="37" t="s">
        <v>333</v>
      </c>
      <c r="CO81" s="38">
        <f>COUNTA(CO82:CO92)</f>
        <v>8</v>
      </c>
      <c r="CP81" s="1"/>
      <c r="CQ81" s="8"/>
      <c r="CR81" s="8"/>
      <c r="CS81" s="8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</row>
    <row r="82" spans="1:117" ht="30" customHeight="1">
      <c r="A82" s="1"/>
      <c r="B82" s="1"/>
      <c r="C82" s="1"/>
      <c r="D82" s="1"/>
      <c r="E82" s="1"/>
      <c r="F82" s="1"/>
      <c r="G82" s="1"/>
      <c r="H82" s="1"/>
      <c r="I82" s="288" t="s">
        <v>334</v>
      </c>
      <c r="J82" s="289"/>
      <c r="K82" s="8" t="s">
        <v>55</v>
      </c>
      <c r="L82" s="154" t="s">
        <v>790</v>
      </c>
      <c r="M82" s="142" t="s">
        <v>65</v>
      </c>
      <c r="N82" s="170" t="s">
        <v>55</v>
      </c>
      <c r="O82" s="290" t="s">
        <v>791</v>
      </c>
      <c r="P82" s="63" t="s">
        <v>59</v>
      </c>
      <c r="Q82" s="8" t="s">
        <v>55</v>
      </c>
      <c r="R82" s="7"/>
      <c r="S82" s="9"/>
      <c r="T82" s="9"/>
      <c r="U82" s="7"/>
      <c r="V82" s="8"/>
      <c r="W82" s="8"/>
      <c r="X82" s="268"/>
      <c r="Y82" s="268"/>
      <c r="Z82" s="1"/>
      <c r="AA82" s="1"/>
      <c r="AB82" s="9"/>
      <c r="AC82" s="8"/>
      <c r="AD82" s="291" t="s">
        <v>335</v>
      </c>
      <c r="AE82" s="152"/>
      <c r="AF82" s="124"/>
      <c r="AG82" s="215" t="s">
        <v>257</v>
      </c>
      <c r="AH82" s="152"/>
      <c r="AI82" s="292" t="s">
        <v>55</v>
      </c>
      <c r="AJ82" s="293" t="s">
        <v>336</v>
      </c>
      <c r="AK82" s="160"/>
      <c r="AL82" s="292" t="s">
        <v>55</v>
      </c>
      <c r="AM82" s="294" t="s">
        <v>792</v>
      </c>
      <c r="AN82" s="149" t="s">
        <v>59</v>
      </c>
      <c r="AO82" s="295" t="s">
        <v>249</v>
      </c>
      <c r="AP82" s="296" t="s">
        <v>337</v>
      </c>
      <c r="AQ82" s="152"/>
      <c r="AR82" s="174"/>
      <c r="AS82" s="291" t="s">
        <v>335</v>
      </c>
      <c r="AT82" s="152"/>
      <c r="AU82" s="174"/>
      <c r="AV82" s="1"/>
      <c r="AW82" s="1"/>
      <c r="AX82" s="174"/>
      <c r="AY82" s="9"/>
      <c r="AZ82" s="114"/>
      <c r="BA82" s="8"/>
      <c r="BB82" s="8"/>
      <c r="BC82" s="8"/>
      <c r="BD82" s="8"/>
      <c r="BE82" s="220" t="s">
        <v>203</v>
      </c>
      <c r="BF82" s="75"/>
      <c r="BG82" s="8" t="s">
        <v>173</v>
      </c>
      <c r="BH82" s="54" t="s">
        <v>241</v>
      </c>
      <c r="BI82" s="65"/>
      <c r="BJ82" s="8"/>
      <c r="BK82" s="236" t="s">
        <v>338</v>
      </c>
      <c r="BL82" s="65"/>
      <c r="BM82" s="8"/>
      <c r="BN82" s="8"/>
      <c r="BO82" s="8"/>
      <c r="BP82" s="6"/>
      <c r="BQ82" s="268"/>
      <c r="BR82" s="268"/>
      <c r="BS82" s="268"/>
      <c r="BT82" s="268"/>
      <c r="BU82" s="268"/>
      <c r="BV82" s="166" t="s">
        <v>339</v>
      </c>
      <c r="BW82" s="80"/>
      <c r="BX82" s="8"/>
      <c r="BY82" s="297" t="s">
        <v>340</v>
      </c>
      <c r="BZ82" s="298" t="s">
        <v>54</v>
      </c>
      <c r="CA82" s="8" t="s">
        <v>55</v>
      </c>
      <c r="CB82" s="166"/>
      <c r="CC82" s="299"/>
      <c r="CD82" s="170" t="s">
        <v>55</v>
      </c>
      <c r="CE82" s="81" t="s">
        <v>793</v>
      </c>
      <c r="CF82" s="82" t="s">
        <v>54</v>
      </c>
      <c r="CG82" s="170" t="s">
        <v>55</v>
      </c>
      <c r="CH82" s="300" t="s">
        <v>341</v>
      </c>
      <c r="CI82" s="63" t="s">
        <v>59</v>
      </c>
      <c r="CJ82" s="8" t="s">
        <v>342</v>
      </c>
      <c r="CK82" s="301" t="s">
        <v>343</v>
      </c>
      <c r="CL82" s="302"/>
      <c r="CM82" s="8" t="s">
        <v>342</v>
      </c>
      <c r="CN82" s="236" t="s">
        <v>343</v>
      </c>
      <c r="CO82" s="303" t="s">
        <v>54</v>
      </c>
      <c r="CP82" s="8" t="s">
        <v>55</v>
      </c>
      <c r="CQ82" s="8"/>
      <c r="CR82" s="8"/>
      <c r="CS82" s="8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</row>
    <row r="83" spans="1:117" ht="30" customHeight="1">
      <c r="A83" s="1"/>
      <c r="B83" s="1"/>
      <c r="C83" s="1"/>
      <c r="D83" s="1"/>
      <c r="E83" s="1"/>
      <c r="F83" s="1"/>
      <c r="G83" s="1"/>
      <c r="H83" s="1"/>
      <c r="I83" s="304" t="s">
        <v>794</v>
      </c>
      <c r="J83" s="155" t="s">
        <v>59</v>
      </c>
      <c r="K83" s="305"/>
      <c r="L83" s="154" t="s">
        <v>795</v>
      </c>
      <c r="M83" s="142" t="s">
        <v>65</v>
      </c>
      <c r="N83" s="306" t="s">
        <v>69</v>
      </c>
      <c r="O83" s="290" t="s">
        <v>796</v>
      </c>
      <c r="P83" s="63" t="s">
        <v>59</v>
      </c>
      <c r="Q83" s="157" t="s">
        <v>69</v>
      </c>
      <c r="R83" s="9"/>
      <c r="S83" s="9"/>
      <c r="T83" s="9"/>
      <c r="U83" s="7"/>
      <c r="V83" s="9"/>
      <c r="W83" s="9"/>
      <c r="X83" s="268"/>
      <c r="Y83" s="268"/>
      <c r="Z83" s="1"/>
      <c r="AA83" s="1"/>
      <c r="AB83" s="9"/>
      <c r="AC83" s="8"/>
      <c r="AD83" s="307" t="s">
        <v>344</v>
      </c>
      <c r="AE83" s="82" t="s">
        <v>54</v>
      </c>
      <c r="AF83" s="308" t="s">
        <v>69</v>
      </c>
      <c r="AG83" s="294" t="s">
        <v>797</v>
      </c>
      <c r="AH83" s="309" t="s">
        <v>281</v>
      </c>
      <c r="AI83" s="308" t="s">
        <v>69</v>
      </c>
      <c r="AJ83" s="310" t="s">
        <v>345</v>
      </c>
      <c r="AK83" s="185" t="s">
        <v>59</v>
      </c>
      <c r="AL83" s="308" t="s">
        <v>69</v>
      </c>
      <c r="AM83" s="310" t="s">
        <v>346</v>
      </c>
      <c r="AN83" s="185" t="s">
        <v>59</v>
      </c>
      <c r="AO83" s="174"/>
      <c r="AP83" s="311" t="s">
        <v>347</v>
      </c>
      <c r="AQ83" s="194" t="s">
        <v>54</v>
      </c>
      <c r="AR83" s="312" t="s">
        <v>348</v>
      </c>
      <c r="AS83" s="176" t="s">
        <v>349</v>
      </c>
      <c r="AT83" s="234" t="s">
        <v>281</v>
      </c>
      <c r="AU83" s="312" t="s">
        <v>348</v>
      </c>
      <c r="AV83" s="1"/>
      <c r="AW83" s="1"/>
      <c r="AX83" s="174"/>
      <c r="AY83" s="9"/>
      <c r="AZ83" s="114"/>
      <c r="BA83" s="8"/>
      <c r="BB83" s="8"/>
      <c r="BC83" s="8"/>
      <c r="BD83" s="8"/>
      <c r="BE83" s="183" t="s">
        <v>350</v>
      </c>
      <c r="BF83" s="63" t="s">
        <v>59</v>
      </c>
      <c r="BG83" s="157" t="s">
        <v>69</v>
      </c>
      <c r="BH83" s="220" t="s">
        <v>351</v>
      </c>
      <c r="BI83" s="82" t="s">
        <v>54</v>
      </c>
      <c r="BJ83" s="157" t="s">
        <v>69</v>
      </c>
      <c r="BK83" s="114" t="s">
        <v>352</v>
      </c>
      <c r="BL83" s="63" t="s">
        <v>59</v>
      </c>
      <c r="BM83" s="313" t="s">
        <v>69</v>
      </c>
      <c r="BN83" s="8"/>
      <c r="BO83" s="8"/>
      <c r="BP83" s="6"/>
      <c r="BQ83" s="268"/>
      <c r="BR83" s="268"/>
      <c r="BS83" s="268"/>
      <c r="BT83" s="268"/>
      <c r="BU83" s="268"/>
      <c r="BV83" s="166" t="s">
        <v>353</v>
      </c>
      <c r="BW83" s="80" t="s">
        <v>54</v>
      </c>
      <c r="BX83" s="23"/>
      <c r="BY83" s="304" t="s">
        <v>354</v>
      </c>
      <c r="BZ83" s="169" t="s">
        <v>54</v>
      </c>
      <c r="CA83" s="314" t="s">
        <v>69</v>
      </c>
      <c r="CB83" s="166"/>
      <c r="CC83" s="299"/>
      <c r="CD83" s="9"/>
      <c r="CE83" s="81" t="s">
        <v>798</v>
      </c>
      <c r="CF83" s="315" t="s">
        <v>281</v>
      </c>
      <c r="CG83" s="316" t="s">
        <v>69</v>
      </c>
      <c r="CH83" s="220" t="s">
        <v>355</v>
      </c>
      <c r="CI83" s="63" t="s">
        <v>59</v>
      </c>
      <c r="CJ83" s="157" t="s">
        <v>69</v>
      </c>
      <c r="CK83" s="317" t="s">
        <v>356</v>
      </c>
      <c r="CL83" s="63" t="s">
        <v>59</v>
      </c>
      <c r="CM83" s="313" t="s">
        <v>69</v>
      </c>
      <c r="CN83" s="183" t="s">
        <v>357</v>
      </c>
      <c r="CO83" s="185" t="s">
        <v>59</v>
      </c>
      <c r="CP83" s="2" t="s">
        <v>55</v>
      </c>
      <c r="CQ83" s="8"/>
      <c r="CR83" s="8"/>
      <c r="CS83" s="8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</row>
    <row r="84" spans="1:117" ht="30" customHeight="1">
      <c r="A84" s="1"/>
      <c r="B84" s="1"/>
      <c r="C84" s="1"/>
      <c r="D84" s="1"/>
      <c r="E84" s="1"/>
      <c r="F84" s="1"/>
      <c r="G84" s="1"/>
      <c r="H84" s="1"/>
      <c r="I84" s="304" t="s">
        <v>358</v>
      </c>
      <c r="J84" s="169" t="s">
        <v>54</v>
      </c>
      <c r="K84" s="157" t="s">
        <v>69</v>
      </c>
      <c r="L84" s="154" t="s">
        <v>799</v>
      </c>
      <c r="M84" s="142" t="s">
        <v>65</v>
      </c>
      <c r="N84" s="2"/>
      <c r="O84" s="290" t="s">
        <v>800</v>
      </c>
      <c r="P84" s="63" t="s">
        <v>59</v>
      </c>
      <c r="Q84" s="9"/>
      <c r="R84" s="7"/>
      <c r="S84" s="9"/>
      <c r="T84" s="9"/>
      <c r="U84" s="7"/>
      <c r="V84" s="8"/>
      <c r="W84" s="8"/>
      <c r="X84" s="268"/>
      <c r="Y84" s="268"/>
      <c r="Z84" s="1"/>
      <c r="AA84" s="1"/>
      <c r="AB84" s="9"/>
      <c r="AC84" s="8"/>
      <c r="AD84" s="318" t="s">
        <v>359</v>
      </c>
      <c r="AE84" s="194" t="s">
        <v>54</v>
      </c>
      <c r="AF84" s="308" t="s">
        <v>69</v>
      </c>
      <c r="AG84" s="319" t="s">
        <v>801</v>
      </c>
      <c r="AH84" s="192" t="s">
        <v>54</v>
      </c>
      <c r="AI84" s="174"/>
      <c r="AJ84" s="310" t="s">
        <v>360</v>
      </c>
      <c r="AK84" s="185" t="s">
        <v>59</v>
      </c>
      <c r="AL84" s="174"/>
      <c r="AM84" s="176" t="s">
        <v>361</v>
      </c>
      <c r="AN84" s="177" t="s">
        <v>59</v>
      </c>
      <c r="AO84" s="174"/>
      <c r="AP84" s="320" t="s">
        <v>362</v>
      </c>
      <c r="AQ84" s="234" t="s">
        <v>281</v>
      </c>
      <c r="AR84" s="312" t="s">
        <v>348</v>
      </c>
      <c r="AS84" s="176" t="s">
        <v>363</v>
      </c>
      <c r="AT84" s="234" t="s">
        <v>281</v>
      </c>
      <c r="AU84" s="174"/>
      <c r="AV84" s="1"/>
      <c r="AW84" s="1"/>
      <c r="AX84" s="174"/>
      <c r="AY84" s="9"/>
      <c r="AZ84" s="114"/>
      <c r="BA84" s="8"/>
      <c r="BB84" s="8"/>
      <c r="BC84" s="8"/>
      <c r="BD84" s="8"/>
      <c r="BE84" s="321" t="s">
        <v>364</v>
      </c>
      <c r="BF84" s="63" t="s">
        <v>59</v>
      </c>
      <c r="BG84" s="8"/>
      <c r="BH84" s="220" t="s">
        <v>365</v>
      </c>
      <c r="BI84" s="63" t="s">
        <v>59</v>
      </c>
      <c r="BJ84" s="9"/>
      <c r="BK84" s="322" t="s">
        <v>366</v>
      </c>
      <c r="BL84" s="63" t="s">
        <v>59</v>
      </c>
      <c r="BM84" s="9"/>
      <c r="BN84" s="8"/>
      <c r="BO84" s="8"/>
      <c r="BP84" s="6"/>
      <c r="BQ84" s="268"/>
      <c r="BR84" s="268"/>
      <c r="BS84" s="268"/>
      <c r="BT84" s="268"/>
      <c r="BU84" s="268"/>
      <c r="BV84" s="323" t="s">
        <v>367</v>
      </c>
      <c r="BW84" s="195" t="s">
        <v>59</v>
      </c>
      <c r="BX84" s="23"/>
      <c r="BY84" s="81" t="s">
        <v>802</v>
      </c>
      <c r="BZ84" s="169" t="s">
        <v>54</v>
      </c>
      <c r="CA84" s="2"/>
      <c r="CB84" s="166"/>
      <c r="CC84" s="299"/>
      <c r="CD84" s="9"/>
      <c r="CE84" s="324" t="s">
        <v>368</v>
      </c>
      <c r="CF84" s="190" t="s">
        <v>54</v>
      </c>
      <c r="CG84" s="316" t="s">
        <v>69</v>
      </c>
      <c r="CH84" s="220" t="s">
        <v>369</v>
      </c>
      <c r="CI84" s="63" t="s">
        <v>59</v>
      </c>
      <c r="CJ84" s="9"/>
      <c r="CK84" s="322" t="s">
        <v>370</v>
      </c>
      <c r="CL84" s="63" t="s">
        <v>59</v>
      </c>
      <c r="CM84" s="9"/>
      <c r="CN84" s="183" t="s">
        <v>371</v>
      </c>
      <c r="CO84" s="82" t="s">
        <v>54</v>
      </c>
      <c r="CP84" s="2"/>
      <c r="CQ84" s="8"/>
      <c r="CR84" s="8"/>
      <c r="CS84" s="8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</row>
    <row r="85" spans="1:117" ht="30" customHeight="1">
      <c r="A85" s="1"/>
      <c r="B85" s="1"/>
      <c r="C85" s="1"/>
      <c r="D85" s="1"/>
      <c r="E85" s="1"/>
      <c r="F85" s="1"/>
      <c r="G85" s="1"/>
      <c r="H85" s="1"/>
      <c r="I85" s="325" t="s">
        <v>372</v>
      </c>
      <c r="J85" s="155" t="s">
        <v>59</v>
      </c>
      <c r="K85" s="8"/>
      <c r="L85" s="154" t="s">
        <v>803</v>
      </c>
      <c r="M85" s="142" t="s">
        <v>65</v>
      </c>
      <c r="N85" s="2"/>
      <c r="O85" s="290" t="s">
        <v>804</v>
      </c>
      <c r="P85" s="63" t="s">
        <v>59</v>
      </c>
      <c r="Q85" s="9"/>
      <c r="R85" s="9"/>
      <c r="S85" s="9"/>
      <c r="T85" s="9"/>
      <c r="U85" s="7"/>
      <c r="V85" s="9"/>
      <c r="W85" s="9"/>
      <c r="X85" s="268"/>
      <c r="Y85" s="268"/>
      <c r="Z85" s="1"/>
      <c r="AA85" s="1"/>
      <c r="AB85" s="9"/>
      <c r="AC85" s="8"/>
      <c r="AD85" s="176" t="s">
        <v>373</v>
      </c>
      <c r="AE85" s="194" t="s">
        <v>54</v>
      </c>
      <c r="AF85" s="124"/>
      <c r="AG85" s="319" t="s">
        <v>805</v>
      </c>
      <c r="AH85" s="192" t="s">
        <v>54</v>
      </c>
      <c r="AI85" s="174"/>
      <c r="AJ85" s="326" t="s">
        <v>374</v>
      </c>
      <c r="AK85" s="82" t="s">
        <v>54</v>
      </c>
      <c r="AL85" s="174"/>
      <c r="AM85" s="183" t="s">
        <v>375</v>
      </c>
      <c r="AN85" s="185" t="s">
        <v>59</v>
      </c>
      <c r="AO85" s="174"/>
      <c r="AP85" s="146" t="s">
        <v>376</v>
      </c>
      <c r="AQ85" s="234" t="s">
        <v>281</v>
      </c>
      <c r="AR85" s="174"/>
      <c r="AS85" s="176" t="s">
        <v>377</v>
      </c>
      <c r="AT85" s="234" t="s">
        <v>281</v>
      </c>
      <c r="AU85" s="174"/>
      <c r="AV85" s="1"/>
      <c r="AW85" s="1"/>
      <c r="AX85" s="174"/>
      <c r="AY85" s="9"/>
      <c r="AZ85" s="114"/>
      <c r="BA85" s="8"/>
      <c r="BB85" s="8"/>
      <c r="BC85" s="8"/>
      <c r="BD85" s="8"/>
      <c r="BE85" s="321" t="s">
        <v>378</v>
      </c>
      <c r="BF85" s="63" t="s">
        <v>59</v>
      </c>
      <c r="BG85" s="8"/>
      <c r="BH85" s="220" t="s">
        <v>379</v>
      </c>
      <c r="BI85" s="63" t="s">
        <v>59</v>
      </c>
      <c r="BJ85" s="9"/>
      <c r="BK85" s="322" t="s">
        <v>380</v>
      </c>
      <c r="BL85" s="63" t="s">
        <v>59</v>
      </c>
      <c r="BM85" s="9"/>
      <c r="BN85" s="8"/>
      <c r="BO85" s="8"/>
      <c r="BP85" s="6"/>
      <c r="BQ85" s="268"/>
      <c r="BR85" s="268"/>
      <c r="BS85" s="268"/>
      <c r="BT85" s="268"/>
      <c r="BU85" s="268"/>
      <c r="BV85" s="327" t="s">
        <v>806</v>
      </c>
      <c r="BW85" s="328" t="s">
        <v>54</v>
      </c>
      <c r="BX85" s="23"/>
      <c r="BY85" s="166" t="s">
        <v>381</v>
      </c>
      <c r="BZ85" s="169" t="s">
        <v>54</v>
      </c>
      <c r="CA85" s="2"/>
      <c r="CB85" s="166"/>
      <c r="CC85" s="299"/>
      <c r="CD85" s="9"/>
      <c r="CE85" s="81" t="s">
        <v>807</v>
      </c>
      <c r="CF85" s="82" t="s">
        <v>54</v>
      </c>
      <c r="CG85" s="9"/>
      <c r="CH85" s="220" t="s">
        <v>382</v>
      </c>
      <c r="CI85" s="63" t="s">
        <v>59</v>
      </c>
      <c r="CJ85" s="9"/>
      <c r="CK85" s="322" t="s">
        <v>383</v>
      </c>
      <c r="CL85" s="63" t="s">
        <v>59</v>
      </c>
      <c r="CM85" s="9"/>
      <c r="CN85" s="183" t="s">
        <v>384</v>
      </c>
      <c r="CO85" s="82" t="s">
        <v>54</v>
      </c>
      <c r="CP85" s="2"/>
      <c r="CQ85" s="8"/>
      <c r="CR85" s="8"/>
      <c r="CS85" s="8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</row>
    <row r="86" spans="1:117" ht="30" customHeight="1">
      <c r="A86" s="1"/>
      <c r="B86" s="1"/>
      <c r="C86" s="1"/>
      <c r="D86" s="1"/>
      <c r="E86" s="1"/>
      <c r="F86" s="1"/>
      <c r="G86" s="1"/>
      <c r="H86" s="1"/>
      <c r="I86" s="329" t="s">
        <v>385</v>
      </c>
      <c r="J86" s="169" t="s">
        <v>54</v>
      </c>
      <c r="K86" s="8"/>
      <c r="L86" s="330" t="s">
        <v>386</v>
      </c>
      <c r="M86" s="142" t="s">
        <v>65</v>
      </c>
      <c r="N86" s="2"/>
      <c r="O86" s="290" t="s">
        <v>808</v>
      </c>
      <c r="P86" s="63" t="s">
        <v>59</v>
      </c>
      <c r="Q86" s="9"/>
      <c r="R86" s="7"/>
      <c r="S86" s="9"/>
      <c r="T86" s="9"/>
      <c r="U86" s="7"/>
      <c r="V86" s="8"/>
      <c r="W86" s="8"/>
      <c r="X86" s="268"/>
      <c r="Y86" s="268"/>
      <c r="Z86" s="1"/>
      <c r="AA86" s="1"/>
      <c r="AB86" s="9"/>
      <c r="AC86" s="8"/>
      <c r="AD86" s="176" t="s">
        <v>387</v>
      </c>
      <c r="AE86" s="194" t="s">
        <v>54</v>
      </c>
      <c r="AF86" s="124"/>
      <c r="AG86" s="319" t="s">
        <v>809</v>
      </c>
      <c r="AH86" s="192" t="s">
        <v>54</v>
      </c>
      <c r="AI86" s="174"/>
      <c r="AJ86" s="236"/>
      <c r="AK86" s="237"/>
      <c r="AL86" s="174"/>
      <c r="AM86" s="310" t="s">
        <v>388</v>
      </c>
      <c r="AN86" s="185" t="s">
        <v>59</v>
      </c>
      <c r="AO86" s="174"/>
      <c r="AP86" s="311" t="s">
        <v>389</v>
      </c>
      <c r="AQ86" s="234" t="s">
        <v>281</v>
      </c>
      <c r="AR86" s="174"/>
      <c r="AS86" s="331" t="s">
        <v>390</v>
      </c>
      <c r="AT86" s="332" t="s">
        <v>281</v>
      </c>
      <c r="AU86" s="174"/>
      <c r="AV86" s="1"/>
      <c r="AW86" s="1"/>
      <c r="AX86" s="174"/>
      <c r="AY86" s="9"/>
      <c r="AZ86" s="114"/>
      <c r="BA86" s="8"/>
      <c r="BB86" s="8"/>
      <c r="BC86" s="8"/>
      <c r="BD86" s="8"/>
      <c r="BE86" s="321" t="s">
        <v>391</v>
      </c>
      <c r="BF86" s="185" t="s">
        <v>59</v>
      </c>
      <c r="BG86" s="8"/>
      <c r="BH86" s="220" t="s">
        <v>392</v>
      </c>
      <c r="BI86" s="82" t="s">
        <v>54</v>
      </c>
      <c r="BJ86" s="9"/>
      <c r="BK86" s="114" t="s">
        <v>393</v>
      </c>
      <c r="BL86" s="63" t="s">
        <v>59</v>
      </c>
      <c r="BM86" s="9"/>
      <c r="BN86" s="8"/>
      <c r="BO86" s="8"/>
      <c r="BP86" s="6"/>
      <c r="BQ86" s="268"/>
      <c r="BR86" s="268"/>
      <c r="BS86" s="268"/>
      <c r="BT86" s="268"/>
      <c r="BU86" s="268"/>
      <c r="BV86" s="81"/>
      <c r="BW86" s="299"/>
      <c r="BX86" s="23"/>
      <c r="BY86" s="333" t="s">
        <v>394</v>
      </c>
      <c r="BZ86" s="169" t="s">
        <v>54</v>
      </c>
      <c r="CA86" s="2"/>
      <c r="CB86" s="166"/>
      <c r="CC86" s="299"/>
      <c r="CD86" s="9"/>
      <c r="CE86" s="81" t="s">
        <v>810</v>
      </c>
      <c r="CF86" s="82" t="s">
        <v>54</v>
      </c>
      <c r="CG86" s="9"/>
      <c r="CH86" s="220" t="s">
        <v>395</v>
      </c>
      <c r="CI86" s="63" t="s">
        <v>59</v>
      </c>
      <c r="CJ86" s="9"/>
      <c r="CK86" s="322" t="s">
        <v>396</v>
      </c>
      <c r="CL86" s="63" t="s">
        <v>59</v>
      </c>
      <c r="CM86" s="9"/>
      <c r="CN86" s="354" t="s">
        <v>397</v>
      </c>
      <c r="CO86" s="82" t="s">
        <v>54</v>
      </c>
      <c r="CP86" s="2"/>
      <c r="CQ86" s="8"/>
      <c r="CR86" s="8"/>
      <c r="CS86" s="8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</row>
    <row r="87" spans="1:117" ht="30" customHeight="1">
      <c r="A87" s="1"/>
      <c r="B87" s="1"/>
      <c r="C87" s="1"/>
      <c r="D87" s="1"/>
      <c r="E87" s="1"/>
      <c r="F87" s="1"/>
      <c r="G87" s="1"/>
      <c r="H87" s="1"/>
      <c r="I87" s="304" t="s">
        <v>398</v>
      </c>
      <c r="J87" s="169" t="s">
        <v>54</v>
      </c>
      <c r="K87" s="8"/>
      <c r="L87" s="334" t="s">
        <v>399</v>
      </c>
      <c r="M87" s="142" t="s">
        <v>65</v>
      </c>
      <c r="N87" s="1"/>
      <c r="O87" s="290" t="s">
        <v>811</v>
      </c>
      <c r="P87" s="63" t="s">
        <v>59</v>
      </c>
      <c r="Q87" s="9"/>
      <c r="R87" s="9"/>
      <c r="S87" s="9"/>
      <c r="T87" s="9"/>
      <c r="U87" s="7"/>
      <c r="V87" s="9"/>
      <c r="W87" s="9"/>
      <c r="X87" s="268"/>
      <c r="Y87" s="268"/>
      <c r="Z87" s="1"/>
      <c r="AA87" s="1"/>
      <c r="AB87" s="9"/>
      <c r="AC87" s="8"/>
      <c r="AD87" s="176" t="s">
        <v>400</v>
      </c>
      <c r="AE87" s="194" t="s">
        <v>54</v>
      </c>
      <c r="AF87" s="124"/>
      <c r="AG87" s="335" t="s">
        <v>401</v>
      </c>
      <c r="AH87" s="149" t="s">
        <v>59</v>
      </c>
      <c r="AI87" s="174"/>
      <c r="AJ87" s="236"/>
      <c r="AK87" s="237"/>
      <c r="AL87" s="174"/>
      <c r="AM87" s="336" t="s">
        <v>402</v>
      </c>
      <c r="AN87" s="185" t="s">
        <v>59</v>
      </c>
      <c r="AO87" s="174"/>
      <c r="AP87" s="311" t="s">
        <v>403</v>
      </c>
      <c r="AQ87" s="234" t="s">
        <v>281</v>
      </c>
      <c r="AR87" s="174"/>
      <c r="AS87" s="337" t="s">
        <v>404</v>
      </c>
      <c r="AT87" s="338" t="s">
        <v>281</v>
      </c>
      <c r="AU87" s="174"/>
      <c r="AV87" s="1"/>
      <c r="AW87" s="1"/>
      <c r="AX87" s="174"/>
      <c r="AY87" s="9"/>
      <c r="AZ87" s="114"/>
      <c r="BA87" s="8"/>
      <c r="BB87" s="8"/>
      <c r="BC87" s="8"/>
      <c r="BD87" s="8"/>
      <c r="BE87" s="183" t="s">
        <v>405</v>
      </c>
      <c r="BF87" s="185" t="s">
        <v>59</v>
      </c>
      <c r="BG87" s="8"/>
      <c r="BH87" s="339" t="s">
        <v>812</v>
      </c>
      <c r="BI87" s="71" t="s">
        <v>59</v>
      </c>
      <c r="BJ87" s="9"/>
      <c r="BK87" s="340"/>
      <c r="BL87" s="341"/>
      <c r="BM87" s="9"/>
      <c r="BN87" s="8"/>
      <c r="BO87" s="8"/>
      <c r="BP87" s="6"/>
      <c r="BQ87" s="268"/>
      <c r="BR87" s="268"/>
      <c r="BS87" s="268"/>
      <c r="BT87" s="268"/>
      <c r="BU87" s="268"/>
      <c r="BV87" s="166"/>
      <c r="BW87" s="299"/>
      <c r="BX87" s="20"/>
      <c r="BY87" s="304" t="s">
        <v>406</v>
      </c>
      <c r="BZ87" s="169" t="s">
        <v>54</v>
      </c>
      <c r="CA87" s="2"/>
      <c r="CB87" s="166"/>
      <c r="CC87" s="299"/>
      <c r="CD87" s="9"/>
      <c r="CE87" s="154" t="s">
        <v>813</v>
      </c>
      <c r="CF87" s="82" t="s">
        <v>54</v>
      </c>
      <c r="CG87" s="9"/>
      <c r="CH87" s="220" t="s">
        <v>407</v>
      </c>
      <c r="CI87" s="82" t="s">
        <v>54</v>
      </c>
      <c r="CJ87" s="9"/>
      <c r="CK87" s="322" t="s">
        <v>408</v>
      </c>
      <c r="CL87" s="63" t="s">
        <v>59</v>
      </c>
      <c r="CM87" s="9"/>
      <c r="CN87" s="354" t="s">
        <v>409</v>
      </c>
      <c r="CO87" s="82" t="s">
        <v>54</v>
      </c>
      <c r="CP87" s="2"/>
      <c r="CQ87" s="8"/>
      <c r="CR87" s="8"/>
      <c r="CS87" s="8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</row>
    <row r="88" spans="1:117" ht="30" customHeight="1">
      <c r="A88" s="1"/>
      <c r="B88" s="1"/>
      <c r="C88" s="1"/>
      <c r="D88" s="1"/>
      <c r="E88" s="1"/>
      <c r="F88" s="1"/>
      <c r="G88" s="1"/>
      <c r="H88" s="1"/>
      <c r="I88" s="304" t="s">
        <v>410</v>
      </c>
      <c r="J88" s="382" t="s">
        <v>54</v>
      </c>
      <c r="K88" s="8"/>
      <c r="L88" s="334" t="s">
        <v>411</v>
      </c>
      <c r="M88" s="142" t="s">
        <v>65</v>
      </c>
      <c r="N88" s="1"/>
      <c r="O88" s="290" t="s">
        <v>814</v>
      </c>
      <c r="P88" s="63" t="s">
        <v>59</v>
      </c>
      <c r="Q88" s="9"/>
      <c r="R88" s="7"/>
      <c r="S88" s="9"/>
      <c r="T88" s="9"/>
      <c r="U88" s="7"/>
      <c r="V88" s="8"/>
      <c r="W88" s="8"/>
      <c r="X88" s="268"/>
      <c r="Y88" s="268"/>
      <c r="Z88" s="1"/>
      <c r="AA88" s="1"/>
      <c r="AB88" s="24"/>
      <c r="AC88" s="2"/>
      <c r="AD88" s="176" t="s">
        <v>412</v>
      </c>
      <c r="AE88" s="194" t="s">
        <v>54</v>
      </c>
      <c r="AF88" s="124"/>
      <c r="AG88" s="335" t="s">
        <v>413</v>
      </c>
      <c r="AH88" s="192" t="s">
        <v>54</v>
      </c>
      <c r="AI88" s="174"/>
      <c r="AJ88" s="236"/>
      <c r="AK88" s="237"/>
      <c r="AL88" s="174"/>
      <c r="AM88" s="532" t="s">
        <v>815</v>
      </c>
      <c r="AN88" s="194" t="s">
        <v>54</v>
      </c>
      <c r="AO88" s="174"/>
      <c r="AP88" s="320" t="s">
        <v>414</v>
      </c>
      <c r="AQ88" s="234" t="s">
        <v>281</v>
      </c>
      <c r="AR88" s="174"/>
      <c r="AS88" s="342" t="s">
        <v>415</v>
      </c>
      <c r="AT88" s="338" t="s">
        <v>281</v>
      </c>
      <c r="AU88" s="174"/>
      <c r="AV88" s="1"/>
      <c r="AW88" s="1"/>
      <c r="AX88" s="174"/>
      <c r="AY88" s="9"/>
      <c r="AZ88" s="114"/>
      <c r="BA88" s="8"/>
      <c r="BB88" s="8"/>
      <c r="BC88" s="8"/>
      <c r="BD88" s="8"/>
      <c r="BE88" s="183" t="s">
        <v>416</v>
      </c>
      <c r="BF88" s="185" t="s">
        <v>59</v>
      </c>
      <c r="BG88" s="8"/>
      <c r="BH88" s="343" t="s">
        <v>417</v>
      </c>
      <c r="BI88" s="344" t="s">
        <v>54</v>
      </c>
      <c r="BJ88" s="8"/>
      <c r="BK88" s="8"/>
      <c r="BL88" s="8"/>
      <c r="BM88" s="8"/>
      <c r="BN88" s="8"/>
      <c r="BO88" s="8"/>
      <c r="BP88" s="6"/>
      <c r="BQ88" s="268"/>
      <c r="BR88" s="268"/>
      <c r="BS88" s="268"/>
      <c r="BT88" s="268"/>
      <c r="BU88" s="268"/>
      <c r="BV88" s="333"/>
      <c r="BW88" s="299"/>
      <c r="BX88" s="23"/>
      <c r="BY88" s="304" t="s">
        <v>418</v>
      </c>
      <c r="BZ88" s="169" t="s">
        <v>54</v>
      </c>
      <c r="CA88" s="2"/>
      <c r="CB88" s="166"/>
      <c r="CC88" s="299"/>
      <c r="CD88" s="9"/>
      <c r="CE88" s="81" t="s">
        <v>816</v>
      </c>
      <c r="CF88" s="82" t="s">
        <v>54</v>
      </c>
      <c r="CG88" s="9"/>
      <c r="CH88" s="220" t="s">
        <v>419</v>
      </c>
      <c r="CI88" s="82" t="s">
        <v>54</v>
      </c>
      <c r="CJ88" s="9"/>
      <c r="CK88" s="322" t="s">
        <v>420</v>
      </c>
      <c r="CL88" s="63" t="s">
        <v>59</v>
      </c>
      <c r="CM88" s="9"/>
      <c r="CN88" s="231" t="s">
        <v>421</v>
      </c>
      <c r="CO88" s="80" t="s">
        <v>54</v>
      </c>
      <c r="CP88" s="2"/>
      <c r="CQ88" s="8"/>
      <c r="CR88" s="8"/>
      <c r="CS88" s="8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</row>
    <row r="89" spans="1:117" ht="30" customHeight="1">
      <c r="A89" s="8"/>
      <c r="B89" s="8"/>
      <c r="C89" s="8"/>
      <c r="D89" s="8"/>
      <c r="E89" s="8"/>
      <c r="F89" s="8"/>
      <c r="G89" s="8"/>
      <c r="H89" s="8"/>
      <c r="I89" s="533" t="s">
        <v>422</v>
      </c>
      <c r="J89" s="534" t="s">
        <v>59</v>
      </c>
      <c r="K89" s="8"/>
      <c r="L89" s="353" t="s">
        <v>423</v>
      </c>
      <c r="M89" s="142" t="s">
        <v>65</v>
      </c>
      <c r="N89" s="1"/>
      <c r="O89" s="290" t="s">
        <v>817</v>
      </c>
      <c r="P89" s="63" t="s">
        <v>59</v>
      </c>
      <c r="Q89" s="9"/>
      <c r="R89" s="9"/>
      <c r="S89" s="9"/>
      <c r="T89" s="9"/>
      <c r="U89" s="7"/>
      <c r="V89" s="9"/>
      <c r="W89" s="9"/>
      <c r="X89" s="1"/>
      <c r="Y89" s="1"/>
      <c r="Z89" s="1"/>
      <c r="AA89" s="1"/>
      <c r="AB89" s="24"/>
      <c r="AC89" s="2"/>
      <c r="AD89" s="236" t="s">
        <v>424</v>
      </c>
      <c r="AE89" s="194" t="s">
        <v>54</v>
      </c>
      <c r="AF89" s="124"/>
      <c r="AG89" s="324" t="s">
        <v>425</v>
      </c>
      <c r="AH89" s="192" t="s">
        <v>54</v>
      </c>
      <c r="AI89" s="174"/>
      <c r="AJ89" s="236"/>
      <c r="AK89" s="237"/>
      <c r="AL89" s="174"/>
      <c r="AM89" s="532" t="s">
        <v>818</v>
      </c>
      <c r="AN89" s="194" t="s">
        <v>54</v>
      </c>
      <c r="AO89" s="174"/>
      <c r="AP89" s="320" t="s">
        <v>426</v>
      </c>
      <c r="AQ89" s="234" t="s">
        <v>281</v>
      </c>
      <c r="AR89" s="174"/>
      <c r="AS89" s="345" t="s">
        <v>427</v>
      </c>
      <c r="AT89" s="338" t="s">
        <v>281</v>
      </c>
      <c r="AU89" s="174"/>
      <c r="AV89" s="1"/>
      <c r="AW89" s="1"/>
      <c r="AX89" s="174"/>
      <c r="AY89" s="9"/>
      <c r="AZ89" s="114"/>
      <c r="BA89" s="8"/>
      <c r="BB89" s="8"/>
      <c r="BC89" s="8"/>
      <c r="BD89" s="8"/>
      <c r="BE89" s="526" t="s">
        <v>819</v>
      </c>
      <c r="BF89" s="185" t="s">
        <v>59</v>
      </c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268"/>
      <c r="BS89" s="268"/>
      <c r="BT89" s="268"/>
      <c r="BU89" s="268"/>
      <c r="BV89" s="346"/>
      <c r="BW89" s="299"/>
      <c r="BX89" s="1"/>
      <c r="BY89" s="54" t="s">
        <v>820</v>
      </c>
      <c r="BZ89" s="347" t="s">
        <v>281</v>
      </c>
      <c r="CA89" s="2"/>
      <c r="CB89" s="166"/>
      <c r="CC89" s="299"/>
      <c r="CD89" s="9"/>
      <c r="CE89" s="296" t="s">
        <v>821</v>
      </c>
      <c r="CF89" s="348" t="s">
        <v>54</v>
      </c>
      <c r="CG89" s="9"/>
      <c r="CH89" s="349" t="s">
        <v>428</v>
      </c>
      <c r="CI89" s="350" t="s">
        <v>281</v>
      </c>
      <c r="CJ89" s="9"/>
      <c r="CK89" s="322" t="s">
        <v>429</v>
      </c>
      <c r="CL89" s="82" t="s">
        <v>54</v>
      </c>
      <c r="CM89" s="9"/>
      <c r="CN89" s="351" t="s">
        <v>822</v>
      </c>
      <c r="CO89" s="303" t="s">
        <v>54</v>
      </c>
      <c r="CP89" s="2"/>
      <c r="CQ89" s="8"/>
      <c r="CR89" s="8"/>
      <c r="CS89" s="8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</row>
    <row r="90" spans="1:117" ht="30" customHeight="1">
      <c r="A90" s="8"/>
      <c r="B90" s="8"/>
      <c r="C90" s="8"/>
      <c r="D90" s="8"/>
      <c r="E90" s="8"/>
      <c r="F90" s="8"/>
      <c r="G90" s="8"/>
      <c r="H90" s="8"/>
      <c r="I90" s="352" t="s">
        <v>430</v>
      </c>
      <c r="J90" s="169" t="s">
        <v>54</v>
      </c>
      <c r="K90" s="8"/>
      <c r="L90" s="353"/>
      <c r="M90" s="27"/>
      <c r="N90" s="1"/>
      <c r="O90" s="290" t="s">
        <v>823</v>
      </c>
      <c r="P90" s="63" t="s">
        <v>59</v>
      </c>
      <c r="Q90" s="9"/>
      <c r="R90" s="7"/>
      <c r="S90" s="9"/>
      <c r="T90" s="9"/>
      <c r="U90" s="7"/>
      <c r="V90" s="8"/>
      <c r="W90" s="8"/>
      <c r="X90" s="1"/>
      <c r="Y90" s="1"/>
      <c r="Z90" s="1"/>
      <c r="AA90" s="1"/>
      <c r="AB90" s="24"/>
      <c r="AC90" s="2"/>
      <c r="AD90" s="529" t="s">
        <v>824</v>
      </c>
      <c r="AE90" s="194" t="s">
        <v>54</v>
      </c>
      <c r="AF90" s="124"/>
      <c r="AG90" s="354" t="s">
        <v>431</v>
      </c>
      <c r="AH90" s="192" t="s">
        <v>54</v>
      </c>
      <c r="AI90" s="174"/>
      <c r="AJ90" s="236"/>
      <c r="AK90" s="237"/>
      <c r="AL90" s="174"/>
      <c r="AM90" s="236"/>
      <c r="AN90" s="237"/>
      <c r="AO90" s="174"/>
      <c r="AP90" s="355" t="s">
        <v>825</v>
      </c>
      <c r="AQ90" s="535" t="s">
        <v>826</v>
      </c>
      <c r="AR90" s="174"/>
      <c r="AS90" s="236" t="s">
        <v>433</v>
      </c>
      <c r="AT90" s="338" t="s">
        <v>281</v>
      </c>
      <c r="AU90" s="174"/>
      <c r="AV90" s="1"/>
      <c r="AW90" s="1"/>
      <c r="AX90" s="174"/>
      <c r="AY90" s="9"/>
      <c r="AZ90" s="114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1"/>
      <c r="BM90" s="8"/>
      <c r="BN90" s="8"/>
      <c r="BO90" s="8"/>
      <c r="BP90" s="6"/>
      <c r="BQ90" s="268"/>
      <c r="BR90" s="268"/>
      <c r="BS90" s="268"/>
      <c r="BT90" s="268"/>
      <c r="BU90" s="268"/>
      <c r="BV90" s="356"/>
      <c r="BW90" s="357"/>
      <c r="BX90" s="1"/>
      <c r="BY90" s="358" t="s">
        <v>434</v>
      </c>
      <c r="BZ90" s="169" t="s">
        <v>54</v>
      </c>
      <c r="CA90" s="24"/>
      <c r="CB90" s="166"/>
      <c r="CC90" s="299"/>
      <c r="CD90" s="9"/>
      <c r="CE90" s="179" t="s">
        <v>435</v>
      </c>
      <c r="CF90" s="194" t="s">
        <v>54</v>
      </c>
      <c r="CG90" s="316" t="s">
        <v>69</v>
      </c>
      <c r="CH90" s="359" t="s">
        <v>436</v>
      </c>
      <c r="CI90" s="360" t="s">
        <v>59</v>
      </c>
      <c r="CJ90" s="9"/>
      <c r="CK90" s="361" t="s">
        <v>437</v>
      </c>
      <c r="CL90" s="362" t="s">
        <v>54</v>
      </c>
      <c r="CM90" s="9"/>
      <c r="CN90" s="363"/>
      <c r="CO90" s="364"/>
      <c r="CP90" s="8"/>
      <c r="CQ90" s="8"/>
      <c r="CR90" s="8"/>
      <c r="CS90" s="8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</row>
    <row r="91" spans="1:117" ht="30" customHeight="1">
      <c r="A91" s="8"/>
      <c r="B91" s="8"/>
      <c r="C91" s="8"/>
      <c r="D91" s="8"/>
      <c r="E91" s="8"/>
      <c r="F91" s="8"/>
      <c r="G91" s="8"/>
      <c r="H91" s="8"/>
      <c r="I91" s="352" t="s">
        <v>438</v>
      </c>
      <c r="J91" s="169" t="s">
        <v>54</v>
      </c>
      <c r="K91" s="8"/>
      <c r="L91" s="363"/>
      <c r="M91" s="364"/>
      <c r="N91" s="2"/>
      <c r="O91" s="179" t="s">
        <v>439</v>
      </c>
      <c r="P91" s="185" t="s">
        <v>59</v>
      </c>
      <c r="Q91" s="9"/>
      <c r="R91" s="9"/>
      <c r="S91" s="9"/>
      <c r="T91" s="9"/>
      <c r="U91" s="7"/>
      <c r="V91" s="9"/>
      <c r="W91" s="9"/>
      <c r="X91" s="1"/>
      <c r="Y91" s="1"/>
      <c r="Z91" s="1"/>
      <c r="AA91" s="1"/>
      <c r="AB91" s="1"/>
      <c r="AC91" s="1"/>
      <c r="AD91" s="526" t="s">
        <v>827</v>
      </c>
      <c r="AE91" s="194" t="s">
        <v>54</v>
      </c>
      <c r="AF91" s="124"/>
      <c r="AG91" s="236" t="s">
        <v>440</v>
      </c>
      <c r="AH91" s="192" t="s">
        <v>54</v>
      </c>
      <c r="AI91" s="124"/>
      <c r="AJ91" s="236"/>
      <c r="AK91" s="237"/>
      <c r="AL91" s="124"/>
      <c r="AM91" s="236"/>
      <c r="AN91" s="237"/>
      <c r="AO91" s="174"/>
      <c r="AP91" s="355"/>
      <c r="AQ91" s="162"/>
      <c r="AR91" s="174"/>
      <c r="AS91" s="236" t="s">
        <v>441</v>
      </c>
      <c r="AT91" s="338" t="s">
        <v>281</v>
      </c>
      <c r="AU91" s="174"/>
      <c r="AV91" s="1"/>
      <c r="AW91" s="1"/>
      <c r="AX91" s="174"/>
      <c r="AY91" s="9"/>
      <c r="AZ91" s="114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6"/>
      <c r="BP91" s="6"/>
      <c r="BQ91" s="268"/>
      <c r="BR91" s="268"/>
      <c r="BS91" s="268"/>
      <c r="BT91" s="268"/>
      <c r="BU91" s="268"/>
      <c r="BV91" s="268"/>
      <c r="BW91" s="268"/>
      <c r="BX91" s="1"/>
      <c r="BY91" s="365" t="s">
        <v>442</v>
      </c>
      <c r="BZ91" s="169" t="s">
        <v>54</v>
      </c>
      <c r="CA91" s="7"/>
      <c r="CB91" s="166"/>
      <c r="CC91" s="299"/>
      <c r="CD91" s="2"/>
      <c r="CE91" s="179" t="s">
        <v>443</v>
      </c>
      <c r="CF91" s="366" t="s">
        <v>281</v>
      </c>
      <c r="CG91" s="2"/>
      <c r="CH91" s="346"/>
      <c r="CI91" s="299"/>
      <c r="CJ91" s="1"/>
      <c r="CK91" s="6"/>
      <c r="CL91" s="6"/>
      <c r="CM91" s="6"/>
      <c r="CN91" s="6"/>
      <c r="CO91" s="6"/>
      <c r="CP91" s="8"/>
      <c r="CQ91" s="8"/>
      <c r="CR91" s="8"/>
      <c r="CS91" s="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</row>
    <row r="92" spans="1:117" ht="30" customHeight="1">
      <c r="A92" s="8"/>
      <c r="B92" s="8"/>
      <c r="C92" s="8"/>
      <c r="D92" s="8"/>
      <c r="E92" s="8"/>
      <c r="F92" s="8"/>
      <c r="G92" s="8"/>
      <c r="H92" s="8"/>
      <c r="I92" s="536" t="s">
        <v>444</v>
      </c>
      <c r="J92" s="537" t="s">
        <v>54</v>
      </c>
      <c r="K92" s="1"/>
      <c r="L92" s="7"/>
      <c r="M92" s="2"/>
      <c r="N92" s="2"/>
      <c r="O92" s="7"/>
      <c r="P92" s="1"/>
      <c r="Q92" s="2"/>
      <c r="R92" s="7"/>
      <c r="S92" s="9"/>
      <c r="T92" s="9"/>
      <c r="U92" s="7"/>
      <c r="V92" s="8"/>
      <c r="W92" s="8"/>
      <c r="X92" s="1"/>
      <c r="Y92" s="1"/>
      <c r="Z92" s="1"/>
      <c r="AA92" s="1"/>
      <c r="AB92" s="1"/>
      <c r="AC92" s="1"/>
      <c r="AD92" s="369"/>
      <c r="AE92" s="370"/>
      <c r="AF92" s="174"/>
      <c r="AG92" s="367" t="s">
        <v>445</v>
      </c>
      <c r="AH92" s="368" t="s">
        <v>281</v>
      </c>
      <c r="AI92" s="124"/>
      <c r="AJ92" s="369"/>
      <c r="AK92" s="370"/>
      <c r="AL92" s="124"/>
      <c r="AM92" s="369"/>
      <c r="AN92" s="370"/>
      <c r="AO92" s="174"/>
      <c r="AP92" s="102"/>
      <c r="AQ92" s="103"/>
      <c r="AR92" s="174"/>
      <c r="AS92" s="538" t="s">
        <v>828</v>
      </c>
      <c r="AT92" s="338" t="s">
        <v>281</v>
      </c>
      <c r="AU92" s="174"/>
      <c r="AV92" s="1"/>
      <c r="AW92" s="1"/>
      <c r="AX92" s="174"/>
      <c r="AY92" s="9"/>
      <c r="AZ92" s="114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6"/>
      <c r="BP92" s="6"/>
      <c r="BQ92" s="268"/>
      <c r="BR92" s="268"/>
      <c r="BS92" s="268"/>
      <c r="BT92" s="268"/>
      <c r="BU92" s="268"/>
      <c r="BV92" s="268"/>
      <c r="BW92" s="268"/>
      <c r="BX92" s="1"/>
      <c r="BY92" s="365" t="s">
        <v>446</v>
      </c>
      <c r="BZ92" s="169" t="s">
        <v>54</v>
      </c>
      <c r="CA92" s="24"/>
      <c r="CB92" s="166"/>
      <c r="CC92" s="299"/>
      <c r="CD92" s="9"/>
      <c r="CE92" s="88" t="s">
        <v>829</v>
      </c>
      <c r="CF92" s="372" t="s">
        <v>54</v>
      </c>
      <c r="CG92" s="9"/>
      <c r="CH92" s="356"/>
      <c r="CI92" s="357"/>
      <c r="CJ92" s="1"/>
      <c r="CK92" s="6"/>
      <c r="CL92" s="6"/>
      <c r="CM92" s="6"/>
      <c r="CN92" s="6"/>
      <c r="CO92" s="6"/>
      <c r="CP92" s="8"/>
      <c r="CQ92" s="8"/>
      <c r="CR92" s="8"/>
      <c r="CS92" s="8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</row>
    <row r="93" spans="1:117" ht="30" customHeight="1">
      <c r="A93" s="1"/>
      <c r="B93" s="1"/>
      <c r="C93" s="1"/>
      <c r="D93" s="1"/>
      <c r="E93" s="1"/>
      <c r="F93" s="1"/>
      <c r="G93" s="1"/>
      <c r="H93" s="1"/>
      <c r="I93" s="342" t="s">
        <v>447</v>
      </c>
      <c r="J93" s="539" t="s">
        <v>59</v>
      </c>
      <c r="K93" s="1"/>
      <c r="L93" s="1"/>
      <c r="M93" s="1"/>
      <c r="N93" s="2"/>
      <c r="O93" s="7"/>
      <c r="P93" s="1"/>
      <c r="Q93" s="2"/>
      <c r="R93" s="7"/>
      <c r="S93" s="9"/>
      <c r="T93" s="9"/>
      <c r="U93" s="7"/>
      <c r="V93" s="1"/>
      <c r="W93" s="2"/>
      <c r="X93" s="1"/>
      <c r="Y93" s="1"/>
      <c r="Z93" s="1"/>
      <c r="AA93" s="1"/>
      <c r="AB93" s="1"/>
      <c r="AC93" s="1"/>
      <c r="AD93" s="9"/>
      <c r="AE93" s="174"/>
      <c r="AF93" s="174"/>
      <c r="AG93" s="174"/>
      <c r="AH93" s="174"/>
      <c r="AI93" s="174"/>
      <c r="AJ93" s="174"/>
      <c r="AK93" s="174"/>
      <c r="AL93" s="174"/>
      <c r="AM93" s="278"/>
      <c r="AN93" s="174"/>
      <c r="AO93" s="174"/>
      <c r="AP93" s="174"/>
      <c r="AQ93" s="174"/>
      <c r="AR93" s="174"/>
      <c r="AS93" s="526" t="s">
        <v>830</v>
      </c>
      <c r="AT93" s="338" t="s">
        <v>281</v>
      </c>
      <c r="AU93" s="174"/>
      <c r="AV93" s="1"/>
      <c r="AW93" s="1"/>
      <c r="AX93" s="174"/>
      <c r="AY93" s="8"/>
      <c r="AZ93" s="114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6"/>
      <c r="BP93" s="6"/>
      <c r="BQ93" s="268"/>
      <c r="BR93" s="268"/>
      <c r="BS93" s="268"/>
      <c r="BT93" s="268"/>
      <c r="BU93" s="268"/>
      <c r="BV93" s="268"/>
      <c r="BW93" s="268"/>
      <c r="BX93" s="6"/>
      <c r="BY93" s="183" t="s">
        <v>448</v>
      </c>
      <c r="BZ93" s="373" t="s">
        <v>281</v>
      </c>
      <c r="CA93" s="8"/>
      <c r="CB93" s="166"/>
      <c r="CC93" s="299"/>
      <c r="CD93" s="8"/>
      <c r="CE93" s="296" t="s">
        <v>831</v>
      </c>
      <c r="CF93" s="374" t="s">
        <v>281</v>
      </c>
      <c r="CG93" s="8"/>
      <c r="CH93" s="6"/>
      <c r="CI93" s="6"/>
      <c r="CJ93" s="6"/>
      <c r="CK93" s="6"/>
      <c r="CL93" s="6"/>
      <c r="CM93" s="6"/>
      <c r="CN93" s="6"/>
      <c r="CO93" s="6"/>
      <c r="CP93" s="8"/>
      <c r="CQ93" s="8"/>
      <c r="CR93" s="8"/>
      <c r="CS93" s="8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</row>
    <row r="94" spans="1:117" ht="30" customHeight="1">
      <c r="A94" s="1"/>
      <c r="B94" s="1"/>
      <c r="C94" s="1"/>
      <c r="D94" s="1"/>
      <c r="E94" s="1"/>
      <c r="F94" s="1"/>
      <c r="G94" s="1"/>
      <c r="H94" s="1"/>
      <c r="I94" s="375" t="s">
        <v>449</v>
      </c>
      <c r="J94" s="169" t="s">
        <v>54</v>
      </c>
      <c r="K94" s="8"/>
      <c r="L94" s="1"/>
      <c r="M94" s="1"/>
      <c r="N94" s="8"/>
      <c r="O94" s="7"/>
      <c r="P94" s="1"/>
      <c r="Q94" s="2"/>
      <c r="R94" s="7"/>
      <c r="S94" s="9"/>
      <c r="T94" s="9"/>
      <c r="U94" s="7"/>
      <c r="V94" s="2"/>
      <c r="W94" s="2"/>
      <c r="X94" s="1"/>
      <c r="Y94" s="1"/>
      <c r="Z94" s="8"/>
      <c r="AA94" s="376"/>
      <c r="AB94" s="20"/>
      <c r="AC94" s="2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1"/>
      <c r="AX94" s="8"/>
      <c r="AY94" s="8"/>
      <c r="AZ94" s="114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6"/>
      <c r="BP94" s="6"/>
      <c r="BQ94" s="268"/>
      <c r="BR94" s="268"/>
      <c r="BS94" s="268"/>
      <c r="BT94" s="268"/>
      <c r="BU94" s="268"/>
      <c r="BV94" s="268"/>
      <c r="BW94" s="268"/>
      <c r="BX94" s="6"/>
      <c r="BY94" s="183" t="s">
        <v>450</v>
      </c>
      <c r="BZ94" s="373" t="s">
        <v>281</v>
      </c>
      <c r="CA94" s="8"/>
      <c r="CB94" s="166"/>
      <c r="CC94" s="299"/>
      <c r="CD94" s="8"/>
      <c r="CE94" s="377" t="s">
        <v>451</v>
      </c>
      <c r="CF94" s="348" t="s">
        <v>54</v>
      </c>
      <c r="CG94" s="8"/>
      <c r="CH94" s="8"/>
      <c r="CI94" s="8"/>
      <c r="CJ94" s="8"/>
      <c r="CK94" s="6"/>
      <c r="CL94" s="6"/>
      <c r="CM94" s="8"/>
      <c r="CN94" s="6"/>
      <c r="CO94" s="6"/>
      <c r="CP94" s="8"/>
      <c r="CQ94" s="8"/>
      <c r="CR94" s="8"/>
      <c r="CS94" s="8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</row>
    <row r="95" spans="1:117" ht="30" customHeight="1">
      <c r="A95" s="1"/>
      <c r="B95" s="1"/>
      <c r="C95" s="1"/>
      <c r="D95" s="1"/>
      <c r="E95" s="1"/>
      <c r="F95" s="1"/>
      <c r="G95" s="1"/>
      <c r="H95" s="1"/>
      <c r="I95" s="304" t="s">
        <v>832</v>
      </c>
      <c r="J95" s="155" t="s">
        <v>59</v>
      </c>
      <c r="K95" s="9"/>
      <c r="L95" s="1"/>
      <c r="M95" s="1"/>
      <c r="N95" s="9"/>
      <c r="O95" s="9"/>
      <c r="P95" s="9"/>
      <c r="Q95" s="9"/>
      <c r="R95" s="9"/>
      <c r="S95" s="9"/>
      <c r="T95" s="9"/>
      <c r="U95" s="7"/>
      <c r="V95" s="9"/>
      <c r="W95" s="9"/>
      <c r="X95" s="9"/>
      <c r="Y95" s="1"/>
      <c r="Z95" s="1"/>
      <c r="AA95" s="376"/>
      <c r="AB95" s="20"/>
      <c r="AC95" s="2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1"/>
      <c r="AW95" s="1"/>
      <c r="AX95" s="8"/>
      <c r="AY95" s="8"/>
      <c r="AZ95" s="114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268"/>
      <c r="BL95" s="268"/>
      <c r="BM95" s="268"/>
      <c r="BN95" s="8"/>
      <c r="BO95" s="6"/>
      <c r="BP95" s="6"/>
      <c r="BQ95" s="268"/>
      <c r="BR95" s="268"/>
      <c r="BS95" s="268"/>
      <c r="BT95" s="268"/>
      <c r="BU95" s="268"/>
      <c r="BV95" s="6"/>
      <c r="BW95" s="6"/>
      <c r="BX95" s="6"/>
      <c r="BY95" s="197" t="s">
        <v>452</v>
      </c>
      <c r="BZ95" s="270" t="s">
        <v>54</v>
      </c>
      <c r="CA95" s="1"/>
      <c r="CB95" s="166"/>
      <c r="CC95" s="299"/>
      <c r="CD95" s="2"/>
      <c r="CE95" s="321" t="s">
        <v>453</v>
      </c>
      <c r="CF95" s="348" t="s">
        <v>54</v>
      </c>
      <c r="CG95" s="2"/>
      <c r="CH95" s="8"/>
      <c r="CI95" s="8"/>
      <c r="CJ95" s="8"/>
      <c r="CK95" s="6"/>
      <c r="CL95" s="6"/>
      <c r="CM95" s="8"/>
      <c r="CN95" s="6"/>
      <c r="CO95" s="6"/>
      <c r="CP95" s="8"/>
      <c r="CQ95" s="8"/>
      <c r="CR95" s="8"/>
      <c r="CS95" s="8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</row>
    <row r="96" spans="1:117" ht="30" customHeight="1">
      <c r="A96" s="1"/>
      <c r="B96" s="1"/>
      <c r="C96" s="1"/>
      <c r="D96" s="1"/>
      <c r="E96" s="1"/>
      <c r="F96" s="1"/>
      <c r="G96" s="1"/>
      <c r="H96" s="1"/>
      <c r="I96" s="378" t="s">
        <v>454</v>
      </c>
      <c r="J96" s="169" t="s">
        <v>54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1"/>
      <c r="AO96" s="1"/>
      <c r="AP96" s="1"/>
      <c r="AQ96" s="1"/>
      <c r="AR96" s="8"/>
      <c r="AS96" s="8"/>
      <c r="AT96" s="8"/>
      <c r="AU96" s="8"/>
      <c r="AV96" s="1"/>
      <c r="AW96" s="1"/>
      <c r="AX96" s="8"/>
      <c r="AY96" s="8"/>
      <c r="AZ96" s="114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6"/>
      <c r="BP96" s="6"/>
      <c r="BQ96" s="8"/>
      <c r="BR96" s="8"/>
      <c r="BS96" s="8"/>
      <c r="BT96" s="8"/>
      <c r="BU96" s="8"/>
      <c r="BV96" s="6"/>
      <c r="BW96" s="6"/>
      <c r="BX96" s="6"/>
      <c r="BY96" s="379" t="s">
        <v>455</v>
      </c>
      <c r="BZ96" s="169" t="s">
        <v>54</v>
      </c>
      <c r="CA96" s="380"/>
      <c r="CB96" s="166"/>
      <c r="CC96" s="299"/>
      <c r="CD96" s="8"/>
      <c r="CE96" s="296" t="s">
        <v>833</v>
      </c>
      <c r="CF96" s="194" t="s">
        <v>54</v>
      </c>
      <c r="CG96" s="8"/>
      <c r="CH96" s="8"/>
      <c r="CI96" s="8"/>
      <c r="CJ96" s="8"/>
      <c r="CK96" s="1"/>
      <c r="CL96" s="1"/>
      <c r="CM96" s="8"/>
      <c r="CN96" s="1"/>
      <c r="CO96" s="1"/>
      <c r="CP96" s="8"/>
      <c r="CQ96" s="8"/>
      <c r="CR96" s="8"/>
      <c r="CS96" s="8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</row>
    <row r="97" spans="1:117" ht="34.5" customHeight="1">
      <c r="A97" s="1"/>
      <c r="B97" s="1"/>
      <c r="C97" s="1"/>
      <c r="D97" s="1"/>
      <c r="E97" s="1"/>
      <c r="F97" s="1"/>
      <c r="G97" s="1"/>
      <c r="H97" s="1"/>
      <c r="I97" s="381" t="s">
        <v>834</v>
      </c>
      <c r="J97" s="382" t="s">
        <v>54</v>
      </c>
      <c r="K97" s="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1"/>
      <c r="AO97" s="1"/>
      <c r="AP97" s="1"/>
      <c r="AQ97" s="1"/>
      <c r="AR97" s="8"/>
      <c r="AS97" s="8"/>
      <c r="AT97" s="8"/>
      <c r="AU97" s="8"/>
      <c r="AV97" s="1"/>
      <c r="AW97" s="1"/>
      <c r="AX97" s="8"/>
      <c r="AY97" s="8"/>
      <c r="AZ97" s="114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6"/>
      <c r="BW97" s="6"/>
      <c r="BX97" s="6"/>
      <c r="BY97" s="383" t="s">
        <v>456</v>
      </c>
      <c r="BZ97" s="169" t="s">
        <v>54</v>
      </c>
      <c r="CA97" s="1"/>
      <c r="CB97" s="166"/>
      <c r="CC97" s="299"/>
      <c r="CD97" s="380"/>
      <c r="CE97" s="384" t="s">
        <v>835</v>
      </c>
      <c r="CF97" s="385" t="s">
        <v>59</v>
      </c>
      <c r="CG97" s="380"/>
      <c r="CH97" s="8"/>
      <c r="CI97" s="8"/>
      <c r="CJ97" s="8"/>
      <c r="CK97" s="8"/>
      <c r="CL97" s="8"/>
      <c r="CM97" s="8"/>
      <c r="CN97" s="6"/>
      <c r="CO97" s="8"/>
      <c r="CP97" s="8"/>
      <c r="CQ97" s="8"/>
      <c r="CR97" s="8"/>
      <c r="CS97" s="8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</row>
    <row r="98" spans="1:117" ht="3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1"/>
      <c r="AO98" s="1"/>
      <c r="AP98" s="1"/>
      <c r="AQ98" s="1"/>
      <c r="AR98" s="8"/>
      <c r="AS98" s="8"/>
      <c r="AT98" s="8"/>
      <c r="AU98" s="8"/>
      <c r="AV98" s="1"/>
      <c r="AW98" s="1"/>
      <c r="AX98" s="8"/>
      <c r="AY98" s="8"/>
      <c r="AZ98" s="114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1"/>
      <c r="BR98" s="1"/>
      <c r="BS98" s="1"/>
      <c r="BT98" s="1"/>
      <c r="BU98" s="1"/>
      <c r="BV98" s="6"/>
      <c r="BW98" s="6"/>
      <c r="BX98" s="6"/>
      <c r="BY98" s="304" t="s">
        <v>457</v>
      </c>
      <c r="BZ98" s="169" t="s">
        <v>54</v>
      </c>
      <c r="CA98" s="1"/>
      <c r="CB98" s="166"/>
      <c r="CC98" s="299"/>
      <c r="CD98" s="380"/>
      <c r="CE98" s="356"/>
      <c r="CF98" s="357"/>
      <c r="CG98" s="380"/>
      <c r="CH98" s="8"/>
      <c r="CI98" s="8"/>
      <c r="CJ98" s="8"/>
      <c r="CK98" s="8"/>
      <c r="CL98" s="8"/>
      <c r="CM98" s="8"/>
      <c r="CN98" s="6"/>
      <c r="CO98" s="8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</row>
    <row r="99" spans="1:117" ht="3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353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8"/>
      <c r="BL99" s="8"/>
      <c r="BM99" s="8"/>
      <c r="BN99" s="8"/>
      <c r="BO99" s="8"/>
      <c r="BP99" s="8"/>
      <c r="BQ99" s="1"/>
      <c r="BR99" s="1"/>
      <c r="BS99" s="1"/>
      <c r="BT99" s="1"/>
      <c r="BU99" s="1"/>
      <c r="BV99" s="1"/>
      <c r="BW99" s="1"/>
      <c r="BX99" s="1"/>
      <c r="BY99" s="329" t="s">
        <v>458</v>
      </c>
      <c r="BZ99" s="169" t="s">
        <v>54</v>
      </c>
      <c r="CA99" s="1"/>
      <c r="CB99" s="166"/>
      <c r="CC99" s="299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</row>
    <row r="100" spans="1:117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353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329" t="s">
        <v>459</v>
      </c>
      <c r="BZ100" s="270" t="s">
        <v>54</v>
      </c>
      <c r="CA100" s="1"/>
      <c r="CB100" s="166"/>
      <c r="CC100" s="299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</row>
    <row r="101" spans="1:117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353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243" t="s">
        <v>836</v>
      </c>
      <c r="BZ101" s="244" t="s">
        <v>54</v>
      </c>
      <c r="CA101" s="1"/>
      <c r="CB101" s="166"/>
      <c r="CC101" s="299"/>
      <c r="CD101" s="268"/>
      <c r="CE101" s="1"/>
      <c r="CF101" s="1"/>
      <c r="CG101" s="268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</row>
    <row r="102" spans="1:117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353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</row>
    <row r="103" spans="1:117" ht="3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924" t="s">
        <v>460</v>
      </c>
      <c r="AH103" s="925"/>
      <c r="AI103" s="925"/>
      <c r="AJ103" s="925"/>
      <c r="AK103" s="925"/>
      <c r="AL103" s="926"/>
      <c r="AM103" s="2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353"/>
      <c r="BA103" s="1"/>
      <c r="BB103" s="1"/>
      <c r="BC103" s="1"/>
      <c r="BD103" s="1"/>
      <c r="BE103" s="1"/>
      <c r="BF103" s="1"/>
      <c r="BG103" s="1"/>
      <c r="BH103" s="1"/>
      <c r="BI103" s="924" t="s">
        <v>461</v>
      </c>
      <c r="BJ103" s="925"/>
      <c r="BK103" s="925"/>
      <c r="BL103" s="925"/>
      <c r="BM103" s="925"/>
      <c r="BN103" s="926"/>
      <c r="BO103" s="8"/>
      <c r="BP103" s="8"/>
      <c r="BQ103" s="8"/>
      <c r="BR103" s="8"/>
      <c r="BS103" s="8"/>
      <c r="BT103" s="8"/>
      <c r="BU103" s="8"/>
      <c r="BV103" s="8"/>
      <c r="BW103" s="8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</row>
    <row r="104" spans="1:117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927"/>
      <c r="AH104" s="928"/>
      <c r="AI104" s="928"/>
      <c r="AJ104" s="928"/>
      <c r="AK104" s="928"/>
      <c r="AL104" s="929"/>
      <c r="AM104" s="2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353"/>
      <c r="BA104" s="1"/>
      <c r="BB104" s="1"/>
      <c r="BC104" s="1"/>
      <c r="BD104" s="1"/>
      <c r="BE104" s="1"/>
      <c r="BF104" s="1"/>
      <c r="BG104" s="1"/>
      <c r="BH104" s="1"/>
      <c r="BI104" s="927"/>
      <c r="BJ104" s="928"/>
      <c r="BK104" s="928"/>
      <c r="BL104" s="928"/>
      <c r="BM104" s="928"/>
      <c r="BN104" s="929"/>
      <c r="BO104" s="8"/>
      <c r="BP104" s="8"/>
      <c r="BQ104" s="8"/>
      <c r="BR104" s="8"/>
      <c r="BS104" s="8"/>
      <c r="BT104" s="8"/>
      <c r="BU104" s="8"/>
      <c r="BV104" s="8"/>
      <c r="BW104" s="8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</row>
    <row r="105" spans="1:117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353"/>
      <c r="BA105" s="1"/>
      <c r="BB105" s="1"/>
      <c r="BC105" s="1"/>
      <c r="BD105" s="1"/>
      <c r="BE105" s="1"/>
      <c r="BF105" s="1"/>
      <c r="BG105" s="1"/>
      <c r="BH105" s="1"/>
      <c r="BI105" s="8"/>
      <c r="BJ105" s="8"/>
      <c r="BK105" s="120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</row>
    <row r="106" spans="1:117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906" t="s">
        <v>462</v>
      </c>
      <c r="AH106" s="907"/>
      <c r="AI106" s="907"/>
      <c r="AJ106" s="907"/>
      <c r="AK106" s="907"/>
      <c r="AL106" s="908"/>
      <c r="AM106" s="2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353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906" t="s">
        <v>463</v>
      </c>
      <c r="BL106" s="907"/>
      <c r="BM106" s="907"/>
      <c r="BN106" s="908"/>
      <c r="BO106" s="8"/>
      <c r="BP106" s="8"/>
      <c r="BQ106" s="8"/>
      <c r="BR106" s="8"/>
      <c r="BS106" s="8"/>
      <c r="BT106" s="8"/>
      <c r="BU106" s="8"/>
      <c r="BV106" s="8"/>
      <c r="BW106" s="8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</row>
    <row r="107" spans="1:11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1"/>
      <c r="AO107" s="1"/>
      <c r="AP107" s="1"/>
      <c r="AQ107" s="174"/>
      <c r="AR107" s="174"/>
      <c r="AS107" s="174"/>
      <c r="AT107" s="174"/>
      <c r="AU107" s="174"/>
      <c r="AV107" s="1"/>
      <c r="AW107" s="1"/>
      <c r="AX107" s="1"/>
      <c r="AY107" s="1"/>
      <c r="AZ107" s="353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8"/>
      <c r="BT107" s="8"/>
      <c r="BU107" s="8"/>
      <c r="BV107" s="8"/>
      <c r="BW107" s="8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</row>
    <row r="108" spans="1:117" ht="9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20"/>
      <c r="AE108" s="32"/>
      <c r="AF108" s="32"/>
      <c r="AG108" s="33"/>
      <c r="AH108" s="32"/>
      <c r="AI108" s="32"/>
      <c r="AJ108" s="33"/>
      <c r="AK108" s="31"/>
      <c r="AL108" s="32"/>
      <c r="AM108" s="11"/>
      <c r="AN108" s="8"/>
      <c r="AO108" s="8"/>
      <c r="AP108" s="1"/>
      <c r="AQ108" s="174"/>
      <c r="AR108" s="174"/>
      <c r="AS108" s="1"/>
      <c r="AT108" s="1"/>
      <c r="AU108" s="1"/>
      <c r="AV108" s="1"/>
      <c r="AW108" s="1"/>
      <c r="AX108" s="1"/>
      <c r="AY108" s="1"/>
      <c r="AZ108" s="353"/>
      <c r="BA108" s="1"/>
      <c r="BB108" s="1"/>
      <c r="BC108" s="1"/>
      <c r="BD108" s="1"/>
      <c r="BE108" s="1"/>
      <c r="BF108" s="1"/>
      <c r="BG108" s="1"/>
      <c r="BH108" s="1"/>
      <c r="BI108" s="31"/>
      <c r="BJ108" s="32"/>
      <c r="BK108" s="32"/>
      <c r="BL108" s="31"/>
      <c r="BM108" s="32"/>
      <c r="BN108" s="116"/>
      <c r="BO108" s="32"/>
      <c r="BP108" s="32"/>
      <c r="BQ108" s="33"/>
      <c r="BR108" s="32"/>
      <c r="BS108" s="8"/>
      <c r="BT108" s="8"/>
      <c r="BU108" s="8"/>
      <c r="BV108" s="8"/>
      <c r="BW108" s="8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</row>
    <row r="109" spans="1:117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41" t="s">
        <v>464</v>
      </c>
      <c r="AE109" s="121">
        <f>COUNTA(AE110:AE120)</f>
        <v>6</v>
      </c>
      <c r="AF109" s="115"/>
      <c r="AG109" s="37" t="s">
        <v>465</v>
      </c>
      <c r="AH109" s="40">
        <f>COUNTA(AH110:AH117)</f>
        <v>7</v>
      </c>
      <c r="AI109" s="8"/>
      <c r="AJ109" s="37" t="s">
        <v>466</v>
      </c>
      <c r="AK109" s="40">
        <f>COUNTA(AK110:AK117)</f>
        <v>7</v>
      </c>
      <c r="AL109" s="8"/>
      <c r="AM109" s="37" t="s">
        <v>467</v>
      </c>
      <c r="AN109" s="40">
        <f>COUNTA(AN110:AN117)</f>
        <v>7</v>
      </c>
      <c r="AO109" s="8"/>
      <c r="AP109" s="1"/>
      <c r="AQ109" s="174"/>
      <c r="AR109" s="174"/>
      <c r="AS109" s="174"/>
      <c r="AT109" s="174"/>
      <c r="AU109" s="174"/>
      <c r="AV109" s="1"/>
      <c r="AW109" s="1"/>
      <c r="AX109" s="1"/>
      <c r="AY109" s="1"/>
      <c r="AZ109" s="353"/>
      <c r="BA109" s="1"/>
      <c r="BB109" s="1"/>
      <c r="BC109" s="1"/>
      <c r="BD109" s="1"/>
      <c r="BE109" s="41" t="s">
        <v>464</v>
      </c>
      <c r="BF109" s="386">
        <f>COUNTA(BF110:BF117)</f>
        <v>6</v>
      </c>
      <c r="BG109" s="8"/>
      <c r="BH109" s="41" t="s">
        <v>465</v>
      </c>
      <c r="BI109" s="121">
        <f>COUNTA(BI110:BI117)</f>
        <v>6</v>
      </c>
      <c r="BJ109" s="8"/>
      <c r="BK109" s="37" t="s">
        <v>468</v>
      </c>
      <c r="BL109" s="40">
        <f>COUNTA(BL110:BL117)</f>
        <v>6</v>
      </c>
      <c r="BM109" s="8"/>
      <c r="BN109" s="37" t="s">
        <v>171</v>
      </c>
      <c r="BO109" s="40">
        <f>COUNTA(BO110:BO123)</f>
        <v>7</v>
      </c>
      <c r="BP109" s="8"/>
      <c r="BQ109" s="37" t="s">
        <v>469</v>
      </c>
      <c r="BR109" s="40">
        <f>COUNTA(BR110:BR123)</f>
        <v>5</v>
      </c>
      <c r="BS109" s="8"/>
      <c r="BT109" s="8"/>
      <c r="BU109" s="8"/>
      <c r="BV109" s="8"/>
      <c r="BW109" s="8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</row>
    <row r="110" spans="1:117" ht="28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36" t="s">
        <v>470</v>
      </c>
      <c r="AE110" s="387" t="s">
        <v>59</v>
      </c>
      <c r="AF110" s="8" t="s">
        <v>173</v>
      </c>
      <c r="AG110" s="388" t="s">
        <v>82</v>
      </c>
      <c r="AH110" s="389"/>
      <c r="AI110" s="8" t="s">
        <v>55</v>
      </c>
      <c r="AJ110" s="390" t="s">
        <v>471</v>
      </c>
      <c r="AK110" s="391" t="s">
        <v>83</v>
      </c>
      <c r="AL110" s="8" t="s">
        <v>55</v>
      </c>
      <c r="AM110" s="392" t="s">
        <v>472</v>
      </c>
      <c r="AN110" s="75"/>
      <c r="AO110" s="8" t="s">
        <v>55</v>
      </c>
      <c r="AP110" s="1"/>
      <c r="AQ110" s="174"/>
      <c r="AR110" s="174"/>
      <c r="AS110" s="1"/>
      <c r="AT110" s="1"/>
      <c r="AU110" s="1"/>
      <c r="AV110" s="1"/>
      <c r="AW110" s="1"/>
      <c r="AX110" s="1"/>
      <c r="AY110" s="1"/>
      <c r="AZ110" s="353"/>
      <c r="BA110" s="1"/>
      <c r="BB110" s="1"/>
      <c r="BC110" s="1"/>
      <c r="BD110" s="1"/>
      <c r="BE110" s="393" t="s">
        <v>473</v>
      </c>
      <c r="BF110" s="394" t="s">
        <v>59</v>
      </c>
      <c r="BG110" s="8" t="s">
        <v>173</v>
      </c>
      <c r="BH110" s="166" t="s">
        <v>474</v>
      </c>
      <c r="BI110" s="226" t="s">
        <v>59</v>
      </c>
      <c r="BJ110" s="8" t="s">
        <v>55</v>
      </c>
      <c r="BK110" s="395" t="s">
        <v>475</v>
      </c>
      <c r="BL110" s="270" t="s">
        <v>54</v>
      </c>
      <c r="BM110" s="8" t="s">
        <v>178</v>
      </c>
      <c r="BN110" s="154" t="s">
        <v>476</v>
      </c>
      <c r="BO110" s="270"/>
      <c r="BP110" s="8"/>
      <c r="BQ110" s="396" t="s">
        <v>837</v>
      </c>
      <c r="BR110" s="63" t="s">
        <v>59</v>
      </c>
      <c r="BS110" s="8"/>
      <c r="BT110" s="8"/>
      <c r="BU110" s="8"/>
      <c r="BV110" s="8"/>
      <c r="BW110" s="8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</row>
    <row r="111" spans="1:117" ht="3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87" t="s">
        <v>477</v>
      </c>
      <c r="AE111" s="175" t="s">
        <v>83</v>
      </c>
      <c r="AF111" s="115"/>
      <c r="AG111" s="388" t="s">
        <v>478</v>
      </c>
      <c r="AH111" s="175" t="s">
        <v>83</v>
      </c>
      <c r="AI111" s="8" t="s">
        <v>69</v>
      </c>
      <c r="AJ111" s="187" t="s">
        <v>479</v>
      </c>
      <c r="AK111" s="165" t="s">
        <v>83</v>
      </c>
      <c r="AL111" s="8" t="s">
        <v>69</v>
      </c>
      <c r="AM111" s="397" t="s">
        <v>480</v>
      </c>
      <c r="AN111" s="398" t="s">
        <v>59</v>
      </c>
      <c r="AO111" s="399" t="s">
        <v>69</v>
      </c>
      <c r="AP111" s="1"/>
      <c r="AQ111" s="174"/>
      <c r="AR111" s="174"/>
      <c r="AS111" s="174"/>
      <c r="AT111" s="174"/>
      <c r="AU111" s="174"/>
      <c r="AV111" s="1"/>
      <c r="AW111" s="1"/>
      <c r="AX111" s="1"/>
      <c r="AY111" s="1"/>
      <c r="AZ111" s="353"/>
      <c r="BA111" s="1"/>
      <c r="BB111" s="1"/>
      <c r="BC111" s="1"/>
      <c r="BD111" s="1"/>
      <c r="BE111" s="351" t="s">
        <v>184</v>
      </c>
      <c r="BF111" s="192" t="s">
        <v>54</v>
      </c>
      <c r="BG111" s="8"/>
      <c r="BH111" s="166" t="s">
        <v>481</v>
      </c>
      <c r="BI111" s="165" t="s">
        <v>83</v>
      </c>
      <c r="BJ111" s="8" t="s">
        <v>69</v>
      </c>
      <c r="BK111" s="400" t="s">
        <v>482</v>
      </c>
      <c r="BL111" s="270" t="s">
        <v>54</v>
      </c>
      <c r="BM111" s="8" t="s">
        <v>178</v>
      </c>
      <c r="BN111" s="180" t="s">
        <v>838</v>
      </c>
      <c r="BO111" s="63" t="s">
        <v>59</v>
      </c>
      <c r="BP111" s="8" t="s">
        <v>483</v>
      </c>
      <c r="BQ111" s="180" t="s">
        <v>839</v>
      </c>
      <c r="BR111" s="63" t="s">
        <v>59</v>
      </c>
      <c r="BS111" s="8" t="s">
        <v>483</v>
      </c>
      <c r="BT111" s="8"/>
      <c r="BU111" s="8"/>
      <c r="BV111" s="8"/>
      <c r="BW111" s="8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</row>
    <row r="112" spans="1:117" ht="3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87" t="s">
        <v>484</v>
      </c>
      <c r="AE112" s="175" t="s">
        <v>83</v>
      </c>
      <c r="AF112" s="115"/>
      <c r="AG112" s="401" t="s">
        <v>840</v>
      </c>
      <c r="AH112" s="165" t="s">
        <v>83</v>
      </c>
      <c r="AI112" s="8"/>
      <c r="AJ112" s="72" t="s">
        <v>94</v>
      </c>
      <c r="AK112" s="165"/>
      <c r="AL112" s="8" t="s">
        <v>69</v>
      </c>
      <c r="AM112" s="402" t="s">
        <v>841</v>
      </c>
      <c r="AN112" s="165" t="s">
        <v>83</v>
      </c>
      <c r="AO112" s="8"/>
      <c r="AP112" s="1"/>
      <c r="AQ112" s="174"/>
      <c r="AR112" s="174"/>
      <c r="AS112" s="1"/>
      <c r="AT112" s="1"/>
      <c r="AU112" s="1"/>
      <c r="AV112" s="1"/>
      <c r="AW112" s="1"/>
      <c r="AX112" s="1"/>
      <c r="AY112" s="1"/>
      <c r="AZ112" s="353"/>
      <c r="BA112" s="1"/>
      <c r="BB112" s="1"/>
      <c r="BC112" s="1"/>
      <c r="BD112" s="1"/>
      <c r="BE112" s="403" t="s">
        <v>842</v>
      </c>
      <c r="BF112" s="192" t="s">
        <v>54</v>
      </c>
      <c r="BG112" s="8"/>
      <c r="BH112" s="166" t="s">
        <v>485</v>
      </c>
      <c r="BI112" s="165" t="s">
        <v>83</v>
      </c>
      <c r="BJ112" s="8"/>
      <c r="BK112" s="404" t="s">
        <v>486</v>
      </c>
      <c r="BL112" s="270" t="s">
        <v>54</v>
      </c>
      <c r="BM112" s="8"/>
      <c r="BN112" s="180" t="s">
        <v>843</v>
      </c>
      <c r="BO112" s="63" t="s">
        <v>59</v>
      </c>
      <c r="BP112" s="8"/>
      <c r="BQ112" s="405" t="s">
        <v>844</v>
      </c>
      <c r="BR112" s="63" t="s">
        <v>59</v>
      </c>
      <c r="BS112" s="8"/>
      <c r="BT112" s="8"/>
      <c r="BU112" s="8"/>
      <c r="BV112" s="8"/>
      <c r="BW112" s="8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</row>
    <row r="113" spans="1:117" ht="31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67" t="s">
        <v>487</v>
      </c>
      <c r="AE113" s="226" t="s">
        <v>59</v>
      </c>
      <c r="AF113" s="115"/>
      <c r="AG113" s="406" t="s">
        <v>488</v>
      </c>
      <c r="AH113" s="407" t="s">
        <v>65</v>
      </c>
      <c r="AI113" s="8"/>
      <c r="AJ113" s="408" t="s">
        <v>489</v>
      </c>
      <c r="AK113" s="226" t="s">
        <v>59</v>
      </c>
      <c r="AL113" s="8" t="s">
        <v>69</v>
      </c>
      <c r="AM113" s="408" t="s">
        <v>490</v>
      </c>
      <c r="AN113" s="226" t="s">
        <v>59</v>
      </c>
      <c r="AO113" s="8"/>
      <c r="AP113" s="1"/>
      <c r="AQ113" s="174"/>
      <c r="AR113" s="174"/>
      <c r="AS113" s="174"/>
      <c r="AT113" s="174"/>
      <c r="AU113" s="174"/>
      <c r="AV113" s="1"/>
      <c r="AW113" s="1"/>
      <c r="AX113" s="1"/>
      <c r="AY113" s="1"/>
      <c r="AZ113" s="353"/>
      <c r="BA113" s="1"/>
      <c r="BB113" s="1"/>
      <c r="BC113" s="1"/>
      <c r="BD113" s="1"/>
      <c r="BE113" s="409" t="s">
        <v>845</v>
      </c>
      <c r="BF113" s="149" t="s">
        <v>59</v>
      </c>
      <c r="BG113" s="8"/>
      <c r="BH113" s="206" t="s">
        <v>491</v>
      </c>
      <c r="BI113" s="175" t="s">
        <v>83</v>
      </c>
      <c r="BJ113" s="23"/>
      <c r="BK113" s="402" t="s">
        <v>846</v>
      </c>
      <c r="BL113" s="303" t="s">
        <v>54</v>
      </c>
      <c r="BM113" s="8"/>
      <c r="BN113" s="180" t="s">
        <v>847</v>
      </c>
      <c r="BO113" s="63" t="s">
        <v>59</v>
      </c>
      <c r="BP113" s="8"/>
      <c r="BQ113" s="180" t="s">
        <v>848</v>
      </c>
      <c r="BR113" s="63" t="s">
        <v>59</v>
      </c>
      <c r="BS113" s="8"/>
      <c r="BT113" s="8"/>
      <c r="BU113" s="8"/>
      <c r="BV113" s="8"/>
      <c r="BW113" s="8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</row>
    <row r="114" spans="1:117" ht="3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67" t="s">
        <v>492</v>
      </c>
      <c r="AE114" s="226" t="s">
        <v>59</v>
      </c>
      <c r="AF114" s="115"/>
      <c r="AG114" s="410" t="s">
        <v>849</v>
      </c>
      <c r="AH114" s="411" t="s">
        <v>65</v>
      </c>
      <c r="AI114" s="8"/>
      <c r="AJ114" s="187" t="s">
        <v>493</v>
      </c>
      <c r="AK114" s="165" t="s">
        <v>83</v>
      </c>
      <c r="AL114" s="412"/>
      <c r="AM114" s="413" t="s">
        <v>494</v>
      </c>
      <c r="AN114" s="212" t="s">
        <v>59</v>
      </c>
      <c r="AO114" s="8"/>
      <c r="AP114" s="1"/>
      <c r="AQ114" s="174"/>
      <c r="AR114" s="174"/>
      <c r="AS114" s="1"/>
      <c r="AT114" s="1"/>
      <c r="AU114" s="1"/>
      <c r="AV114" s="1"/>
      <c r="AW114" s="1"/>
      <c r="AX114" s="1"/>
      <c r="AY114" s="1"/>
      <c r="AZ114" s="353"/>
      <c r="BA114" s="1"/>
      <c r="BB114" s="1"/>
      <c r="BC114" s="1"/>
      <c r="BD114" s="1"/>
      <c r="BE114" s="403" t="s">
        <v>850</v>
      </c>
      <c r="BF114" s="192" t="s">
        <v>54</v>
      </c>
      <c r="BG114" s="8"/>
      <c r="BH114" s="166" t="s">
        <v>495</v>
      </c>
      <c r="BI114" s="226" t="s">
        <v>59</v>
      </c>
      <c r="BJ114" s="8" t="s">
        <v>496</v>
      </c>
      <c r="BK114" s="414" t="s">
        <v>497</v>
      </c>
      <c r="BL114" s="415"/>
      <c r="BM114" s="8"/>
      <c r="BN114" s="180" t="s">
        <v>851</v>
      </c>
      <c r="BO114" s="63" t="s">
        <v>59</v>
      </c>
      <c r="BP114" s="8" t="s">
        <v>496</v>
      </c>
      <c r="BQ114" s="180" t="s">
        <v>852</v>
      </c>
      <c r="BR114" s="63" t="s">
        <v>59</v>
      </c>
      <c r="BS114" s="8" t="s">
        <v>496</v>
      </c>
      <c r="BT114" s="8"/>
      <c r="BU114" s="8"/>
      <c r="BV114" s="8"/>
      <c r="BW114" s="8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 t="s">
        <v>498</v>
      </c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</row>
    <row r="115" spans="1:117" ht="3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416" t="s">
        <v>499</v>
      </c>
      <c r="AE115" s="226" t="s">
        <v>59</v>
      </c>
      <c r="AF115" s="115"/>
      <c r="AG115" s="154" t="s">
        <v>853</v>
      </c>
      <c r="AH115" s="142" t="s">
        <v>65</v>
      </c>
      <c r="AI115" s="247"/>
      <c r="AJ115" s="167" t="s">
        <v>500</v>
      </c>
      <c r="AK115" s="226" t="s">
        <v>59</v>
      </c>
      <c r="AL115" s="8"/>
      <c r="AM115" s="402" t="s">
        <v>854</v>
      </c>
      <c r="AN115" s="417" t="s">
        <v>59</v>
      </c>
      <c r="AO115" s="8"/>
      <c r="AP115" s="1"/>
      <c r="AQ115" s="174"/>
      <c r="AR115" s="174"/>
      <c r="AS115" s="174"/>
      <c r="AT115" s="174"/>
      <c r="AU115" s="174"/>
      <c r="AV115" s="1"/>
      <c r="AW115" s="1"/>
      <c r="AX115" s="1"/>
      <c r="AY115" s="1"/>
      <c r="AZ115" s="353"/>
      <c r="BA115" s="1"/>
      <c r="BB115" s="1"/>
      <c r="BC115" s="1"/>
      <c r="BD115" s="1"/>
      <c r="BE115" s="418" t="s">
        <v>855</v>
      </c>
      <c r="BF115" s="192" t="s">
        <v>54</v>
      </c>
      <c r="BG115" s="20"/>
      <c r="BH115" s="166" t="s">
        <v>856</v>
      </c>
      <c r="BI115" s="226" t="s">
        <v>59</v>
      </c>
      <c r="BJ115" s="8"/>
      <c r="BK115" s="419" t="s">
        <v>857</v>
      </c>
      <c r="BL115" s="270"/>
      <c r="BM115" s="8"/>
      <c r="BN115" s="420" t="s">
        <v>858</v>
      </c>
      <c r="BO115" s="63" t="s">
        <v>59</v>
      </c>
      <c r="BP115" s="8"/>
      <c r="BQ115" s="180"/>
      <c r="BR115" s="415"/>
      <c r="BS115" s="8"/>
      <c r="BT115" s="8"/>
      <c r="BU115" s="8"/>
      <c r="BV115" s="8"/>
      <c r="BW115" s="8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</row>
    <row r="116" spans="1:117" ht="3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45"/>
      <c r="AE116" s="421"/>
      <c r="AF116" s="189"/>
      <c r="AG116" s="198" t="s">
        <v>859</v>
      </c>
      <c r="AH116" s="199" t="s">
        <v>65</v>
      </c>
      <c r="AI116" s="8"/>
      <c r="AJ116" s="167" t="s">
        <v>501</v>
      </c>
      <c r="AK116" s="226" t="s">
        <v>59</v>
      </c>
      <c r="AL116" s="412"/>
      <c r="AM116" s="422" t="s">
        <v>860</v>
      </c>
      <c r="AN116" s="394" t="s">
        <v>59</v>
      </c>
      <c r="AO116" s="8"/>
      <c r="AP116" s="1"/>
      <c r="AQ116" s="174"/>
      <c r="AR116" s="174"/>
      <c r="AS116" s="1"/>
      <c r="AT116" s="1"/>
      <c r="AU116" s="1"/>
      <c r="AV116" s="1"/>
      <c r="AW116" s="1"/>
      <c r="AX116" s="1"/>
      <c r="AY116" s="1"/>
      <c r="AZ116" s="353"/>
      <c r="BA116" s="1"/>
      <c r="BB116" s="1"/>
      <c r="BC116" s="1"/>
      <c r="BD116" s="1"/>
      <c r="BE116" s="166"/>
      <c r="BF116" s="415"/>
      <c r="BG116" s="8"/>
      <c r="BH116" s="166"/>
      <c r="BI116" s="415"/>
      <c r="BJ116" s="8"/>
      <c r="BK116" s="54" t="s">
        <v>861</v>
      </c>
      <c r="BL116" s="415" t="s">
        <v>281</v>
      </c>
      <c r="BM116" s="8"/>
      <c r="BN116" s="180" t="s">
        <v>862</v>
      </c>
      <c r="BO116" s="63" t="s">
        <v>59</v>
      </c>
      <c r="BP116" s="8"/>
      <c r="BQ116" s="166"/>
      <c r="BR116" s="415"/>
      <c r="BS116" s="8"/>
      <c r="BT116" s="8"/>
      <c r="BU116" s="8"/>
      <c r="BV116" s="8"/>
      <c r="BW116" s="8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</row>
    <row r="117" spans="1:117" ht="3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68"/>
      <c r="AE117" s="421"/>
      <c r="AF117" s="115"/>
      <c r="AG117" s="423" t="s">
        <v>863</v>
      </c>
      <c r="AH117" s="142" t="s">
        <v>65</v>
      </c>
      <c r="AI117" s="8"/>
      <c r="AJ117" s="424" t="s">
        <v>864</v>
      </c>
      <c r="AK117" s="425" t="s">
        <v>59</v>
      </c>
      <c r="AL117" s="8"/>
      <c r="AM117" s="402" t="s">
        <v>865</v>
      </c>
      <c r="AN117" s="226" t="s">
        <v>59</v>
      </c>
      <c r="AO117" s="8"/>
      <c r="AP117" s="1"/>
      <c r="AQ117" s="174"/>
      <c r="AR117" s="174"/>
      <c r="AS117" s="174"/>
      <c r="AT117" s="174"/>
      <c r="AU117" s="174"/>
      <c r="AV117" s="1"/>
      <c r="AW117" s="1"/>
      <c r="AX117" s="1"/>
      <c r="AY117" s="1"/>
      <c r="AZ117" s="353"/>
      <c r="BA117" s="1"/>
      <c r="BB117" s="1"/>
      <c r="BC117" s="1"/>
      <c r="BD117" s="1"/>
      <c r="BE117" s="243"/>
      <c r="BF117" s="426"/>
      <c r="BG117" s="8"/>
      <c r="BH117" s="243"/>
      <c r="BI117" s="426"/>
      <c r="BJ117" s="8"/>
      <c r="BK117" s="176" t="s">
        <v>502</v>
      </c>
      <c r="BL117" s="234" t="s">
        <v>281</v>
      </c>
      <c r="BM117" s="8"/>
      <c r="BN117" s="427" t="s">
        <v>866</v>
      </c>
      <c r="BO117" s="428" t="s">
        <v>59</v>
      </c>
      <c r="BP117" s="8"/>
      <c r="BQ117" s="243"/>
      <c r="BR117" s="426"/>
      <c r="BS117" s="8"/>
      <c r="BT117" s="8"/>
      <c r="BU117" s="8"/>
      <c r="BV117" s="8"/>
      <c r="BW117" s="8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</row>
    <row r="118" spans="1:117" ht="3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68"/>
      <c r="AE118" s="421"/>
      <c r="AF118" s="115"/>
      <c r="AG118" s="406" t="s">
        <v>503</v>
      </c>
      <c r="AH118" s="407" t="s">
        <v>65</v>
      </c>
      <c r="AI118" s="8"/>
      <c r="AJ118" s="424" t="s">
        <v>867</v>
      </c>
      <c r="AK118" s="425" t="s">
        <v>59</v>
      </c>
      <c r="AL118" s="8"/>
      <c r="AM118" s="397" t="s">
        <v>504</v>
      </c>
      <c r="AN118" s="155" t="s">
        <v>59</v>
      </c>
      <c r="AO118" s="8"/>
      <c r="AP118" s="1"/>
      <c r="AQ118" s="174"/>
      <c r="AR118" s="174"/>
      <c r="AS118" s="1"/>
      <c r="AT118" s="1"/>
      <c r="AU118" s="1"/>
      <c r="AV118" s="1"/>
      <c r="AW118" s="1"/>
      <c r="AX118" s="1"/>
      <c r="AY118" s="1"/>
      <c r="AZ118" s="353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8"/>
      <c r="BW118" s="8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</row>
    <row r="119" spans="1:117" ht="3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252"/>
      <c r="AE119" s="253"/>
      <c r="AF119" s="115"/>
      <c r="AG119" s="134" t="s">
        <v>868</v>
      </c>
      <c r="AH119" s="407" t="s">
        <v>65</v>
      </c>
      <c r="AI119" s="8"/>
      <c r="AJ119" s="429" t="s">
        <v>505</v>
      </c>
      <c r="AK119" s="430" t="s">
        <v>54</v>
      </c>
      <c r="AL119" s="8"/>
      <c r="AM119" s="431" t="s">
        <v>869</v>
      </c>
      <c r="AN119" s="226" t="s">
        <v>59</v>
      </c>
      <c r="AO119" s="8"/>
      <c r="AP119" s="1"/>
      <c r="AQ119" s="174"/>
      <c r="AR119" s="174"/>
      <c r="AS119" s="174"/>
      <c r="AT119" s="174"/>
      <c r="AU119" s="174"/>
      <c r="AV119" s="1"/>
      <c r="AW119" s="1"/>
      <c r="AX119" s="1"/>
      <c r="AY119" s="1"/>
      <c r="AZ119" s="353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</row>
    <row r="120" spans="1:117" ht="3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252"/>
      <c r="AE120" s="253"/>
      <c r="AF120" s="2"/>
      <c r="AG120" s="252"/>
      <c r="AH120" s="253"/>
      <c r="AI120" s="2"/>
      <c r="AJ120" s="252"/>
      <c r="AK120" s="253"/>
      <c r="AL120" s="2"/>
      <c r="AM120" s="432" t="s">
        <v>870</v>
      </c>
      <c r="AN120" s="226" t="s">
        <v>59</v>
      </c>
      <c r="AO120" s="2"/>
      <c r="AP120" s="1"/>
      <c r="AQ120" s="174"/>
      <c r="AR120" s="174"/>
      <c r="AS120" s="1"/>
      <c r="AT120" s="1"/>
      <c r="AU120" s="1"/>
      <c r="AV120" s="1"/>
      <c r="AW120" s="1"/>
      <c r="AX120" s="1"/>
      <c r="AY120" s="1"/>
      <c r="AZ120" s="353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</row>
    <row r="121" spans="1:117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02"/>
      <c r="AE121" s="433"/>
      <c r="AF121" s="2"/>
      <c r="AG121" s="102"/>
      <c r="AH121" s="433"/>
      <c r="AI121" s="2"/>
      <c r="AJ121" s="102"/>
      <c r="AK121" s="433"/>
      <c r="AL121" s="2"/>
      <c r="AM121" s="434" t="s">
        <v>871</v>
      </c>
      <c r="AN121" s="435" t="s">
        <v>59</v>
      </c>
      <c r="AO121" s="2"/>
      <c r="AP121" s="1"/>
      <c r="AQ121" s="174"/>
      <c r="AR121" s="174"/>
      <c r="AS121" s="174"/>
      <c r="AT121" s="174"/>
      <c r="AU121" s="174"/>
      <c r="AV121" s="1"/>
      <c r="AW121" s="1"/>
      <c r="AX121" s="1"/>
      <c r="AY121" s="1"/>
      <c r="AZ121" s="353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</row>
    <row r="122" spans="1:117" ht="3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353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</row>
    <row r="123" spans="1:117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353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</row>
    <row r="124" spans="1:117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1"/>
      <c r="AO124" s="1"/>
      <c r="AP124" s="1"/>
      <c r="AQ124" s="174"/>
      <c r="AR124" s="174"/>
      <c r="AS124" s="174"/>
      <c r="AT124" s="174"/>
      <c r="AU124" s="174"/>
      <c r="AV124" s="1"/>
      <c r="AW124" s="1"/>
      <c r="AX124" s="1"/>
      <c r="AY124" s="1"/>
      <c r="AZ124" s="353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</row>
    <row r="125" spans="1:117" ht="34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915" t="s">
        <v>506</v>
      </c>
      <c r="AH125" s="916"/>
      <c r="AI125" s="916"/>
      <c r="AJ125" s="916"/>
      <c r="AK125" s="916"/>
      <c r="AL125" s="917"/>
      <c r="AM125" s="2"/>
      <c r="AN125" s="1"/>
      <c r="AO125" s="1"/>
      <c r="AP125" s="1"/>
      <c r="AQ125" s="174"/>
      <c r="AR125" s="174"/>
      <c r="AS125" s="1"/>
      <c r="AT125" s="1"/>
      <c r="AU125" s="1"/>
      <c r="AV125" s="1"/>
      <c r="AW125" s="1"/>
      <c r="AX125" s="1"/>
      <c r="AY125" s="1"/>
      <c r="AZ125" s="353"/>
      <c r="BA125" s="1"/>
      <c r="BB125" s="1"/>
      <c r="BC125" s="1"/>
      <c r="BD125" s="1"/>
      <c r="BE125" s="8"/>
      <c r="BF125" s="931" t="s">
        <v>507</v>
      </c>
      <c r="BG125" s="907"/>
      <c r="BH125" s="907"/>
      <c r="BI125" s="907"/>
      <c r="BJ125" s="907"/>
      <c r="BK125" s="908"/>
      <c r="BL125" s="6"/>
      <c r="BM125" s="115"/>
      <c r="BN125" s="8"/>
      <c r="BO125" s="8"/>
      <c r="BP125" s="8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</row>
    <row r="126" spans="1:117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1"/>
      <c r="AO126" s="1"/>
      <c r="AP126" s="1"/>
      <c r="AQ126" s="174"/>
      <c r="AR126" s="174"/>
      <c r="AS126" s="1"/>
      <c r="AT126" s="1"/>
      <c r="AU126" s="1"/>
      <c r="AV126" s="1"/>
      <c r="AW126" s="1"/>
      <c r="AX126" s="1"/>
      <c r="AY126" s="1"/>
      <c r="AZ126" s="353"/>
      <c r="BA126" s="1"/>
      <c r="BB126" s="1"/>
      <c r="BC126" s="1"/>
      <c r="BD126" s="1"/>
      <c r="BE126" s="8"/>
      <c r="BF126" s="8"/>
      <c r="BG126" s="8"/>
      <c r="BH126" s="8"/>
      <c r="BI126" s="8"/>
      <c r="BJ126" s="120"/>
      <c r="BK126" s="8"/>
      <c r="BL126" s="436"/>
      <c r="BM126" s="437"/>
      <c r="BN126" s="109"/>
      <c r="BO126" s="8"/>
      <c r="BP126" s="8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</row>
    <row r="127" spans="1:117" ht="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32"/>
      <c r="AH127" s="438"/>
      <c r="AI127" s="32"/>
      <c r="AJ127" s="32"/>
      <c r="AK127" s="439"/>
      <c r="AL127" s="32"/>
      <c r="AM127" s="440"/>
      <c r="AN127" s="32"/>
      <c r="AO127" s="32"/>
      <c r="AP127" s="33"/>
      <c r="AQ127" s="6"/>
      <c r="AR127" s="115"/>
      <c r="AS127" s="1"/>
      <c r="AT127" s="1"/>
      <c r="AU127" s="1"/>
      <c r="AV127" s="1"/>
      <c r="AW127" s="1"/>
      <c r="AX127" s="1"/>
      <c r="AY127" s="1"/>
      <c r="AZ127" s="353"/>
      <c r="BA127" s="1"/>
      <c r="BB127" s="1"/>
      <c r="BC127" s="1"/>
      <c r="BD127" s="1"/>
      <c r="BE127" s="8"/>
      <c r="BF127" s="438"/>
      <c r="BG127" s="32"/>
      <c r="BH127" s="116"/>
      <c r="BI127" s="32"/>
      <c r="BJ127" s="32"/>
      <c r="BK127" s="116"/>
      <c r="BL127" s="6"/>
      <c r="BM127" s="115"/>
      <c r="BN127" s="120"/>
      <c r="BO127" s="8"/>
      <c r="BP127" s="8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</row>
    <row r="128" spans="1:117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84" t="s">
        <v>508</v>
      </c>
      <c r="AB128" s="126">
        <f>COUNTA(AB129:AB139)</f>
        <v>10</v>
      </c>
      <c r="AC128" s="174"/>
      <c r="AD128" s="540" t="s">
        <v>509</v>
      </c>
      <c r="AE128" s="541">
        <f>COUNTA(AE129:AE141)</f>
        <v>5</v>
      </c>
      <c r="AF128" s="174"/>
      <c r="AG128" s="284" t="s">
        <v>510</v>
      </c>
      <c r="AH128" s="542">
        <f>COUNTA(AH129:AH139)</f>
        <v>10</v>
      </c>
      <c r="AI128" s="174"/>
      <c r="AJ128" s="284" t="s">
        <v>511</v>
      </c>
      <c r="AK128" s="122">
        <f>COUNTA(AK129:AK143)</f>
        <v>8</v>
      </c>
      <c r="AL128" s="174"/>
      <c r="AM128" s="284" t="s">
        <v>872</v>
      </c>
      <c r="AN128" s="126">
        <f>COUNTA(AN129:AN140)</f>
        <v>11</v>
      </c>
      <c r="AO128" s="174"/>
      <c r="AP128" s="284" t="s">
        <v>873</v>
      </c>
      <c r="AQ128" s="126">
        <f>COUNTA(AQ129:AQ140)</f>
        <v>5</v>
      </c>
      <c r="AR128" s="174"/>
      <c r="AS128" s="1"/>
      <c r="AT128" s="1"/>
      <c r="AU128" s="1"/>
      <c r="AV128" s="1"/>
      <c r="AW128" s="1"/>
      <c r="AX128" s="1"/>
      <c r="AY128" s="1"/>
      <c r="AZ128" s="353"/>
      <c r="BA128" s="1"/>
      <c r="BB128" s="1"/>
      <c r="BC128" s="1"/>
      <c r="BD128" s="1"/>
      <c r="BE128" s="37" t="s">
        <v>164</v>
      </c>
      <c r="BF128" s="40">
        <f>COUNTA(BF129:BF139)</f>
        <v>5</v>
      </c>
      <c r="BG128" s="1"/>
      <c r="BH128" s="37" t="s">
        <v>169</v>
      </c>
      <c r="BI128" s="40">
        <f>COUNTA(BI129:BI139)</f>
        <v>9</v>
      </c>
      <c r="BJ128" s="8"/>
      <c r="BK128" s="37" t="s">
        <v>170</v>
      </c>
      <c r="BL128" s="40">
        <f>COUNTA(BL129:BL139)</f>
        <v>10</v>
      </c>
      <c r="BM128" s="8"/>
      <c r="BN128" s="284" t="s">
        <v>171</v>
      </c>
      <c r="BO128" s="126">
        <f>COUNTA(BO129:BO139)</f>
        <v>4</v>
      </c>
      <c r="BP128" s="174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</row>
    <row r="129" spans="1:117" ht="28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43" t="s">
        <v>484</v>
      </c>
      <c r="AB129" s="152"/>
      <c r="AC129" s="174"/>
      <c r="AD129" s="544" t="s">
        <v>484</v>
      </c>
      <c r="AE129" s="152"/>
      <c r="AF129" s="545" t="s">
        <v>55</v>
      </c>
      <c r="AG129" s="546" t="s">
        <v>492</v>
      </c>
      <c r="AH129" s="152"/>
      <c r="AI129" s="545" t="s">
        <v>55</v>
      </c>
      <c r="AJ129" s="547" t="s">
        <v>492</v>
      </c>
      <c r="AK129" s="162"/>
      <c r="AL129" s="545" t="s">
        <v>55</v>
      </c>
      <c r="AM129" s="548" t="s">
        <v>512</v>
      </c>
      <c r="AN129" s="152"/>
      <c r="AO129" s="545" t="s">
        <v>55</v>
      </c>
      <c r="AP129" s="548" t="s">
        <v>512</v>
      </c>
      <c r="AQ129" s="152"/>
      <c r="AR129" s="545" t="s">
        <v>55</v>
      </c>
      <c r="AS129" s="1"/>
      <c r="AT129" s="1"/>
      <c r="AU129" s="1"/>
      <c r="AV129" s="1"/>
      <c r="AW129" s="1"/>
      <c r="AX129" s="1"/>
      <c r="AY129" s="1"/>
      <c r="AZ129" s="353"/>
      <c r="BA129" s="1"/>
      <c r="BB129" s="1"/>
      <c r="BC129" s="1"/>
      <c r="BD129" s="1"/>
      <c r="BE129" s="441" t="s">
        <v>513</v>
      </c>
      <c r="BF129" s="65"/>
      <c r="BG129" s="8" t="s">
        <v>514</v>
      </c>
      <c r="BH129" s="442" t="s">
        <v>487</v>
      </c>
      <c r="BI129" s="63"/>
      <c r="BJ129" s="8"/>
      <c r="BK129" s="236" t="s">
        <v>495</v>
      </c>
      <c r="BL129" s="65"/>
      <c r="BM129" s="8"/>
      <c r="BN129" s="146" t="s">
        <v>241</v>
      </c>
      <c r="BO129" s="152"/>
      <c r="BP129" s="295" t="s">
        <v>249</v>
      </c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</row>
    <row r="130" spans="1:117" ht="3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49" t="s">
        <v>515</v>
      </c>
      <c r="AB130" s="550" t="s">
        <v>83</v>
      </c>
      <c r="AC130" s="174" t="s">
        <v>69</v>
      </c>
      <c r="AD130" s="551" t="s">
        <v>516</v>
      </c>
      <c r="AE130" s="177" t="s">
        <v>59</v>
      </c>
      <c r="AF130" s="174"/>
      <c r="AG130" s="552" t="s">
        <v>517</v>
      </c>
      <c r="AH130" s="226" t="s">
        <v>59</v>
      </c>
      <c r="AI130" s="553" t="s">
        <v>69</v>
      </c>
      <c r="AJ130" s="443" t="s">
        <v>518</v>
      </c>
      <c r="AK130" s="554" t="s">
        <v>59</v>
      </c>
      <c r="AL130" s="174"/>
      <c r="AM130" s="555" t="s">
        <v>874</v>
      </c>
      <c r="AN130" s="177" t="s">
        <v>59</v>
      </c>
      <c r="AO130" s="556" t="s">
        <v>69</v>
      </c>
      <c r="AP130" s="557" t="s">
        <v>875</v>
      </c>
      <c r="AQ130" s="558" t="s">
        <v>83</v>
      </c>
      <c r="AR130" s="174"/>
      <c r="AS130" s="1"/>
      <c r="AT130" s="1"/>
      <c r="AU130" s="1"/>
      <c r="AV130" s="1"/>
      <c r="AW130" s="1"/>
      <c r="AX130" s="1"/>
      <c r="AY130" s="1"/>
      <c r="AZ130" s="353"/>
      <c r="BA130" s="1"/>
      <c r="BB130" s="1"/>
      <c r="BC130" s="1"/>
      <c r="BD130" s="1"/>
      <c r="BE130" s="220" t="s">
        <v>519</v>
      </c>
      <c r="BF130" s="63" t="s">
        <v>59</v>
      </c>
      <c r="BG130" s="157" t="s">
        <v>69</v>
      </c>
      <c r="BH130" s="220" t="s">
        <v>528</v>
      </c>
      <c r="BI130" s="63" t="s">
        <v>59</v>
      </c>
      <c r="BJ130" s="445"/>
      <c r="BK130" s="322" t="s">
        <v>521</v>
      </c>
      <c r="BL130" s="63" t="s">
        <v>59</v>
      </c>
      <c r="BM130" s="8" t="s">
        <v>178</v>
      </c>
      <c r="BN130" s="320" t="s">
        <v>522</v>
      </c>
      <c r="BO130" s="177" t="s">
        <v>59</v>
      </c>
      <c r="BP130" s="174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</row>
    <row r="131" spans="1:117" ht="3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49" t="s">
        <v>523</v>
      </c>
      <c r="AB131" s="550" t="s">
        <v>83</v>
      </c>
      <c r="AC131" s="174"/>
      <c r="AD131" s="551" t="s">
        <v>524</v>
      </c>
      <c r="AE131" s="177" t="s">
        <v>59</v>
      </c>
      <c r="AF131" s="174"/>
      <c r="AG131" s="559" t="s">
        <v>525</v>
      </c>
      <c r="AH131" s="560" t="s">
        <v>59</v>
      </c>
      <c r="AI131" s="174"/>
      <c r="AJ131" s="443" t="s">
        <v>526</v>
      </c>
      <c r="AK131" s="554" t="s">
        <v>59</v>
      </c>
      <c r="AL131" s="174"/>
      <c r="AM131" s="555" t="s">
        <v>876</v>
      </c>
      <c r="AN131" s="558" t="s">
        <v>83</v>
      </c>
      <c r="AO131" s="174"/>
      <c r="AP131" s="557" t="s">
        <v>877</v>
      </c>
      <c r="AQ131" s="558" t="s">
        <v>83</v>
      </c>
      <c r="AR131" s="174"/>
      <c r="AS131" s="1"/>
      <c r="AT131" s="1"/>
      <c r="AU131" s="1"/>
      <c r="AV131" s="1"/>
      <c r="AW131" s="1"/>
      <c r="AX131" s="1"/>
      <c r="AY131" s="1"/>
      <c r="AZ131" s="353"/>
      <c r="BA131" s="1"/>
      <c r="BB131" s="1"/>
      <c r="BC131" s="1"/>
      <c r="BD131" s="1"/>
      <c r="BE131" s="220" t="s">
        <v>527</v>
      </c>
      <c r="BF131" s="63" t="s">
        <v>59</v>
      </c>
      <c r="BG131" s="157" t="s">
        <v>69</v>
      </c>
      <c r="BH131" s="220" t="s">
        <v>536</v>
      </c>
      <c r="BI131" s="63" t="s">
        <v>59</v>
      </c>
      <c r="BJ131" s="9"/>
      <c r="BK131" s="322" t="s">
        <v>529</v>
      </c>
      <c r="BL131" s="63" t="s">
        <v>59</v>
      </c>
      <c r="BM131" s="8"/>
      <c r="BN131" s="320" t="s">
        <v>530</v>
      </c>
      <c r="BO131" s="194" t="s">
        <v>54</v>
      </c>
      <c r="BP131" s="174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</row>
    <row r="132" spans="1:117" ht="31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49" t="s">
        <v>531</v>
      </c>
      <c r="AB132" s="550" t="s">
        <v>83</v>
      </c>
      <c r="AC132" s="174"/>
      <c r="AD132" s="551" t="s">
        <v>532</v>
      </c>
      <c r="AE132" s="177" t="s">
        <v>59</v>
      </c>
      <c r="AF132" s="174"/>
      <c r="AG132" s="145" t="s">
        <v>533</v>
      </c>
      <c r="AH132" s="560" t="s">
        <v>59</v>
      </c>
      <c r="AI132" s="174"/>
      <c r="AJ132" s="443" t="s">
        <v>534</v>
      </c>
      <c r="AK132" s="554" t="s">
        <v>59</v>
      </c>
      <c r="AL132" s="174"/>
      <c r="AM132" s="555" t="s">
        <v>878</v>
      </c>
      <c r="AN132" s="177" t="s">
        <v>59</v>
      </c>
      <c r="AO132" s="174"/>
      <c r="AP132" s="516" t="s">
        <v>879</v>
      </c>
      <c r="AQ132" s="558" t="s">
        <v>83</v>
      </c>
      <c r="AR132" s="174"/>
      <c r="AS132" s="1"/>
      <c r="AT132" s="1"/>
      <c r="AU132" s="1"/>
      <c r="AV132" s="1"/>
      <c r="AW132" s="1"/>
      <c r="AX132" s="1"/>
      <c r="AY132" s="1"/>
      <c r="AZ132" s="353"/>
      <c r="BA132" s="1"/>
      <c r="BB132" s="1"/>
      <c r="BC132" s="1"/>
      <c r="BD132" s="1"/>
      <c r="BE132" s="220" t="s">
        <v>535</v>
      </c>
      <c r="BF132" s="63" t="s">
        <v>59</v>
      </c>
      <c r="BG132" s="9"/>
      <c r="BH132" s="220" t="s">
        <v>544</v>
      </c>
      <c r="BI132" s="63" t="s">
        <v>59</v>
      </c>
      <c r="BJ132" s="9"/>
      <c r="BK132" s="322" t="s">
        <v>537</v>
      </c>
      <c r="BL132" s="63" t="s">
        <v>59</v>
      </c>
      <c r="BM132" s="8"/>
      <c r="BN132" s="320" t="s">
        <v>538</v>
      </c>
      <c r="BO132" s="234" t="s">
        <v>281</v>
      </c>
      <c r="BP132" s="174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</row>
    <row r="133" spans="1:117" ht="3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61" t="s">
        <v>539</v>
      </c>
      <c r="AB133" s="212" t="s">
        <v>59</v>
      </c>
      <c r="AC133" s="174"/>
      <c r="AD133" s="551" t="s">
        <v>540</v>
      </c>
      <c r="AE133" s="177" t="s">
        <v>59</v>
      </c>
      <c r="AF133" s="174"/>
      <c r="AG133" s="552" t="s">
        <v>541</v>
      </c>
      <c r="AH133" s="226" t="s">
        <v>59</v>
      </c>
      <c r="AI133" s="174"/>
      <c r="AJ133" s="443" t="s">
        <v>542</v>
      </c>
      <c r="AK133" s="554" t="s">
        <v>59</v>
      </c>
      <c r="AL133" s="174"/>
      <c r="AM133" s="555" t="s">
        <v>880</v>
      </c>
      <c r="AN133" s="177" t="s">
        <v>59</v>
      </c>
      <c r="AO133" s="174"/>
      <c r="AP133" s="557" t="s">
        <v>881</v>
      </c>
      <c r="AQ133" s="177" t="s">
        <v>59</v>
      </c>
      <c r="AR133" s="174"/>
      <c r="AS133" s="1"/>
      <c r="AT133" s="1"/>
      <c r="AU133" s="1"/>
      <c r="AV133" s="1"/>
      <c r="AW133" s="1"/>
      <c r="AX133" s="1"/>
      <c r="AY133" s="1"/>
      <c r="AZ133" s="353"/>
      <c r="BA133" s="1"/>
      <c r="BB133" s="1"/>
      <c r="BC133" s="1"/>
      <c r="BD133" s="1"/>
      <c r="BE133" s="220" t="s">
        <v>543</v>
      </c>
      <c r="BF133" s="63" t="s">
        <v>59</v>
      </c>
      <c r="BG133" s="9"/>
      <c r="BH133" s="220" t="s">
        <v>551</v>
      </c>
      <c r="BI133" s="63" t="s">
        <v>59</v>
      </c>
      <c r="BJ133" s="9"/>
      <c r="BK133" s="322" t="s">
        <v>545</v>
      </c>
      <c r="BL133" s="63" t="s">
        <v>59</v>
      </c>
      <c r="BM133" s="8"/>
      <c r="BN133" s="446" t="s">
        <v>546</v>
      </c>
      <c r="BO133" s="177" t="s">
        <v>59</v>
      </c>
      <c r="BP133" s="174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</row>
    <row r="134" spans="1:117" ht="3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48" t="s">
        <v>882</v>
      </c>
      <c r="AB134" s="562" t="s">
        <v>59</v>
      </c>
      <c r="AC134" s="174"/>
      <c r="AD134" s="551" t="s">
        <v>547</v>
      </c>
      <c r="AE134" s="177" t="s">
        <v>59</v>
      </c>
      <c r="AF134" s="174"/>
      <c r="AG134" s="552" t="s">
        <v>548</v>
      </c>
      <c r="AH134" s="226" t="s">
        <v>59</v>
      </c>
      <c r="AI134" s="174"/>
      <c r="AJ134" s="443" t="s">
        <v>549</v>
      </c>
      <c r="AK134" s="554" t="s">
        <v>59</v>
      </c>
      <c r="AL134" s="174"/>
      <c r="AM134" s="555" t="s">
        <v>883</v>
      </c>
      <c r="AN134" s="177" t="s">
        <v>59</v>
      </c>
      <c r="AO134" s="174"/>
      <c r="AP134" s="557" t="s">
        <v>884</v>
      </c>
      <c r="AQ134" s="177" t="s">
        <v>59</v>
      </c>
      <c r="AR134" s="174"/>
      <c r="AS134" s="1"/>
      <c r="AT134" s="1"/>
      <c r="AU134" s="1"/>
      <c r="AV134" s="1"/>
      <c r="AW134" s="1"/>
      <c r="AX134" s="1"/>
      <c r="AY134" s="1"/>
      <c r="AZ134" s="353"/>
      <c r="BA134" s="1"/>
      <c r="BB134" s="1"/>
      <c r="BC134" s="1"/>
      <c r="BD134" s="1"/>
      <c r="BE134" s="220" t="s">
        <v>550</v>
      </c>
      <c r="BF134" s="63" t="s">
        <v>59</v>
      </c>
      <c r="BG134" s="9"/>
      <c r="BH134" s="349" t="s">
        <v>556</v>
      </c>
      <c r="BI134" s="63" t="s">
        <v>59</v>
      </c>
      <c r="BJ134" s="9"/>
      <c r="BK134" s="322" t="s">
        <v>552</v>
      </c>
      <c r="BL134" s="63" t="s">
        <v>59</v>
      </c>
      <c r="BM134" s="8"/>
      <c r="BN134" s="355"/>
      <c r="BO134" s="162"/>
      <c r="BP134" s="174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</row>
    <row r="135" spans="1:117" ht="3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49" t="s">
        <v>553</v>
      </c>
      <c r="AB135" s="563" t="s">
        <v>59</v>
      </c>
      <c r="AC135" s="174"/>
      <c r="AD135" s="168"/>
      <c r="AE135" s="421"/>
      <c r="AF135" s="174"/>
      <c r="AG135" s="552" t="s">
        <v>554</v>
      </c>
      <c r="AH135" s="226" t="s">
        <v>59</v>
      </c>
      <c r="AI135" s="174"/>
      <c r="AJ135" s="443" t="s">
        <v>555</v>
      </c>
      <c r="AK135" s="554" t="s">
        <v>59</v>
      </c>
      <c r="AL135" s="174"/>
      <c r="AM135" s="555" t="s">
        <v>885</v>
      </c>
      <c r="AN135" s="177" t="s">
        <v>59</v>
      </c>
      <c r="AO135" s="174"/>
      <c r="AP135" s="168"/>
      <c r="AQ135" s="421"/>
      <c r="AR135" s="174"/>
      <c r="AS135" s="1"/>
      <c r="AT135" s="1"/>
      <c r="AU135" s="1"/>
      <c r="AV135" s="1"/>
      <c r="AW135" s="1"/>
      <c r="AX135" s="1"/>
      <c r="AY135" s="1"/>
      <c r="AZ135" s="353"/>
      <c r="BA135" s="1"/>
      <c r="BB135" s="1"/>
      <c r="BC135" s="1"/>
      <c r="BD135" s="1"/>
      <c r="BE135" s="220"/>
      <c r="BF135" s="75"/>
      <c r="BG135" s="9"/>
      <c r="BH135" s="321" t="s">
        <v>561</v>
      </c>
      <c r="BI135" s="447" t="s">
        <v>59</v>
      </c>
      <c r="BJ135" s="9" t="s">
        <v>178</v>
      </c>
      <c r="BK135" s="322" t="s">
        <v>557</v>
      </c>
      <c r="BL135" s="63" t="s">
        <v>59</v>
      </c>
      <c r="BM135" s="8"/>
      <c r="BN135" s="355"/>
      <c r="BO135" s="162"/>
      <c r="BP135" s="174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</row>
    <row r="136" spans="1:117" ht="3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49" t="s">
        <v>558</v>
      </c>
      <c r="AB136" s="563" t="s">
        <v>59</v>
      </c>
      <c r="AC136" s="174"/>
      <c r="AD136" s="168"/>
      <c r="AE136" s="421"/>
      <c r="AF136" s="174"/>
      <c r="AG136" s="552" t="s">
        <v>559</v>
      </c>
      <c r="AH136" s="226" t="s">
        <v>59</v>
      </c>
      <c r="AI136" s="174"/>
      <c r="AJ136" s="443" t="s">
        <v>560</v>
      </c>
      <c r="AK136" s="554" t="s">
        <v>59</v>
      </c>
      <c r="AL136" s="174"/>
      <c r="AM136" s="555" t="s">
        <v>886</v>
      </c>
      <c r="AN136" s="558" t="s">
        <v>83</v>
      </c>
      <c r="AO136" s="174"/>
      <c r="AP136" s="168"/>
      <c r="AQ136" s="421"/>
      <c r="AR136" s="174"/>
      <c r="AS136" s="1"/>
      <c r="AT136" s="1"/>
      <c r="AU136" s="1"/>
      <c r="AV136" s="1"/>
      <c r="AW136" s="1"/>
      <c r="AX136" s="1"/>
      <c r="AY136" s="1"/>
      <c r="AZ136" s="353"/>
      <c r="BA136" s="1"/>
      <c r="BB136" s="1"/>
      <c r="BC136" s="1"/>
      <c r="BD136" s="1"/>
      <c r="BE136" s="180"/>
      <c r="BF136" s="75"/>
      <c r="BG136" s="9"/>
      <c r="BH136" s="448" t="s">
        <v>567</v>
      </c>
      <c r="BI136" s="142" t="s">
        <v>65</v>
      </c>
      <c r="BJ136" s="9" t="s">
        <v>562</v>
      </c>
      <c r="BK136" s="322" t="s">
        <v>563</v>
      </c>
      <c r="BL136" s="63" t="s">
        <v>59</v>
      </c>
      <c r="BM136" s="8"/>
      <c r="BN136" s="355"/>
      <c r="BO136" s="162"/>
      <c r="BP136" s="174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</row>
    <row r="137" spans="1:117" ht="3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49" t="s">
        <v>564</v>
      </c>
      <c r="AB137" s="550" t="s">
        <v>83</v>
      </c>
      <c r="AC137" s="174"/>
      <c r="AD137" s="168"/>
      <c r="AE137" s="421"/>
      <c r="AF137" s="174"/>
      <c r="AG137" s="552" t="s">
        <v>565</v>
      </c>
      <c r="AH137" s="226" t="s">
        <v>59</v>
      </c>
      <c r="AI137" s="174"/>
      <c r="AJ137" s="443" t="s">
        <v>566</v>
      </c>
      <c r="AK137" s="554" t="s">
        <v>59</v>
      </c>
      <c r="AL137" s="174"/>
      <c r="AM137" s="564" t="s">
        <v>887</v>
      </c>
      <c r="AN137" s="565" t="s">
        <v>59</v>
      </c>
      <c r="AO137" s="174"/>
      <c r="AP137" s="168"/>
      <c r="AQ137" s="421"/>
      <c r="AR137" s="174"/>
      <c r="AS137" s="1"/>
      <c r="AT137" s="1"/>
      <c r="AU137" s="1"/>
      <c r="AV137" s="1"/>
      <c r="AW137" s="1"/>
      <c r="AX137" s="1"/>
      <c r="AY137" s="1"/>
      <c r="AZ137" s="353"/>
      <c r="BA137" s="1"/>
      <c r="BB137" s="1"/>
      <c r="BC137" s="1"/>
      <c r="BD137" s="1"/>
      <c r="BE137" s="180"/>
      <c r="BF137" s="75"/>
      <c r="BG137" s="9"/>
      <c r="BH137" s="448" t="s">
        <v>571</v>
      </c>
      <c r="BI137" s="63" t="s">
        <v>59</v>
      </c>
      <c r="BJ137" s="9"/>
      <c r="BK137" s="322" t="s">
        <v>568</v>
      </c>
      <c r="BL137" s="63" t="s">
        <v>59</v>
      </c>
      <c r="BM137" s="8"/>
      <c r="BN137" s="355"/>
      <c r="BO137" s="162"/>
      <c r="BP137" s="174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</row>
    <row r="138" spans="1:117" ht="3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49" t="s">
        <v>569</v>
      </c>
      <c r="AB138" s="550" t="s">
        <v>83</v>
      </c>
      <c r="AC138" s="174"/>
      <c r="AD138" s="168"/>
      <c r="AE138" s="421"/>
      <c r="AF138" s="174"/>
      <c r="AG138" s="552" t="s">
        <v>570</v>
      </c>
      <c r="AH138" s="226" t="s">
        <v>59</v>
      </c>
      <c r="AI138" s="174"/>
      <c r="AJ138" s="174"/>
      <c r="AK138" s="174"/>
      <c r="AL138" s="174"/>
      <c r="AM138" s="566" t="s">
        <v>888</v>
      </c>
      <c r="AN138" s="567" t="s">
        <v>59</v>
      </c>
      <c r="AO138" s="174"/>
      <c r="AP138" s="168"/>
      <c r="AQ138" s="421"/>
      <c r="AR138" s="174"/>
      <c r="AS138" s="1"/>
      <c r="AT138" s="1"/>
      <c r="AU138" s="1"/>
      <c r="AV138" s="1"/>
      <c r="AW138" s="1"/>
      <c r="AX138" s="1"/>
      <c r="AY138" s="1"/>
      <c r="AZ138" s="353"/>
      <c r="BA138" s="1"/>
      <c r="BB138" s="1"/>
      <c r="BC138" s="1"/>
      <c r="BD138" s="1"/>
      <c r="BE138" s="166"/>
      <c r="BF138" s="415"/>
      <c r="BG138" s="9"/>
      <c r="BH138" s="220" t="s">
        <v>575</v>
      </c>
      <c r="BI138" s="444" t="s">
        <v>83</v>
      </c>
      <c r="BJ138" s="1"/>
      <c r="BK138" s="322" t="s">
        <v>572</v>
      </c>
      <c r="BL138" s="82" t="s">
        <v>54</v>
      </c>
      <c r="BM138" s="8"/>
      <c r="BN138" s="355"/>
      <c r="BO138" s="162"/>
      <c r="BP138" s="174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</row>
    <row r="139" spans="1:117" ht="3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68" t="s">
        <v>573</v>
      </c>
      <c r="AB139" s="569" t="s">
        <v>59</v>
      </c>
      <c r="AC139" s="174"/>
      <c r="AD139" s="168"/>
      <c r="AE139" s="421"/>
      <c r="AF139" s="174"/>
      <c r="AG139" s="552" t="s">
        <v>889</v>
      </c>
      <c r="AH139" s="226" t="s">
        <v>59</v>
      </c>
      <c r="AI139" s="174"/>
      <c r="AJ139" s="174"/>
      <c r="AK139" s="174"/>
      <c r="AL139" s="174"/>
      <c r="AM139" s="570" t="s">
        <v>574</v>
      </c>
      <c r="AN139" s="558" t="s">
        <v>83</v>
      </c>
      <c r="AO139" s="174"/>
      <c r="AP139" s="168"/>
      <c r="AQ139" s="421"/>
      <c r="AR139" s="174"/>
      <c r="AS139" s="1"/>
      <c r="AT139" s="1"/>
      <c r="AU139" s="1"/>
      <c r="AV139" s="1"/>
      <c r="AW139" s="1"/>
      <c r="AX139" s="1"/>
      <c r="AY139" s="1"/>
      <c r="AZ139" s="353"/>
      <c r="BA139" s="1"/>
      <c r="BB139" s="1"/>
      <c r="BC139" s="1"/>
      <c r="BD139" s="1"/>
      <c r="BE139" s="243"/>
      <c r="BF139" s="426"/>
      <c r="BG139" s="9"/>
      <c r="BH139" s="243"/>
      <c r="BI139" s="426"/>
      <c r="BJ139" s="1"/>
      <c r="BK139" s="361" t="s">
        <v>576</v>
      </c>
      <c r="BL139" s="428" t="s">
        <v>59</v>
      </c>
      <c r="BM139" s="8"/>
      <c r="BN139" s="102"/>
      <c r="BO139" s="103"/>
      <c r="BP139" s="174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</row>
    <row r="140" spans="1:117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74"/>
      <c r="AB140" s="174"/>
      <c r="AC140" s="174"/>
      <c r="AD140" s="250"/>
      <c r="AE140" s="426"/>
      <c r="AF140" s="174"/>
      <c r="AG140" s="571" t="s">
        <v>577</v>
      </c>
      <c r="AH140" s="226" t="s">
        <v>59</v>
      </c>
      <c r="AI140" s="174"/>
      <c r="AJ140" s="174"/>
      <c r="AK140" s="174"/>
      <c r="AL140" s="174"/>
      <c r="AM140" s="572" t="s">
        <v>578</v>
      </c>
      <c r="AN140" s="509" t="s">
        <v>59</v>
      </c>
      <c r="AO140" s="174"/>
      <c r="AP140" s="250"/>
      <c r="AQ140" s="426"/>
      <c r="AR140" s="174"/>
      <c r="AS140" s="1"/>
      <c r="AT140" s="1"/>
      <c r="AU140" s="1"/>
      <c r="AV140" s="1"/>
      <c r="AW140" s="1"/>
      <c r="AX140" s="1"/>
      <c r="AY140" s="1"/>
      <c r="AZ140" s="353"/>
      <c r="BA140" s="1"/>
      <c r="BB140" s="1"/>
      <c r="BC140" s="1"/>
      <c r="BD140" s="1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</row>
    <row r="141" spans="1:117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74"/>
      <c r="AB141" s="174"/>
      <c r="AC141" s="174"/>
      <c r="AD141" s="174"/>
      <c r="AE141" s="174"/>
      <c r="AF141" s="174"/>
      <c r="AG141" s="573" t="s">
        <v>890</v>
      </c>
      <c r="AH141" s="449" t="s">
        <v>59</v>
      </c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4"/>
      <c r="AS141" s="1"/>
      <c r="AT141" s="1"/>
      <c r="AU141" s="1"/>
      <c r="AV141" s="1"/>
      <c r="AW141" s="1"/>
      <c r="AX141" s="1"/>
      <c r="AY141" s="1"/>
      <c r="AZ141" s="353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</row>
    <row r="142" spans="1:117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8"/>
      <c r="AI142" s="8"/>
      <c r="AJ142" s="8"/>
      <c r="AK142" s="8"/>
      <c r="AL142" s="8"/>
      <c r="AM142" s="9"/>
      <c r="AN142" s="8"/>
      <c r="AO142" s="8"/>
      <c r="AP142" s="8"/>
      <c r="AQ142" s="6"/>
      <c r="AR142" s="8"/>
      <c r="AS142" s="1"/>
      <c r="AT142" s="1"/>
      <c r="AU142" s="1"/>
      <c r="AV142" s="1"/>
      <c r="AW142" s="1"/>
      <c r="AX142" s="1"/>
      <c r="AY142" s="1"/>
      <c r="AZ142" s="353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</row>
    <row r="143" spans="1:117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1"/>
      <c r="AO143" s="1"/>
      <c r="AP143" s="1"/>
      <c r="AQ143" s="6"/>
      <c r="AR143" s="8"/>
      <c r="AS143" s="1"/>
      <c r="AT143" s="1"/>
      <c r="AU143" s="1"/>
      <c r="AV143" s="1"/>
      <c r="AW143" s="1"/>
      <c r="AX143" s="1"/>
      <c r="AY143" s="1"/>
      <c r="AZ143" s="353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</row>
    <row r="144" spans="1:117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1"/>
      <c r="AO144" s="1"/>
      <c r="AP144" s="1"/>
      <c r="AQ144" s="6"/>
      <c r="AR144" s="8"/>
      <c r="AS144" s="1"/>
      <c r="AT144" s="1"/>
      <c r="AU144" s="1"/>
      <c r="AV144" s="1"/>
      <c r="AW144" s="1"/>
      <c r="AX144" s="1"/>
      <c r="AY144" s="1"/>
      <c r="AZ144" s="353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</row>
    <row r="145" spans="1:117" ht="3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1"/>
      <c r="AO145" s="1"/>
      <c r="AP145" s="1"/>
      <c r="AQ145" s="6"/>
      <c r="AR145" s="8"/>
      <c r="AS145" s="1"/>
      <c r="AT145" s="1"/>
      <c r="AU145" s="1"/>
      <c r="AV145" s="924" t="s">
        <v>579</v>
      </c>
      <c r="AW145" s="925"/>
      <c r="AX145" s="925"/>
      <c r="AY145" s="925"/>
      <c r="AZ145" s="925"/>
      <c r="BA145" s="925"/>
      <c r="BB145" s="925"/>
      <c r="BC145" s="925"/>
      <c r="BD145" s="925"/>
      <c r="BE145" s="926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1"/>
      <c r="BR145" s="1"/>
      <c r="BS145" s="1"/>
      <c r="BT145" s="1"/>
      <c r="BU145" s="1"/>
      <c r="BV145" s="6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6"/>
      <c r="CL145" s="8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8"/>
      <c r="DD145" s="1"/>
      <c r="DE145" s="1"/>
      <c r="DF145" s="1"/>
      <c r="DG145" s="1"/>
      <c r="DH145" s="1"/>
      <c r="DI145" s="1"/>
      <c r="DJ145" s="1"/>
      <c r="DK145" s="1"/>
      <c r="DL145" s="1"/>
      <c r="DM145" s="1"/>
    </row>
    <row r="146" spans="1:117" ht="3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9"/>
      <c r="AN146" s="8"/>
      <c r="AO146" s="8"/>
      <c r="AP146" s="1"/>
      <c r="AQ146" s="6"/>
      <c r="AR146" s="8"/>
      <c r="AS146" s="1"/>
      <c r="AT146" s="1"/>
      <c r="AU146" s="1"/>
      <c r="AV146" s="927"/>
      <c r="AW146" s="928"/>
      <c r="AX146" s="928"/>
      <c r="AY146" s="928"/>
      <c r="AZ146" s="928"/>
      <c r="BA146" s="928"/>
      <c r="BB146" s="928"/>
      <c r="BC146" s="928"/>
      <c r="BD146" s="928"/>
      <c r="BE146" s="929"/>
      <c r="BF146" s="1"/>
      <c r="BG146" s="1"/>
      <c r="BH146" s="1"/>
      <c r="BI146" s="1"/>
      <c r="BJ146" s="1"/>
      <c r="BK146" s="8"/>
      <c r="BL146" s="8"/>
      <c r="BM146" s="8"/>
      <c r="BN146" s="8"/>
      <c r="BO146" s="8"/>
      <c r="BP146" s="8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</row>
    <row r="147" spans="1:117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8"/>
      <c r="BL147" s="8"/>
      <c r="BM147" s="8"/>
      <c r="BN147" s="8"/>
      <c r="BO147" s="8"/>
      <c r="BP147" s="8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</row>
    <row r="148" spans="1:117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1"/>
      <c r="AO148" s="1"/>
      <c r="AP148" s="1"/>
      <c r="AQ148" s="1"/>
      <c r="AR148" s="1"/>
      <c r="AS148" s="1"/>
      <c r="AT148" s="1"/>
      <c r="AU148" s="1"/>
      <c r="AV148" s="1"/>
      <c r="AW148" s="932" t="s">
        <v>580</v>
      </c>
      <c r="AX148" s="925"/>
      <c r="AY148" s="925"/>
      <c r="AZ148" s="925"/>
      <c r="BA148" s="925"/>
      <c r="BB148" s="926"/>
      <c r="BC148" s="1"/>
      <c r="BD148" s="1"/>
      <c r="BE148" s="1"/>
      <c r="BF148" s="1"/>
      <c r="BG148" s="1"/>
      <c r="BH148" s="1"/>
      <c r="BI148" s="1"/>
      <c r="BJ148" s="1"/>
      <c r="BK148" s="8"/>
      <c r="BL148" s="8"/>
      <c r="BM148" s="8"/>
      <c r="BN148" s="8"/>
      <c r="BO148" s="8"/>
      <c r="BP148" s="8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</row>
    <row r="149" spans="1:117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1"/>
      <c r="AO149" s="1"/>
      <c r="AP149" s="1"/>
      <c r="AQ149" s="1"/>
      <c r="AR149" s="1"/>
      <c r="AS149" s="1"/>
      <c r="AT149" s="1"/>
      <c r="AU149" s="1"/>
      <c r="AV149" s="1"/>
      <c r="AW149" s="927"/>
      <c r="AX149" s="928"/>
      <c r="AY149" s="928"/>
      <c r="AZ149" s="928"/>
      <c r="BA149" s="928"/>
      <c r="BB149" s="929"/>
      <c r="BC149" s="1"/>
      <c r="BD149" s="1"/>
      <c r="BE149" s="1"/>
      <c r="BF149" s="1"/>
      <c r="BG149" s="1"/>
      <c r="BH149" s="1"/>
      <c r="BI149" s="1"/>
      <c r="BJ149" s="1"/>
      <c r="BK149" s="8"/>
      <c r="BL149" s="8"/>
      <c r="BM149" s="8"/>
      <c r="BN149" s="8"/>
      <c r="BO149" s="8"/>
      <c r="BP149" s="8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</row>
    <row r="150" spans="1:117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11"/>
      <c r="V150" s="450"/>
      <c r="W150" s="451"/>
      <c r="X150" s="451"/>
      <c r="Y150" s="451"/>
      <c r="Z150" s="451"/>
      <c r="AA150" s="451"/>
      <c r="AB150" s="451"/>
      <c r="AC150" s="451"/>
      <c r="AD150" s="451"/>
      <c r="AE150" s="451"/>
      <c r="AF150" s="451"/>
      <c r="AG150" s="451"/>
      <c r="AH150" s="451"/>
      <c r="AI150" s="451"/>
      <c r="AJ150" s="451"/>
      <c r="AK150" s="451"/>
      <c r="AL150" s="451"/>
      <c r="AM150" s="452"/>
      <c r="AN150" s="451"/>
      <c r="AO150" s="451"/>
      <c r="AP150" s="451"/>
      <c r="AQ150" s="451"/>
      <c r="AR150" s="451"/>
      <c r="AS150" s="451"/>
      <c r="AT150" s="451"/>
      <c r="AU150" s="451"/>
      <c r="AV150" s="451"/>
      <c r="AW150" s="451"/>
      <c r="AX150" s="451"/>
      <c r="AY150" s="451"/>
      <c r="AZ150" s="451"/>
      <c r="BA150" s="451"/>
      <c r="BB150" s="451"/>
      <c r="BC150" s="451"/>
      <c r="BD150" s="451"/>
      <c r="BE150" s="451"/>
      <c r="BF150" s="451"/>
      <c r="BG150" s="451"/>
      <c r="BH150" s="32"/>
      <c r="BI150" s="32"/>
      <c r="BJ150" s="33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3"/>
      <c r="BZ150" s="32"/>
      <c r="CA150" s="451"/>
      <c r="CB150" s="451"/>
      <c r="CC150" s="451"/>
      <c r="CD150" s="451"/>
      <c r="CE150" s="451"/>
      <c r="CF150" s="451"/>
      <c r="CG150" s="451"/>
      <c r="CH150" s="451"/>
      <c r="CI150" s="451"/>
      <c r="CJ150" s="451"/>
      <c r="CK150" s="451"/>
      <c r="CL150" s="451"/>
      <c r="CM150" s="451"/>
      <c r="CN150" s="32"/>
      <c r="CO150" s="32"/>
      <c r="CP150" s="32"/>
      <c r="CQ150" s="33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</row>
    <row r="151" spans="1:117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451"/>
      <c r="U151" s="453"/>
      <c r="V151" s="451"/>
      <c r="W151" s="45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8"/>
      <c r="BI151" s="8"/>
      <c r="BJ151" s="120"/>
      <c r="BK151" s="8"/>
      <c r="BL151" s="8"/>
      <c r="BM151" s="8"/>
      <c r="BN151" s="8"/>
      <c r="BO151" s="8"/>
      <c r="BP151" s="8"/>
      <c r="BQ151" s="1"/>
      <c r="BR151" s="1"/>
      <c r="BS151" s="1"/>
      <c r="BT151" s="1"/>
      <c r="BU151" s="1"/>
      <c r="BV151" s="1"/>
      <c r="BW151" s="1"/>
      <c r="BX151" s="1"/>
      <c r="BY151" s="27"/>
      <c r="BZ151" s="8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27"/>
      <c r="CR151" s="8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</row>
    <row r="152" spans="1:117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921" t="s">
        <v>581</v>
      </c>
      <c r="S152" s="922"/>
      <c r="T152" s="922"/>
      <c r="U152" s="922"/>
      <c r="V152" s="923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915" t="s">
        <v>582</v>
      </c>
      <c r="AN152" s="916"/>
      <c r="AO152" s="916"/>
      <c r="AP152" s="917"/>
      <c r="AQ152" s="1"/>
      <c r="AR152" s="1"/>
      <c r="AS152" s="174"/>
      <c r="AT152" s="174"/>
      <c r="AU152" s="174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921" t="s">
        <v>583</v>
      </c>
      <c r="BI152" s="922"/>
      <c r="BJ152" s="922"/>
      <c r="BK152" s="923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933" t="s">
        <v>584</v>
      </c>
      <c r="BX152" s="907"/>
      <c r="BY152" s="907"/>
      <c r="BZ152" s="907"/>
      <c r="CA152" s="908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933" t="s">
        <v>585</v>
      </c>
      <c r="CP152" s="907"/>
      <c r="CQ152" s="907"/>
      <c r="CR152" s="907"/>
      <c r="CS152" s="908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</row>
    <row r="153" spans="1:117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912" t="s">
        <v>586</v>
      </c>
      <c r="S153" s="913"/>
      <c r="T153" s="913"/>
      <c r="U153" s="913"/>
      <c r="V153" s="914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909" t="s">
        <v>587</v>
      </c>
      <c r="AN153" s="910"/>
      <c r="AO153" s="910"/>
      <c r="AP153" s="911"/>
      <c r="AQ153" s="1"/>
      <c r="AR153" s="1"/>
      <c r="AS153" s="174"/>
      <c r="AT153" s="174"/>
      <c r="AU153" s="174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912" t="s">
        <v>588</v>
      </c>
      <c r="BI153" s="913"/>
      <c r="BJ153" s="913"/>
      <c r="BK153" s="914"/>
      <c r="BL153" s="1"/>
      <c r="BM153" s="1"/>
      <c r="BN153" s="412"/>
      <c r="BO153" s="1"/>
      <c r="BP153" s="1"/>
      <c r="BQ153" s="1"/>
      <c r="BR153" s="1"/>
      <c r="BS153" s="1"/>
      <c r="BT153" s="1"/>
      <c r="BU153" s="1"/>
      <c r="BV153" s="1"/>
      <c r="BW153" s="930" t="s">
        <v>589</v>
      </c>
      <c r="BX153" s="907"/>
      <c r="BY153" s="907"/>
      <c r="BZ153" s="907"/>
      <c r="CA153" s="908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930" t="s">
        <v>589</v>
      </c>
      <c r="CP153" s="907"/>
      <c r="CQ153" s="907"/>
      <c r="CR153" s="907"/>
      <c r="CS153" s="908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</row>
    <row r="154" spans="1:117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2"/>
      <c r="AQ154" s="1"/>
      <c r="AR154" s="1"/>
      <c r="AS154" s="174"/>
      <c r="AT154" s="174"/>
      <c r="AU154" s="174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454"/>
      <c r="BX154" s="454"/>
      <c r="BY154" s="265"/>
      <c r="BZ154" s="454"/>
      <c r="CA154" s="454"/>
      <c r="CB154" s="454"/>
      <c r="CC154" s="1"/>
      <c r="CD154" s="174"/>
      <c r="CE154" s="174"/>
      <c r="CF154" s="174"/>
      <c r="CG154" s="1"/>
      <c r="CH154" s="1"/>
      <c r="CI154" s="1"/>
      <c r="CJ154" s="1"/>
      <c r="CK154" s="1"/>
      <c r="CL154" s="1"/>
      <c r="CM154" s="1"/>
      <c r="CN154" s="1"/>
      <c r="CO154" s="454"/>
      <c r="CP154" s="454"/>
      <c r="CQ154" s="265"/>
      <c r="CR154" s="454"/>
      <c r="CS154" s="454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</row>
    <row r="155" spans="1:117" ht="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9"/>
      <c r="M155" s="31"/>
      <c r="N155" s="32"/>
      <c r="O155" s="32"/>
      <c r="P155" s="439"/>
      <c r="Q155" s="32"/>
      <c r="R155" s="116"/>
      <c r="S155" s="32"/>
      <c r="T155" s="32"/>
      <c r="U155" s="116"/>
      <c r="V155" s="32"/>
      <c r="W155" s="32"/>
      <c r="X155" s="32"/>
      <c r="Y155" s="281"/>
      <c r="Z155" s="32"/>
      <c r="AA155" s="282"/>
      <c r="AB155" s="174"/>
      <c r="AC155" s="1"/>
      <c r="AD155" s="1"/>
      <c r="AE155" s="1"/>
      <c r="AF155" s="1"/>
      <c r="AG155" s="1"/>
      <c r="AH155" s="1"/>
      <c r="AI155" s="1"/>
      <c r="AJ155" s="1"/>
      <c r="AK155" s="31"/>
      <c r="AL155" s="32"/>
      <c r="AM155" s="281"/>
      <c r="AN155" s="281"/>
      <c r="AO155" s="281"/>
      <c r="AP155" s="440"/>
      <c r="AQ155" s="116"/>
      <c r="AR155" s="116"/>
      <c r="AS155" s="116"/>
      <c r="AT155" s="1"/>
      <c r="AU155" s="174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455"/>
      <c r="BG155" s="455"/>
      <c r="BH155" s="456"/>
      <c r="BI155" s="455"/>
      <c r="BJ155" s="455"/>
      <c r="BK155" s="456"/>
      <c r="BL155" s="1"/>
      <c r="BM155" s="1"/>
      <c r="BN155" s="412"/>
      <c r="BO155" s="1"/>
      <c r="BP155" s="1"/>
      <c r="BQ155" s="1"/>
      <c r="BR155" s="1"/>
      <c r="BS155" s="1"/>
      <c r="BT155" s="1"/>
      <c r="BU155" s="1"/>
      <c r="BV155" s="1"/>
      <c r="BW155" s="217"/>
      <c r="BX155" s="174"/>
      <c r="BY155" s="124"/>
      <c r="BZ155" s="174"/>
      <c r="CA155" s="174"/>
      <c r="CB155" s="27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217"/>
      <c r="CP155" s="174"/>
      <c r="CQ155" s="124"/>
      <c r="CR155" s="174"/>
      <c r="CS155" s="174"/>
      <c r="CT155" s="282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</row>
    <row r="156" spans="1:117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41" t="s">
        <v>166</v>
      </c>
      <c r="M156" s="121">
        <f>COUNTA(M157:M171)</f>
        <v>7</v>
      </c>
      <c r="N156" s="1"/>
      <c r="O156" s="41" t="s">
        <v>167</v>
      </c>
      <c r="P156" s="40">
        <f>COUNTA(P157:P173)</f>
        <v>7</v>
      </c>
      <c r="Q156" s="8"/>
      <c r="R156" s="37" t="s">
        <v>169</v>
      </c>
      <c r="S156" s="40">
        <f>COUNTA(S157:S171)</f>
        <v>5</v>
      </c>
      <c r="T156" s="1"/>
      <c r="U156" s="37" t="s">
        <v>170</v>
      </c>
      <c r="V156" s="40">
        <f>COUNTA(V157:V171)</f>
        <v>7</v>
      </c>
      <c r="W156" s="1"/>
      <c r="X156" s="284" t="s">
        <v>171</v>
      </c>
      <c r="Y156" s="126">
        <f>COUNTA(Y157:Y167)</f>
        <v>10</v>
      </c>
      <c r="Z156" s="1"/>
      <c r="AA156" s="284" t="s">
        <v>469</v>
      </c>
      <c r="AB156" s="126">
        <f>COUNTA(AB157:AB167)</f>
        <v>8</v>
      </c>
      <c r="AC156" s="174"/>
      <c r="AD156" s="1"/>
      <c r="AE156" s="1"/>
      <c r="AF156" s="1"/>
      <c r="AG156" s="1"/>
      <c r="AH156" s="1"/>
      <c r="AI156" s="1"/>
      <c r="AJ156" s="37" t="s">
        <v>590</v>
      </c>
      <c r="AK156" s="128">
        <f>COUNTA(AK157:AK169)</f>
        <v>9</v>
      </c>
      <c r="AL156" s="1"/>
      <c r="AM156" s="37" t="s">
        <v>591</v>
      </c>
      <c r="AN156" s="40">
        <f>COUNTA(AN157:AN171)</f>
        <v>5</v>
      </c>
      <c r="AO156" s="174"/>
      <c r="AP156" s="37" t="s">
        <v>592</v>
      </c>
      <c r="AQ156" s="40">
        <f>COUNTA(AQ157:AQ169)</f>
        <v>8</v>
      </c>
      <c r="AR156" s="1"/>
      <c r="AS156" s="37" t="s">
        <v>593</v>
      </c>
      <c r="AT156" s="40">
        <f>COUNTA(AT157:AT169)</f>
        <v>9</v>
      </c>
      <c r="AU156" s="174"/>
      <c r="AV156" s="1"/>
      <c r="AW156" s="1"/>
      <c r="AX156" s="1"/>
      <c r="AY156" s="1"/>
      <c r="AZ156" s="1"/>
      <c r="BA156" s="1"/>
      <c r="BB156" s="1"/>
      <c r="BC156" s="1"/>
      <c r="BD156" s="380"/>
      <c r="BE156" s="37" t="s">
        <v>594</v>
      </c>
      <c r="BF156" s="121">
        <f>COUNTA(BF157:BF169)</f>
        <v>2</v>
      </c>
      <c r="BG156" s="1"/>
      <c r="BH156" s="37" t="s">
        <v>595</v>
      </c>
      <c r="BI156" s="40">
        <f>COUNTA(BI157:BI167)</f>
        <v>7</v>
      </c>
      <c r="BJ156" s="8"/>
      <c r="BK156" s="37" t="s">
        <v>596</v>
      </c>
      <c r="BL156" s="40">
        <f>COUNTA(BL157:BL169)</f>
        <v>9</v>
      </c>
      <c r="BM156" s="8"/>
      <c r="BN156" s="1"/>
      <c r="BO156" s="1"/>
      <c r="BP156" s="1"/>
      <c r="BQ156" s="1"/>
      <c r="BR156" s="1"/>
      <c r="BS156" s="1"/>
      <c r="BT156" s="1"/>
      <c r="BU156" s="1"/>
      <c r="BV156" s="129" t="s">
        <v>597</v>
      </c>
      <c r="BW156" s="122">
        <f>COUNTA(BW157:BW171)</f>
        <v>5</v>
      </c>
      <c r="BX156" s="174"/>
      <c r="BY156" s="129" t="s">
        <v>598</v>
      </c>
      <c r="BZ156" s="122">
        <f>COUNTA(BZ157:BZ171)</f>
        <v>0</v>
      </c>
      <c r="CA156" s="174"/>
      <c r="CB156" s="129" t="s">
        <v>599</v>
      </c>
      <c r="CC156" s="122">
        <f>COUNTA(CC157:CC171)</f>
        <v>0</v>
      </c>
      <c r="CD156" s="1"/>
      <c r="CE156" s="129" t="s">
        <v>600</v>
      </c>
      <c r="CF156" s="38">
        <f>COUNTA(CF157:CF168)</f>
        <v>0</v>
      </c>
      <c r="CG156" s="1"/>
      <c r="CH156" s="1"/>
      <c r="CI156" s="1"/>
      <c r="CJ156" s="1"/>
      <c r="CK156" s="1"/>
      <c r="CL156" s="1"/>
      <c r="CM156" s="1"/>
      <c r="CN156" s="129" t="s">
        <v>601</v>
      </c>
      <c r="CO156" s="122">
        <f>COUNTA(CO157:CO171)</f>
        <v>6</v>
      </c>
      <c r="CP156" s="174"/>
      <c r="CQ156" s="129" t="s">
        <v>602</v>
      </c>
      <c r="CR156" s="122">
        <f>COUNTA(CR157:CR171)</f>
        <v>5</v>
      </c>
      <c r="CS156" s="174"/>
      <c r="CT156" s="129" t="s">
        <v>603</v>
      </c>
      <c r="CU156" s="122">
        <f>COUNTA(CU157:CU171)</f>
        <v>6</v>
      </c>
      <c r="CV156" s="174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</row>
    <row r="157" spans="1:117" ht="28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457" t="s">
        <v>604</v>
      </c>
      <c r="M157" s="458"/>
      <c r="N157" s="8" t="s">
        <v>55</v>
      </c>
      <c r="O157" s="457" t="s">
        <v>604</v>
      </c>
      <c r="P157" s="75"/>
      <c r="Q157" s="8" t="s">
        <v>55</v>
      </c>
      <c r="R157" s="459" t="s">
        <v>289</v>
      </c>
      <c r="S157" s="155"/>
      <c r="T157" s="8" t="s">
        <v>55</v>
      </c>
      <c r="U157" s="220" t="s">
        <v>891</v>
      </c>
      <c r="V157" s="63" t="s">
        <v>59</v>
      </c>
      <c r="W157" s="460" t="s">
        <v>55</v>
      </c>
      <c r="X157" s="461" t="s">
        <v>305</v>
      </c>
      <c r="Y157" s="152"/>
      <c r="Z157" s="1"/>
      <c r="AA157" s="146" t="s">
        <v>605</v>
      </c>
      <c r="AB157" s="155" t="s">
        <v>59</v>
      </c>
      <c r="AC157" s="295" t="s">
        <v>55</v>
      </c>
      <c r="AD157" s="1"/>
      <c r="AE157" s="1"/>
      <c r="AF157" s="1"/>
      <c r="AG157" s="1"/>
      <c r="AH157" s="1"/>
      <c r="AI157" s="1"/>
      <c r="AJ157" s="462" t="s">
        <v>254</v>
      </c>
      <c r="AK157" s="463"/>
      <c r="AL157" s="8"/>
      <c r="AM157" s="220" t="s">
        <v>606</v>
      </c>
      <c r="AN157" s="63" t="s">
        <v>59</v>
      </c>
      <c r="AO157" s="295" t="s">
        <v>249</v>
      </c>
      <c r="AP157" s="220" t="s">
        <v>299</v>
      </c>
      <c r="AQ157" s="75"/>
      <c r="AR157" s="8"/>
      <c r="AS157" s="236" t="s">
        <v>607</v>
      </c>
      <c r="AT157" s="65"/>
      <c r="AU157" s="295" t="s">
        <v>249</v>
      </c>
      <c r="AV157" s="1"/>
      <c r="AW157" s="1"/>
      <c r="AX157" s="1"/>
      <c r="AY157" s="1"/>
      <c r="AZ157" s="1"/>
      <c r="BA157" s="1"/>
      <c r="BB157" s="1"/>
      <c r="BC157" s="1"/>
      <c r="BD157" s="380" t="s">
        <v>55</v>
      </c>
      <c r="BE157" s="464" t="s">
        <v>78</v>
      </c>
      <c r="BF157" s="75"/>
      <c r="BG157" s="6"/>
      <c r="BH157" s="300" t="s">
        <v>64</v>
      </c>
      <c r="BI157" s="65"/>
      <c r="BJ157" s="6"/>
      <c r="BK157" s="465" t="s">
        <v>191</v>
      </c>
      <c r="BL157" s="466"/>
      <c r="BM157" s="8"/>
      <c r="BN157" s="412"/>
      <c r="BO157" s="1"/>
      <c r="BP157" s="1"/>
      <c r="BQ157" s="1"/>
      <c r="BR157" s="1"/>
      <c r="BS157" s="1"/>
      <c r="BT157" s="1"/>
      <c r="BU157" s="1"/>
      <c r="BV157" s="217" t="s">
        <v>286</v>
      </c>
      <c r="BW157" s="124"/>
      <c r="BX157" s="467" t="s">
        <v>55</v>
      </c>
      <c r="BY157" s="217" t="s">
        <v>605</v>
      </c>
      <c r="BZ157" s="124"/>
      <c r="CA157" s="467" t="s">
        <v>55</v>
      </c>
      <c r="CB157" s="217" t="s">
        <v>190</v>
      </c>
      <c r="CC157" s="124"/>
      <c r="CD157" s="1"/>
      <c r="CE157" s="154" t="s">
        <v>512</v>
      </c>
      <c r="CF157" s="270"/>
      <c r="CG157" s="1"/>
      <c r="CH157" s="1"/>
      <c r="CI157" s="1"/>
      <c r="CJ157" s="1"/>
      <c r="CK157" s="1"/>
      <c r="CL157" s="1"/>
      <c r="CM157" s="1"/>
      <c r="CN157" s="217" t="s">
        <v>608</v>
      </c>
      <c r="CO157" s="124"/>
      <c r="CP157" s="467" t="s">
        <v>55</v>
      </c>
      <c r="CQ157" s="217" t="s">
        <v>609</v>
      </c>
      <c r="CR157" s="124"/>
      <c r="CS157" s="467" t="s">
        <v>55</v>
      </c>
      <c r="CT157" s="236" t="s">
        <v>338</v>
      </c>
      <c r="CU157" s="65"/>
      <c r="CV157" s="467" t="s">
        <v>55</v>
      </c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</row>
    <row r="158" spans="1:117" ht="3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468" t="s">
        <v>610</v>
      </c>
      <c r="M158" s="63" t="s">
        <v>59</v>
      </c>
      <c r="N158" s="157" t="s">
        <v>69</v>
      </c>
      <c r="O158" s="469" t="s">
        <v>892</v>
      </c>
      <c r="P158" s="470" t="s">
        <v>59</v>
      </c>
      <c r="Q158" s="157" t="s">
        <v>69</v>
      </c>
      <c r="R158" s="228" t="s">
        <v>611</v>
      </c>
      <c r="S158" s="155" t="s">
        <v>59</v>
      </c>
      <c r="T158" s="157" t="s">
        <v>69</v>
      </c>
      <c r="U158" s="220" t="s">
        <v>612</v>
      </c>
      <c r="V158" s="63" t="s">
        <v>59</v>
      </c>
      <c r="W158" s="157" t="s">
        <v>69</v>
      </c>
      <c r="X158" s="471" t="s">
        <v>613</v>
      </c>
      <c r="Y158" s="177" t="s">
        <v>59</v>
      </c>
      <c r="Z158" s="313" t="s">
        <v>69</v>
      </c>
      <c r="AA158" s="203" t="s">
        <v>614</v>
      </c>
      <c r="AB158" s="177" t="s">
        <v>59</v>
      </c>
      <c r="AC158" s="174"/>
      <c r="AD158" s="1"/>
      <c r="AE158" s="1"/>
      <c r="AF158" s="1"/>
      <c r="AG158" s="1"/>
      <c r="AH158" s="1"/>
      <c r="AI158" s="1"/>
      <c r="AJ158" s="324" t="s">
        <v>615</v>
      </c>
      <c r="AK158" s="185" t="s">
        <v>59</v>
      </c>
      <c r="AL158" s="157" t="s">
        <v>69</v>
      </c>
      <c r="AM158" s="220" t="s">
        <v>616</v>
      </c>
      <c r="AN158" s="472" t="s">
        <v>83</v>
      </c>
      <c r="AO158" s="174"/>
      <c r="AP158" s="473" t="s">
        <v>617</v>
      </c>
      <c r="AQ158" s="63" t="s">
        <v>59</v>
      </c>
      <c r="AR158" s="9" t="s">
        <v>199</v>
      </c>
      <c r="AS158" s="182" t="s">
        <v>618</v>
      </c>
      <c r="AT158" s="63" t="s">
        <v>59</v>
      </c>
      <c r="AU158" s="467" t="s">
        <v>69</v>
      </c>
      <c r="AV158" s="1"/>
      <c r="AW158" s="1"/>
      <c r="AX158" s="1"/>
      <c r="AY158" s="1"/>
      <c r="AZ158" s="1"/>
      <c r="BA158" s="1"/>
      <c r="BB158" s="1"/>
      <c r="BC158" s="1"/>
      <c r="BD158" s="380"/>
      <c r="BE158" s="474" t="s">
        <v>619</v>
      </c>
      <c r="BF158" s="82" t="s">
        <v>54</v>
      </c>
      <c r="BG158" s="445"/>
      <c r="BH158" s="220" t="s">
        <v>620</v>
      </c>
      <c r="BI158" s="142" t="s">
        <v>65</v>
      </c>
      <c r="BJ158" s="157" t="s">
        <v>69</v>
      </c>
      <c r="BK158" s="473" t="s">
        <v>621</v>
      </c>
      <c r="BL158" s="142" t="s">
        <v>65</v>
      </c>
      <c r="BM158" s="9"/>
      <c r="BN158" s="1"/>
      <c r="BO158" s="1"/>
      <c r="BP158" s="1"/>
      <c r="BQ158" s="1"/>
      <c r="BR158" s="1"/>
      <c r="BS158" s="1"/>
      <c r="BT158" s="1"/>
      <c r="BU158" s="1"/>
      <c r="BV158" s="475" t="s">
        <v>622</v>
      </c>
      <c r="BW158" s="185" t="s">
        <v>59</v>
      </c>
      <c r="BX158" s="174"/>
      <c r="BY158" s="476" t="s">
        <v>623</v>
      </c>
      <c r="BZ158" s="124"/>
      <c r="CA158" s="174"/>
      <c r="CB158" s="477" t="s">
        <v>624</v>
      </c>
      <c r="CC158" s="124"/>
      <c r="CD158" s="1"/>
      <c r="CE158" s="476" t="s">
        <v>625</v>
      </c>
      <c r="CF158" s="237"/>
      <c r="CG158" s="1"/>
      <c r="CH158" s="1"/>
      <c r="CI158" s="1"/>
      <c r="CJ158" s="1"/>
      <c r="CK158" s="1"/>
      <c r="CL158" s="1"/>
      <c r="CM158" s="1"/>
      <c r="CN158" s="574" t="s">
        <v>626</v>
      </c>
      <c r="CO158" s="63" t="s">
        <v>59</v>
      </c>
      <c r="CP158" s="174"/>
      <c r="CQ158" s="575" t="s">
        <v>627</v>
      </c>
      <c r="CR158" s="63" t="s">
        <v>59</v>
      </c>
      <c r="CS158" s="174"/>
      <c r="CT158" s="576" t="s">
        <v>628</v>
      </c>
      <c r="CU158" s="63" t="s">
        <v>59</v>
      </c>
      <c r="CV158" s="174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</row>
    <row r="159" spans="1:117" ht="3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54" t="s">
        <v>629</v>
      </c>
      <c r="M159" s="63" t="s">
        <v>59</v>
      </c>
      <c r="N159" s="9"/>
      <c r="O159" s="154" t="s">
        <v>893</v>
      </c>
      <c r="P159" s="63" t="s">
        <v>59</v>
      </c>
      <c r="Q159" s="157" t="s">
        <v>69</v>
      </c>
      <c r="R159" s="228" t="s">
        <v>630</v>
      </c>
      <c r="S159" s="155" t="s">
        <v>59</v>
      </c>
      <c r="T159" s="2"/>
      <c r="U159" s="220" t="s">
        <v>631</v>
      </c>
      <c r="V159" s="63" t="s">
        <v>59</v>
      </c>
      <c r="W159" s="9"/>
      <c r="X159" s="203" t="s">
        <v>632</v>
      </c>
      <c r="Y159" s="177" t="s">
        <v>59</v>
      </c>
      <c r="Z159" s="1"/>
      <c r="AA159" s="446" t="s">
        <v>633</v>
      </c>
      <c r="AB159" s="177" t="s">
        <v>59</v>
      </c>
      <c r="AC159" s="174"/>
      <c r="AD159" s="1"/>
      <c r="AE159" s="1"/>
      <c r="AF159" s="1"/>
      <c r="AG159" s="1"/>
      <c r="AH159" s="1"/>
      <c r="AI159" s="1"/>
      <c r="AJ159" s="179" t="s">
        <v>634</v>
      </c>
      <c r="AK159" s="185" t="s">
        <v>59</v>
      </c>
      <c r="AL159" s="9"/>
      <c r="AM159" s="220" t="s">
        <v>635</v>
      </c>
      <c r="AN159" s="63" t="s">
        <v>59</v>
      </c>
      <c r="AO159" s="174"/>
      <c r="AP159" s="473" t="s">
        <v>636</v>
      </c>
      <c r="AQ159" s="63" t="s">
        <v>59</v>
      </c>
      <c r="AR159" s="2" t="s">
        <v>199</v>
      </c>
      <c r="AS159" s="182" t="s">
        <v>637</v>
      </c>
      <c r="AT159" s="63" t="s">
        <v>59</v>
      </c>
      <c r="AU159" s="174"/>
      <c r="AV159" s="1"/>
      <c r="AW159" s="1"/>
      <c r="AX159" s="1"/>
      <c r="AY159" s="1"/>
      <c r="AZ159" s="1"/>
      <c r="BA159" s="1"/>
      <c r="BB159" s="1"/>
      <c r="BC159" s="1"/>
      <c r="BD159" s="380"/>
      <c r="BE159" s="478" t="s">
        <v>638</v>
      </c>
      <c r="BF159" s="82" t="s">
        <v>54</v>
      </c>
      <c r="BG159" s="445"/>
      <c r="BH159" s="220" t="s">
        <v>639</v>
      </c>
      <c r="BI159" s="63" t="s">
        <v>59</v>
      </c>
      <c r="BJ159" s="157" t="s">
        <v>69</v>
      </c>
      <c r="BK159" s="473" t="s">
        <v>640</v>
      </c>
      <c r="BL159" s="142" t="s">
        <v>65</v>
      </c>
      <c r="BM159" s="9"/>
      <c r="BN159" s="412"/>
      <c r="BO159" s="1"/>
      <c r="BP159" s="1"/>
      <c r="BQ159" s="1"/>
      <c r="BR159" s="1"/>
      <c r="BS159" s="1"/>
      <c r="BT159" s="1"/>
      <c r="BU159" s="1"/>
      <c r="BV159" s="479" t="s">
        <v>641</v>
      </c>
      <c r="BW159" s="185" t="s">
        <v>59</v>
      </c>
      <c r="BX159" s="174"/>
      <c r="BY159" s="480" t="s">
        <v>642</v>
      </c>
      <c r="BZ159" s="124"/>
      <c r="CA159" s="174"/>
      <c r="CB159" s="481" t="s">
        <v>643</v>
      </c>
      <c r="CC159" s="124"/>
      <c r="CD159" s="1"/>
      <c r="CE159" s="480" t="s">
        <v>644</v>
      </c>
      <c r="CF159" s="237"/>
      <c r="CG159" s="1"/>
      <c r="CH159" s="1"/>
      <c r="CI159" s="1"/>
      <c r="CJ159" s="1"/>
      <c r="CK159" s="1"/>
      <c r="CL159" s="1"/>
      <c r="CM159" s="1"/>
      <c r="CN159" s="574" t="s">
        <v>645</v>
      </c>
      <c r="CO159" s="63" t="s">
        <v>59</v>
      </c>
      <c r="CP159" s="174"/>
      <c r="CQ159" s="577" t="s">
        <v>646</v>
      </c>
      <c r="CR159" s="63" t="s">
        <v>59</v>
      </c>
      <c r="CS159" s="174"/>
      <c r="CT159" s="578" t="s">
        <v>647</v>
      </c>
      <c r="CU159" s="63" t="s">
        <v>59</v>
      </c>
      <c r="CV159" s="174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</row>
    <row r="160" spans="1:117" ht="31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45" t="s">
        <v>894</v>
      </c>
      <c r="M160" s="63" t="s">
        <v>59</v>
      </c>
      <c r="N160" s="9"/>
      <c r="O160" s="154" t="s">
        <v>895</v>
      </c>
      <c r="P160" s="63" t="s">
        <v>59</v>
      </c>
      <c r="Q160" s="2"/>
      <c r="R160" s="473" t="s">
        <v>648</v>
      </c>
      <c r="S160" s="155" t="s">
        <v>59</v>
      </c>
      <c r="T160" s="2"/>
      <c r="U160" s="220" t="s">
        <v>649</v>
      </c>
      <c r="V160" s="63" t="s">
        <v>59</v>
      </c>
      <c r="W160" s="9"/>
      <c r="X160" s="446" t="s">
        <v>650</v>
      </c>
      <c r="Y160" s="177" t="s">
        <v>59</v>
      </c>
      <c r="Z160" s="1"/>
      <c r="AA160" s="446" t="s">
        <v>651</v>
      </c>
      <c r="AB160" s="177" t="s">
        <v>59</v>
      </c>
      <c r="AC160" s="174"/>
      <c r="AD160" s="1"/>
      <c r="AE160" s="1"/>
      <c r="AF160" s="1"/>
      <c r="AG160" s="1"/>
      <c r="AH160" s="1"/>
      <c r="AI160" s="1"/>
      <c r="AJ160" s="179" t="s">
        <v>652</v>
      </c>
      <c r="AK160" s="185" t="s">
        <v>59</v>
      </c>
      <c r="AL160" s="9"/>
      <c r="AM160" s="220" t="s">
        <v>653</v>
      </c>
      <c r="AN160" s="63" t="s">
        <v>59</v>
      </c>
      <c r="AO160" s="174"/>
      <c r="AP160" s="473" t="s">
        <v>654</v>
      </c>
      <c r="AQ160" s="175" t="s">
        <v>83</v>
      </c>
      <c r="AR160" s="9"/>
      <c r="AS160" s="182" t="s">
        <v>655</v>
      </c>
      <c r="AT160" s="63" t="s">
        <v>59</v>
      </c>
      <c r="AU160" s="467"/>
      <c r="AV160" s="1"/>
      <c r="AW160" s="1"/>
      <c r="AX160" s="1"/>
      <c r="AY160" s="1"/>
      <c r="AZ160" s="1"/>
      <c r="BA160" s="1"/>
      <c r="BB160" s="1"/>
      <c r="BC160" s="1"/>
      <c r="BD160" s="380"/>
      <c r="BE160" s="220"/>
      <c r="BF160" s="75"/>
      <c r="BG160" s="9"/>
      <c r="BH160" s="208" t="s">
        <v>656</v>
      </c>
      <c r="BI160" s="142" t="s">
        <v>65</v>
      </c>
      <c r="BJ160" s="9"/>
      <c r="BK160" s="473" t="s">
        <v>657</v>
      </c>
      <c r="BL160" s="142" t="s">
        <v>65</v>
      </c>
      <c r="BM160" s="9"/>
      <c r="BN160" s="1"/>
      <c r="BO160" s="1"/>
      <c r="BP160" s="1"/>
      <c r="BQ160" s="1"/>
      <c r="BR160" s="1"/>
      <c r="BS160" s="1"/>
      <c r="BT160" s="1"/>
      <c r="BU160" s="1"/>
      <c r="BV160" s="479" t="s">
        <v>658</v>
      </c>
      <c r="BW160" s="185" t="s">
        <v>59</v>
      </c>
      <c r="BX160" s="174"/>
      <c r="BY160" s="482" t="s">
        <v>659</v>
      </c>
      <c r="BZ160" s="124"/>
      <c r="CA160" s="174"/>
      <c r="CB160" s="481" t="s">
        <v>660</v>
      </c>
      <c r="CC160" s="124"/>
      <c r="CD160" s="1"/>
      <c r="CE160" s="480" t="s">
        <v>661</v>
      </c>
      <c r="CF160" s="483"/>
      <c r="CG160" s="1"/>
      <c r="CH160" s="1"/>
      <c r="CI160" s="1"/>
      <c r="CJ160" s="1"/>
      <c r="CK160" s="1"/>
      <c r="CL160" s="1"/>
      <c r="CM160" s="1"/>
      <c r="CN160" s="574" t="s">
        <v>662</v>
      </c>
      <c r="CO160" s="63" t="s">
        <v>59</v>
      </c>
      <c r="CP160" s="174"/>
      <c r="CQ160" s="575" t="s">
        <v>663</v>
      </c>
      <c r="CR160" s="63" t="s">
        <v>59</v>
      </c>
      <c r="CS160" s="174"/>
      <c r="CT160" s="574" t="s">
        <v>664</v>
      </c>
      <c r="CU160" s="63" t="s">
        <v>59</v>
      </c>
      <c r="CV160" s="174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</row>
    <row r="161" spans="1:117" ht="3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484" t="s">
        <v>665</v>
      </c>
      <c r="M161" s="185" t="s">
        <v>59</v>
      </c>
      <c r="N161" s="9"/>
      <c r="O161" s="485" t="s">
        <v>666</v>
      </c>
      <c r="P161" s="63" t="s">
        <v>59</v>
      </c>
      <c r="Q161" s="2"/>
      <c r="R161" s="486" t="s">
        <v>667</v>
      </c>
      <c r="S161" s="155" t="s">
        <v>59</v>
      </c>
      <c r="T161" s="2"/>
      <c r="U161" s="220" t="s">
        <v>668</v>
      </c>
      <c r="V161" s="63" t="s">
        <v>59</v>
      </c>
      <c r="W161" s="9"/>
      <c r="X161" s="203" t="s">
        <v>669</v>
      </c>
      <c r="Y161" s="177" t="s">
        <v>59</v>
      </c>
      <c r="Z161" s="1"/>
      <c r="AA161" s="579" t="s">
        <v>670</v>
      </c>
      <c r="AB161" s="177" t="s">
        <v>59</v>
      </c>
      <c r="AC161" s="174"/>
      <c r="AD161" s="1"/>
      <c r="AE161" s="1"/>
      <c r="AF161" s="1"/>
      <c r="AG161" s="1"/>
      <c r="AH161" s="1"/>
      <c r="AI161" s="1"/>
      <c r="AJ161" s="324" t="s">
        <v>671</v>
      </c>
      <c r="AK161" s="185" t="s">
        <v>59</v>
      </c>
      <c r="AL161" s="9"/>
      <c r="AM161" s="220" t="s">
        <v>672</v>
      </c>
      <c r="AN161" s="63" t="s">
        <v>59</v>
      </c>
      <c r="AO161" s="295" t="s">
        <v>69</v>
      </c>
      <c r="AP161" s="473" t="s">
        <v>673</v>
      </c>
      <c r="AQ161" s="63" t="s">
        <v>59</v>
      </c>
      <c r="AR161" s="9"/>
      <c r="AS161" s="182" t="s">
        <v>674</v>
      </c>
      <c r="AT161" s="63" t="s">
        <v>59</v>
      </c>
      <c r="AU161" s="295" t="s">
        <v>69</v>
      </c>
      <c r="AV161" s="1"/>
      <c r="AW161" s="1"/>
      <c r="AX161" s="1"/>
      <c r="AY161" s="1"/>
      <c r="AZ161" s="1"/>
      <c r="BA161" s="1"/>
      <c r="BB161" s="1"/>
      <c r="BC161" s="1"/>
      <c r="BD161" s="380"/>
      <c r="BE161" s="220"/>
      <c r="BF161" s="347"/>
      <c r="BG161" s="9"/>
      <c r="BH161" s="220" t="s">
        <v>675</v>
      </c>
      <c r="BI161" s="142" t="s">
        <v>65</v>
      </c>
      <c r="BJ161" s="9"/>
      <c r="BK161" s="473" t="s">
        <v>676</v>
      </c>
      <c r="BL161" s="142" t="s">
        <v>65</v>
      </c>
      <c r="BM161" s="9"/>
      <c r="BN161" s="412"/>
      <c r="BO161" s="1"/>
      <c r="BP161" s="1"/>
      <c r="BQ161" s="1"/>
      <c r="BR161" s="1"/>
      <c r="BS161" s="1"/>
      <c r="BT161" s="1"/>
      <c r="BU161" s="1"/>
      <c r="BV161" s="479" t="s">
        <v>677</v>
      </c>
      <c r="BW161" s="185" t="s">
        <v>59</v>
      </c>
      <c r="BX161" s="174"/>
      <c r="BY161" s="476" t="s">
        <v>678</v>
      </c>
      <c r="BZ161" s="124"/>
      <c r="CA161" s="174"/>
      <c r="CB161" s="477" t="s">
        <v>679</v>
      </c>
      <c r="CC161" s="124"/>
      <c r="CD161" s="1"/>
      <c r="CE161" s="480" t="s">
        <v>680</v>
      </c>
      <c r="CF161" s="237"/>
      <c r="CG161" s="1"/>
      <c r="CH161" s="1"/>
      <c r="CI161" s="1"/>
      <c r="CJ161" s="1"/>
      <c r="CK161" s="1"/>
      <c r="CL161" s="1"/>
      <c r="CM161" s="1"/>
      <c r="CN161" s="576" t="s">
        <v>681</v>
      </c>
      <c r="CO161" s="63" t="s">
        <v>59</v>
      </c>
      <c r="CP161" s="174"/>
      <c r="CQ161" s="575" t="s">
        <v>682</v>
      </c>
      <c r="CR161" s="63" t="s">
        <v>59</v>
      </c>
      <c r="CS161" s="174"/>
      <c r="CT161" s="574" t="s">
        <v>683</v>
      </c>
      <c r="CU161" s="63" t="s">
        <v>59</v>
      </c>
      <c r="CV161" s="174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</row>
    <row r="162" spans="1:117" ht="3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487" t="s">
        <v>684</v>
      </c>
      <c r="M162" s="428" t="s">
        <v>59</v>
      </c>
      <c r="N162" s="9"/>
      <c r="O162" s="488" t="s">
        <v>896</v>
      </c>
      <c r="P162" s="428" t="s">
        <v>59</v>
      </c>
      <c r="Q162" s="2"/>
      <c r="R162" s="220" t="s">
        <v>685</v>
      </c>
      <c r="S162" s="63" t="s">
        <v>59</v>
      </c>
      <c r="T162" s="2"/>
      <c r="U162" s="220" t="s">
        <v>686</v>
      </c>
      <c r="V162" s="63" t="s">
        <v>59</v>
      </c>
      <c r="W162" s="9"/>
      <c r="X162" s="203" t="s">
        <v>215</v>
      </c>
      <c r="Y162" s="177" t="s">
        <v>59</v>
      </c>
      <c r="Z162" s="1"/>
      <c r="AA162" s="579" t="s">
        <v>687</v>
      </c>
      <c r="AB162" s="177" t="s">
        <v>59</v>
      </c>
      <c r="AC162" s="174"/>
      <c r="AD162" s="1"/>
      <c r="AE162" s="1"/>
      <c r="AF162" s="1"/>
      <c r="AG162" s="1"/>
      <c r="AH162" s="1"/>
      <c r="AI162" s="1"/>
      <c r="AJ162" s="179" t="s">
        <v>688</v>
      </c>
      <c r="AK162" s="185" t="s">
        <v>59</v>
      </c>
      <c r="AL162" s="9"/>
      <c r="AM162" s="236"/>
      <c r="AN162" s="483"/>
      <c r="AO162" s="174"/>
      <c r="AP162" s="473" t="s">
        <v>689</v>
      </c>
      <c r="AQ162" s="63" t="s">
        <v>59</v>
      </c>
      <c r="AR162" s="9"/>
      <c r="AS162" s="182" t="s">
        <v>690</v>
      </c>
      <c r="AT162" s="63" t="s">
        <v>59</v>
      </c>
      <c r="AU162" s="174"/>
      <c r="AV162" s="1"/>
      <c r="AW162" s="1"/>
      <c r="AX162" s="1"/>
      <c r="AY162" s="1"/>
      <c r="AZ162" s="1"/>
      <c r="BA162" s="1"/>
      <c r="BB162" s="1"/>
      <c r="BC162" s="1"/>
      <c r="BD162" s="380"/>
      <c r="BE162" s="220"/>
      <c r="BF162" s="75"/>
      <c r="BG162" s="9"/>
      <c r="BH162" s="220" t="s">
        <v>691</v>
      </c>
      <c r="BI162" s="142" t="s">
        <v>65</v>
      </c>
      <c r="BJ162" s="9"/>
      <c r="BK162" s="473" t="s">
        <v>692</v>
      </c>
      <c r="BL162" s="142" t="s">
        <v>65</v>
      </c>
      <c r="BM162" s="9"/>
      <c r="BN162" s="1"/>
      <c r="BO162" s="1"/>
      <c r="BP162" s="1"/>
      <c r="BQ162" s="1"/>
      <c r="BR162" s="1"/>
      <c r="BS162" s="1"/>
      <c r="BT162" s="1"/>
      <c r="BU162" s="1"/>
      <c r="BV162" s="489" t="s">
        <v>693</v>
      </c>
      <c r="BW162" s="490" t="s">
        <v>59</v>
      </c>
      <c r="BX162" s="174"/>
      <c r="BY162" s="491" t="s">
        <v>694</v>
      </c>
      <c r="BZ162" s="265"/>
      <c r="CA162" s="174"/>
      <c r="CB162" s="492" t="s">
        <v>695</v>
      </c>
      <c r="CC162" s="265"/>
      <c r="CD162" s="1"/>
      <c r="CE162" s="491" t="s">
        <v>696</v>
      </c>
      <c r="CF162" s="493"/>
      <c r="CG162" s="1"/>
      <c r="CH162" s="1"/>
      <c r="CI162" s="1"/>
      <c r="CJ162" s="1"/>
      <c r="CK162" s="1"/>
      <c r="CL162" s="1"/>
      <c r="CM162" s="1"/>
      <c r="CN162" s="529" t="s">
        <v>897</v>
      </c>
      <c r="CO162" s="63" t="s">
        <v>59</v>
      </c>
      <c r="CP162" s="174"/>
      <c r="CQ162" s="580" t="s">
        <v>697</v>
      </c>
      <c r="CR162" s="63" t="s">
        <v>59</v>
      </c>
      <c r="CS162" s="174"/>
      <c r="CT162" s="574" t="s">
        <v>698</v>
      </c>
      <c r="CU162" s="63" t="s">
        <v>59</v>
      </c>
      <c r="CV162" s="174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</row>
    <row r="163" spans="1:117" ht="3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81" t="s">
        <v>699</v>
      </c>
      <c r="M163" s="185" t="s">
        <v>59</v>
      </c>
      <c r="N163" s="9"/>
      <c r="O163" s="154" t="s">
        <v>898</v>
      </c>
      <c r="P163" s="155" t="s">
        <v>59</v>
      </c>
      <c r="Q163" s="2"/>
      <c r="R163" s="220"/>
      <c r="S163" s="75"/>
      <c r="T163" s="2"/>
      <c r="U163" s="220" t="s">
        <v>700</v>
      </c>
      <c r="V163" s="63" t="s">
        <v>59</v>
      </c>
      <c r="W163" s="9"/>
      <c r="X163" s="203" t="s">
        <v>701</v>
      </c>
      <c r="Y163" s="177" t="s">
        <v>59</v>
      </c>
      <c r="Z163" s="1"/>
      <c r="AA163" s="579" t="s">
        <v>702</v>
      </c>
      <c r="AB163" s="177" t="s">
        <v>59</v>
      </c>
      <c r="AC163" s="174"/>
      <c r="AD163" s="1"/>
      <c r="AE163" s="1"/>
      <c r="AF163" s="1"/>
      <c r="AG163" s="1"/>
      <c r="AH163" s="1"/>
      <c r="AI163" s="1"/>
      <c r="AJ163" s="324" t="s">
        <v>703</v>
      </c>
      <c r="AK163" s="494" t="s">
        <v>59</v>
      </c>
      <c r="AL163" s="9"/>
      <c r="AM163" s="236"/>
      <c r="AN163" s="483"/>
      <c r="AO163" s="174"/>
      <c r="AP163" s="473" t="s">
        <v>704</v>
      </c>
      <c r="AQ163" s="63" t="s">
        <v>59</v>
      </c>
      <c r="AR163" s="9"/>
      <c r="AS163" s="182" t="s">
        <v>705</v>
      </c>
      <c r="AT163" s="63" t="s">
        <v>59</v>
      </c>
      <c r="AU163" s="174"/>
      <c r="AV163" s="1"/>
      <c r="AW163" s="1"/>
      <c r="AX163" s="1"/>
      <c r="AY163" s="1"/>
      <c r="AZ163" s="1"/>
      <c r="BA163" s="1"/>
      <c r="BB163" s="1"/>
      <c r="BC163" s="1"/>
      <c r="BD163" s="380"/>
      <c r="BE163" s="220"/>
      <c r="BF163" s="347"/>
      <c r="BG163" s="9"/>
      <c r="BH163" s="220" t="s">
        <v>706</v>
      </c>
      <c r="BI163" s="63" t="s">
        <v>59</v>
      </c>
      <c r="BJ163" s="9"/>
      <c r="BK163" s="208" t="s">
        <v>707</v>
      </c>
      <c r="BL163" s="73" t="s">
        <v>83</v>
      </c>
      <c r="BM163" s="9"/>
      <c r="BN163" s="412"/>
      <c r="BO163" s="1"/>
      <c r="BP163" s="1"/>
      <c r="BQ163" s="1"/>
      <c r="BR163" s="1"/>
      <c r="BS163" s="1"/>
      <c r="BT163" s="1"/>
      <c r="BU163" s="1"/>
      <c r="BV163" s="1"/>
      <c r="BW163" s="1"/>
      <c r="BX163" s="9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526" t="s">
        <v>899</v>
      </c>
      <c r="CO163" s="63" t="s">
        <v>59</v>
      </c>
      <c r="CP163" s="1"/>
      <c r="CQ163" s="353"/>
      <c r="CR163" s="27"/>
      <c r="CS163" s="1"/>
      <c r="CT163" s="581" t="s">
        <v>708</v>
      </c>
      <c r="CU163" s="428" t="s">
        <v>59</v>
      </c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</row>
    <row r="164" spans="1:117" ht="3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81" t="s">
        <v>709</v>
      </c>
      <c r="M164" s="185" t="s">
        <v>59</v>
      </c>
      <c r="N164" s="9"/>
      <c r="O164" s="582" t="s">
        <v>900</v>
      </c>
      <c r="P164" s="155" t="s">
        <v>59</v>
      </c>
      <c r="Q164" s="2"/>
      <c r="R164" s="81"/>
      <c r="S164" s="75"/>
      <c r="T164" s="2"/>
      <c r="U164" s="81"/>
      <c r="V164" s="75"/>
      <c r="W164" s="9"/>
      <c r="X164" s="203" t="s">
        <v>710</v>
      </c>
      <c r="Y164" s="177" t="s">
        <v>59</v>
      </c>
      <c r="Z164" s="1"/>
      <c r="AA164" s="583" t="s">
        <v>901</v>
      </c>
      <c r="AB164" s="550" t="s">
        <v>83</v>
      </c>
      <c r="AC164" s="174"/>
      <c r="AD164" s="1"/>
      <c r="AE164" s="1"/>
      <c r="AF164" s="1"/>
      <c r="AG164" s="1"/>
      <c r="AH164" s="1"/>
      <c r="AI164" s="1"/>
      <c r="AJ164" s="495" t="s">
        <v>711</v>
      </c>
      <c r="AK164" s="494" t="s">
        <v>59</v>
      </c>
      <c r="AL164" s="9"/>
      <c r="AM164" s="496"/>
      <c r="AN164" s="483"/>
      <c r="AO164" s="174"/>
      <c r="AP164" s="497" t="s">
        <v>712</v>
      </c>
      <c r="AQ164" s="63" t="s">
        <v>59</v>
      </c>
      <c r="AR164" s="9"/>
      <c r="AS164" s="498" t="s">
        <v>713</v>
      </c>
      <c r="AT164" s="63" t="s">
        <v>59</v>
      </c>
      <c r="AU164" s="174"/>
      <c r="AV164" s="1"/>
      <c r="AW164" s="1"/>
      <c r="AX164" s="1"/>
      <c r="AY164" s="1"/>
      <c r="AZ164" s="1"/>
      <c r="BA164" s="1"/>
      <c r="BB164" s="1"/>
      <c r="BC164" s="1"/>
      <c r="BD164" s="380"/>
      <c r="BE164" s="220"/>
      <c r="BF164" s="347"/>
      <c r="BG164" s="9"/>
      <c r="BH164" s="220" t="s">
        <v>714</v>
      </c>
      <c r="BI164" s="142" t="s">
        <v>65</v>
      </c>
      <c r="BJ164" s="9"/>
      <c r="BK164" s="208" t="s">
        <v>715</v>
      </c>
      <c r="BL164" s="142" t="s">
        <v>65</v>
      </c>
      <c r="BM164" s="9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9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</row>
    <row r="165" spans="1:117" ht="3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499"/>
      <c r="M165" s="500"/>
      <c r="N165" s="1"/>
      <c r="O165" s="81"/>
      <c r="P165" s="75"/>
      <c r="Q165" s="2"/>
      <c r="R165" s="81"/>
      <c r="S165" s="75"/>
      <c r="T165" s="2"/>
      <c r="U165" s="81"/>
      <c r="V165" s="75"/>
      <c r="W165" s="9"/>
      <c r="X165" s="203" t="s">
        <v>716</v>
      </c>
      <c r="Y165" s="177" t="s">
        <v>59</v>
      </c>
      <c r="Z165" s="1"/>
      <c r="AA165" s="355"/>
      <c r="AB165" s="162"/>
      <c r="AC165" s="174"/>
      <c r="AD165" s="1"/>
      <c r="AE165" s="1"/>
      <c r="AF165" s="1"/>
      <c r="AG165" s="1"/>
      <c r="AH165" s="1"/>
      <c r="AI165" s="1"/>
      <c r="AJ165" s="236" t="s">
        <v>717</v>
      </c>
      <c r="AK165" s="472" t="s">
        <v>83</v>
      </c>
      <c r="AL165" s="9"/>
      <c r="AM165" s="496"/>
      <c r="AN165" s="483"/>
      <c r="AO165" s="174"/>
      <c r="AP165" s="473" t="s">
        <v>718</v>
      </c>
      <c r="AQ165" s="63" t="s">
        <v>59</v>
      </c>
      <c r="AR165" s="9"/>
      <c r="AS165" s="498" t="s">
        <v>719</v>
      </c>
      <c r="AT165" s="63" t="s">
        <v>59</v>
      </c>
      <c r="AU165" s="174"/>
      <c r="AV165" s="1"/>
      <c r="AW165" s="1"/>
      <c r="AX165" s="1"/>
      <c r="AY165" s="1"/>
      <c r="AZ165" s="1"/>
      <c r="BA165" s="1"/>
      <c r="BB165" s="1"/>
      <c r="BC165" s="1"/>
      <c r="BD165" s="380"/>
      <c r="BE165" s="501"/>
      <c r="BF165" s="502"/>
      <c r="BG165" s="9"/>
      <c r="BH165" s="501"/>
      <c r="BI165" s="502"/>
      <c r="BJ165" s="9"/>
      <c r="BK165" s="503" t="s">
        <v>720</v>
      </c>
      <c r="BL165" s="73" t="s">
        <v>83</v>
      </c>
      <c r="BM165" s="9"/>
      <c r="BN165" s="412"/>
      <c r="BO165" s="1"/>
      <c r="BP165" s="1"/>
      <c r="BQ165" s="1"/>
      <c r="BR165" s="1"/>
      <c r="BS165" s="1"/>
      <c r="BT165" s="1"/>
      <c r="BU165" s="1"/>
      <c r="BV165" s="1"/>
      <c r="BW165" s="1"/>
      <c r="BX165" s="9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</row>
    <row r="166" spans="1:117" ht="3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9"/>
      <c r="O166" s="501"/>
      <c r="P166" s="341"/>
      <c r="Q166" s="2"/>
      <c r="R166" s="499"/>
      <c r="S166" s="500"/>
      <c r="T166" s="2"/>
      <c r="U166" s="499"/>
      <c r="V166" s="500"/>
      <c r="W166" s="9"/>
      <c r="X166" s="203" t="s">
        <v>721</v>
      </c>
      <c r="Y166" s="177" t="s">
        <v>59</v>
      </c>
      <c r="Z166" s="1"/>
      <c r="AA166" s="499"/>
      <c r="AB166" s="500"/>
      <c r="AC166" s="174"/>
      <c r="AD166" s="1"/>
      <c r="AE166" s="1"/>
      <c r="AF166" s="1"/>
      <c r="AG166" s="8"/>
      <c r="AH166" s="504"/>
      <c r="AI166" s="1"/>
      <c r="AJ166" s="584" t="s">
        <v>722</v>
      </c>
      <c r="AK166" s="63" t="s">
        <v>59</v>
      </c>
      <c r="AL166" s="1"/>
      <c r="AM166" s="496"/>
      <c r="AN166" s="483"/>
      <c r="AO166" s="174"/>
      <c r="AP166" s="505" t="s">
        <v>723</v>
      </c>
      <c r="AQ166" s="63"/>
      <c r="AR166" s="9"/>
      <c r="AS166" s="498" t="s">
        <v>724</v>
      </c>
      <c r="AT166" s="63" t="s">
        <v>59</v>
      </c>
      <c r="AU166" s="174"/>
      <c r="AV166" s="1"/>
      <c r="AW166" s="1"/>
      <c r="AX166" s="1"/>
      <c r="AY166" s="1"/>
      <c r="AZ166" s="1"/>
      <c r="BA166" s="1"/>
      <c r="BB166" s="1"/>
      <c r="BC166" s="1"/>
      <c r="BD166" s="380"/>
      <c r="BE166" s="1"/>
      <c r="BF166" s="1"/>
      <c r="BG166" s="1"/>
      <c r="BH166" s="1"/>
      <c r="BI166" s="1"/>
      <c r="BJ166" s="1"/>
      <c r="BK166" s="506" t="s">
        <v>725</v>
      </c>
      <c r="BL166" s="507" t="s">
        <v>65</v>
      </c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9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</row>
    <row r="167" spans="1:117" ht="3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08" t="s">
        <v>726</v>
      </c>
      <c r="Y167" s="509" t="s">
        <v>59</v>
      </c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363"/>
      <c r="AK167" s="364"/>
      <c r="AL167" s="1"/>
      <c r="AM167" s="371"/>
      <c r="AN167" s="370"/>
      <c r="AO167" s="295"/>
      <c r="AP167" s="505" t="s">
        <v>727</v>
      </c>
      <c r="AQ167" s="428"/>
      <c r="AR167" s="9"/>
      <c r="AS167" s="501"/>
      <c r="AT167" s="341"/>
      <c r="AU167" s="295"/>
      <c r="AV167" s="1"/>
      <c r="AW167" s="1"/>
      <c r="AX167" s="1"/>
      <c r="AY167" s="1"/>
      <c r="AZ167" s="1"/>
      <c r="BA167" s="1"/>
      <c r="BB167" s="1"/>
      <c r="BC167" s="1"/>
      <c r="BD167" s="380"/>
      <c r="BE167" s="1"/>
      <c r="BF167" s="1"/>
      <c r="BG167" s="1"/>
      <c r="BH167" s="510"/>
      <c r="BI167" s="510"/>
      <c r="BJ167" s="510"/>
      <c r="BK167" s="510"/>
      <c r="BL167" s="510"/>
      <c r="BM167" s="510"/>
      <c r="BN167" s="510"/>
      <c r="BO167" s="1"/>
      <c r="BP167" s="1"/>
      <c r="BQ167" s="1"/>
      <c r="BR167" s="1"/>
      <c r="BS167" s="1"/>
      <c r="BT167" s="1"/>
      <c r="BU167" s="1"/>
      <c r="BV167" s="1"/>
      <c r="BW167" s="1"/>
      <c r="BX167" s="9"/>
      <c r="BY167" s="1"/>
      <c r="BZ167" s="1"/>
      <c r="CA167" s="1"/>
      <c r="CB167" s="1"/>
      <c r="CC167" s="1"/>
      <c r="CD167" s="380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</row>
    <row r="168" spans="1:117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281"/>
      <c r="Y168" s="281"/>
      <c r="Z168" s="1"/>
      <c r="AA168" s="174"/>
      <c r="AB168" s="174"/>
      <c r="AC168" s="174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9"/>
      <c r="AP168" s="2"/>
      <c r="AQ168" s="1"/>
      <c r="AR168" s="9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380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</row>
    <row r="169" spans="1:117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 t="s">
        <v>728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 t="s">
        <v>729</v>
      </c>
      <c r="AK169" s="1"/>
      <c r="AL169" s="1"/>
      <c r="AM169" s="1" t="s">
        <v>730</v>
      </c>
      <c r="AN169" s="1"/>
      <c r="AO169" s="9"/>
      <c r="AP169" s="2"/>
      <c r="AQ169" s="1"/>
      <c r="AR169" s="9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380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</row>
    <row r="170" spans="1:117" ht="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</row>
    <row r="171" spans="1:117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</row>
    <row r="172" spans="1:117" ht="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</row>
    <row r="173" spans="1:117" ht="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</row>
    <row r="174" spans="1:117" ht="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</row>
    <row r="175" spans="1:117" ht="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</row>
    <row r="176" spans="1:117" ht="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</row>
    <row r="177" spans="1:117" ht="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</row>
    <row r="178" spans="1:117" ht="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</row>
    <row r="179" spans="1:117" ht="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</row>
    <row r="180" spans="1:117" ht="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</row>
    <row r="181" spans="1:117" ht="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</row>
    <row r="182" spans="1:117" ht="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</row>
    <row r="183" spans="1:117" ht="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</row>
    <row r="184" spans="1:117" ht="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</row>
    <row r="185" spans="1:117" ht="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</row>
    <row r="186" spans="1:117" ht="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</row>
    <row r="187" spans="1:117" ht="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</row>
    <row r="188" spans="1:117" ht="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</row>
    <row r="189" spans="1:117" ht="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</row>
    <row r="190" spans="1:117" ht="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</row>
    <row r="191" spans="1:117" ht="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</row>
    <row r="192" spans="1:117" ht="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</row>
    <row r="193" spans="1:117" ht="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</row>
    <row r="194" spans="1:117" ht="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</row>
    <row r="195" spans="1:117" ht="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</row>
    <row r="196" spans="1:117" ht="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</row>
    <row r="197" spans="1:117" ht="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</row>
    <row r="198" spans="1:117" ht="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</row>
    <row r="199" spans="1:117" ht="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</row>
    <row r="200" spans="1:117" ht="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</row>
    <row r="201" spans="1:117" ht="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</row>
    <row r="202" spans="1:117" ht="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</row>
    <row r="203" spans="1:117" ht="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</row>
    <row r="204" spans="1:117" ht="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</row>
    <row r="205" spans="1:117" ht="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</row>
    <row r="206" spans="1:117" ht="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</row>
    <row r="207" spans="1:117" ht="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</row>
    <row r="208" spans="1:117" ht="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</row>
    <row r="209" spans="1:117" ht="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</row>
    <row r="210" spans="1:117" ht="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</row>
    <row r="211" spans="1:117" ht="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</row>
    <row r="212" spans="1:117" ht="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</row>
    <row r="213" spans="1:117" ht="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</row>
    <row r="214" spans="1:117" ht="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</row>
    <row r="215" spans="1:117" ht="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</row>
    <row r="216" spans="1:117" ht="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</row>
    <row r="217" spans="1:117" ht="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</row>
    <row r="218" spans="1:117" ht="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</row>
    <row r="219" spans="1:117" ht="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</row>
    <row r="220" spans="1:117" ht="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</row>
    <row r="221" spans="1:117" ht="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</row>
    <row r="222" spans="1:117" ht="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</row>
    <row r="223" spans="1:117" ht="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</row>
    <row r="224" spans="1:117" ht="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</row>
    <row r="225" spans="1:117" ht="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</row>
    <row r="226" spans="1:117" ht="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</row>
    <row r="227" spans="1:117" ht="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</row>
    <row r="228" spans="1:117" ht="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</row>
    <row r="229" spans="1:117" ht="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</row>
    <row r="230" spans="1:117" ht="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</row>
    <row r="231" spans="1:117" ht="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</row>
    <row r="232" spans="1:117" ht="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</row>
    <row r="233" spans="1:117" ht="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</row>
    <row r="234" spans="1:117" ht="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</row>
    <row r="235" spans="1:117" ht="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</row>
    <row r="236" spans="1:117" ht="9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</row>
    <row r="237" spans="1:117" ht="9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</row>
    <row r="238" spans="1:117" ht="9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</row>
    <row r="239" spans="1:117" ht="9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</row>
    <row r="240" spans="1:117" ht="9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</row>
    <row r="241" spans="1:117" ht="9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</row>
    <row r="242" spans="1:117" ht="9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</row>
    <row r="243" spans="1:117" ht="9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</row>
    <row r="244" spans="1:117" ht="9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</row>
    <row r="245" spans="1:117" ht="9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</row>
    <row r="246" spans="1:117" ht="9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</row>
    <row r="247" spans="1:117" ht="9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</row>
    <row r="248" spans="1:117" ht="9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</row>
    <row r="249" spans="1:117" ht="9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</row>
    <row r="250" spans="1:117" ht="9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</row>
    <row r="251" spans="1:117" ht="9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</row>
    <row r="252" spans="1:117" ht="9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51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</row>
    <row r="253" spans="1:117" ht="9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</row>
    <row r="254" spans="1:117" ht="9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</row>
    <row r="255" spans="1:117" ht="9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</row>
    <row r="256" spans="1:117" ht="9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</row>
    <row r="257" spans="1:117" ht="9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</row>
    <row r="258" spans="1:117" ht="9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</row>
    <row r="259" spans="1:117" ht="9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</row>
    <row r="260" spans="1:117" ht="9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</row>
    <row r="261" spans="1:117" ht="9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</row>
    <row r="262" spans="1:117" ht="9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</row>
    <row r="263" spans="1:117" ht="9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</row>
    <row r="264" spans="1:117" ht="9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</row>
    <row r="265" spans="1:117" ht="9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</row>
    <row r="266" spans="1:117" ht="9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</row>
    <row r="267" spans="1:117" ht="9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</row>
    <row r="268" spans="1:117" ht="9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</row>
    <row r="269" spans="1:117" ht="9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</row>
    <row r="270" spans="1:117" ht="9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</row>
    <row r="271" spans="1:117" ht="9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</row>
    <row r="272" spans="1:117" ht="9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</row>
    <row r="273" spans="1:117" ht="9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</row>
    <row r="274" spans="1:117" ht="9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</row>
    <row r="275" spans="1:117" ht="9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</row>
    <row r="276" spans="1:117" ht="9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</row>
    <row r="277" spans="1:117" ht="9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</row>
    <row r="278" spans="1:117" ht="9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</row>
    <row r="279" spans="1:117" ht="9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</row>
    <row r="280" spans="1:117" ht="9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</row>
    <row r="281" spans="1:117" ht="9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</row>
    <row r="282" spans="1:117" ht="9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</row>
    <row r="283" spans="1:117" ht="9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</row>
    <row r="284" spans="1:117" ht="9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</row>
    <row r="285" spans="1:117" ht="9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</row>
    <row r="286" spans="1:117" ht="9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</row>
    <row r="287" spans="1:117" ht="9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</row>
    <row r="288" spans="1:117" ht="9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</row>
    <row r="289" spans="1:117" ht="9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</row>
    <row r="290" spans="1:117" ht="9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</row>
    <row r="291" spans="1:117" ht="9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</row>
    <row r="292" spans="1:117" ht="9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</row>
    <row r="293" spans="1:117" ht="9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</row>
    <row r="294" spans="1:117" ht="9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</row>
    <row r="295" spans="1:117" ht="9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</row>
    <row r="296" spans="1:117" ht="9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</row>
    <row r="297" spans="1:117" ht="9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</row>
    <row r="298" spans="1:117" ht="9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</row>
    <row r="299" spans="1:117" ht="9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</row>
    <row r="300" spans="1:117" ht="9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</row>
    <row r="301" spans="1:117" ht="9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</row>
    <row r="302" spans="1:117" ht="9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</row>
    <row r="303" spans="1:117" ht="9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</row>
    <row r="304" spans="1:117" ht="9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</row>
    <row r="305" spans="1:117" ht="9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</row>
    <row r="306" spans="1:117" ht="9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</row>
    <row r="307" spans="1:117" ht="9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</row>
    <row r="308" spans="1:117" ht="9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</row>
    <row r="309" spans="1:117" ht="9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</row>
    <row r="310" spans="1:117" ht="9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</row>
    <row r="311" spans="1:117" ht="9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</row>
    <row r="312" spans="1:117" ht="9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</row>
    <row r="313" spans="1:117" ht="9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</row>
    <row r="314" spans="1:117" ht="9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</row>
    <row r="315" spans="1:117" ht="9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</row>
    <row r="316" spans="1:117" ht="9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</row>
    <row r="317" spans="1:117" ht="9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</row>
    <row r="318" spans="1:117" ht="9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</row>
    <row r="319" spans="1:117" ht="9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</row>
    <row r="320" spans="1:117" ht="9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</row>
    <row r="321" spans="1:117" ht="9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</row>
    <row r="322" spans="1:117" ht="9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</row>
    <row r="323" spans="1:117" ht="9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</row>
    <row r="324" spans="1:117" ht="9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</row>
    <row r="325" spans="1:117" ht="9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</row>
    <row r="326" spans="1:117" ht="9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</row>
    <row r="327" spans="1:117" ht="9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</row>
    <row r="328" spans="1:117" ht="9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</row>
    <row r="329" spans="1:117" ht="9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</row>
    <row r="330" spans="1:117" ht="9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</row>
    <row r="331" spans="1:117" ht="9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</row>
    <row r="332" spans="1:117" ht="9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</row>
    <row r="333" spans="1:117" ht="9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</row>
    <row r="334" spans="1:117" ht="9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</row>
    <row r="335" spans="1:117" ht="9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</row>
    <row r="336" spans="1:117" ht="9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</row>
    <row r="337" spans="1:117" ht="9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</row>
    <row r="338" spans="1:117" ht="9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</row>
    <row r="339" spans="1:117" ht="9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</row>
    <row r="340" spans="1:117" ht="9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</row>
    <row r="341" spans="1:117" ht="9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</row>
    <row r="342" spans="1:117" ht="9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</row>
    <row r="343" spans="1:117" ht="9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</row>
    <row r="344" spans="1:117" ht="9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</row>
    <row r="345" spans="1:117" ht="9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</row>
  </sheetData>
  <mergeCells count="80">
    <mergeCell ref="CK53:CM53"/>
    <mergeCell ref="CK54:CM54"/>
    <mergeCell ref="AT18:AU18"/>
    <mergeCell ref="AT19:AU19"/>
    <mergeCell ref="AV23:BD24"/>
    <mergeCell ref="AW26:BB26"/>
    <mergeCell ref="BW53:BY53"/>
    <mergeCell ref="AW27:BB27"/>
    <mergeCell ref="AV47:BE47"/>
    <mergeCell ref="CB48:CG49"/>
    <mergeCell ref="CB50:CG50"/>
    <mergeCell ref="AQ15:AR15"/>
    <mergeCell ref="AQ16:AR16"/>
    <mergeCell ref="AT15:AU15"/>
    <mergeCell ref="AT16:AU16"/>
    <mergeCell ref="AT17:AU17"/>
    <mergeCell ref="BI14:BJ14"/>
    <mergeCell ref="AR9:AS9"/>
    <mergeCell ref="AR10:AS10"/>
    <mergeCell ref="AT10:AU10"/>
    <mergeCell ref="AP14:AR14"/>
    <mergeCell ref="AS14:AU14"/>
    <mergeCell ref="BC10:BE10"/>
    <mergeCell ref="BF10:BG10"/>
    <mergeCell ref="BC11:BE11"/>
    <mergeCell ref="BF11:BG11"/>
    <mergeCell ref="BC14:BE14"/>
    <mergeCell ref="BF14:BG14"/>
    <mergeCell ref="BC15:BE15"/>
    <mergeCell ref="BF15:BG15"/>
    <mergeCell ref="BI15:BJ15"/>
    <mergeCell ref="BC16:BE16"/>
    <mergeCell ref="BF16:BG16"/>
    <mergeCell ref="BI16:BJ16"/>
    <mergeCell ref="AR8:AS8"/>
    <mergeCell ref="AT8:AU8"/>
    <mergeCell ref="BC8:BE8"/>
    <mergeCell ref="BF8:BG8"/>
    <mergeCell ref="AT9:AU9"/>
    <mergeCell ref="BC9:BE9"/>
    <mergeCell ref="BF9:BG9"/>
    <mergeCell ref="AR2:BB3"/>
    <mergeCell ref="BF4:BG4"/>
    <mergeCell ref="BH4:BI4"/>
    <mergeCell ref="AW6:BA6"/>
    <mergeCell ref="AR7:AT7"/>
    <mergeCell ref="AX7:BA7"/>
    <mergeCell ref="BE7:BH7"/>
    <mergeCell ref="CO153:CS153"/>
    <mergeCell ref="BF125:BK125"/>
    <mergeCell ref="AV145:BE146"/>
    <mergeCell ref="AW148:BB149"/>
    <mergeCell ref="AM152:AP152"/>
    <mergeCell ref="BH152:BK152"/>
    <mergeCell ref="BW152:CA152"/>
    <mergeCell ref="CO152:CS152"/>
    <mergeCell ref="R152:V152"/>
    <mergeCell ref="R153:V153"/>
    <mergeCell ref="AM153:AP153"/>
    <mergeCell ref="BH153:BK153"/>
    <mergeCell ref="BW153:CA153"/>
    <mergeCell ref="AG103:AL104"/>
    <mergeCell ref="BI103:BN104"/>
    <mergeCell ref="AG106:AL106"/>
    <mergeCell ref="BK106:BN106"/>
    <mergeCell ref="AG125:AL125"/>
    <mergeCell ref="CC77:CE77"/>
    <mergeCell ref="L78:O78"/>
    <mergeCell ref="AJ78:AP78"/>
    <mergeCell ref="CC78:CE78"/>
    <mergeCell ref="BH77:BJ77"/>
    <mergeCell ref="BH78:BJ78"/>
    <mergeCell ref="I54:L54"/>
    <mergeCell ref="BW54:BY54"/>
    <mergeCell ref="BH53:BJ53"/>
    <mergeCell ref="BH54:BJ54"/>
    <mergeCell ref="L77:O77"/>
    <mergeCell ref="AJ77:AP77"/>
    <mergeCell ref="I53:L53"/>
    <mergeCell ref="AK53:AP53"/>
  </mergeCells>
  <phoneticPr fontId="154" type="noConversion"/>
  <conditionalFormatting sqref="O59:O62 AM88:AM89 AP130:AP134">
    <cfRule type="expression" dxfId="161" priority="1">
      <formula>$AG59="출결제외"</formula>
    </cfRule>
    <cfRule type="expression" dxfId="160" priority="2">
      <formula>$AG59="중복"</formula>
    </cfRule>
  </conditionalFormatting>
  <conditionalFormatting sqref="X158:X162">
    <cfRule type="expression" dxfId="159" priority="60">
      <formula>(#REF!="출결제외")</formula>
    </cfRule>
  </conditionalFormatting>
  <conditionalFormatting sqref="AD130:AD131">
    <cfRule type="colorScale" priority="35">
      <colorScale>
        <cfvo type="min"/>
        <cfvo type="max"/>
        <color rgb="FFFFFFFF"/>
        <color rgb="FF57BB8A"/>
      </colorScale>
    </cfRule>
  </conditionalFormatting>
  <conditionalFormatting sqref="AD130:AD132">
    <cfRule type="expression" dxfId="158" priority="30">
      <formula>(#REF!="출결제외")</formula>
    </cfRule>
    <cfRule type="colorScale" priority="32">
      <colorScale>
        <cfvo type="min"/>
        <cfvo type="max"/>
        <color rgb="FFFFFFFF"/>
        <color rgb="FF57BB8A"/>
      </colorScale>
    </cfRule>
    <cfRule type="colorScale" priority="34">
      <colorScale>
        <cfvo type="min"/>
        <cfvo type="max"/>
        <color rgb="FFFFFFFF"/>
        <color rgb="FF57BB8A"/>
      </colorScale>
    </cfRule>
    <cfRule type="expression" dxfId="157" priority="38">
      <formula>($AC130="출결제외")</formula>
    </cfRule>
    <cfRule type="colorScale" priority="37">
      <colorScale>
        <cfvo type="min"/>
        <cfvo type="max"/>
        <color rgb="FFFFFFFF"/>
        <color rgb="FF57BB8A"/>
      </colorScale>
    </cfRule>
    <cfRule type="colorScale" priority="36">
      <colorScale>
        <cfvo type="min"/>
        <cfvo type="max"/>
        <color rgb="FFFFFFFF"/>
        <color rgb="FF57BB8A"/>
      </colorScale>
    </cfRule>
  </conditionalFormatting>
  <conditionalFormatting sqref="AD132">
    <cfRule type="expression" dxfId="156" priority="33">
      <formula>($AC132="출결제외")</formula>
    </cfRule>
  </conditionalFormatting>
  <conditionalFormatting sqref="AG58 AM58 AD58:AD63 AA59:AA63 AG60:AG62 AJ61 AM61:AM66 AS64 AD65:AD68 BY156 CB156 CE156">
    <cfRule type="expression" dxfId="155" priority="7">
      <formula>$AJ58="중복"</formula>
    </cfRule>
    <cfRule type="expression" dxfId="154" priority="9">
      <formula>$AJ58="출결제외"</formula>
    </cfRule>
  </conditionalFormatting>
  <conditionalFormatting sqref="AG58 AM58 AD58:AD63 AA59:AA63 AG60:AG62 AJ61 AM61:AM66 AS64 AD65:AD68 CE67:CE68 CH63:CH64 O164 O59:O62 AM88:AM89 AP130:AP134">
    <cfRule type="containsText" dxfId="153" priority="8" operator="containsText" text="출결제외">
      <formula>NOT(ISERROR(SEARCH(("출결제외"),(AD58))))</formula>
    </cfRule>
  </conditionalFormatting>
  <conditionalFormatting sqref="AG130 AJ130 AM131">
    <cfRule type="colorScale" priority="48">
      <colorScale>
        <cfvo type="min"/>
        <cfvo type="max"/>
        <color rgb="FFFFFFFF"/>
        <color rgb="FF57BB8A"/>
      </colorScale>
    </cfRule>
  </conditionalFormatting>
  <conditionalFormatting sqref="AG130:AG131 AJ130:AJ131 AM131:AM132 AJ133">
    <cfRule type="colorScale" priority="49">
      <colorScale>
        <cfvo type="min"/>
        <cfvo type="max"/>
        <color rgb="FFFFFFFF"/>
        <color rgb="FF57BB8A"/>
      </colorScale>
    </cfRule>
  </conditionalFormatting>
  <conditionalFormatting sqref="AG131:AG132 AJ131 AM131:AM133 AJ133:AJ134">
    <cfRule type="colorScale" priority="50">
      <colorScale>
        <cfvo type="min"/>
        <cfvo type="max"/>
        <color rgb="FFFFFFFF"/>
        <color rgb="FF57BB8A"/>
      </colorScale>
    </cfRule>
  </conditionalFormatting>
  <conditionalFormatting sqref="AG131:AG132">
    <cfRule type="expression" dxfId="152" priority="51">
      <formula>($AC131="출결제외")</formula>
    </cfRule>
  </conditionalFormatting>
  <conditionalFormatting sqref="AG132:AG133 AJ131 AM132:AM134 AJ133:AJ135">
    <cfRule type="colorScale" priority="44">
      <colorScale>
        <cfvo type="min"/>
        <cfvo type="max"/>
        <color rgb="FFFFFFFF"/>
        <color rgb="FF57BB8A"/>
      </colorScale>
    </cfRule>
  </conditionalFormatting>
  <conditionalFormatting sqref="AG132:AG133">
    <cfRule type="colorScale" priority="47">
      <colorScale>
        <cfvo type="min"/>
        <cfvo type="max"/>
        <color rgb="FFFFFFFF"/>
        <color rgb="FF57BB8A"/>
      </colorScale>
    </cfRule>
  </conditionalFormatting>
  <conditionalFormatting sqref="AG133:AG134">
    <cfRule type="expression" dxfId="151" priority="46">
      <formula>($AC133="출결제외")</formula>
    </cfRule>
  </conditionalFormatting>
  <conditionalFormatting sqref="AJ133:AJ135 AG133 AM133:AM134">
    <cfRule type="colorScale" priority="45">
      <colorScale>
        <cfvo type="min"/>
        <cfvo type="max"/>
        <color rgb="FFFFFFFF"/>
        <color rgb="FF57BB8A"/>
      </colorScale>
    </cfRule>
  </conditionalFormatting>
  <conditionalFormatting sqref="AJ157:AJ162 AM157:AM165 AS158:AS161 U158:U162 AP158:AP162 BH159">
    <cfRule type="expression" dxfId="150" priority="26">
      <formula>(#REF!="출결제외")</formula>
    </cfRule>
  </conditionalFormatting>
  <conditionalFormatting sqref="AM129:AM137 AP129">
    <cfRule type="expression" dxfId="149" priority="39">
      <formula>$AJ129="중복"</formula>
    </cfRule>
  </conditionalFormatting>
  <conditionalFormatting sqref="AM131:AM134 AG130:AG133">
    <cfRule type="expression" dxfId="148" priority="42">
      <formula>(#REF!="출결제외")</formula>
    </cfRule>
  </conditionalFormatting>
  <conditionalFormatting sqref="AP129 AM129:AM137">
    <cfRule type="containsText" dxfId="147" priority="40" operator="containsText" text="출결제외">
      <formula>NOT(ISERROR(SEARCH(("출결제외"),(AM129))))</formula>
    </cfRule>
    <cfRule type="expression" dxfId="146" priority="41">
      <formula>$AJ129="출결제외"</formula>
    </cfRule>
  </conditionalFormatting>
  <conditionalFormatting sqref="BE133:BE134">
    <cfRule type="expression" dxfId="145" priority="58">
      <formula>(#REF!="출결제외")</formula>
    </cfRule>
  </conditionalFormatting>
  <conditionalFormatting sqref="BH136:BH137 BK137">
    <cfRule type="colorScale" priority="59">
      <colorScale>
        <cfvo type="min"/>
        <cfvo type="max"/>
        <color rgb="FFFFFFFF"/>
        <color rgb="FF57BB8A"/>
      </colorScale>
    </cfRule>
  </conditionalFormatting>
  <conditionalFormatting sqref="BH161:BH162 AJ165 AP165">
    <cfRule type="expression" dxfId="144" priority="29">
      <formula>(#REF!="출결제외")</formula>
    </cfRule>
  </conditionalFormatting>
  <conditionalFormatting sqref="BN111 BQ111 BE117 BH117 BK117 BN117 BQ117">
    <cfRule type="expression" dxfId="143" priority="53">
      <formula>(#REF!="출결제외")</formula>
    </cfRule>
  </conditionalFormatting>
  <conditionalFormatting sqref="BN113">
    <cfRule type="expression" dxfId="142" priority="54">
      <formula>(#REF!="출결제외")</formula>
    </cfRule>
  </conditionalFormatting>
  <conditionalFormatting sqref="BN130:BN133 BE131">
    <cfRule type="expression" dxfId="141" priority="55">
      <formula>(#REF!="출결제외")</formula>
    </cfRule>
  </conditionalFormatting>
  <conditionalFormatting sqref="BQ113">
    <cfRule type="expression" dxfId="140" priority="52">
      <formula>(#REF!="출결제외")</formula>
    </cfRule>
  </conditionalFormatting>
  <conditionalFormatting sqref="BV60:BV61 BY60:BY61 CH60:CH70 CB61:CB62 CE61:CE62 CN61:CN62 CQ61:CQ62 CT61:CT62 BV63:BV69 CK63:CK70 CN64:CN70 CQ64:CQ70 BY65 BY67:BY70 CB67 CE68 CT69:CT70 BV82:BV85 AM83 BY84 CE84:CE87 AJ85:AJ86 AM85:AM86 CH85:CH86 CK85:CK86 CN85:CN86 AS87 BY87:BY89 CK88:CK94 CN88:CN94 CE90:CE92 CH90 BY91:BY95 CE95:CE96 BY99 BY101">
    <cfRule type="colorScale" priority="15">
      <colorScale>
        <cfvo type="min"/>
        <cfvo type="max"/>
        <color rgb="FFFFFFFF"/>
        <color rgb="FF57BB8A"/>
      </colorScale>
    </cfRule>
  </conditionalFormatting>
  <conditionalFormatting sqref="BV156 BY156 CB156 CE156">
    <cfRule type="containsText" dxfId="139" priority="24" operator="containsText" text="출결제외">
      <formula>NOT(ISERROR(SEARCH(("출결제외"),(BV156))))</formula>
    </cfRule>
  </conditionalFormatting>
  <conditionalFormatting sqref="BV156">
    <cfRule type="expression" dxfId="138" priority="23">
      <formula>$AJ156="중복"</formula>
    </cfRule>
    <cfRule type="expression" dxfId="137" priority="25">
      <formula>$AJ156="출결제외"</formula>
    </cfRule>
  </conditionalFormatting>
  <conditionalFormatting sqref="CB60:CB61">
    <cfRule type="expression" dxfId="136" priority="22">
      <formula>($AC60="출결제외")</formula>
    </cfRule>
  </conditionalFormatting>
  <conditionalFormatting sqref="CE67:CE68">
    <cfRule type="expression" dxfId="135" priority="5">
      <formula>$AR67="출결제외"</formula>
    </cfRule>
    <cfRule type="expression" dxfId="134" priority="6">
      <formula>$AR67="중복"</formula>
    </cfRule>
  </conditionalFormatting>
  <conditionalFormatting sqref="CH58:CH59 CB59 CE59 CN59 CQ59 CT59 CN62:CN67 CQ62:CQ67 CH63:CH67 CK63:CK67 CB65:CB67 CE65 CT66:CT67 BY67:BY68 CE67 AJ83 AM83 CE83 CH83 CK83 CN83 AM85 CK86:CK91 CN86:CN91 AS87 AD88 AG88:AG90 AM88:AM89 AD90 AD92">
    <cfRule type="colorScale" priority="19">
      <colorScale>
        <cfvo type="min"/>
        <cfvo type="max"/>
        <color rgb="FFFFFFFF"/>
        <color rgb="FF57BB8A"/>
      </colorScale>
    </cfRule>
  </conditionalFormatting>
  <conditionalFormatting sqref="CH58:CH60 CB59:CB60 CE59:CE60 CN59:CN60 CQ59:CQ60 CT59:CT60 CN62:CN68 CQ62:CQ68 CH63:CH68 CK63:CK68 CB65:CB67 CE65 CT65:CT68 BY67:BY68 CE67:CE68 AM82:AM83 AD83:AD84 AJ83:AJ84 CE83:CE85 CH83:CH84 CK83:CK84 CN83:CN84 AG84 AM85 CK86:CK92 CN86:CN92 AS87 AD88 AG88:AG90 AM88:AM89 AD90 AD92">
    <cfRule type="colorScale" priority="20">
      <colorScale>
        <cfvo type="min"/>
        <cfvo type="max"/>
        <color rgb="FFFFFFFF"/>
        <color rgb="FF57BB8A"/>
      </colorScale>
    </cfRule>
  </conditionalFormatting>
  <conditionalFormatting sqref="CH59:CH61 CB60:CB61 CE60:CE61 CN60:CN61 CQ60:CQ61 CT60:CT61 CH63:CH69 CK63:CK69 CN63:CN69 CQ63:CQ69 CT65 CB66:CB67 CE67:CE68 CT67:CT69 BY68:BY69 AM82 AD83:AD84 AG84 AJ84:AJ85 CE84:CE86 CH84:CH85 CK84:CK85 CN84:CN85 AM85:AM86 AS87 CK87:CK93 CN87:CN93 AM88:AM89 AG89:AG90 AD90 AD92">
    <cfRule type="colorScale" priority="21">
      <colorScale>
        <cfvo type="min"/>
        <cfvo type="max"/>
        <color rgb="FFFFFFFF"/>
        <color rgb="FF57BB8A"/>
      </colorScale>
    </cfRule>
  </conditionalFormatting>
  <conditionalFormatting sqref="CH59:CH63 CE60:CE62 CN60:CN63 CQ60:CQ63 CT60:CT63 CB61:CB62 CK63 CH65 CK65 CN65 CQ65 BY68:BY70 CH84:CH86 CE84:CE87 CK84:CK87 CN84:CN87 CK89 CN89 BV60:BV61 BY60:BY61 BV65 BY65 CB67 BY84 BV84:BV85 AM85 AS87 BY87:BY89 CE91 BY91:BY95 CE95:CE96 BY99 BY101 AJ130:AJ131 AM131:AM135 AJ133:AJ136">
    <cfRule type="expression" dxfId="133" priority="17">
      <formula>(#REF!="출결제외")</formula>
    </cfRule>
  </conditionalFormatting>
  <conditionalFormatting sqref="CH59:CH63 CE67 AM85:AM90 BK59:BK60 BN59:BN63 CE60:CE62 BV60:BV63 BY60:BY63 CN60:CN63 CQ60:CQ63 CT60:CT63 BK62:BK64 BV65 BY65 CH65 CK65 CN65 CQ65 CT65 AM82:AM83 BV82:BV86 AP83:AP87 AD83:AD88 AJ83:AJ92 BY84 CE84:CE86 CH84:CH86 CK84:CK87 CN84:CN87 AG84:AG92 AS87 BY87:BY89 CK89 CN89 AD90 BY91 AD92 CE95:CE97 BY99 BY101">
    <cfRule type="expression" dxfId="132" priority="10">
      <formula>(#REF!="출결제외")</formula>
    </cfRule>
  </conditionalFormatting>
  <conditionalFormatting sqref="CH60:CH68 CB61:CB62 CE61:CE62 CN61:CN62 CQ61:CQ62 CT62 CK63:CK68 CN65:CN68 CQ65:CQ68 BY70 CH70 CK70 CN70 CQ70 CT70 AM83 CE85:CE87 CH85:CH86 CK85:CK86 CN85:CN86 AJ86 AM86 CK89:CK92 CN89:CN92 CK94 CN94">
    <cfRule type="colorScale" priority="16">
      <colorScale>
        <cfvo type="min"/>
        <cfvo type="max"/>
        <color rgb="FFFFFFFF"/>
        <color rgb="FF57BB8A"/>
      </colorScale>
    </cfRule>
  </conditionalFormatting>
  <conditionalFormatting sqref="CH60:CH70 CB61:CB62 CE61:CE62 CN61:CN62 CQ61:CQ62 CT61:CT62 CK63:CK70 CN64:CN70 CQ64:CQ70 CB67 CE68 BY69:BY70 CT69:CT70 AM83 AJ85:AJ86 AM85:AM86 CE85:CE87 CH85:CH86 CK85:CK86 CN85:CN86 AS87 CK88:CK94 CN88:CN94">
    <cfRule type="colorScale" priority="18">
      <colorScale>
        <cfvo type="min"/>
        <cfvo type="max"/>
        <color rgb="FFFFFFFF"/>
        <color rgb="FF57BB8A"/>
      </colorScale>
    </cfRule>
  </conditionalFormatting>
  <conditionalFormatting sqref="CH63:CH64 O164">
    <cfRule type="expression" dxfId="131" priority="3">
      <formula>$AH63="출결제외"</formula>
    </cfRule>
    <cfRule type="expression" dxfId="130" priority="4">
      <formula>$AH63="중복"</formula>
    </cfRule>
  </conditionalFormatting>
  <conditionalFormatting sqref="CK63 BY69:BY70 BE83:BE87 BH84:BH87 BK84:BK87 AP89:AP90 AS91">
    <cfRule type="expression" dxfId="129" priority="13">
      <formula>(#REF!="출결제외")</formula>
    </cfRule>
  </conditionalFormatting>
  <conditionalFormatting sqref="CN156 CQ156 CT156">
    <cfRule type="containsText" dxfId="128" priority="67" operator="containsText" text="출결제외">
      <formula>NOT(ISERROR(SEARCH(("출결제외"),(CN156))))</formula>
    </cfRule>
  </conditionalFormatting>
  <conditionalFormatting sqref="CN156">
    <cfRule type="expression" dxfId="127" priority="66">
      <formula>$AJ156="중복"</formula>
    </cfRule>
    <cfRule type="expression" dxfId="126" priority="68">
      <formula>$AJ156="출결제외"</formula>
    </cfRule>
  </conditionalFormatting>
  <conditionalFormatting sqref="CQ156 CT156">
    <cfRule type="expression" dxfId="125" priority="64">
      <formula>$AJ156="중복"</formula>
    </cfRule>
    <cfRule type="expression" dxfId="124" priority="65">
      <formula>$AJ156="출결제외"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E562-AA80-4861-B473-7B4DE9F228DC}">
  <dimension ref="A1:AN719"/>
  <sheetViews>
    <sheetView tabSelected="1" workbookViewId="0">
      <selection activeCell="K20" sqref="K20"/>
    </sheetView>
  </sheetViews>
  <sheetFormatPr defaultRowHeight="14.4"/>
  <sheetData>
    <row r="1" spans="1:40">
      <c r="A1" t="s">
        <v>914</v>
      </c>
      <c r="B1" t="s">
        <v>912</v>
      </c>
      <c r="C1" t="s">
        <v>915</v>
      </c>
      <c r="D1" t="s">
        <v>916</v>
      </c>
      <c r="E1" t="s">
        <v>917</v>
      </c>
      <c r="F1" t="s">
        <v>918</v>
      </c>
      <c r="G1" t="s">
        <v>919</v>
      </c>
      <c r="H1" t="s">
        <v>173</v>
      </c>
      <c r="I1" t="s">
        <v>55</v>
      </c>
      <c r="J1" t="s">
        <v>920</v>
      </c>
      <c r="K1" t="s">
        <v>921</v>
      </c>
      <c r="L1" t="s">
        <v>922</v>
      </c>
      <c r="M1" t="s">
        <v>923</v>
      </c>
      <c r="N1" t="s">
        <v>924</v>
      </c>
      <c r="O1" t="s">
        <v>319</v>
      </c>
      <c r="P1" t="s">
        <v>925</v>
      </c>
      <c r="Q1" t="s">
        <v>926</v>
      </c>
      <c r="R1" t="s">
        <v>927</v>
      </c>
      <c r="S1" t="s">
        <v>928</v>
      </c>
      <c r="T1" t="s">
        <v>929</v>
      </c>
      <c r="U1" t="s">
        <v>930</v>
      </c>
      <c r="V1" t="s">
        <v>931</v>
      </c>
      <c r="W1" t="s">
        <v>932</v>
      </c>
      <c r="X1" t="s">
        <v>933</v>
      </c>
      <c r="Y1" t="s">
        <v>934</v>
      </c>
      <c r="Z1" t="s">
        <v>935</v>
      </c>
      <c r="AA1" t="s">
        <v>936</v>
      </c>
      <c r="AB1" t="s">
        <v>937</v>
      </c>
      <c r="AC1" t="s">
        <v>938</v>
      </c>
      <c r="AD1" t="s">
        <v>939</v>
      </c>
      <c r="AE1" t="s">
        <v>940</v>
      </c>
      <c r="AF1" t="s">
        <v>941</v>
      </c>
      <c r="AG1" t="s">
        <v>942</v>
      </c>
      <c r="AH1" t="s">
        <v>943</v>
      </c>
      <c r="AI1" t="s">
        <v>944</v>
      </c>
      <c r="AJ1" t="s">
        <v>945</v>
      </c>
      <c r="AK1" t="s">
        <v>946</v>
      </c>
      <c r="AL1" t="s">
        <v>947</v>
      </c>
      <c r="AM1" t="s">
        <v>5083</v>
      </c>
      <c r="AN1" t="s">
        <v>5084</v>
      </c>
    </row>
    <row r="2" spans="1:40">
      <c r="A2">
        <v>0</v>
      </c>
      <c r="C2">
        <v>0</v>
      </c>
      <c r="P2" t="s">
        <v>948</v>
      </c>
      <c r="Q2" t="s">
        <v>3</v>
      </c>
      <c r="U2" t="s">
        <v>949</v>
      </c>
      <c r="W2" t="s">
        <v>950</v>
      </c>
      <c r="Y2">
        <v>126</v>
      </c>
      <c r="Z2" t="s">
        <v>951</v>
      </c>
      <c r="AA2" t="s">
        <v>952</v>
      </c>
      <c r="AC2" t="s">
        <v>953</v>
      </c>
      <c r="AD2" t="s">
        <v>954</v>
      </c>
      <c r="AE2" t="s">
        <v>954</v>
      </c>
      <c r="AG2" t="s">
        <v>955</v>
      </c>
    </row>
    <row r="3" spans="1:40">
      <c r="A3">
        <v>1</v>
      </c>
      <c r="B3" t="s">
        <v>956</v>
      </c>
      <c r="C3">
        <v>12</v>
      </c>
      <c r="D3" t="s">
        <v>957</v>
      </c>
      <c r="E3" t="s">
        <v>958</v>
      </c>
      <c r="F3" t="s">
        <v>956</v>
      </c>
      <c r="G3" t="s">
        <v>64</v>
      </c>
      <c r="H3" t="s">
        <v>956</v>
      </c>
      <c r="I3" t="s">
        <v>956</v>
      </c>
      <c r="J3" t="s">
        <v>959</v>
      </c>
      <c r="N3" t="s">
        <v>960</v>
      </c>
      <c r="P3" t="s">
        <v>173</v>
      </c>
      <c r="Q3" t="s">
        <v>961</v>
      </c>
      <c r="S3" t="s">
        <v>55</v>
      </c>
      <c r="T3" t="s">
        <v>962</v>
      </c>
      <c r="U3" t="s">
        <v>64</v>
      </c>
      <c r="V3" t="s">
        <v>4949</v>
      </c>
      <c r="W3" t="s">
        <v>963</v>
      </c>
      <c r="X3">
        <v>32431</v>
      </c>
      <c r="Y3">
        <v>37</v>
      </c>
      <c r="Z3" t="s">
        <v>964</v>
      </c>
      <c r="AA3" t="s">
        <v>965</v>
      </c>
      <c r="AB3" t="s">
        <v>966</v>
      </c>
      <c r="AC3" t="s">
        <v>953</v>
      </c>
      <c r="AD3" t="s">
        <v>967</v>
      </c>
      <c r="AE3" t="s">
        <v>954</v>
      </c>
      <c r="AF3" t="s">
        <v>968</v>
      </c>
    </row>
    <row r="4" spans="1:40">
      <c r="A4">
        <v>2</v>
      </c>
      <c r="B4" t="s">
        <v>969</v>
      </c>
      <c r="C4">
        <v>10</v>
      </c>
      <c r="D4" t="s">
        <v>957</v>
      </c>
      <c r="E4" t="s">
        <v>958</v>
      </c>
      <c r="F4" t="s">
        <v>956</v>
      </c>
      <c r="G4" t="s">
        <v>64</v>
      </c>
      <c r="H4" t="s">
        <v>956</v>
      </c>
      <c r="I4" t="s">
        <v>956</v>
      </c>
      <c r="J4" t="s">
        <v>959</v>
      </c>
      <c r="N4" t="s">
        <v>960</v>
      </c>
      <c r="T4" t="s">
        <v>962</v>
      </c>
      <c r="U4" t="s">
        <v>77</v>
      </c>
      <c r="V4" t="s">
        <v>970</v>
      </c>
      <c r="W4" t="s">
        <v>963</v>
      </c>
      <c r="X4">
        <v>32370</v>
      </c>
      <c r="Y4">
        <v>37</v>
      </c>
      <c r="Z4" t="s">
        <v>971</v>
      </c>
      <c r="AA4" t="s">
        <v>972</v>
      </c>
      <c r="AB4" t="s">
        <v>966</v>
      </c>
      <c r="AC4" t="s">
        <v>953</v>
      </c>
      <c r="AD4" t="s">
        <v>973</v>
      </c>
      <c r="AE4" t="s">
        <v>954</v>
      </c>
      <c r="AF4" t="s">
        <v>974</v>
      </c>
    </row>
    <row r="5" spans="1:40">
      <c r="A5">
        <v>3</v>
      </c>
      <c r="B5" t="s">
        <v>975</v>
      </c>
      <c r="C5">
        <v>8</v>
      </c>
      <c r="D5" t="s">
        <v>957</v>
      </c>
      <c r="E5" t="s">
        <v>958</v>
      </c>
      <c r="F5" t="s">
        <v>956</v>
      </c>
      <c r="G5" t="s">
        <v>64</v>
      </c>
      <c r="H5" t="s">
        <v>956</v>
      </c>
      <c r="I5" t="s">
        <v>956</v>
      </c>
      <c r="J5" t="s">
        <v>959</v>
      </c>
      <c r="N5" t="s">
        <v>960</v>
      </c>
      <c r="T5" t="s">
        <v>962</v>
      </c>
      <c r="U5" t="s">
        <v>90</v>
      </c>
      <c r="V5" t="s">
        <v>976</v>
      </c>
      <c r="W5" t="s">
        <v>963</v>
      </c>
      <c r="X5">
        <v>32279</v>
      </c>
      <c r="Y5">
        <v>37</v>
      </c>
      <c r="Z5" t="s">
        <v>977</v>
      </c>
      <c r="AA5" t="s">
        <v>978</v>
      </c>
      <c r="AB5" t="s">
        <v>966</v>
      </c>
      <c r="AC5" t="s">
        <v>953</v>
      </c>
      <c r="AD5" t="s">
        <v>973</v>
      </c>
      <c r="AE5" t="s">
        <v>954</v>
      </c>
      <c r="AF5" t="s">
        <v>974</v>
      </c>
    </row>
    <row r="6" spans="1:40">
      <c r="A6">
        <v>4</v>
      </c>
      <c r="B6" t="s">
        <v>979</v>
      </c>
      <c r="C6">
        <v>6</v>
      </c>
      <c r="D6" t="s">
        <v>957</v>
      </c>
      <c r="E6" t="s">
        <v>958</v>
      </c>
      <c r="F6" t="s">
        <v>956</v>
      </c>
      <c r="G6" t="s">
        <v>64</v>
      </c>
      <c r="H6" t="s">
        <v>956</v>
      </c>
      <c r="I6" t="s">
        <v>956</v>
      </c>
      <c r="J6" t="s">
        <v>959</v>
      </c>
      <c r="N6" t="s">
        <v>960</v>
      </c>
      <c r="T6" t="s">
        <v>962</v>
      </c>
      <c r="U6" t="s">
        <v>99</v>
      </c>
      <c r="V6" t="s">
        <v>980</v>
      </c>
      <c r="W6" t="s">
        <v>963</v>
      </c>
      <c r="X6">
        <v>31456</v>
      </c>
      <c r="Y6">
        <v>39</v>
      </c>
      <c r="Z6" t="s">
        <v>981</v>
      </c>
      <c r="AA6" t="s">
        <v>982</v>
      </c>
      <c r="AB6" t="s">
        <v>966</v>
      </c>
      <c r="AC6" t="s">
        <v>953</v>
      </c>
      <c r="AD6" t="s">
        <v>973</v>
      </c>
      <c r="AE6" t="s">
        <v>954</v>
      </c>
      <c r="AF6" t="s">
        <v>974</v>
      </c>
    </row>
    <row r="7" spans="1:40">
      <c r="A7">
        <v>5</v>
      </c>
      <c r="B7" t="s">
        <v>983</v>
      </c>
      <c r="C7">
        <v>4</v>
      </c>
      <c r="D7" t="s">
        <v>957</v>
      </c>
      <c r="E7" t="s">
        <v>958</v>
      </c>
      <c r="F7" t="s">
        <v>956</v>
      </c>
      <c r="G7" t="s">
        <v>64</v>
      </c>
      <c r="H7" t="s">
        <v>956</v>
      </c>
      <c r="I7" t="s">
        <v>956</v>
      </c>
      <c r="J7" t="s">
        <v>959</v>
      </c>
      <c r="N7" t="s">
        <v>960</v>
      </c>
      <c r="T7" t="s">
        <v>962</v>
      </c>
      <c r="U7" t="s">
        <v>66</v>
      </c>
      <c r="V7" t="s">
        <v>984</v>
      </c>
      <c r="W7" t="s">
        <v>963</v>
      </c>
      <c r="X7">
        <v>33599</v>
      </c>
      <c r="Y7">
        <v>34</v>
      </c>
      <c r="Z7" t="s">
        <v>985</v>
      </c>
      <c r="AB7" t="s">
        <v>966</v>
      </c>
      <c r="AC7" t="s">
        <v>953</v>
      </c>
      <c r="AD7" t="s">
        <v>973</v>
      </c>
      <c r="AE7" t="s">
        <v>954</v>
      </c>
      <c r="AF7" t="s">
        <v>974</v>
      </c>
    </row>
    <row r="8" spans="1:40">
      <c r="A8">
        <v>6</v>
      </c>
      <c r="B8" t="s">
        <v>986</v>
      </c>
      <c r="C8">
        <v>2</v>
      </c>
      <c r="D8" t="s">
        <v>957</v>
      </c>
      <c r="E8" t="s">
        <v>958</v>
      </c>
      <c r="F8" t="s">
        <v>956</v>
      </c>
      <c r="G8" t="s">
        <v>64</v>
      </c>
      <c r="H8" t="s">
        <v>956</v>
      </c>
      <c r="I8" t="s">
        <v>956</v>
      </c>
      <c r="J8" t="s">
        <v>959</v>
      </c>
      <c r="N8" t="s">
        <v>960</v>
      </c>
      <c r="Q8" t="s">
        <v>514</v>
      </c>
      <c r="S8" t="s">
        <v>55</v>
      </c>
      <c r="T8" t="s">
        <v>962</v>
      </c>
      <c r="U8" t="s">
        <v>78</v>
      </c>
      <c r="V8" t="s">
        <v>987</v>
      </c>
      <c r="W8" t="s">
        <v>963</v>
      </c>
      <c r="X8">
        <v>33031</v>
      </c>
      <c r="Y8">
        <v>35</v>
      </c>
      <c r="Z8" t="s">
        <v>988</v>
      </c>
      <c r="AA8" t="s">
        <v>989</v>
      </c>
      <c r="AB8" t="s">
        <v>966</v>
      </c>
      <c r="AC8" t="s">
        <v>953</v>
      </c>
      <c r="AD8" t="s">
        <v>729</v>
      </c>
      <c r="AE8" t="s">
        <v>954</v>
      </c>
      <c r="AF8" t="s">
        <v>974</v>
      </c>
    </row>
    <row r="9" spans="1:40">
      <c r="A9">
        <v>8</v>
      </c>
      <c r="B9" t="s">
        <v>990</v>
      </c>
      <c r="C9">
        <v>4</v>
      </c>
      <c r="D9" t="s">
        <v>957</v>
      </c>
      <c r="E9" t="s">
        <v>991</v>
      </c>
      <c r="F9" t="s">
        <v>956</v>
      </c>
      <c r="G9" t="s">
        <v>64</v>
      </c>
      <c r="H9" t="s">
        <v>956</v>
      </c>
      <c r="I9" t="s">
        <v>956</v>
      </c>
      <c r="J9" t="s">
        <v>959</v>
      </c>
      <c r="N9" t="s">
        <v>960</v>
      </c>
      <c r="T9" t="s">
        <v>992</v>
      </c>
      <c r="U9" t="s">
        <v>908</v>
      </c>
      <c r="V9" t="s">
        <v>993</v>
      </c>
      <c r="W9" t="s">
        <v>963</v>
      </c>
      <c r="X9">
        <v>32741</v>
      </c>
      <c r="Y9">
        <v>36</v>
      </c>
      <c r="Z9" t="s">
        <v>994</v>
      </c>
      <c r="AA9" t="s">
        <v>995</v>
      </c>
      <c r="AB9" t="s">
        <v>996</v>
      </c>
      <c r="AC9" t="s">
        <v>997</v>
      </c>
      <c r="AD9" t="s">
        <v>729</v>
      </c>
      <c r="AE9" t="s">
        <v>954</v>
      </c>
      <c r="AF9" t="s">
        <v>998</v>
      </c>
      <c r="AI9" t="s">
        <v>999</v>
      </c>
    </row>
    <row r="10" spans="1:40">
      <c r="A10">
        <v>9</v>
      </c>
      <c r="B10" t="s">
        <v>1000</v>
      </c>
      <c r="C10">
        <v>6</v>
      </c>
      <c r="D10" t="s">
        <v>957</v>
      </c>
      <c r="E10" t="s">
        <v>1001</v>
      </c>
      <c r="F10" t="s">
        <v>956</v>
      </c>
      <c r="G10" t="s">
        <v>64</v>
      </c>
      <c r="H10" t="s">
        <v>956</v>
      </c>
      <c r="I10" t="s">
        <v>956</v>
      </c>
      <c r="J10" t="s">
        <v>959</v>
      </c>
      <c r="N10" t="s">
        <v>960</v>
      </c>
      <c r="Q10" t="s">
        <v>1002</v>
      </c>
      <c r="T10" t="s">
        <v>992</v>
      </c>
      <c r="U10" t="s">
        <v>53</v>
      </c>
      <c r="V10" t="s">
        <v>1003</v>
      </c>
      <c r="W10" t="s">
        <v>963</v>
      </c>
      <c r="X10">
        <v>32377</v>
      </c>
      <c r="Y10">
        <v>37</v>
      </c>
      <c r="Z10" t="s">
        <v>1004</v>
      </c>
      <c r="AA10" t="s">
        <v>1005</v>
      </c>
      <c r="AB10" t="s">
        <v>1006</v>
      </c>
      <c r="AC10" t="s">
        <v>953</v>
      </c>
      <c r="AD10" t="s">
        <v>729</v>
      </c>
      <c r="AE10" t="s">
        <v>954</v>
      </c>
      <c r="AF10" t="s">
        <v>974</v>
      </c>
    </row>
    <row r="11" spans="1:40">
      <c r="A11">
        <v>10</v>
      </c>
      <c r="B11" t="s">
        <v>1007</v>
      </c>
      <c r="C11">
        <v>8</v>
      </c>
      <c r="D11" t="s">
        <v>957</v>
      </c>
      <c r="E11" t="s">
        <v>1001</v>
      </c>
      <c r="F11" t="s">
        <v>956</v>
      </c>
      <c r="G11" t="s">
        <v>64</v>
      </c>
      <c r="H11" t="s">
        <v>956</v>
      </c>
      <c r="I11" t="s">
        <v>956</v>
      </c>
      <c r="J11" t="s">
        <v>959</v>
      </c>
      <c r="N11" t="s">
        <v>960</v>
      </c>
      <c r="Q11" t="s">
        <v>1002</v>
      </c>
      <c r="T11" t="s">
        <v>992</v>
      </c>
      <c r="U11" t="s">
        <v>56</v>
      </c>
      <c r="V11" t="s">
        <v>1008</v>
      </c>
      <c r="W11" t="s">
        <v>963</v>
      </c>
      <c r="X11">
        <v>32305</v>
      </c>
      <c r="Y11">
        <v>37</v>
      </c>
      <c r="Z11" t="s">
        <v>1009</v>
      </c>
      <c r="AA11" t="s">
        <v>1010</v>
      </c>
      <c r="AB11" t="s">
        <v>1006</v>
      </c>
      <c r="AC11" t="s">
        <v>953</v>
      </c>
      <c r="AD11" t="s">
        <v>729</v>
      </c>
      <c r="AE11" t="s">
        <v>954</v>
      </c>
      <c r="AF11" t="s">
        <v>968</v>
      </c>
      <c r="AI11" t="s">
        <v>1011</v>
      </c>
    </row>
    <row r="12" spans="1:40">
      <c r="A12">
        <v>12</v>
      </c>
      <c r="B12" t="s">
        <v>1012</v>
      </c>
      <c r="C12">
        <v>10</v>
      </c>
      <c r="D12" t="s">
        <v>957</v>
      </c>
      <c r="E12" t="s">
        <v>1013</v>
      </c>
      <c r="F12" t="s">
        <v>956</v>
      </c>
      <c r="G12" t="s">
        <v>64</v>
      </c>
      <c r="H12" t="s">
        <v>956</v>
      </c>
      <c r="I12" t="s">
        <v>959</v>
      </c>
      <c r="J12" t="s">
        <v>959</v>
      </c>
      <c r="N12" t="s">
        <v>1014</v>
      </c>
      <c r="T12" t="s">
        <v>1015</v>
      </c>
      <c r="U12" t="s">
        <v>904</v>
      </c>
      <c r="V12" t="s">
        <v>1016</v>
      </c>
      <c r="W12" t="s">
        <v>950</v>
      </c>
      <c r="X12">
        <v>31075</v>
      </c>
      <c r="Y12">
        <v>41</v>
      </c>
      <c r="Z12" t="s">
        <v>1017</v>
      </c>
      <c r="AB12" t="s">
        <v>966</v>
      </c>
      <c r="AC12" t="s">
        <v>1018</v>
      </c>
      <c r="AD12" t="s">
        <v>729</v>
      </c>
      <c r="AE12" t="s">
        <v>954</v>
      </c>
      <c r="AF12" t="s">
        <v>974</v>
      </c>
      <c r="AH12" t="s">
        <v>1019</v>
      </c>
      <c r="AJ12" t="s">
        <v>1020</v>
      </c>
    </row>
    <row r="13" spans="1:40">
      <c r="A13">
        <v>14</v>
      </c>
      <c r="B13" t="s">
        <v>1021</v>
      </c>
      <c r="C13">
        <v>12</v>
      </c>
      <c r="D13" t="s">
        <v>957</v>
      </c>
      <c r="E13" t="s">
        <v>1013</v>
      </c>
      <c r="F13" t="s">
        <v>956</v>
      </c>
      <c r="G13" t="s">
        <v>64</v>
      </c>
      <c r="H13" t="s">
        <v>956</v>
      </c>
      <c r="I13" t="s">
        <v>959</v>
      </c>
      <c r="J13" t="s">
        <v>959</v>
      </c>
      <c r="N13" t="s">
        <v>1014</v>
      </c>
      <c r="T13" t="s">
        <v>1015</v>
      </c>
      <c r="U13" t="s">
        <v>906</v>
      </c>
      <c r="V13" t="s">
        <v>1022</v>
      </c>
      <c r="W13" t="s">
        <v>950</v>
      </c>
      <c r="X13">
        <v>23079</v>
      </c>
      <c r="Y13">
        <v>62</v>
      </c>
      <c r="Z13" t="s">
        <v>1023</v>
      </c>
      <c r="AA13" t="s">
        <v>1024</v>
      </c>
      <c r="AB13" t="s">
        <v>996</v>
      </c>
      <c r="AC13" t="s">
        <v>1018</v>
      </c>
      <c r="AD13" t="s">
        <v>246</v>
      </c>
      <c r="AE13" t="s">
        <v>954</v>
      </c>
      <c r="AF13" t="s">
        <v>968</v>
      </c>
      <c r="AH13" t="s">
        <v>1019</v>
      </c>
      <c r="AI13" t="s">
        <v>1025</v>
      </c>
      <c r="AJ13" t="s">
        <v>1020</v>
      </c>
    </row>
    <row r="14" spans="1:40">
      <c r="A14">
        <v>15</v>
      </c>
      <c r="B14" t="s">
        <v>1026</v>
      </c>
      <c r="C14">
        <v>14</v>
      </c>
      <c r="D14" t="s">
        <v>957</v>
      </c>
      <c r="E14" t="s">
        <v>1013</v>
      </c>
      <c r="F14" t="s">
        <v>956</v>
      </c>
      <c r="G14" t="s">
        <v>64</v>
      </c>
      <c r="H14" t="s">
        <v>956</v>
      </c>
      <c r="I14" t="s">
        <v>959</v>
      </c>
      <c r="J14" t="s">
        <v>959</v>
      </c>
      <c r="N14" t="s">
        <v>1014</v>
      </c>
      <c r="T14" t="s">
        <v>1015</v>
      </c>
      <c r="U14" t="s">
        <v>67</v>
      </c>
      <c r="V14" t="s">
        <v>1027</v>
      </c>
      <c r="W14" t="s">
        <v>950</v>
      </c>
      <c r="X14">
        <v>33815</v>
      </c>
      <c r="Y14">
        <v>33</v>
      </c>
      <c r="Z14" t="s">
        <v>1028</v>
      </c>
      <c r="AB14" t="s">
        <v>966</v>
      </c>
      <c r="AC14" t="s">
        <v>1018</v>
      </c>
      <c r="AD14" t="s">
        <v>973</v>
      </c>
      <c r="AE14" t="s">
        <v>954</v>
      </c>
      <c r="AF14" t="s">
        <v>998</v>
      </c>
    </row>
    <row r="15" spans="1:40">
      <c r="A15">
        <v>16</v>
      </c>
      <c r="B15" t="s">
        <v>1029</v>
      </c>
      <c r="C15">
        <v>16</v>
      </c>
      <c r="D15" t="s">
        <v>957</v>
      </c>
      <c r="E15" t="s">
        <v>1013</v>
      </c>
      <c r="F15" t="s">
        <v>956</v>
      </c>
      <c r="G15" t="s">
        <v>64</v>
      </c>
      <c r="H15" t="s">
        <v>956</v>
      </c>
      <c r="I15" t="s">
        <v>959</v>
      </c>
      <c r="J15" t="s">
        <v>959</v>
      </c>
      <c r="N15" t="s">
        <v>1014</v>
      </c>
      <c r="T15" t="s">
        <v>1015</v>
      </c>
      <c r="U15" t="s">
        <v>79</v>
      </c>
      <c r="V15" t="s">
        <v>1030</v>
      </c>
      <c r="W15" t="s">
        <v>950</v>
      </c>
      <c r="X15">
        <v>32547</v>
      </c>
      <c r="Y15">
        <v>36</v>
      </c>
      <c r="Z15" t="s">
        <v>1031</v>
      </c>
      <c r="AB15" t="s">
        <v>966</v>
      </c>
      <c r="AC15" t="s">
        <v>1018</v>
      </c>
      <c r="AD15" t="s">
        <v>973</v>
      </c>
      <c r="AE15" t="s">
        <v>954</v>
      </c>
      <c r="AF15" t="s">
        <v>968</v>
      </c>
    </row>
    <row r="16" spans="1:40">
      <c r="A16">
        <v>18</v>
      </c>
      <c r="B16" t="s">
        <v>1032</v>
      </c>
      <c r="C16">
        <v>18</v>
      </c>
      <c r="D16" t="s">
        <v>957</v>
      </c>
      <c r="E16" t="s">
        <v>1001</v>
      </c>
      <c r="F16" t="s">
        <v>956</v>
      </c>
      <c r="G16" t="s">
        <v>64</v>
      </c>
      <c r="H16" t="s">
        <v>956</v>
      </c>
      <c r="I16" t="s">
        <v>1033</v>
      </c>
      <c r="J16" t="s">
        <v>959</v>
      </c>
      <c r="N16" t="s">
        <v>1014</v>
      </c>
      <c r="T16" t="s">
        <v>992</v>
      </c>
      <c r="U16" t="s">
        <v>127</v>
      </c>
      <c r="V16" t="s">
        <v>1034</v>
      </c>
      <c r="W16" t="s">
        <v>950</v>
      </c>
      <c r="X16">
        <v>33012</v>
      </c>
      <c r="Y16">
        <v>35</v>
      </c>
      <c r="Z16" t="s">
        <v>1035</v>
      </c>
      <c r="AB16" t="s">
        <v>996</v>
      </c>
      <c r="AC16" t="s">
        <v>1018</v>
      </c>
      <c r="AD16" t="s">
        <v>246</v>
      </c>
      <c r="AE16" t="s">
        <v>954</v>
      </c>
      <c r="AI16" t="s">
        <v>1025</v>
      </c>
    </row>
    <row r="17" spans="1:36">
      <c r="A17">
        <v>19</v>
      </c>
      <c r="B17" t="s">
        <v>1036</v>
      </c>
      <c r="C17">
        <v>20</v>
      </c>
      <c r="D17" t="s">
        <v>957</v>
      </c>
      <c r="E17" t="s">
        <v>1013</v>
      </c>
      <c r="F17" t="s">
        <v>956</v>
      </c>
      <c r="G17" t="s">
        <v>64</v>
      </c>
      <c r="H17" t="s">
        <v>956</v>
      </c>
      <c r="I17" t="s">
        <v>1037</v>
      </c>
      <c r="J17" t="s">
        <v>1038</v>
      </c>
      <c r="N17" t="s">
        <v>1014</v>
      </c>
      <c r="T17" t="s">
        <v>1015</v>
      </c>
      <c r="U17" t="s">
        <v>112</v>
      </c>
      <c r="V17" t="s">
        <v>1039</v>
      </c>
      <c r="W17" t="s">
        <v>950</v>
      </c>
      <c r="X17">
        <v>22276</v>
      </c>
      <c r="Y17">
        <v>65</v>
      </c>
      <c r="Z17" t="s">
        <v>1040</v>
      </c>
      <c r="AB17" t="s">
        <v>996</v>
      </c>
      <c r="AC17" t="s">
        <v>953</v>
      </c>
      <c r="AD17" t="s">
        <v>1041</v>
      </c>
      <c r="AE17" t="s">
        <v>954</v>
      </c>
      <c r="AF17" t="s">
        <v>974</v>
      </c>
    </row>
    <row r="18" spans="1:36">
      <c r="A18">
        <v>20</v>
      </c>
      <c r="B18" t="s">
        <v>1042</v>
      </c>
      <c r="C18">
        <v>22</v>
      </c>
      <c r="D18" t="s">
        <v>957</v>
      </c>
      <c r="E18" t="s">
        <v>1013</v>
      </c>
      <c r="F18" t="s">
        <v>956</v>
      </c>
      <c r="G18" t="s">
        <v>64</v>
      </c>
      <c r="H18" t="s">
        <v>956</v>
      </c>
      <c r="I18" t="s">
        <v>1042</v>
      </c>
      <c r="J18" t="s">
        <v>1043</v>
      </c>
      <c r="N18" t="s">
        <v>1044</v>
      </c>
      <c r="P18" t="s">
        <v>55</v>
      </c>
      <c r="Q18" t="s">
        <v>55</v>
      </c>
      <c r="T18" t="s">
        <v>1015</v>
      </c>
      <c r="U18" t="s">
        <v>58</v>
      </c>
      <c r="V18" t="s">
        <v>1045</v>
      </c>
      <c r="W18" t="s">
        <v>950</v>
      </c>
      <c r="X18">
        <v>33312</v>
      </c>
      <c r="Y18">
        <v>34</v>
      </c>
      <c r="Z18" t="s">
        <v>1046</v>
      </c>
      <c r="AA18" t="s">
        <v>1047</v>
      </c>
      <c r="AB18" t="s">
        <v>966</v>
      </c>
      <c r="AC18" t="s">
        <v>953</v>
      </c>
      <c r="AD18" t="s">
        <v>973</v>
      </c>
      <c r="AE18" t="s">
        <v>954</v>
      </c>
      <c r="AF18" t="s">
        <v>974</v>
      </c>
    </row>
    <row r="19" spans="1:36">
      <c r="A19">
        <v>21</v>
      </c>
      <c r="B19" t="s">
        <v>1043</v>
      </c>
      <c r="C19">
        <v>24</v>
      </c>
      <c r="D19" t="s">
        <v>957</v>
      </c>
      <c r="E19" t="s">
        <v>1013</v>
      </c>
      <c r="F19" t="s">
        <v>956</v>
      </c>
      <c r="G19" t="s">
        <v>64</v>
      </c>
      <c r="H19" t="s">
        <v>956</v>
      </c>
      <c r="I19" t="s">
        <v>1042</v>
      </c>
      <c r="J19" t="s">
        <v>1043</v>
      </c>
      <c r="N19" t="s">
        <v>1044</v>
      </c>
      <c r="P19" t="s">
        <v>69</v>
      </c>
      <c r="Q19" t="s">
        <v>69</v>
      </c>
      <c r="T19" t="s">
        <v>1015</v>
      </c>
      <c r="U19" t="s">
        <v>68</v>
      </c>
      <c r="V19" t="s">
        <v>1048</v>
      </c>
      <c r="W19" t="s">
        <v>950</v>
      </c>
      <c r="X19">
        <v>32771</v>
      </c>
      <c r="Y19">
        <v>36</v>
      </c>
      <c r="Z19" t="s">
        <v>1049</v>
      </c>
      <c r="AA19" t="s">
        <v>1050</v>
      </c>
      <c r="AB19" t="s">
        <v>966</v>
      </c>
      <c r="AC19" t="s">
        <v>953</v>
      </c>
      <c r="AD19" t="s">
        <v>246</v>
      </c>
      <c r="AE19" t="s">
        <v>954</v>
      </c>
      <c r="AF19" t="s">
        <v>974</v>
      </c>
    </row>
    <row r="20" spans="1:36">
      <c r="A20">
        <v>22</v>
      </c>
      <c r="B20" t="s">
        <v>1051</v>
      </c>
      <c r="C20">
        <v>26</v>
      </c>
      <c r="D20" t="s">
        <v>957</v>
      </c>
      <c r="E20" t="s">
        <v>1052</v>
      </c>
      <c r="F20" t="s">
        <v>956</v>
      </c>
      <c r="G20" t="s">
        <v>64</v>
      </c>
      <c r="H20" t="s">
        <v>956</v>
      </c>
      <c r="I20" t="s">
        <v>1042</v>
      </c>
      <c r="J20" t="s">
        <v>1043</v>
      </c>
      <c r="N20" t="s">
        <v>1044</v>
      </c>
      <c r="P20" t="s">
        <v>173</v>
      </c>
      <c r="Q20" t="s">
        <v>514</v>
      </c>
      <c r="T20" t="s">
        <v>1015</v>
      </c>
      <c r="U20" t="s">
        <v>80</v>
      </c>
      <c r="V20" t="s">
        <v>1053</v>
      </c>
      <c r="W20" t="s">
        <v>950</v>
      </c>
      <c r="X20">
        <v>31722</v>
      </c>
      <c r="Y20">
        <v>39</v>
      </c>
      <c r="Z20" t="s">
        <v>1054</v>
      </c>
      <c r="AA20" t="s">
        <v>1055</v>
      </c>
      <c r="AB20" t="s">
        <v>966</v>
      </c>
      <c r="AC20" t="s">
        <v>953</v>
      </c>
      <c r="AD20" t="s">
        <v>729</v>
      </c>
      <c r="AE20" t="s">
        <v>954</v>
      </c>
      <c r="AF20" t="s">
        <v>968</v>
      </c>
      <c r="AH20" t="s">
        <v>1056</v>
      </c>
    </row>
    <row r="21" spans="1:36">
      <c r="A21">
        <v>23</v>
      </c>
      <c r="B21" t="s">
        <v>1057</v>
      </c>
      <c r="C21">
        <v>28</v>
      </c>
      <c r="D21" t="s">
        <v>957</v>
      </c>
      <c r="E21" t="s">
        <v>1013</v>
      </c>
      <c r="F21" t="s">
        <v>956</v>
      </c>
      <c r="G21" t="s">
        <v>64</v>
      </c>
      <c r="H21" t="s">
        <v>956</v>
      </c>
      <c r="I21" t="s">
        <v>1042</v>
      </c>
      <c r="J21" t="s">
        <v>1043</v>
      </c>
      <c r="N21" t="s">
        <v>1044</v>
      </c>
      <c r="T21" t="s">
        <v>1015</v>
      </c>
      <c r="U21" t="s">
        <v>92</v>
      </c>
      <c r="V21" t="s">
        <v>1058</v>
      </c>
      <c r="W21" t="s">
        <v>950</v>
      </c>
      <c r="X21">
        <v>30208</v>
      </c>
      <c r="Y21">
        <v>43</v>
      </c>
      <c r="Z21" t="s">
        <v>1059</v>
      </c>
      <c r="AB21" t="s">
        <v>966</v>
      </c>
      <c r="AC21" t="s">
        <v>953</v>
      </c>
      <c r="AD21" t="s">
        <v>246</v>
      </c>
      <c r="AE21" t="s">
        <v>954</v>
      </c>
      <c r="AF21" t="s">
        <v>974</v>
      </c>
    </row>
    <row r="22" spans="1:36">
      <c r="A22">
        <v>24</v>
      </c>
      <c r="B22" t="s">
        <v>1060</v>
      </c>
      <c r="C22">
        <v>30</v>
      </c>
      <c r="D22" t="s">
        <v>957</v>
      </c>
      <c r="E22" t="s">
        <v>1013</v>
      </c>
      <c r="F22" t="s">
        <v>956</v>
      </c>
      <c r="G22" t="s">
        <v>64</v>
      </c>
      <c r="H22" t="s">
        <v>956</v>
      </c>
      <c r="I22" t="s">
        <v>1042</v>
      </c>
      <c r="J22" t="s">
        <v>1043</v>
      </c>
      <c r="N22" t="s">
        <v>1044</v>
      </c>
      <c r="T22" t="s">
        <v>1015</v>
      </c>
      <c r="U22" t="s">
        <v>102</v>
      </c>
      <c r="V22" t="s">
        <v>1061</v>
      </c>
      <c r="W22" t="s">
        <v>950</v>
      </c>
      <c r="X22">
        <v>31249</v>
      </c>
      <c r="Y22">
        <v>40</v>
      </c>
      <c r="Z22" t="s">
        <v>1062</v>
      </c>
      <c r="AA22" t="s">
        <v>1063</v>
      </c>
      <c r="AB22" t="s">
        <v>966</v>
      </c>
      <c r="AC22" t="s">
        <v>953</v>
      </c>
      <c r="AD22" t="s">
        <v>973</v>
      </c>
      <c r="AE22" t="s">
        <v>954</v>
      </c>
      <c r="AF22" t="s">
        <v>974</v>
      </c>
    </row>
    <row r="23" spans="1:36">
      <c r="A23">
        <v>25</v>
      </c>
      <c r="B23" t="s">
        <v>1064</v>
      </c>
      <c r="C23">
        <v>32</v>
      </c>
      <c r="D23" t="s">
        <v>957</v>
      </c>
      <c r="E23" t="s">
        <v>1013</v>
      </c>
      <c r="F23" t="s">
        <v>956</v>
      </c>
      <c r="G23" t="s">
        <v>64</v>
      </c>
      <c r="H23" t="s">
        <v>956</v>
      </c>
      <c r="I23" t="s">
        <v>1042</v>
      </c>
      <c r="J23" t="s">
        <v>1043</v>
      </c>
      <c r="N23" t="s">
        <v>1044</v>
      </c>
      <c r="T23" t="s">
        <v>1015</v>
      </c>
      <c r="U23" t="s">
        <v>1065</v>
      </c>
      <c r="V23" t="s">
        <v>1066</v>
      </c>
      <c r="W23" t="s">
        <v>950</v>
      </c>
      <c r="X23">
        <v>31736</v>
      </c>
      <c r="Y23">
        <v>39</v>
      </c>
      <c r="Z23" t="s">
        <v>1067</v>
      </c>
      <c r="AB23" t="s">
        <v>1006</v>
      </c>
      <c r="AC23" t="s">
        <v>1018</v>
      </c>
      <c r="AD23" t="s">
        <v>973</v>
      </c>
      <c r="AE23" t="s">
        <v>954</v>
      </c>
      <c r="AF23" t="s">
        <v>974</v>
      </c>
      <c r="AH23" t="s">
        <v>1019</v>
      </c>
      <c r="AJ23" t="s">
        <v>1020</v>
      </c>
    </row>
    <row r="24" spans="1:36">
      <c r="A24">
        <v>26</v>
      </c>
      <c r="B24" t="s">
        <v>1068</v>
      </c>
      <c r="C24">
        <v>34</v>
      </c>
      <c r="D24" t="s">
        <v>957</v>
      </c>
      <c r="E24" t="s">
        <v>1013</v>
      </c>
      <c r="F24" t="s">
        <v>956</v>
      </c>
      <c r="G24" t="s">
        <v>64</v>
      </c>
      <c r="H24" t="s">
        <v>956</v>
      </c>
      <c r="I24" t="s">
        <v>1042</v>
      </c>
      <c r="J24" t="s">
        <v>1043</v>
      </c>
      <c r="N24" t="s">
        <v>1044</v>
      </c>
      <c r="T24" t="s">
        <v>1015</v>
      </c>
      <c r="U24" t="s">
        <v>101</v>
      </c>
      <c r="V24" t="s">
        <v>1069</v>
      </c>
      <c r="W24" t="s">
        <v>950</v>
      </c>
      <c r="X24">
        <v>31062</v>
      </c>
      <c r="Y24">
        <v>41</v>
      </c>
      <c r="Z24" t="s">
        <v>1070</v>
      </c>
      <c r="AB24" t="s">
        <v>966</v>
      </c>
      <c r="AC24" t="s">
        <v>953</v>
      </c>
      <c r="AD24" t="s">
        <v>954</v>
      </c>
      <c r="AE24" t="s">
        <v>954</v>
      </c>
      <c r="AF24" t="s">
        <v>974</v>
      </c>
    </row>
    <row r="25" spans="1:36">
      <c r="A25">
        <v>27</v>
      </c>
      <c r="B25" t="s">
        <v>1071</v>
      </c>
      <c r="C25">
        <v>36</v>
      </c>
      <c r="D25" t="s">
        <v>957</v>
      </c>
      <c r="E25" t="s">
        <v>1013</v>
      </c>
      <c r="F25" t="s">
        <v>956</v>
      </c>
      <c r="G25" t="s">
        <v>64</v>
      </c>
      <c r="H25" t="s">
        <v>956</v>
      </c>
      <c r="I25" t="s">
        <v>1071</v>
      </c>
      <c r="J25" t="s">
        <v>1072</v>
      </c>
      <c r="K25" t="s">
        <v>1073</v>
      </c>
      <c r="N25" t="s">
        <v>1074</v>
      </c>
      <c r="P25" t="s">
        <v>69</v>
      </c>
      <c r="Q25" t="s">
        <v>69</v>
      </c>
      <c r="T25" t="s">
        <v>1015</v>
      </c>
      <c r="U25" t="s">
        <v>117</v>
      </c>
      <c r="V25" t="s">
        <v>1075</v>
      </c>
      <c r="W25" t="s">
        <v>950</v>
      </c>
      <c r="X25">
        <v>24988</v>
      </c>
      <c r="Y25">
        <v>57</v>
      </c>
      <c r="Z25" t="s">
        <v>1076</v>
      </c>
      <c r="AA25" t="s">
        <v>1077</v>
      </c>
      <c r="AB25" t="s">
        <v>996</v>
      </c>
      <c r="AC25" t="s">
        <v>953</v>
      </c>
      <c r="AD25" t="s">
        <v>1078</v>
      </c>
      <c r="AE25" t="s">
        <v>954</v>
      </c>
      <c r="AF25" t="s">
        <v>1079</v>
      </c>
      <c r="AI25" t="s">
        <v>1011</v>
      </c>
    </row>
    <row r="26" spans="1:36">
      <c r="A26">
        <v>28</v>
      </c>
      <c r="B26" t="s">
        <v>1072</v>
      </c>
      <c r="C26">
        <v>38</v>
      </c>
      <c r="D26" t="s">
        <v>957</v>
      </c>
      <c r="E26" t="s">
        <v>1013</v>
      </c>
      <c r="F26" t="s">
        <v>956</v>
      </c>
      <c r="G26" t="s">
        <v>64</v>
      </c>
      <c r="H26" t="s">
        <v>956</v>
      </c>
      <c r="I26" t="s">
        <v>1071</v>
      </c>
      <c r="J26" t="s">
        <v>1072</v>
      </c>
      <c r="K26" t="s">
        <v>1073</v>
      </c>
      <c r="N26" t="s">
        <v>1074</v>
      </c>
      <c r="P26" t="s">
        <v>69</v>
      </c>
      <c r="Q26" t="s">
        <v>69</v>
      </c>
      <c r="T26" t="s">
        <v>1015</v>
      </c>
      <c r="U26" t="s">
        <v>81</v>
      </c>
      <c r="V26" t="s">
        <v>1080</v>
      </c>
      <c r="W26" t="s">
        <v>950</v>
      </c>
      <c r="X26">
        <v>30935</v>
      </c>
      <c r="Y26">
        <v>41</v>
      </c>
      <c r="Z26" t="s">
        <v>1081</v>
      </c>
      <c r="AA26" t="s">
        <v>1082</v>
      </c>
      <c r="AB26" t="s">
        <v>966</v>
      </c>
      <c r="AC26" t="s">
        <v>953</v>
      </c>
      <c r="AD26" t="s">
        <v>1078</v>
      </c>
      <c r="AE26" t="s">
        <v>954</v>
      </c>
      <c r="AF26" t="s">
        <v>974</v>
      </c>
    </row>
    <row r="27" spans="1:36">
      <c r="A27">
        <v>29</v>
      </c>
      <c r="B27" t="s">
        <v>1073</v>
      </c>
      <c r="C27">
        <v>40</v>
      </c>
      <c r="D27" t="s">
        <v>957</v>
      </c>
      <c r="E27" t="s">
        <v>1013</v>
      </c>
      <c r="F27" t="s">
        <v>956</v>
      </c>
      <c r="G27" t="s">
        <v>64</v>
      </c>
      <c r="H27" t="s">
        <v>956</v>
      </c>
      <c r="I27" t="s">
        <v>1071</v>
      </c>
      <c r="J27" t="s">
        <v>1072</v>
      </c>
      <c r="K27" t="s">
        <v>1073</v>
      </c>
      <c r="N27" t="s">
        <v>1074</v>
      </c>
      <c r="P27" t="s">
        <v>69</v>
      </c>
      <c r="Q27" t="s">
        <v>69</v>
      </c>
      <c r="T27" t="s">
        <v>1015</v>
      </c>
      <c r="U27" t="s">
        <v>70</v>
      </c>
      <c r="V27" t="s">
        <v>1083</v>
      </c>
      <c r="W27" t="s">
        <v>950</v>
      </c>
      <c r="X27">
        <v>29183</v>
      </c>
      <c r="Y27">
        <v>46</v>
      </c>
      <c r="Z27" t="s">
        <v>1084</v>
      </c>
      <c r="AA27" t="s">
        <v>1085</v>
      </c>
      <c r="AB27" t="s">
        <v>966</v>
      </c>
      <c r="AC27" t="s">
        <v>953</v>
      </c>
      <c r="AD27" t="s">
        <v>246</v>
      </c>
      <c r="AE27" t="s">
        <v>954</v>
      </c>
      <c r="AF27" t="s">
        <v>974</v>
      </c>
    </row>
    <row r="28" spans="1:36">
      <c r="A28">
        <v>30</v>
      </c>
      <c r="B28" t="s">
        <v>1086</v>
      </c>
      <c r="C28">
        <v>42</v>
      </c>
      <c r="D28" t="s">
        <v>957</v>
      </c>
      <c r="E28" t="s">
        <v>1013</v>
      </c>
      <c r="F28" t="s">
        <v>956</v>
      </c>
      <c r="G28" t="s">
        <v>64</v>
      </c>
      <c r="H28" t="s">
        <v>956</v>
      </c>
      <c r="I28" t="s">
        <v>1071</v>
      </c>
      <c r="J28" t="s">
        <v>1072</v>
      </c>
      <c r="K28" t="s">
        <v>1073</v>
      </c>
      <c r="N28" t="s">
        <v>1074</v>
      </c>
      <c r="T28" t="s">
        <v>1015</v>
      </c>
      <c r="U28" t="s">
        <v>93</v>
      </c>
      <c r="V28" t="s">
        <v>1087</v>
      </c>
      <c r="W28" t="s">
        <v>950</v>
      </c>
      <c r="X28">
        <v>33662</v>
      </c>
      <c r="Y28">
        <v>33</v>
      </c>
      <c r="Z28" t="s">
        <v>1088</v>
      </c>
      <c r="AB28" t="s">
        <v>966</v>
      </c>
      <c r="AC28" t="s">
        <v>1018</v>
      </c>
      <c r="AD28" t="s">
        <v>973</v>
      </c>
      <c r="AE28" t="s">
        <v>954</v>
      </c>
      <c r="AF28" t="s">
        <v>974</v>
      </c>
    </row>
    <row r="29" spans="1:36">
      <c r="A29">
        <v>31</v>
      </c>
      <c r="B29" t="s">
        <v>1089</v>
      </c>
      <c r="C29">
        <v>44</v>
      </c>
      <c r="D29" t="s">
        <v>957</v>
      </c>
      <c r="E29" t="s">
        <v>1013</v>
      </c>
      <c r="F29" t="s">
        <v>956</v>
      </c>
      <c r="G29" t="s">
        <v>64</v>
      </c>
      <c r="H29" t="s">
        <v>956</v>
      </c>
      <c r="I29" t="s">
        <v>1071</v>
      </c>
      <c r="J29" t="s">
        <v>1072</v>
      </c>
      <c r="K29" t="s">
        <v>1073</v>
      </c>
      <c r="N29" t="s">
        <v>1074</v>
      </c>
      <c r="T29" t="s">
        <v>1090</v>
      </c>
      <c r="U29" t="s">
        <v>103</v>
      </c>
      <c r="V29" t="s">
        <v>1091</v>
      </c>
      <c r="W29" t="s">
        <v>950</v>
      </c>
      <c r="X29">
        <v>18173</v>
      </c>
      <c r="Y29">
        <v>76</v>
      </c>
      <c r="Z29" t="s">
        <v>1092</v>
      </c>
      <c r="AA29" t="s">
        <v>1093</v>
      </c>
      <c r="AB29" t="s">
        <v>996</v>
      </c>
      <c r="AC29" t="s">
        <v>953</v>
      </c>
      <c r="AD29" t="s">
        <v>973</v>
      </c>
      <c r="AE29" t="s">
        <v>954</v>
      </c>
      <c r="AF29" t="s">
        <v>968</v>
      </c>
    </row>
    <row r="30" spans="1:36">
      <c r="A30">
        <v>32</v>
      </c>
      <c r="B30" t="s">
        <v>1094</v>
      </c>
      <c r="C30">
        <v>46</v>
      </c>
      <c r="D30" t="s">
        <v>957</v>
      </c>
      <c r="E30" t="s">
        <v>1013</v>
      </c>
      <c r="F30" t="s">
        <v>956</v>
      </c>
      <c r="G30" t="s">
        <v>64</v>
      </c>
      <c r="H30" t="s">
        <v>956</v>
      </c>
      <c r="I30" t="s">
        <v>1071</v>
      </c>
      <c r="J30" t="s">
        <v>1072</v>
      </c>
      <c r="K30" t="s">
        <v>1073</v>
      </c>
      <c r="N30" t="s">
        <v>1074</v>
      </c>
      <c r="T30" t="s">
        <v>1015</v>
      </c>
      <c r="U30" t="s">
        <v>111</v>
      </c>
      <c r="V30" t="s">
        <v>1095</v>
      </c>
      <c r="W30" t="s">
        <v>950</v>
      </c>
      <c r="X30">
        <v>21465</v>
      </c>
      <c r="Y30">
        <v>67</v>
      </c>
      <c r="Z30" t="s">
        <v>1096</v>
      </c>
      <c r="AA30" t="s">
        <v>1097</v>
      </c>
      <c r="AB30" t="s">
        <v>966</v>
      </c>
      <c r="AC30" t="s">
        <v>953</v>
      </c>
      <c r="AD30" t="s">
        <v>729</v>
      </c>
      <c r="AE30" t="s">
        <v>954</v>
      </c>
      <c r="AF30" t="s">
        <v>974</v>
      </c>
    </row>
    <row r="31" spans="1:36">
      <c r="A31">
        <v>33</v>
      </c>
      <c r="B31" t="s">
        <v>1098</v>
      </c>
      <c r="C31">
        <v>48</v>
      </c>
      <c r="D31" t="s">
        <v>957</v>
      </c>
      <c r="E31" t="s">
        <v>1013</v>
      </c>
      <c r="F31" t="s">
        <v>956</v>
      </c>
      <c r="G31" t="s">
        <v>64</v>
      </c>
      <c r="H31" t="s">
        <v>956</v>
      </c>
      <c r="I31" t="s">
        <v>1071</v>
      </c>
      <c r="J31" t="s">
        <v>1072</v>
      </c>
      <c r="K31" t="s">
        <v>1073</v>
      </c>
      <c r="N31" t="s">
        <v>1074</v>
      </c>
      <c r="T31" t="s">
        <v>1015</v>
      </c>
      <c r="U31" t="s">
        <v>905</v>
      </c>
      <c r="V31" t="s">
        <v>1099</v>
      </c>
      <c r="W31" t="s">
        <v>950</v>
      </c>
      <c r="X31">
        <v>25896</v>
      </c>
      <c r="Y31">
        <v>55</v>
      </c>
      <c r="Z31" t="s">
        <v>1100</v>
      </c>
      <c r="AA31" t="s">
        <v>1101</v>
      </c>
      <c r="AB31" t="s">
        <v>996</v>
      </c>
      <c r="AC31" t="s">
        <v>953</v>
      </c>
      <c r="AD31" t="s">
        <v>1078</v>
      </c>
      <c r="AE31" t="s">
        <v>954</v>
      </c>
      <c r="AF31" t="s">
        <v>998</v>
      </c>
      <c r="AI31" t="s">
        <v>1011</v>
      </c>
    </row>
    <row r="32" spans="1:36">
      <c r="A32">
        <v>34</v>
      </c>
      <c r="B32" t="s">
        <v>1102</v>
      </c>
      <c r="C32">
        <v>50</v>
      </c>
      <c r="D32" t="s">
        <v>957</v>
      </c>
      <c r="E32" t="s">
        <v>1013</v>
      </c>
      <c r="F32" t="s">
        <v>956</v>
      </c>
      <c r="G32" t="s">
        <v>64</v>
      </c>
      <c r="H32" t="s">
        <v>956</v>
      </c>
      <c r="I32" t="s">
        <v>1071</v>
      </c>
      <c r="J32" t="s">
        <v>1072</v>
      </c>
      <c r="K32" t="s">
        <v>1073</v>
      </c>
      <c r="N32" t="s">
        <v>1074</v>
      </c>
      <c r="T32" t="s">
        <v>1015</v>
      </c>
      <c r="U32" t="s">
        <v>131</v>
      </c>
      <c r="V32" t="s">
        <v>1103</v>
      </c>
      <c r="W32" t="s">
        <v>950</v>
      </c>
      <c r="X32">
        <v>35278</v>
      </c>
      <c r="Y32">
        <v>29</v>
      </c>
      <c r="Z32" t="s">
        <v>1104</v>
      </c>
      <c r="AA32" t="s">
        <v>1105</v>
      </c>
      <c r="AB32" t="s">
        <v>996</v>
      </c>
      <c r="AC32" t="s">
        <v>997</v>
      </c>
      <c r="AD32" t="s">
        <v>729</v>
      </c>
      <c r="AE32" t="s">
        <v>954</v>
      </c>
      <c r="AF32" t="s">
        <v>1106</v>
      </c>
      <c r="AI32" t="s">
        <v>1107</v>
      </c>
    </row>
    <row r="33" spans="1:36">
      <c r="A33">
        <v>35</v>
      </c>
      <c r="B33" t="s">
        <v>1108</v>
      </c>
      <c r="C33">
        <v>52</v>
      </c>
      <c r="D33" t="s">
        <v>957</v>
      </c>
      <c r="E33" t="s">
        <v>1013</v>
      </c>
      <c r="N33" t="s">
        <v>1074</v>
      </c>
      <c r="T33" t="s">
        <v>1015</v>
      </c>
      <c r="U33" t="s">
        <v>902</v>
      </c>
      <c r="W33" t="s">
        <v>950</v>
      </c>
      <c r="X33">
        <v>21302</v>
      </c>
      <c r="Y33">
        <v>67</v>
      </c>
      <c r="Z33" t="s">
        <v>1109</v>
      </c>
      <c r="AE33" t="s">
        <v>954</v>
      </c>
      <c r="AF33" t="s">
        <v>1110</v>
      </c>
    </row>
    <row r="34" spans="1:36">
      <c r="A34">
        <v>36</v>
      </c>
      <c r="B34" t="s">
        <v>1111</v>
      </c>
      <c r="C34">
        <v>54</v>
      </c>
      <c r="D34" t="s">
        <v>957</v>
      </c>
      <c r="E34" t="s">
        <v>1013</v>
      </c>
      <c r="F34" t="s">
        <v>956</v>
      </c>
      <c r="G34" t="s">
        <v>64</v>
      </c>
      <c r="H34" t="s">
        <v>956</v>
      </c>
      <c r="I34" t="s">
        <v>1071</v>
      </c>
      <c r="J34" t="s">
        <v>1072</v>
      </c>
      <c r="K34" t="s">
        <v>1073</v>
      </c>
      <c r="N34" t="s">
        <v>1074</v>
      </c>
      <c r="T34" t="s">
        <v>1015</v>
      </c>
      <c r="U34" t="s">
        <v>907</v>
      </c>
      <c r="V34" t="s">
        <v>1112</v>
      </c>
      <c r="W34" t="s">
        <v>950</v>
      </c>
      <c r="X34">
        <v>22442</v>
      </c>
      <c r="Y34">
        <v>64</v>
      </c>
      <c r="Z34" t="s">
        <v>1113</v>
      </c>
      <c r="AB34" t="s">
        <v>996</v>
      </c>
      <c r="AC34" t="s">
        <v>1018</v>
      </c>
      <c r="AD34" t="s">
        <v>729</v>
      </c>
      <c r="AE34" t="s">
        <v>954</v>
      </c>
      <c r="AF34" t="s">
        <v>968</v>
      </c>
      <c r="AH34" t="s">
        <v>1019</v>
      </c>
      <c r="AI34" t="s">
        <v>1114</v>
      </c>
      <c r="AJ34" t="s">
        <v>1020</v>
      </c>
    </row>
    <row r="35" spans="1:36">
      <c r="A35">
        <v>37</v>
      </c>
      <c r="B35" t="s">
        <v>1037</v>
      </c>
      <c r="C35">
        <v>56</v>
      </c>
      <c r="D35" t="s">
        <v>957</v>
      </c>
      <c r="E35" t="s">
        <v>1013</v>
      </c>
      <c r="F35" t="s">
        <v>956</v>
      </c>
      <c r="G35" t="s">
        <v>64</v>
      </c>
      <c r="H35" t="s">
        <v>956</v>
      </c>
      <c r="I35" t="s">
        <v>1037</v>
      </c>
      <c r="J35" t="s">
        <v>1038</v>
      </c>
      <c r="N35" t="s">
        <v>1115</v>
      </c>
      <c r="P35" t="s">
        <v>55</v>
      </c>
      <c r="Q35" t="s">
        <v>55</v>
      </c>
      <c r="T35" t="s">
        <v>1015</v>
      </c>
      <c r="U35" t="s">
        <v>62</v>
      </c>
      <c r="V35" t="s">
        <v>1116</v>
      </c>
      <c r="W35" t="s">
        <v>950</v>
      </c>
      <c r="X35">
        <v>20944</v>
      </c>
      <c r="Y35">
        <v>68</v>
      </c>
      <c r="Z35" t="s">
        <v>1117</v>
      </c>
      <c r="AA35" t="s">
        <v>1118</v>
      </c>
      <c r="AB35" t="s">
        <v>966</v>
      </c>
      <c r="AC35" t="s">
        <v>953</v>
      </c>
      <c r="AD35" t="s">
        <v>973</v>
      </c>
      <c r="AE35" t="s">
        <v>954</v>
      </c>
      <c r="AF35" t="s">
        <v>974</v>
      </c>
    </row>
    <row r="36" spans="1:36">
      <c r="A36">
        <v>38</v>
      </c>
      <c r="B36" t="s">
        <v>1038</v>
      </c>
      <c r="C36">
        <v>58</v>
      </c>
      <c r="D36" t="s">
        <v>957</v>
      </c>
      <c r="E36" t="s">
        <v>1013</v>
      </c>
      <c r="F36" t="s">
        <v>956</v>
      </c>
      <c r="G36" t="s">
        <v>64</v>
      </c>
      <c r="H36" t="s">
        <v>956</v>
      </c>
      <c r="I36" t="s">
        <v>1037</v>
      </c>
      <c r="J36" t="s">
        <v>1038</v>
      </c>
      <c r="N36" t="s">
        <v>1115</v>
      </c>
      <c r="P36" t="s">
        <v>69</v>
      </c>
      <c r="Q36" t="s">
        <v>69</v>
      </c>
      <c r="T36" t="s">
        <v>1015</v>
      </c>
      <c r="U36" t="s">
        <v>73</v>
      </c>
      <c r="V36" t="s">
        <v>1119</v>
      </c>
      <c r="W36" t="s">
        <v>950</v>
      </c>
      <c r="X36">
        <v>23254</v>
      </c>
      <c r="Y36">
        <v>62</v>
      </c>
      <c r="Z36" t="s">
        <v>1120</v>
      </c>
      <c r="AB36" t="s">
        <v>996</v>
      </c>
      <c r="AC36" t="s">
        <v>997</v>
      </c>
      <c r="AD36" t="s">
        <v>973</v>
      </c>
      <c r="AE36" t="s">
        <v>954</v>
      </c>
      <c r="AI36" t="s">
        <v>999</v>
      </c>
      <c r="AJ36" t="s">
        <v>1121</v>
      </c>
    </row>
    <row r="37" spans="1:36">
      <c r="A37">
        <v>39</v>
      </c>
      <c r="B37" t="s">
        <v>1122</v>
      </c>
      <c r="C37">
        <v>60</v>
      </c>
      <c r="D37" t="s">
        <v>957</v>
      </c>
      <c r="E37" t="s">
        <v>1013</v>
      </c>
      <c r="F37" t="s">
        <v>956</v>
      </c>
      <c r="G37" t="s">
        <v>64</v>
      </c>
      <c r="H37" t="s">
        <v>956</v>
      </c>
      <c r="I37" t="s">
        <v>1037</v>
      </c>
      <c r="J37" t="s">
        <v>1038</v>
      </c>
      <c r="N37" t="s">
        <v>1115</v>
      </c>
      <c r="T37" t="s">
        <v>1090</v>
      </c>
      <c r="U37" t="s">
        <v>104</v>
      </c>
      <c r="V37" t="s">
        <v>1123</v>
      </c>
      <c r="W37" t="s">
        <v>963</v>
      </c>
      <c r="X37">
        <v>19784</v>
      </c>
      <c r="Y37">
        <v>71</v>
      </c>
      <c r="Z37" t="s">
        <v>1124</v>
      </c>
      <c r="AB37" t="s">
        <v>966</v>
      </c>
      <c r="AC37" t="s">
        <v>953</v>
      </c>
      <c r="AD37" t="s">
        <v>973</v>
      </c>
      <c r="AE37" t="s">
        <v>954</v>
      </c>
      <c r="AF37" t="s">
        <v>968</v>
      </c>
      <c r="AI37" t="s">
        <v>1125</v>
      </c>
    </row>
    <row r="38" spans="1:36">
      <c r="A38">
        <v>40</v>
      </c>
      <c r="B38" t="s">
        <v>1126</v>
      </c>
      <c r="C38">
        <v>62</v>
      </c>
      <c r="D38" t="s">
        <v>957</v>
      </c>
      <c r="E38" t="s">
        <v>1013</v>
      </c>
      <c r="F38" t="s">
        <v>956</v>
      </c>
      <c r="G38" t="s">
        <v>64</v>
      </c>
      <c r="H38" t="s">
        <v>956</v>
      </c>
      <c r="I38" t="s">
        <v>1126</v>
      </c>
      <c r="J38" t="s">
        <v>959</v>
      </c>
      <c r="N38" t="s">
        <v>1127</v>
      </c>
      <c r="P38" t="s">
        <v>55</v>
      </c>
      <c r="Q38" t="s">
        <v>55</v>
      </c>
      <c r="T38" t="s">
        <v>1015</v>
      </c>
      <c r="U38" t="s">
        <v>22</v>
      </c>
      <c r="V38" t="s">
        <v>1128</v>
      </c>
      <c r="W38" t="s">
        <v>950</v>
      </c>
      <c r="X38">
        <v>30920</v>
      </c>
      <c r="Y38">
        <v>41</v>
      </c>
      <c r="Z38" t="s">
        <v>1129</v>
      </c>
      <c r="AA38" t="s">
        <v>1130</v>
      </c>
      <c r="AB38" t="s">
        <v>966</v>
      </c>
      <c r="AC38" t="s">
        <v>953</v>
      </c>
      <c r="AD38" t="s">
        <v>954</v>
      </c>
      <c r="AE38" t="s">
        <v>954</v>
      </c>
      <c r="AF38" t="s">
        <v>968</v>
      </c>
    </row>
    <row r="39" spans="1:36">
      <c r="A39">
        <v>41</v>
      </c>
      <c r="B39" t="s">
        <v>1131</v>
      </c>
      <c r="C39">
        <v>64</v>
      </c>
      <c r="D39" t="s">
        <v>957</v>
      </c>
      <c r="E39" t="s">
        <v>1013</v>
      </c>
      <c r="F39" t="s">
        <v>956</v>
      </c>
      <c r="G39" t="s">
        <v>64</v>
      </c>
      <c r="H39" t="s">
        <v>956</v>
      </c>
      <c r="I39" t="s">
        <v>1126</v>
      </c>
      <c r="J39" t="s">
        <v>959</v>
      </c>
      <c r="N39" t="s">
        <v>1127</v>
      </c>
      <c r="P39" t="s">
        <v>910</v>
      </c>
      <c r="Q39" t="s">
        <v>1132</v>
      </c>
      <c r="T39" t="s">
        <v>1015</v>
      </c>
      <c r="U39" t="s">
        <v>84</v>
      </c>
      <c r="V39" t="s">
        <v>1133</v>
      </c>
      <c r="W39" t="s">
        <v>950</v>
      </c>
      <c r="X39">
        <v>31700</v>
      </c>
      <c r="Y39">
        <v>39</v>
      </c>
      <c r="Z39" t="s">
        <v>1134</v>
      </c>
      <c r="AA39" t="s">
        <v>1135</v>
      </c>
      <c r="AB39" t="s">
        <v>966</v>
      </c>
      <c r="AC39" t="s">
        <v>953</v>
      </c>
      <c r="AD39" t="s">
        <v>973</v>
      </c>
      <c r="AE39" t="s">
        <v>954</v>
      </c>
      <c r="AF39" t="s">
        <v>974</v>
      </c>
    </row>
    <row r="40" spans="1:36">
      <c r="A40">
        <v>42</v>
      </c>
      <c r="B40" t="s">
        <v>1136</v>
      </c>
      <c r="C40">
        <v>66</v>
      </c>
      <c r="D40" t="s">
        <v>957</v>
      </c>
      <c r="E40" t="s">
        <v>1013</v>
      </c>
      <c r="F40" t="s">
        <v>956</v>
      </c>
      <c r="G40" t="s">
        <v>64</v>
      </c>
      <c r="H40" t="s">
        <v>956</v>
      </c>
      <c r="I40" t="s">
        <v>1126</v>
      </c>
      <c r="J40" t="s">
        <v>959</v>
      </c>
      <c r="N40" t="s">
        <v>1127</v>
      </c>
      <c r="P40" t="s">
        <v>910</v>
      </c>
      <c r="T40" t="s">
        <v>1015</v>
      </c>
      <c r="U40" t="s">
        <v>19</v>
      </c>
      <c r="V40" t="s">
        <v>1137</v>
      </c>
      <c r="W40" t="s">
        <v>950</v>
      </c>
      <c r="X40">
        <v>30683</v>
      </c>
      <c r="Y40">
        <v>42</v>
      </c>
      <c r="Z40" t="s">
        <v>1138</v>
      </c>
      <c r="AA40" t="s">
        <v>1139</v>
      </c>
      <c r="AB40" t="s">
        <v>966</v>
      </c>
      <c r="AC40" t="s">
        <v>953</v>
      </c>
      <c r="AD40" t="s">
        <v>954</v>
      </c>
      <c r="AE40" t="s">
        <v>954</v>
      </c>
      <c r="AF40" t="s">
        <v>968</v>
      </c>
    </row>
    <row r="41" spans="1:36">
      <c r="A41">
        <v>43</v>
      </c>
      <c r="B41" t="s">
        <v>1140</v>
      </c>
      <c r="C41">
        <v>68</v>
      </c>
      <c r="D41" t="s">
        <v>957</v>
      </c>
      <c r="E41" t="s">
        <v>1013</v>
      </c>
      <c r="F41" t="s">
        <v>956</v>
      </c>
      <c r="G41" t="s">
        <v>64</v>
      </c>
      <c r="H41" t="s">
        <v>956</v>
      </c>
      <c r="I41" t="s">
        <v>1141</v>
      </c>
      <c r="J41" t="s">
        <v>959</v>
      </c>
      <c r="N41" t="s">
        <v>1127</v>
      </c>
      <c r="P41" t="s">
        <v>948</v>
      </c>
      <c r="Q41" t="s">
        <v>10</v>
      </c>
      <c r="S41" t="s">
        <v>1142</v>
      </c>
      <c r="T41" t="s">
        <v>1015</v>
      </c>
      <c r="U41" t="s">
        <v>12</v>
      </c>
      <c r="V41" t="s">
        <v>1143</v>
      </c>
      <c r="W41" t="s">
        <v>950</v>
      </c>
      <c r="X41">
        <v>29107</v>
      </c>
      <c r="Y41">
        <v>46</v>
      </c>
      <c r="Z41" t="s">
        <v>1144</v>
      </c>
      <c r="AA41" t="s">
        <v>965</v>
      </c>
      <c r="AB41" t="s">
        <v>966</v>
      </c>
      <c r="AC41" t="s">
        <v>953</v>
      </c>
      <c r="AD41" t="s">
        <v>954</v>
      </c>
      <c r="AE41" t="s">
        <v>954</v>
      </c>
      <c r="AF41" t="s">
        <v>974</v>
      </c>
    </row>
    <row r="42" spans="1:36">
      <c r="A42">
        <v>44</v>
      </c>
      <c r="B42" t="s">
        <v>1145</v>
      </c>
      <c r="C42">
        <v>70</v>
      </c>
      <c r="D42" t="s">
        <v>957</v>
      </c>
      <c r="E42" t="s">
        <v>1013</v>
      </c>
      <c r="F42" t="s">
        <v>956</v>
      </c>
      <c r="G42" t="s">
        <v>64</v>
      </c>
      <c r="H42" t="s">
        <v>956</v>
      </c>
      <c r="I42" t="s">
        <v>1141</v>
      </c>
      <c r="J42" t="s">
        <v>959</v>
      </c>
      <c r="N42" t="s">
        <v>1127</v>
      </c>
      <c r="P42" t="s">
        <v>16</v>
      </c>
      <c r="Q42" t="s">
        <v>16</v>
      </c>
      <c r="S42" t="s">
        <v>1142</v>
      </c>
      <c r="T42" t="s">
        <v>1015</v>
      </c>
      <c r="U42" t="s">
        <v>15</v>
      </c>
      <c r="V42" t="s">
        <v>1146</v>
      </c>
      <c r="W42" t="s">
        <v>950</v>
      </c>
      <c r="X42">
        <v>29445</v>
      </c>
      <c r="Y42">
        <v>45</v>
      </c>
      <c r="Z42" t="s">
        <v>1147</v>
      </c>
      <c r="AA42" t="s">
        <v>1148</v>
      </c>
      <c r="AB42" t="s">
        <v>966</v>
      </c>
      <c r="AC42" t="s">
        <v>953</v>
      </c>
      <c r="AD42" t="s">
        <v>954</v>
      </c>
      <c r="AE42" t="s">
        <v>954</v>
      </c>
      <c r="AF42" t="s">
        <v>974</v>
      </c>
    </row>
    <row r="43" spans="1:36">
      <c r="A43">
        <v>45</v>
      </c>
      <c r="B43" t="s">
        <v>1150</v>
      </c>
      <c r="C43">
        <v>72</v>
      </c>
      <c r="D43" t="s">
        <v>957</v>
      </c>
      <c r="E43" t="s">
        <v>1013</v>
      </c>
      <c r="F43" t="s">
        <v>956</v>
      </c>
      <c r="G43" t="s">
        <v>64</v>
      </c>
      <c r="H43" t="s">
        <v>956</v>
      </c>
      <c r="I43" t="s">
        <v>1141</v>
      </c>
      <c r="J43" t="s">
        <v>959</v>
      </c>
      <c r="N43" t="s">
        <v>1127</v>
      </c>
      <c r="S43" t="s">
        <v>1151</v>
      </c>
      <c r="T43" t="s">
        <v>1015</v>
      </c>
      <c r="U43" t="s">
        <v>1152</v>
      </c>
      <c r="V43" t="s">
        <v>1153</v>
      </c>
      <c r="W43" t="s">
        <v>950</v>
      </c>
      <c r="X43">
        <v>29529</v>
      </c>
      <c r="Y43">
        <v>45</v>
      </c>
      <c r="Z43" t="s">
        <v>1154</v>
      </c>
      <c r="AA43" t="s">
        <v>1154</v>
      </c>
      <c r="AB43" t="s">
        <v>966</v>
      </c>
      <c r="AC43" t="s">
        <v>953</v>
      </c>
      <c r="AD43" t="s">
        <v>954</v>
      </c>
      <c r="AE43" t="s">
        <v>954</v>
      </c>
      <c r="AF43" t="s">
        <v>974</v>
      </c>
      <c r="AJ43" t="s">
        <v>1155</v>
      </c>
    </row>
    <row r="44" spans="1:36">
      <c r="A44">
        <v>46</v>
      </c>
      <c r="B44" t="s">
        <v>1141</v>
      </c>
      <c r="C44">
        <v>74</v>
      </c>
      <c r="D44" t="s">
        <v>957</v>
      </c>
      <c r="E44" t="s">
        <v>1013</v>
      </c>
      <c r="F44" t="s">
        <v>956</v>
      </c>
      <c r="G44" t="s">
        <v>64</v>
      </c>
      <c r="H44" t="s">
        <v>956</v>
      </c>
      <c r="I44" t="s">
        <v>1141</v>
      </c>
      <c r="J44" t="s">
        <v>1156</v>
      </c>
      <c r="N44" t="s">
        <v>1157</v>
      </c>
      <c r="P44" t="s">
        <v>55</v>
      </c>
      <c r="Q44" t="s">
        <v>55</v>
      </c>
      <c r="T44" t="s">
        <v>1015</v>
      </c>
      <c r="U44" t="s">
        <v>61</v>
      </c>
      <c r="V44" t="s">
        <v>1158</v>
      </c>
      <c r="W44" t="s">
        <v>950</v>
      </c>
      <c r="X44">
        <v>29276</v>
      </c>
      <c r="Y44">
        <v>45</v>
      </c>
      <c r="Z44" t="s">
        <v>1159</v>
      </c>
      <c r="AB44" t="s">
        <v>966</v>
      </c>
      <c r="AC44" t="s">
        <v>953</v>
      </c>
      <c r="AD44" t="s">
        <v>954</v>
      </c>
      <c r="AE44" t="s">
        <v>954</v>
      </c>
      <c r="AF44" t="s">
        <v>968</v>
      </c>
    </row>
    <row r="45" spans="1:36">
      <c r="A45">
        <v>47</v>
      </c>
      <c r="B45" t="s">
        <v>1160</v>
      </c>
      <c r="C45">
        <v>76</v>
      </c>
      <c r="D45" t="s">
        <v>957</v>
      </c>
      <c r="E45" t="s">
        <v>1013</v>
      </c>
      <c r="F45" t="s">
        <v>956</v>
      </c>
      <c r="G45" t="s">
        <v>64</v>
      </c>
      <c r="H45" t="s">
        <v>956</v>
      </c>
      <c r="I45" t="s">
        <v>1141</v>
      </c>
      <c r="J45" t="s">
        <v>1156</v>
      </c>
      <c r="N45" t="s">
        <v>1157</v>
      </c>
      <c r="S45" t="s">
        <v>1161</v>
      </c>
      <c r="T45" t="s">
        <v>1015</v>
      </c>
      <c r="U45" t="s">
        <v>85</v>
      </c>
      <c r="V45" t="s">
        <v>1162</v>
      </c>
      <c r="W45" t="s">
        <v>950</v>
      </c>
      <c r="X45">
        <v>30623</v>
      </c>
      <c r="Y45">
        <v>42</v>
      </c>
      <c r="Z45" t="s">
        <v>1163</v>
      </c>
      <c r="AA45" t="s">
        <v>1164</v>
      </c>
      <c r="AB45" t="s">
        <v>966</v>
      </c>
      <c r="AC45" t="s">
        <v>953</v>
      </c>
      <c r="AD45" t="s">
        <v>954</v>
      </c>
      <c r="AE45" t="s">
        <v>954</v>
      </c>
      <c r="AF45" t="s">
        <v>974</v>
      </c>
    </row>
    <row r="46" spans="1:36">
      <c r="A46">
        <v>48</v>
      </c>
      <c r="B46" t="s">
        <v>1165</v>
      </c>
      <c r="C46">
        <v>78</v>
      </c>
      <c r="D46" t="s">
        <v>957</v>
      </c>
      <c r="E46" t="s">
        <v>1013</v>
      </c>
      <c r="F46" t="s">
        <v>956</v>
      </c>
      <c r="G46" t="s">
        <v>64</v>
      </c>
      <c r="H46" t="s">
        <v>956</v>
      </c>
      <c r="I46" t="s">
        <v>1141</v>
      </c>
      <c r="J46" t="s">
        <v>1156</v>
      </c>
      <c r="N46" t="s">
        <v>1157</v>
      </c>
      <c r="S46" t="s">
        <v>1166</v>
      </c>
      <c r="T46" t="s">
        <v>1015</v>
      </c>
      <c r="U46" t="s">
        <v>105</v>
      </c>
      <c r="V46" t="s">
        <v>1167</v>
      </c>
      <c r="W46" t="s">
        <v>950</v>
      </c>
      <c r="X46">
        <v>26302</v>
      </c>
      <c r="Y46">
        <v>54</v>
      </c>
      <c r="Z46" t="s">
        <v>1168</v>
      </c>
      <c r="AA46" t="s">
        <v>1169</v>
      </c>
      <c r="AB46" t="s">
        <v>966</v>
      </c>
      <c r="AC46" t="s">
        <v>953</v>
      </c>
      <c r="AD46" t="s">
        <v>954</v>
      </c>
      <c r="AE46" t="s">
        <v>954</v>
      </c>
      <c r="AF46" t="s">
        <v>968</v>
      </c>
    </row>
    <row r="47" spans="1:36">
      <c r="A47">
        <v>49</v>
      </c>
      <c r="B47" t="s">
        <v>1170</v>
      </c>
      <c r="C47">
        <v>80</v>
      </c>
      <c r="D47" t="s">
        <v>957</v>
      </c>
      <c r="E47" t="s">
        <v>1013</v>
      </c>
      <c r="F47" t="s">
        <v>956</v>
      </c>
      <c r="G47" t="s">
        <v>64</v>
      </c>
      <c r="H47" t="s">
        <v>956</v>
      </c>
      <c r="I47" t="s">
        <v>1141</v>
      </c>
      <c r="J47" t="s">
        <v>1156</v>
      </c>
      <c r="N47" t="s">
        <v>1157</v>
      </c>
      <c r="T47" t="s">
        <v>1015</v>
      </c>
      <c r="U47" t="s">
        <v>113</v>
      </c>
      <c r="V47" t="s">
        <v>1171</v>
      </c>
      <c r="W47" t="s">
        <v>950</v>
      </c>
      <c r="X47">
        <v>29493</v>
      </c>
      <c r="Y47">
        <v>45</v>
      </c>
      <c r="Z47" t="s">
        <v>1172</v>
      </c>
      <c r="AA47" t="s">
        <v>1173</v>
      </c>
      <c r="AB47" t="s">
        <v>966</v>
      </c>
      <c r="AC47" t="s">
        <v>953</v>
      </c>
      <c r="AD47" t="s">
        <v>954</v>
      </c>
      <c r="AE47" t="s">
        <v>954</v>
      </c>
      <c r="AF47" t="s">
        <v>968</v>
      </c>
    </row>
    <row r="48" spans="1:36">
      <c r="A48">
        <v>50</v>
      </c>
      <c r="B48" t="s">
        <v>1174</v>
      </c>
      <c r="C48">
        <v>82</v>
      </c>
      <c r="D48" t="s">
        <v>957</v>
      </c>
      <c r="E48" t="s">
        <v>1013</v>
      </c>
      <c r="F48" t="s">
        <v>956</v>
      </c>
      <c r="G48" t="s">
        <v>64</v>
      </c>
      <c r="H48" t="s">
        <v>956</v>
      </c>
      <c r="I48" t="s">
        <v>1141</v>
      </c>
      <c r="J48" t="s">
        <v>1156</v>
      </c>
      <c r="N48" t="s">
        <v>1157</v>
      </c>
      <c r="T48" t="s">
        <v>1015</v>
      </c>
      <c r="U48" t="s">
        <v>120</v>
      </c>
      <c r="V48" t="s">
        <v>1175</v>
      </c>
      <c r="W48" t="s">
        <v>950</v>
      </c>
      <c r="X48">
        <v>28181</v>
      </c>
      <c r="Y48">
        <v>48</v>
      </c>
      <c r="Z48" t="s">
        <v>1176</v>
      </c>
      <c r="AA48" t="s">
        <v>1177</v>
      </c>
      <c r="AB48" t="s">
        <v>966</v>
      </c>
      <c r="AC48" t="s">
        <v>953</v>
      </c>
      <c r="AD48" t="s">
        <v>954</v>
      </c>
      <c r="AE48" t="s">
        <v>954</v>
      </c>
      <c r="AF48" t="s">
        <v>968</v>
      </c>
    </row>
    <row r="49" spans="1:38">
      <c r="A49">
        <v>51</v>
      </c>
      <c r="B49" t="s">
        <v>1156</v>
      </c>
      <c r="C49">
        <v>84</v>
      </c>
      <c r="D49" t="s">
        <v>957</v>
      </c>
      <c r="E49" t="s">
        <v>1013</v>
      </c>
      <c r="F49" t="s">
        <v>956</v>
      </c>
      <c r="G49" t="s">
        <v>64</v>
      </c>
      <c r="H49" t="s">
        <v>956</v>
      </c>
      <c r="I49" t="s">
        <v>1141</v>
      </c>
      <c r="J49" t="s">
        <v>1156</v>
      </c>
      <c r="N49" t="s">
        <v>1157</v>
      </c>
      <c r="T49" t="s">
        <v>1015</v>
      </c>
      <c r="U49" t="s">
        <v>125</v>
      </c>
      <c r="V49" t="s">
        <v>1178</v>
      </c>
      <c r="W49" t="s">
        <v>950</v>
      </c>
      <c r="X49">
        <v>30002</v>
      </c>
      <c r="Y49">
        <v>43</v>
      </c>
      <c r="Z49" t="s">
        <v>1179</v>
      </c>
      <c r="AA49" t="s">
        <v>1180</v>
      </c>
      <c r="AB49" t="s">
        <v>966</v>
      </c>
      <c r="AC49" t="s">
        <v>953</v>
      </c>
      <c r="AD49" t="s">
        <v>954</v>
      </c>
      <c r="AE49" t="s">
        <v>954</v>
      </c>
      <c r="AF49" t="s">
        <v>968</v>
      </c>
    </row>
    <row r="50" spans="1:38">
      <c r="A50">
        <v>52</v>
      </c>
      <c r="B50" t="s">
        <v>1181</v>
      </c>
      <c r="C50">
        <v>86</v>
      </c>
      <c r="D50" t="s">
        <v>957</v>
      </c>
      <c r="E50" t="s">
        <v>1013</v>
      </c>
      <c r="F50" t="s">
        <v>956</v>
      </c>
      <c r="G50" t="s">
        <v>64</v>
      </c>
      <c r="H50" t="s">
        <v>956</v>
      </c>
      <c r="I50" t="s">
        <v>1141</v>
      </c>
      <c r="J50" t="s">
        <v>1156</v>
      </c>
      <c r="N50" t="s">
        <v>1157</v>
      </c>
      <c r="T50" t="s">
        <v>1015</v>
      </c>
      <c r="U50" t="s">
        <v>17</v>
      </c>
      <c r="W50" t="s">
        <v>950</v>
      </c>
      <c r="X50">
        <v>30775</v>
      </c>
      <c r="Y50">
        <v>41</v>
      </c>
      <c r="Z50" t="s">
        <v>1182</v>
      </c>
      <c r="AB50" t="s">
        <v>966</v>
      </c>
      <c r="AC50" t="s">
        <v>953</v>
      </c>
      <c r="AD50" t="s">
        <v>954</v>
      </c>
      <c r="AE50" t="s">
        <v>954</v>
      </c>
      <c r="AF50" t="s">
        <v>974</v>
      </c>
    </row>
    <row r="51" spans="1:38">
      <c r="A51">
        <v>53</v>
      </c>
      <c r="B51" t="s">
        <v>1033</v>
      </c>
      <c r="C51">
        <v>88</v>
      </c>
      <c r="D51" t="s">
        <v>957</v>
      </c>
      <c r="E51" t="s">
        <v>1001</v>
      </c>
      <c r="F51" t="s">
        <v>956</v>
      </c>
      <c r="G51" t="s">
        <v>64</v>
      </c>
      <c r="H51" t="s">
        <v>956</v>
      </c>
      <c r="I51" t="s">
        <v>1033</v>
      </c>
      <c r="J51" t="s">
        <v>959</v>
      </c>
      <c r="N51" t="s">
        <v>1183</v>
      </c>
      <c r="P51" t="s">
        <v>55</v>
      </c>
      <c r="Q51" t="s">
        <v>55</v>
      </c>
      <c r="T51" t="s">
        <v>992</v>
      </c>
      <c r="U51" t="s">
        <v>9</v>
      </c>
      <c r="V51" t="s">
        <v>1184</v>
      </c>
      <c r="W51" t="s">
        <v>950</v>
      </c>
      <c r="X51">
        <v>31799</v>
      </c>
      <c r="Y51">
        <v>39</v>
      </c>
      <c r="Z51" t="s">
        <v>1185</v>
      </c>
      <c r="AA51" t="s">
        <v>1186</v>
      </c>
      <c r="AB51" t="s">
        <v>1006</v>
      </c>
      <c r="AC51" t="s">
        <v>953</v>
      </c>
      <c r="AD51" t="s">
        <v>954</v>
      </c>
      <c r="AE51" t="s">
        <v>954</v>
      </c>
      <c r="AF51" t="s">
        <v>974</v>
      </c>
    </row>
    <row r="52" spans="1:38">
      <c r="A52">
        <v>54</v>
      </c>
      <c r="B52" t="s">
        <v>1187</v>
      </c>
      <c r="C52">
        <v>90</v>
      </c>
      <c r="D52" t="s">
        <v>957</v>
      </c>
      <c r="E52" t="s">
        <v>1001</v>
      </c>
      <c r="F52" t="s">
        <v>956</v>
      </c>
      <c r="G52" t="s">
        <v>64</v>
      </c>
      <c r="H52" t="s">
        <v>956</v>
      </c>
      <c r="I52" t="s">
        <v>1033</v>
      </c>
      <c r="J52" t="s">
        <v>959</v>
      </c>
      <c r="N52" t="s">
        <v>1183</v>
      </c>
      <c r="T52" t="s">
        <v>992</v>
      </c>
      <c r="U52" t="s">
        <v>74</v>
      </c>
      <c r="V52" t="s">
        <v>1188</v>
      </c>
      <c r="W52" t="s">
        <v>950</v>
      </c>
      <c r="X52">
        <v>33947</v>
      </c>
      <c r="Y52">
        <v>33</v>
      </c>
      <c r="Z52" t="s">
        <v>1189</v>
      </c>
      <c r="AA52" t="s">
        <v>1190</v>
      </c>
      <c r="AB52" t="s">
        <v>1006</v>
      </c>
      <c r="AC52" t="s">
        <v>953</v>
      </c>
      <c r="AD52" t="s">
        <v>973</v>
      </c>
      <c r="AE52" t="s">
        <v>954</v>
      </c>
      <c r="AF52" t="s">
        <v>968</v>
      </c>
    </row>
    <row r="53" spans="1:38">
      <c r="A53">
        <v>55</v>
      </c>
      <c r="B53" t="s">
        <v>1191</v>
      </c>
      <c r="C53">
        <v>92</v>
      </c>
      <c r="D53" t="s">
        <v>957</v>
      </c>
      <c r="E53" t="s">
        <v>1001</v>
      </c>
      <c r="F53" t="s">
        <v>956</v>
      </c>
      <c r="G53" t="s">
        <v>64</v>
      </c>
      <c r="H53" t="s">
        <v>956</v>
      </c>
      <c r="I53" t="s">
        <v>1033</v>
      </c>
      <c r="J53" t="s">
        <v>959</v>
      </c>
      <c r="N53" t="s">
        <v>1183</v>
      </c>
      <c r="T53" t="s">
        <v>992</v>
      </c>
      <c r="U53" t="s">
        <v>97</v>
      </c>
      <c r="V53" t="s">
        <v>1192</v>
      </c>
      <c r="W53" t="s">
        <v>950</v>
      </c>
      <c r="X53">
        <v>33488</v>
      </c>
      <c r="Y53">
        <v>34</v>
      </c>
      <c r="Z53" t="s">
        <v>1193</v>
      </c>
      <c r="AA53" t="s">
        <v>1194</v>
      </c>
      <c r="AB53" t="s">
        <v>1006</v>
      </c>
      <c r="AC53" t="s">
        <v>953</v>
      </c>
      <c r="AD53" t="s">
        <v>973</v>
      </c>
      <c r="AE53" t="s">
        <v>954</v>
      </c>
      <c r="AF53" t="s">
        <v>968</v>
      </c>
    </row>
    <row r="54" spans="1:38">
      <c r="A54">
        <v>56</v>
      </c>
      <c r="B54" t="s">
        <v>1195</v>
      </c>
      <c r="C54">
        <v>94</v>
      </c>
      <c r="D54" t="s">
        <v>957</v>
      </c>
      <c r="E54" t="s">
        <v>1001</v>
      </c>
      <c r="F54" t="s">
        <v>956</v>
      </c>
      <c r="G54" t="s">
        <v>64</v>
      </c>
      <c r="H54" t="s">
        <v>956</v>
      </c>
      <c r="I54" t="s">
        <v>1033</v>
      </c>
      <c r="J54" t="s">
        <v>959</v>
      </c>
      <c r="N54" t="s">
        <v>1183</v>
      </c>
      <c r="P54" t="s">
        <v>173</v>
      </c>
      <c r="Q54" t="s">
        <v>1002</v>
      </c>
      <c r="T54" t="s">
        <v>992</v>
      </c>
      <c r="U54" t="s">
        <v>87</v>
      </c>
      <c r="V54" t="s">
        <v>1196</v>
      </c>
      <c r="W54" t="s">
        <v>950</v>
      </c>
      <c r="X54">
        <v>34403</v>
      </c>
      <c r="Y54">
        <v>31</v>
      </c>
      <c r="Z54" t="s">
        <v>1197</v>
      </c>
      <c r="AA54" t="s">
        <v>1198</v>
      </c>
      <c r="AB54" t="s">
        <v>1006</v>
      </c>
      <c r="AC54" t="s">
        <v>953</v>
      </c>
      <c r="AD54" t="s">
        <v>729</v>
      </c>
      <c r="AE54" t="s">
        <v>954</v>
      </c>
      <c r="AF54" t="s">
        <v>974</v>
      </c>
    </row>
    <row r="55" spans="1:38">
      <c r="A55">
        <v>57</v>
      </c>
      <c r="B55" t="s">
        <v>1199</v>
      </c>
      <c r="C55">
        <v>96</v>
      </c>
      <c r="D55" t="s">
        <v>957</v>
      </c>
      <c r="E55" t="s">
        <v>1001</v>
      </c>
      <c r="F55" t="s">
        <v>956</v>
      </c>
      <c r="G55" t="s">
        <v>64</v>
      </c>
      <c r="H55" t="s">
        <v>956</v>
      </c>
      <c r="I55" t="s">
        <v>1033</v>
      </c>
      <c r="J55" t="s">
        <v>959</v>
      </c>
      <c r="N55" t="s">
        <v>1183</v>
      </c>
      <c r="S55" t="s">
        <v>1151</v>
      </c>
      <c r="T55" t="s">
        <v>992</v>
      </c>
      <c r="U55" t="s">
        <v>1200</v>
      </c>
      <c r="V55" t="s">
        <v>1201</v>
      </c>
      <c r="W55" t="s">
        <v>963</v>
      </c>
      <c r="X55">
        <v>33643</v>
      </c>
      <c r="Y55">
        <v>33</v>
      </c>
      <c r="Z55" t="s">
        <v>1154</v>
      </c>
      <c r="AA55" t="s">
        <v>1154</v>
      </c>
      <c r="AB55" t="s">
        <v>1006</v>
      </c>
      <c r="AC55" t="s">
        <v>953</v>
      </c>
      <c r="AD55" t="s">
        <v>954</v>
      </c>
      <c r="AE55" t="s">
        <v>954</v>
      </c>
      <c r="AF55" t="s">
        <v>974</v>
      </c>
      <c r="AJ55" t="s">
        <v>1155</v>
      </c>
    </row>
    <row r="56" spans="1:38">
      <c r="A56">
        <v>58</v>
      </c>
      <c r="B56" t="s">
        <v>1202</v>
      </c>
      <c r="C56">
        <v>97</v>
      </c>
      <c r="E56" t="s">
        <v>1001</v>
      </c>
      <c r="F56" t="s">
        <v>956</v>
      </c>
      <c r="G56" t="s">
        <v>64</v>
      </c>
      <c r="H56" t="s">
        <v>956</v>
      </c>
      <c r="I56" t="s">
        <v>1033</v>
      </c>
      <c r="J56" t="s">
        <v>959</v>
      </c>
      <c r="N56" t="s">
        <v>1183</v>
      </c>
      <c r="P56" t="s">
        <v>55</v>
      </c>
      <c r="Q56" t="s">
        <v>173</v>
      </c>
      <c r="S56" t="s">
        <v>55</v>
      </c>
      <c r="U56" t="s">
        <v>30</v>
      </c>
      <c r="V56" t="s">
        <v>1203</v>
      </c>
      <c r="W56" t="s">
        <v>950</v>
      </c>
      <c r="X56">
        <v>33065</v>
      </c>
      <c r="Y56">
        <v>35</v>
      </c>
      <c r="Z56" t="s">
        <v>1204</v>
      </c>
      <c r="AA56" t="s">
        <v>1205</v>
      </c>
      <c r="AB56" t="s">
        <v>1006</v>
      </c>
      <c r="AC56" t="s">
        <v>953</v>
      </c>
      <c r="AD56" t="s">
        <v>729</v>
      </c>
      <c r="AE56" t="s">
        <v>954</v>
      </c>
      <c r="AF56" t="s">
        <v>974</v>
      </c>
      <c r="AG56" t="s">
        <v>955</v>
      </c>
    </row>
    <row r="57" spans="1:38">
      <c r="A57">
        <v>59</v>
      </c>
      <c r="B57" t="s">
        <v>1206</v>
      </c>
      <c r="C57">
        <v>99</v>
      </c>
      <c r="D57" t="s">
        <v>957</v>
      </c>
      <c r="E57" t="s">
        <v>1001</v>
      </c>
      <c r="F57" t="s">
        <v>956</v>
      </c>
      <c r="G57" t="s">
        <v>64</v>
      </c>
      <c r="H57" t="s">
        <v>956</v>
      </c>
      <c r="I57" t="s">
        <v>1206</v>
      </c>
      <c r="J57" t="s">
        <v>1207</v>
      </c>
      <c r="N57" t="s">
        <v>1208</v>
      </c>
      <c r="P57" t="s">
        <v>948</v>
      </c>
      <c r="Q57" t="s">
        <v>6</v>
      </c>
      <c r="S57" t="s">
        <v>1209</v>
      </c>
      <c r="T57" t="s">
        <v>992</v>
      </c>
      <c r="U57" t="s">
        <v>7</v>
      </c>
      <c r="V57" t="s">
        <v>1210</v>
      </c>
      <c r="W57" t="s">
        <v>950</v>
      </c>
      <c r="X57">
        <v>31978</v>
      </c>
      <c r="Y57">
        <v>38</v>
      </c>
      <c r="Z57" t="s">
        <v>1211</v>
      </c>
      <c r="AA57" t="s">
        <v>1212</v>
      </c>
      <c r="AB57" t="s">
        <v>1006</v>
      </c>
      <c r="AC57" t="s">
        <v>953</v>
      </c>
      <c r="AD57" t="s">
        <v>954</v>
      </c>
      <c r="AE57" t="s">
        <v>954</v>
      </c>
      <c r="AF57" t="s">
        <v>974</v>
      </c>
    </row>
    <row r="58" spans="1:38">
      <c r="A58">
        <v>60</v>
      </c>
      <c r="B58" t="s">
        <v>1207</v>
      </c>
      <c r="C58">
        <v>101</v>
      </c>
      <c r="D58" t="s">
        <v>957</v>
      </c>
      <c r="E58" t="s">
        <v>1001</v>
      </c>
      <c r="F58" t="s">
        <v>956</v>
      </c>
      <c r="G58" t="s">
        <v>64</v>
      </c>
      <c r="H58" t="s">
        <v>956</v>
      </c>
      <c r="I58" t="s">
        <v>1206</v>
      </c>
      <c r="J58" t="s">
        <v>1207</v>
      </c>
      <c r="N58" t="s">
        <v>1208</v>
      </c>
      <c r="P58" t="s">
        <v>69</v>
      </c>
      <c r="Q58" t="s">
        <v>69</v>
      </c>
      <c r="T58" t="s">
        <v>992</v>
      </c>
      <c r="U58" t="s">
        <v>75</v>
      </c>
      <c r="V58" t="s">
        <v>1213</v>
      </c>
      <c r="W58" t="s">
        <v>950</v>
      </c>
      <c r="X58">
        <v>32578</v>
      </c>
      <c r="Y58">
        <v>36</v>
      </c>
      <c r="Z58" t="s">
        <v>1214</v>
      </c>
      <c r="AB58" t="s">
        <v>1006</v>
      </c>
      <c r="AC58" t="s">
        <v>953</v>
      </c>
      <c r="AD58" t="s">
        <v>729</v>
      </c>
      <c r="AE58" t="s">
        <v>954</v>
      </c>
      <c r="AF58" t="s">
        <v>974</v>
      </c>
    </row>
    <row r="59" spans="1:38">
      <c r="A59">
        <v>61</v>
      </c>
      <c r="B59" t="s">
        <v>1215</v>
      </c>
      <c r="C59">
        <v>103</v>
      </c>
      <c r="D59" t="s">
        <v>957</v>
      </c>
      <c r="E59" t="s">
        <v>1001</v>
      </c>
      <c r="F59" t="s">
        <v>956</v>
      </c>
      <c r="G59" t="s">
        <v>64</v>
      </c>
      <c r="H59" t="s">
        <v>956</v>
      </c>
      <c r="I59" t="s">
        <v>1206</v>
      </c>
      <c r="J59" t="s">
        <v>1207</v>
      </c>
      <c r="N59" t="s">
        <v>1208</v>
      </c>
      <c r="S59" t="s">
        <v>1216</v>
      </c>
      <c r="T59" t="s">
        <v>992</v>
      </c>
      <c r="U59" t="s">
        <v>88</v>
      </c>
      <c r="V59" t="s">
        <v>1217</v>
      </c>
      <c r="W59" t="s">
        <v>950</v>
      </c>
      <c r="X59">
        <v>34867</v>
      </c>
      <c r="Y59">
        <v>30</v>
      </c>
      <c r="Z59" t="s">
        <v>1218</v>
      </c>
      <c r="AA59" t="s">
        <v>1219</v>
      </c>
      <c r="AB59" t="s">
        <v>1006</v>
      </c>
      <c r="AC59" t="s">
        <v>953</v>
      </c>
      <c r="AD59" t="s">
        <v>1220</v>
      </c>
      <c r="AE59" t="s">
        <v>954</v>
      </c>
      <c r="AF59" t="s">
        <v>974</v>
      </c>
    </row>
    <row r="60" spans="1:38">
      <c r="A60">
        <v>62</v>
      </c>
      <c r="B60" t="s">
        <v>1221</v>
      </c>
      <c r="C60">
        <v>105</v>
      </c>
      <c r="D60" t="s">
        <v>957</v>
      </c>
      <c r="E60" t="s">
        <v>1001</v>
      </c>
      <c r="F60" t="s">
        <v>956</v>
      </c>
      <c r="G60" t="s">
        <v>64</v>
      </c>
      <c r="H60" t="s">
        <v>956</v>
      </c>
      <c r="I60" t="s">
        <v>1206</v>
      </c>
      <c r="J60" t="s">
        <v>1207</v>
      </c>
      <c r="N60" t="s">
        <v>1208</v>
      </c>
      <c r="P60" t="s">
        <v>910</v>
      </c>
      <c r="S60" t="s">
        <v>1151</v>
      </c>
      <c r="T60" t="s">
        <v>992</v>
      </c>
      <c r="U60" t="s">
        <v>20</v>
      </c>
      <c r="V60" t="s">
        <v>1222</v>
      </c>
      <c r="W60" t="s">
        <v>963</v>
      </c>
      <c r="X60">
        <v>33136</v>
      </c>
      <c r="Y60">
        <v>35</v>
      </c>
      <c r="Z60" t="s">
        <v>1223</v>
      </c>
      <c r="AA60" t="s">
        <v>1224</v>
      </c>
      <c r="AB60" t="s">
        <v>1006</v>
      </c>
      <c r="AC60" t="s">
        <v>953</v>
      </c>
      <c r="AD60" t="s">
        <v>954</v>
      </c>
      <c r="AE60" t="s">
        <v>954</v>
      </c>
      <c r="AF60" t="s">
        <v>968</v>
      </c>
    </row>
    <row r="61" spans="1:38">
      <c r="A61">
        <v>63</v>
      </c>
      <c r="B61" t="s">
        <v>1225</v>
      </c>
      <c r="C61">
        <v>107</v>
      </c>
      <c r="D61" t="s">
        <v>957</v>
      </c>
      <c r="E61" t="s">
        <v>1226</v>
      </c>
      <c r="F61" t="s">
        <v>956</v>
      </c>
      <c r="G61" t="s">
        <v>64</v>
      </c>
      <c r="H61" t="s">
        <v>956</v>
      </c>
      <c r="I61" t="s">
        <v>1206</v>
      </c>
      <c r="J61" t="s">
        <v>1207</v>
      </c>
      <c r="N61" t="s">
        <v>1208</v>
      </c>
      <c r="P61" t="s">
        <v>1227</v>
      </c>
      <c r="Q61" t="s">
        <v>1228</v>
      </c>
      <c r="S61" t="s">
        <v>55</v>
      </c>
      <c r="T61" t="s">
        <v>992</v>
      </c>
      <c r="U61" t="s">
        <v>114</v>
      </c>
      <c r="V61" t="s">
        <v>1229</v>
      </c>
      <c r="W61" t="s">
        <v>950</v>
      </c>
      <c r="X61">
        <v>34746</v>
      </c>
      <c r="Y61">
        <v>30</v>
      </c>
      <c r="Z61" t="s">
        <v>1230</v>
      </c>
      <c r="AA61" t="s">
        <v>1231</v>
      </c>
      <c r="AB61" t="s">
        <v>1006</v>
      </c>
      <c r="AC61" t="s">
        <v>953</v>
      </c>
      <c r="AD61" t="s">
        <v>1041</v>
      </c>
      <c r="AE61" t="s">
        <v>954</v>
      </c>
      <c r="AF61" t="s">
        <v>974</v>
      </c>
    </row>
    <row r="62" spans="1:38">
      <c r="A62">
        <v>73</v>
      </c>
      <c r="B62" t="s">
        <v>1232</v>
      </c>
      <c r="C62">
        <v>109</v>
      </c>
      <c r="D62" t="s">
        <v>1233</v>
      </c>
      <c r="E62" t="s">
        <v>1234</v>
      </c>
      <c r="F62" t="s">
        <v>1232</v>
      </c>
      <c r="G62" t="s">
        <v>172</v>
      </c>
      <c r="H62" t="s">
        <v>1232</v>
      </c>
      <c r="I62" t="s">
        <v>1232</v>
      </c>
      <c r="J62" t="s">
        <v>959</v>
      </c>
      <c r="N62" t="s">
        <v>1235</v>
      </c>
      <c r="P62" t="s">
        <v>1227</v>
      </c>
      <c r="Q62" t="s">
        <v>173</v>
      </c>
      <c r="S62" t="s">
        <v>55</v>
      </c>
      <c r="T62" t="s">
        <v>1090</v>
      </c>
      <c r="U62" t="s">
        <v>172</v>
      </c>
      <c r="V62" t="s">
        <v>1236</v>
      </c>
      <c r="W62" t="s">
        <v>950</v>
      </c>
      <c r="X62">
        <v>18512</v>
      </c>
      <c r="Y62">
        <v>75</v>
      </c>
      <c r="Z62" t="s">
        <v>1237</v>
      </c>
      <c r="AA62" t="s">
        <v>1238</v>
      </c>
      <c r="AB62" t="s">
        <v>966</v>
      </c>
      <c r="AC62" t="s">
        <v>953</v>
      </c>
      <c r="AD62" t="s">
        <v>729</v>
      </c>
      <c r="AE62" t="s">
        <v>1239</v>
      </c>
      <c r="AF62" t="s">
        <v>1240</v>
      </c>
    </row>
    <row r="63" spans="1:38">
      <c r="A63">
        <v>76</v>
      </c>
      <c r="B63" t="s">
        <v>1241</v>
      </c>
      <c r="C63">
        <v>111</v>
      </c>
      <c r="D63" t="s">
        <v>1233</v>
      </c>
      <c r="E63" t="s">
        <v>1234</v>
      </c>
      <c r="F63" t="s">
        <v>1232</v>
      </c>
      <c r="G63" t="s">
        <v>172</v>
      </c>
      <c r="H63" t="s">
        <v>1232</v>
      </c>
      <c r="I63" t="s">
        <v>1232</v>
      </c>
      <c r="J63" t="s">
        <v>959</v>
      </c>
      <c r="N63" t="s">
        <v>1235</v>
      </c>
      <c r="P63" t="s">
        <v>173</v>
      </c>
      <c r="Q63" t="s">
        <v>514</v>
      </c>
      <c r="T63" t="s">
        <v>1090</v>
      </c>
      <c r="U63" t="s">
        <v>254</v>
      </c>
      <c r="V63" t="s">
        <v>1242</v>
      </c>
      <c r="W63" t="s">
        <v>950</v>
      </c>
      <c r="X63">
        <v>20283</v>
      </c>
      <c r="Y63">
        <v>70</v>
      </c>
      <c r="Z63" t="s">
        <v>1243</v>
      </c>
      <c r="AA63" t="s">
        <v>1244</v>
      </c>
      <c r="AB63" t="s">
        <v>966</v>
      </c>
      <c r="AC63" t="s">
        <v>953</v>
      </c>
      <c r="AD63" t="s">
        <v>729</v>
      </c>
      <c r="AE63" t="s">
        <v>1239</v>
      </c>
      <c r="AF63" t="s">
        <v>1240</v>
      </c>
    </row>
    <row r="64" spans="1:38">
      <c r="A64">
        <v>134</v>
      </c>
      <c r="B64" t="s">
        <v>1245</v>
      </c>
      <c r="C64">
        <v>113</v>
      </c>
      <c r="D64" t="s">
        <v>1233</v>
      </c>
      <c r="E64" t="s">
        <v>1234</v>
      </c>
      <c r="F64" t="s">
        <v>1232</v>
      </c>
      <c r="G64" t="s">
        <v>172</v>
      </c>
      <c r="H64" t="s">
        <v>1232</v>
      </c>
      <c r="I64" t="s">
        <v>1232</v>
      </c>
      <c r="J64" t="s">
        <v>959</v>
      </c>
      <c r="N64" t="s">
        <v>1235</v>
      </c>
      <c r="P64" t="s">
        <v>55</v>
      </c>
      <c r="Q64" t="s">
        <v>1002</v>
      </c>
      <c r="S64" t="s">
        <v>55</v>
      </c>
      <c r="T64" t="s">
        <v>962</v>
      </c>
      <c r="U64" t="s">
        <v>1246</v>
      </c>
      <c r="V64" t="s">
        <v>1247</v>
      </c>
      <c r="W64" t="s">
        <v>963</v>
      </c>
      <c r="X64">
        <v>32406</v>
      </c>
      <c r="Y64">
        <v>37</v>
      </c>
      <c r="Z64" t="s">
        <v>1248</v>
      </c>
      <c r="AA64" t="s">
        <v>1249</v>
      </c>
      <c r="AB64" t="s">
        <v>966</v>
      </c>
      <c r="AC64" t="s">
        <v>953</v>
      </c>
      <c r="AD64" t="s">
        <v>729</v>
      </c>
      <c r="AE64" t="s">
        <v>1250</v>
      </c>
      <c r="AF64" t="s">
        <v>1251</v>
      </c>
      <c r="AI64" t="s">
        <v>1125</v>
      </c>
      <c r="AL64" t="s">
        <v>1252</v>
      </c>
    </row>
    <row r="65" spans="1:38">
      <c r="A65">
        <v>112</v>
      </c>
      <c r="B65" t="s">
        <v>1253</v>
      </c>
      <c r="C65">
        <v>115</v>
      </c>
      <c r="D65" t="s">
        <v>1233</v>
      </c>
      <c r="E65" t="s">
        <v>1234</v>
      </c>
      <c r="F65" t="s">
        <v>1232</v>
      </c>
      <c r="G65" t="s">
        <v>172</v>
      </c>
      <c r="H65" t="s">
        <v>1232</v>
      </c>
      <c r="I65" t="s">
        <v>1232</v>
      </c>
      <c r="J65" t="s">
        <v>959</v>
      </c>
      <c r="N65" t="s">
        <v>1235</v>
      </c>
      <c r="P65" t="s">
        <v>55</v>
      </c>
      <c r="Q65" t="s">
        <v>1002</v>
      </c>
      <c r="S65" t="s">
        <v>55</v>
      </c>
      <c r="T65" t="s">
        <v>1015</v>
      </c>
      <c r="U65" t="s">
        <v>1254</v>
      </c>
      <c r="V65" t="s">
        <v>1255</v>
      </c>
      <c r="W65" t="s">
        <v>950</v>
      </c>
      <c r="X65">
        <v>29411</v>
      </c>
      <c r="Y65">
        <v>45</v>
      </c>
      <c r="Z65" t="s">
        <v>1256</v>
      </c>
      <c r="AA65" t="s">
        <v>1257</v>
      </c>
      <c r="AB65" t="s">
        <v>966</v>
      </c>
      <c r="AC65" t="s">
        <v>953</v>
      </c>
      <c r="AD65" t="s">
        <v>729</v>
      </c>
      <c r="AE65" t="s">
        <v>1239</v>
      </c>
      <c r="AF65" t="s">
        <v>1258</v>
      </c>
      <c r="AL65" t="s">
        <v>1259</v>
      </c>
    </row>
    <row r="66" spans="1:38">
      <c r="A66">
        <v>81</v>
      </c>
      <c r="B66" t="s">
        <v>1260</v>
      </c>
      <c r="C66">
        <v>117</v>
      </c>
      <c r="D66" t="s">
        <v>1233</v>
      </c>
      <c r="E66" t="s">
        <v>1234</v>
      </c>
      <c r="F66" t="s">
        <v>1232</v>
      </c>
      <c r="G66" t="s">
        <v>172</v>
      </c>
      <c r="H66" t="s">
        <v>1232</v>
      </c>
      <c r="I66" t="s">
        <v>1232</v>
      </c>
      <c r="J66" t="s">
        <v>959</v>
      </c>
      <c r="N66" t="s">
        <v>1235</v>
      </c>
      <c r="P66" t="s">
        <v>55</v>
      </c>
      <c r="Q66" t="s">
        <v>1002</v>
      </c>
      <c r="S66" t="s">
        <v>55</v>
      </c>
      <c r="T66" t="s">
        <v>1015</v>
      </c>
      <c r="U66" t="s">
        <v>297</v>
      </c>
      <c r="V66" t="s">
        <v>1261</v>
      </c>
      <c r="W66" t="s">
        <v>950</v>
      </c>
      <c r="X66">
        <v>24204</v>
      </c>
      <c r="Y66">
        <v>59</v>
      </c>
      <c r="Z66" t="s">
        <v>1262</v>
      </c>
      <c r="AA66" t="s">
        <v>1263</v>
      </c>
      <c r="AB66" t="s">
        <v>966</v>
      </c>
      <c r="AC66" t="s">
        <v>953</v>
      </c>
      <c r="AD66" t="s">
        <v>729</v>
      </c>
      <c r="AE66" t="s">
        <v>1239</v>
      </c>
      <c r="AF66" t="s">
        <v>1240</v>
      </c>
    </row>
    <row r="67" spans="1:38">
      <c r="A67">
        <v>162</v>
      </c>
      <c r="B67" t="s">
        <v>1264</v>
      </c>
      <c r="C67">
        <v>119</v>
      </c>
      <c r="D67" t="s">
        <v>1233</v>
      </c>
      <c r="E67" t="s">
        <v>1234</v>
      </c>
      <c r="F67" t="s">
        <v>1232</v>
      </c>
      <c r="G67" t="s">
        <v>172</v>
      </c>
      <c r="H67" t="s">
        <v>1232</v>
      </c>
      <c r="I67" t="s">
        <v>1232</v>
      </c>
      <c r="J67" t="s">
        <v>959</v>
      </c>
      <c r="N67" t="s">
        <v>1235</v>
      </c>
      <c r="P67" t="s">
        <v>69</v>
      </c>
      <c r="Q67" t="s">
        <v>1002</v>
      </c>
      <c r="S67" t="s">
        <v>69</v>
      </c>
      <c r="T67" t="s">
        <v>1015</v>
      </c>
      <c r="U67" t="s">
        <v>1265</v>
      </c>
      <c r="V67" t="s">
        <v>1266</v>
      </c>
      <c r="W67" t="s">
        <v>950</v>
      </c>
      <c r="X67">
        <v>34308</v>
      </c>
      <c r="Y67">
        <v>32</v>
      </c>
      <c r="Z67" t="s">
        <v>1267</v>
      </c>
      <c r="AA67" t="s">
        <v>1268</v>
      </c>
      <c r="AB67" t="s">
        <v>996</v>
      </c>
      <c r="AC67" t="s">
        <v>997</v>
      </c>
      <c r="AD67" t="s">
        <v>729</v>
      </c>
      <c r="AE67" t="s">
        <v>729</v>
      </c>
      <c r="AF67" t="s">
        <v>1269</v>
      </c>
      <c r="AI67" t="s">
        <v>1125</v>
      </c>
      <c r="AK67">
        <v>-6</v>
      </c>
    </row>
    <row r="68" spans="1:38">
      <c r="A68">
        <v>83</v>
      </c>
      <c r="B68" t="s">
        <v>1270</v>
      </c>
      <c r="C68">
        <v>121</v>
      </c>
      <c r="D68" t="s">
        <v>1233</v>
      </c>
      <c r="E68" t="s">
        <v>1234</v>
      </c>
      <c r="F68" t="s">
        <v>1232</v>
      </c>
      <c r="G68" t="s">
        <v>172</v>
      </c>
      <c r="H68" t="s">
        <v>1232</v>
      </c>
      <c r="I68" t="s">
        <v>1232</v>
      </c>
      <c r="J68" t="s">
        <v>959</v>
      </c>
      <c r="N68" t="s">
        <v>1235</v>
      </c>
      <c r="P68" t="s">
        <v>55</v>
      </c>
      <c r="Q68" t="s">
        <v>1002</v>
      </c>
      <c r="S68" t="s">
        <v>55</v>
      </c>
      <c r="T68" t="s">
        <v>1015</v>
      </c>
      <c r="U68" t="s">
        <v>609</v>
      </c>
      <c r="V68" t="s">
        <v>1271</v>
      </c>
      <c r="W68" t="s">
        <v>950</v>
      </c>
      <c r="X68">
        <v>23479</v>
      </c>
      <c r="Y68">
        <v>61</v>
      </c>
      <c r="Z68" t="s">
        <v>1272</v>
      </c>
      <c r="AA68" t="s">
        <v>1273</v>
      </c>
      <c r="AB68" t="s">
        <v>966</v>
      </c>
      <c r="AC68" t="s">
        <v>953</v>
      </c>
      <c r="AD68" t="s">
        <v>729</v>
      </c>
      <c r="AE68" t="s">
        <v>1239</v>
      </c>
      <c r="AF68" t="s">
        <v>1274</v>
      </c>
      <c r="AI68" t="s">
        <v>1125</v>
      </c>
      <c r="AL68" t="s">
        <v>1275</v>
      </c>
    </row>
    <row r="69" spans="1:38">
      <c r="A69">
        <v>84</v>
      </c>
      <c r="B69" t="s">
        <v>1276</v>
      </c>
      <c r="C69">
        <v>123</v>
      </c>
      <c r="D69" t="s">
        <v>1233</v>
      </c>
      <c r="E69" t="s">
        <v>1277</v>
      </c>
      <c r="F69" t="s">
        <v>1232</v>
      </c>
      <c r="G69" t="s">
        <v>254</v>
      </c>
      <c r="H69" t="s">
        <v>1241</v>
      </c>
      <c r="I69" t="s">
        <v>1276</v>
      </c>
      <c r="J69" t="s">
        <v>1278</v>
      </c>
      <c r="N69" t="s">
        <v>1044</v>
      </c>
      <c r="P69" t="s">
        <v>55</v>
      </c>
      <c r="Q69" t="s">
        <v>55</v>
      </c>
      <c r="T69" t="s">
        <v>1090</v>
      </c>
      <c r="U69" t="s">
        <v>174</v>
      </c>
      <c r="V69" t="s">
        <v>1279</v>
      </c>
      <c r="W69" t="s">
        <v>950</v>
      </c>
      <c r="X69">
        <v>18745</v>
      </c>
      <c r="Y69">
        <v>74</v>
      </c>
      <c r="Z69" t="s">
        <v>1280</v>
      </c>
      <c r="AA69" t="s">
        <v>1281</v>
      </c>
      <c r="AB69" t="s">
        <v>966</v>
      </c>
      <c r="AC69" t="s">
        <v>953</v>
      </c>
      <c r="AD69" t="s">
        <v>729</v>
      </c>
      <c r="AE69" t="s">
        <v>1239</v>
      </c>
      <c r="AF69" t="s">
        <v>1240</v>
      </c>
    </row>
    <row r="70" spans="1:38">
      <c r="A70">
        <v>85</v>
      </c>
      <c r="B70" t="s">
        <v>1278</v>
      </c>
      <c r="C70">
        <v>125</v>
      </c>
      <c r="D70" t="s">
        <v>1233</v>
      </c>
      <c r="E70" t="s">
        <v>1277</v>
      </c>
      <c r="F70" t="s">
        <v>1232</v>
      </c>
      <c r="G70" t="s">
        <v>254</v>
      </c>
      <c r="H70" t="s">
        <v>1241</v>
      </c>
      <c r="I70" t="s">
        <v>1276</v>
      </c>
      <c r="J70" t="s">
        <v>1278</v>
      </c>
      <c r="N70" t="s">
        <v>1044</v>
      </c>
      <c r="P70" t="s">
        <v>69</v>
      </c>
      <c r="Q70" t="s">
        <v>69</v>
      </c>
      <c r="T70" t="s">
        <v>1090</v>
      </c>
      <c r="U70" t="s">
        <v>193</v>
      </c>
      <c r="V70" t="s">
        <v>1282</v>
      </c>
      <c r="W70" t="s">
        <v>950</v>
      </c>
      <c r="X70">
        <v>18004</v>
      </c>
      <c r="Y70">
        <v>76</v>
      </c>
      <c r="Z70" t="s">
        <v>1283</v>
      </c>
      <c r="AA70" t="s">
        <v>1284</v>
      </c>
      <c r="AB70" t="s">
        <v>966</v>
      </c>
      <c r="AC70" t="s">
        <v>953</v>
      </c>
      <c r="AD70" t="s">
        <v>729</v>
      </c>
      <c r="AE70" t="s">
        <v>1239</v>
      </c>
      <c r="AF70" t="s">
        <v>1258</v>
      </c>
    </row>
    <row r="71" spans="1:38">
      <c r="A71">
        <v>104</v>
      </c>
      <c r="B71" t="s">
        <v>1285</v>
      </c>
      <c r="C71">
        <v>127</v>
      </c>
      <c r="D71" t="s">
        <v>1233</v>
      </c>
      <c r="E71" t="s">
        <v>1277</v>
      </c>
      <c r="F71" t="s">
        <v>1232</v>
      </c>
      <c r="G71" t="s">
        <v>254</v>
      </c>
      <c r="H71" t="s">
        <v>1241</v>
      </c>
      <c r="I71" t="s">
        <v>1276</v>
      </c>
      <c r="J71" t="s">
        <v>1278</v>
      </c>
      <c r="K71" t="s">
        <v>1285</v>
      </c>
      <c r="N71" t="s">
        <v>1044</v>
      </c>
      <c r="P71" t="s">
        <v>69</v>
      </c>
      <c r="Q71" t="s">
        <v>562</v>
      </c>
      <c r="R71" t="s">
        <v>1286</v>
      </c>
      <c r="T71" t="s">
        <v>1090</v>
      </c>
      <c r="U71" t="s">
        <v>1287</v>
      </c>
      <c r="V71" t="s">
        <v>1288</v>
      </c>
      <c r="W71" t="s">
        <v>950</v>
      </c>
      <c r="X71">
        <v>20169</v>
      </c>
      <c r="Y71">
        <v>70</v>
      </c>
      <c r="Z71" t="s">
        <v>1289</v>
      </c>
      <c r="AA71" t="s">
        <v>1290</v>
      </c>
      <c r="AB71" t="s">
        <v>966</v>
      </c>
      <c r="AC71" t="s">
        <v>953</v>
      </c>
      <c r="AD71" t="s">
        <v>729</v>
      </c>
      <c r="AE71" t="s">
        <v>729</v>
      </c>
      <c r="AF71" t="s">
        <v>1269</v>
      </c>
      <c r="AI71" t="s">
        <v>1125</v>
      </c>
      <c r="AL71" t="s">
        <v>1275</v>
      </c>
    </row>
    <row r="72" spans="1:38">
      <c r="A72">
        <v>86</v>
      </c>
      <c r="B72" t="s">
        <v>1291</v>
      </c>
      <c r="C72">
        <v>129</v>
      </c>
      <c r="D72" t="s">
        <v>1233</v>
      </c>
      <c r="E72" t="s">
        <v>1277</v>
      </c>
      <c r="F72" t="s">
        <v>1232</v>
      </c>
      <c r="G72" t="s">
        <v>254</v>
      </c>
      <c r="H72" t="s">
        <v>1241</v>
      </c>
      <c r="I72" t="s">
        <v>1276</v>
      </c>
      <c r="J72" t="s">
        <v>1278</v>
      </c>
      <c r="N72" t="s">
        <v>1044</v>
      </c>
      <c r="T72" t="s">
        <v>1090</v>
      </c>
      <c r="U72" t="s">
        <v>212</v>
      </c>
      <c r="V72" t="s">
        <v>1292</v>
      </c>
      <c r="W72" t="s">
        <v>950</v>
      </c>
      <c r="X72">
        <v>19128</v>
      </c>
      <c r="Y72">
        <v>73</v>
      </c>
      <c r="Z72" t="s">
        <v>1293</v>
      </c>
      <c r="AA72" t="s">
        <v>1294</v>
      </c>
      <c r="AB72" t="s">
        <v>966</v>
      </c>
      <c r="AC72" t="s">
        <v>953</v>
      </c>
      <c r="AD72" t="s">
        <v>729</v>
      </c>
      <c r="AE72" t="s">
        <v>1239</v>
      </c>
      <c r="AF72" t="s">
        <v>1258</v>
      </c>
    </row>
    <row r="73" spans="1:38">
      <c r="A73">
        <v>105</v>
      </c>
      <c r="B73" t="s">
        <v>1295</v>
      </c>
      <c r="C73">
        <v>131</v>
      </c>
      <c r="D73" t="s">
        <v>1233</v>
      </c>
      <c r="E73" t="s">
        <v>1277</v>
      </c>
      <c r="F73" t="s">
        <v>1232</v>
      </c>
      <c r="G73" t="s">
        <v>254</v>
      </c>
      <c r="H73" t="s">
        <v>1241</v>
      </c>
      <c r="I73" t="s">
        <v>1276</v>
      </c>
      <c r="J73" t="s">
        <v>1278</v>
      </c>
      <c r="N73" t="s">
        <v>1044</v>
      </c>
      <c r="T73" t="s">
        <v>1090</v>
      </c>
      <c r="U73" t="s">
        <v>214</v>
      </c>
      <c r="V73" t="s">
        <v>1296</v>
      </c>
      <c r="W73" t="s">
        <v>950</v>
      </c>
      <c r="X73">
        <v>18355</v>
      </c>
      <c r="Y73">
        <v>75</v>
      </c>
      <c r="Z73" t="s">
        <v>1297</v>
      </c>
      <c r="AA73" t="s">
        <v>1298</v>
      </c>
      <c r="AB73" t="s">
        <v>966</v>
      </c>
      <c r="AC73" t="s">
        <v>953</v>
      </c>
      <c r="AD73" t="s">
        <v>729</v>
      </c>
      <c r="AE73" t="s">
        <v>1239</v>
      </c>
      <c r="AF73" t="s">
        <v>1258</v>
      </c>
    </row>
    <row r="74" spans="1:38">
      <c r="A74">
        <v>87</v>
      </c>
      <c r="B74" t="s">
        <v>1299</v>
      </c>
      <c r="C74">
        <v>133</v>
      </c>
      <c r="D74" t="s">
        <v>1233</v>
      </c>
      <c r="E74" t="s">
        <v>1277</v>
      </c>
      <c r="F74" t="s">
        <v>1232</v>
      </c>
      <c r="G74" t="s">
        <v>254</v>
      </c>
      <c r="H74" t="s">
        <v>1241</v>
      </c>
      <c r="I74" t="s">
        <v>1276</v>
      </c>
      <c r="J74" t="s">
        <v>1278</v>
      </c>
      <c r="N74" t="s">
        <v>1044</v>
      </c>
      <c r="T74" t="s">
        <v>1090</v>
      </c>
      <c r="U74" t="s">
        <v>234</v>
      </c>
      <c r="V74" t="s">
        <v>1300</v>
      </c>
      <c r="W74" t="s">
        <v>950</v>
      </c>
      <c r="X74">
        <v>18579</v>
      </c>
      <c r="Y74">
        <v>75</v>
      </c>
      <c r="Z74" t="s">
        <v>1301</v>
      </c>
      <c r="AA74" t="s">
        <v>1302</v>
      </c>
      <c r="AB74" t="s">
        <v>966</v>
      </c>
      <c r="AC74" t="s">
        <v>953</v>
      </c>
      <c r="AD74" t="s">
        <v>729</v>
      </c>
      <c r="AE74" t="s">
        <v>1239</v>
      </c>
      <c r="AF74" t="s">
        <v>1258</v>
      </c>
    </row>
    <row r="75" spans="1:38">
      <c r="A75">
        <v>78</v>
      </c>
      <c r="B75" t="s">
        <v>1303</v>
      </c>
      <c r="C75">
        <v>135</v>
      </c>
      <c r="D75" t="s">
        <v>1233</v>
      </c>
      <c r="E75" t="s">
        <v>1277</v>
      </c>
      <c r="F75" t="s">
        <v>1232</v>
      </c>
      <c r="G75" t="s">
        <v>254</v>
      </c>
      <c r="H75" t="s">
        <v>1241</v>
      </c>
      <c r="I75" t="s">
        <v>1303</v>
      </c>
      <c r="J75" t="s">
        <v>1304</v>
      </c>
      <c r="N75" t="s">
        <v>1074</v>
      </c>
      <c r="P75" t="s">
        <v>55</v>
      </c>
      <c r="Q75" t="s">
        <v>55</v>
      </c>
      <c r="T75" t="s">
        <v>1015</v>
      </c>
      <c r="U75" t="s">
        <v>176</v>
      </c>
      <c r="V75" t="s">
        <v>1305</v>
      </c>
      <c r="W75" t="s">
        <v>950</v>
      </c>
      <c r="X75">
        <v>21384</v>
      </c>
      <c r="Y75">
        <v>67</v>
      </c>
      <c r="Z75" t="s">
        <v>1306</v>
      </c>
      <c r="AA75" t="s">
        <v>1307</v>
      </c>
      <c r="AB75" t="s">
        <v>966</v>
      </c>
      <c r="AC75" t="s">
        <v>953</v>
      </c>
      <c r="AD75" t="s">
        <v>729</v>
      </c>
      <c r="AE75" t="s">
        <v>1239</v>
      </c>
      <c r="AF75" t="s">
        <v>1258</v>
      </c>
    </row>
    <row r="76" spans="1:38">
      <c r="A76">
        <v>147</v>
      </c>
      <c r="B76" t="s">
        <v>1304</v>
      </c>
      <c r="C76">
        <v>137</v>
      </c>
      <c r="D76" t="s">
        <v>1233</v>
      </c>
      <c r="E76" t="s">
        <v>1277</v>
      </c>
      <c r="F76" t="s">
        <v>1232</v>
      </c>
      <c r="G76" t="s">
        <v>254</v>
      </c>
      <c r="H76" t="s">
        <v>1241</v>
      </c>
      <c r="I76" t="s">
        <v>1303</v>
      </c>
      <c r="J76" t="s">
        <v>1304</v>
      </c>
      <c r="N76" t="s">
        <v>1074</v>
      </c>
      <c r="P76" t="s">
        <v>69</v>
      </c>
      <c r="Q76" t="s">
        <v>562</v>
      </c>
      <c r="R76" t="s">
        <v>1286</v>
      </c>
      <c r="T76" t="s">
        <v>1015</v>
      </c>
      <c r="U76" t="s">
        <v>1308</v>
      </c>
      <c r="V76" t="s">
        <v>1309</v>
      </c>
      <c r="W76" t="s">
        <v>950</v>
      </c>
      <c r="X76">
        <v>21995</v>
      </c>
      <c r="Y76">
        <v>65</v>
      </c>
      <c r="Z76" t="s">
        <v>1310</v>
      </c>
      <c r="AA76" t="s">
        <v>1311</v>
      </c>
      <c r="AB76" t="s">
        <v>966</v>
      </c>
      <c r="AC76" t="s">
        <v>953</v>
      </c>
      <c r="AD76" t="s">
        <v>1250</v>
      </c>
      <c r="AE76" t="s">
        <v>1250</v>
      </c>
      <c r="AF76" t="s">
        <v>1312</v>
      </c>
      <c r="AI76" t="s">
        <v>1125</v>
      </c>
    </row>
    <row r="77" spans="1:38">
      <c r="A77">
        <v>140</v>
      </c>
      <c r="B77" t="s">
        <v>1313</v>
      </c>
      <c r="C77">
        <v>139</v>
      </c>
      <c r="D77" t="s">
        <v>1233</v>
      </c>
      <c r="E77" t="s">
        <v>1277</v>
      </c>
      <c r="F77" t="s">
        <v>1232</v>
      </c>
      <c r="G77" t="s">
        <v>254</v>
      </c>
      <c r="H77" t="s">
        <v>1241</v>
      </c>
      <c r="I77" t="s">
        <v>1303</v>
      </c>
      <c r="J77" t="s">
        <v>1304</v>
      </c>
      <c r="N77" t="s">
        <v>1074</v>
      </c>
      <c r="P77" t="s">
        <v>69</v>
      </c>
      <c r="Q77" t="s">
        <v>69</v>
      </c>
      <c r="T77" t="s">
        <v>1015</v>
      </c>
      <c r="U77" t="s">
        <v>360</v>
      </c>
      <c r="V77" t="s">
        <v>1314</v>
      </c>
      <c r="W77" t="s">
        <v>950</v>
      </c>
      <c r="X77">
        <v>30325</v>
      </c>
      <c r="Y77">
        <v>43</v>
      </c>
      <c r="Z77" t="s">
        <v>1315</v>
      </c>
      <c r="AA77" t="s">
        <v>1316</v>
      </c>
      <c r="AB77" t="s">
        <v>996</v>
      </c>
      <c r="AC77" t="s">
        <v>997</v>
      </c>
      <c r="AD77" t="s">
        <v>729</v>
      </c>
      <c r="AE77" t="s">
        <v>729</v>
      </c>
      <c r="AF77" t="s">
        <v>1317</v>
      </c>
      <c r="AI77" t="s">
        <v>1318</v>
      </c>
      <c r="AK77">
        <v>-5</v>
      </c>
    </row>
    <row r="78" spans="1:38">
      <c r="A78">
        <v>107</v>
      </c>
      <c r="B78" t="s">
        <v>1319</v>
      </c>
      <c r="C78">
        <v>141</v>
      </c>
      <c r="D78" t="s">
        <v>1233</v>
      </c>
      <c r="E78" t="s">
        <v>1277</v>
      </c>
      <c r="F78" t="s">
        <v>1232</v>
      </c>
      <c r="G78" t="s">
        <v>254</v>
      </c>
      <c r="H78" t="s">
        <v>1241</v>
      </c>
      <c r="I78" t="s">
        <v>1303</v>
      </c>
      <c r="J78" t="s">
        <v>1304</v>
      </c>
      <c r="N78" t="s">
        <v>1074</v>
      </c>
      <c r="T78" t="s">
        <v>1015</v>
      </c>
      <c r="U78" t="s">
        <v>634</v>
      </c>
      <c r="V78" t="s">
        <v>1320</v>
      </c>
      <c r="W78" t="s">
        <v>950</v>
      </c>
      <c r="X78">
        <v>21767</v>
      </c>
      <c r="Y78">
        <v>66</v>
      </c>
      <c r="Z78" t="s">
        <v>1321</v>
      </c>
      <c r="AA78" t="s">
        <v>1322</v>
      </c>
      <c r="AB78" t="s">
        <v>996</v>
      </c>
      <c r="AC78" t="s">
        <v>997</v>
      </c>
      <c r="AD78" t="s">
        <v>729</v>
      </c>
      <c r="AE78" t="s">
        <v>729</v>
      </c>
      <c r="AF78" t="s">
        <v>1323</v>
      </c>
      <c r="AI78" t="s">
        <v>1318</v>
      </c>
      <c r="AK78">
        <v>-6</v>
      </c>
    </row>
    <row r="79" spans="1:38">
      <c r="A79">
        <v>110</v>
      </c>
      <c r="B79" t="s">
        <v>1325</v>
      </c>
      <c r="C79">
        <v>143</v>
      </c>
      <c r="E79" t="s">
        <v>1277</v>
      </c>
      <c r="F79" t="s">
        <v>1232</v>
      </c>
      <c r="G79" t="s">
        <v>254</v>
      </c>
      <c r="H79" t="s">
        <v>1241</v>
      </c>
      <c r="I79" t="s">
        <v>1303</v>
      </c>
      <c r="J79" t="s">
        <v>1304</v>
      </c>
      <c r="N79" t="s">
        <v>1074</v>
      </c>
      <c r="T79" t="s">
        <v>1015</v>
      </c>
      <c r="U79" t="s">
        <v>688</v>
      </c>
      <c r="V79" t="s">
        <v>1326</v>
      </c>
      <c r="W79" t="s">
        <v>950</v>
      </c>
      <c r="X79">
        <v>23390</v>
      </c>
      <c r="Y79">
        <v>62</v>
      </c>
      <c r="Z79" t="s">
        <v>1327</v>
      </c>
      <c r="AA79" t="s">
        <v>1328</v>
      </c>
      <c r="AB79" t="s">
        <v>996</v>
      </c>
      <c r="AC79" t="s">
        <v>997</v>
      </c>
      <c r="AD79" t="s">
        <v>729</v>
      </c>
      <c r="AE79" t="s">
        <v>729</v>
      </c>
      <c r="AF79" t="s">
        <v>1329</v>
      </c>
      <c r="AI79" t="s">
        <v>1318</v>
      </c>
      <c r="AK79">
        <v>-7</v>
      </c>
    </row>
    <row r="80" spans="1:38">
      <c r="A80">
        <v>109</v>
      </c>
      <c r="B80" t="s">
        <v>1330</v>
      </c>
      <c r="C80">
        <v>145</v>
      </c>
      <c r="D80" t="s">
        <v>1233</v>
      </c>
      <c r="E80" t="s">
        <v>1277</v>
      </c>
      <c r="F80" t="s">
        <v>1232</v>
      </c>
      <c r="G80" t="s">
        <v>254</v>
      </c>
      <c r="H80" t="s">
        <v>1241</v>
      </c>
      <c r="I80" t="s">
        <v>1303</v>
      </c>
      <c r="J80" t="s">
        <v>1304</v>
      </c>
      <c r="N80" t="s">
        <v>1074</v>
      </c>
      <c r="T80" t="s">
        <v>1015</v>
      </c>
      <c r="U80" t="s">
        <v>1331</v>
      </c>
      <c r="V80" t="s">
        <v>1332</v>
      </c>
      <c r="W80" t="s">
        <v>950</v>
      </c>
      <c r="X80">
        <v>24432</v>
      </c>
      <c r="Y80">
        <v>59</v>
      </c>
      <c r="Z80" t="s">
        <v>1333</v>
      </c>
      <c r="AA80" t="s">
        <v>1334</v>
      </c>
      <c r="AB80" t="s">
        <v>966</v>
      </c>
      <c r="AC80" t="s">
        <v>953</v>
      </c>
      <c r="AD80" t="s">
        <v>729</v>
      </c>
      <c r="AE80" t="s">
        <v>729</v>
      </c>
      <c r="AF80" t="s">
        <v>1335</v>
      </c>
      <c r="AI80" t="s">
        <v>1125</v>
      </c>
      <c r="AL80" t="s">
        <v>1275</v>
      </c>
    </row>
    <row r="81" spans="1:38">
      <c r="A81">
        <v>115</v>
      </c>
      <c r="B81" t="s">
        <v>1336</v>
      </c>
      <c r="C81">
        <v>147</v>
      </c>
      <c r="D81" t="s">
        <v>1233</v>
      </c>
      <c r="E81" t="s">
        <v>1337</v>
      </c>
      <c r="F81" t="s">
        <v>1232</v>
      </c>
      <c r="G81" t="s">
        <v>254</v>
      </c>
      <c r="H81" t="s">
        <v>1241</v>
      </c>
      <c r="I81" t="s">
        <v>1303</v>
      </c>
      <c r="J81" t="s">
        <v>1338</v>
      </c>
      <c r="N81" t="s">
        <v>1074</v>
      </c>
      <c r="T81" t="s">
        <v>1015</v>
      </c>
      <c r="U81" t="s">
        <v>1339</v>
      </c>
      <c r="V81" t="s">
        <v>1340</v>
      </c>
      <c r="W81" t="s">
        <v>950</v>
      </c>
      <c r="X81">
        <v>28450</v>
      </c>
      <c r="Y81">
        <v>48</v>
      </c>
      <c r="Z81" t="s">
        <v>1341</v>
      </c>
      <c r="AA81" t="s">
        <v>1342</v>
      </c>
      <c r="AB81" t="s">
        <v>996</v>
      </c>
      <c r="AC81" t="s">
        <v>997</v>
      </c>
      <c r="AD81" t="s">
        <v>729</v>
      </c>
      <c r="AE81" t="s">
        <v>1239</v>
      </c>
      <c r="AF81" t="s">
        <v>1258</v>
      </c>
      <c r="AI81" t="s">
        <v>1011</v>
      </c>
      <c r="AL81" t="s">
        <v>1259</v>
      </c>
    </row>
    <row r="82" spans="1:38">
      <c r="A82">
        <v>118</v>
      </c>
      <c r="B82" t="s">
        <v>1343</v>
      </c>
      <c r="C82">
        <v>149</v>
      </c>
      <c r="D82" t="s">
        <v>1233</v>
      </c>
      <c r="E82" t="s">
        <v>1337</v>
      </c>
      <c r="F82" t="s">
        <v>1232</v>
      </c>
      <c r="G82" t="s">
        <v>254</v>
      </c>
      <c r="H82" t="s">
        <v>1241</v>
      </c>
      <c r="I82" t="s">
        <v>1303</v>
      </c>
      <c r="J82" t="s">
        <v>1338</v>
      </c>
      <c r="N82" t="s">
        <v>1074</v>
      </c>
      <c r="T82" t="s">
        <v>1015</v>
      </c>
      <c r="U82" t="s">
        <v>1344</v>
      </c>
      <c r="V82" t="s">
        <v>1345</v>
      </c>
      <c r="W82" t="s">
        <v>950</v>
      </c>
      <c r="X82">
        <v>26557</v>
      </c>
      <c r="Y82">
        <v>53</v>
      </c>
      <c r="Z82" t="s">
        <v>1346</v>
      </c>
      <c r="AA82" t="s">
        <v>1347</v>
      </c>
      <c r="AB82" t="s">
        <v>996</v>
      </c>
      <c r="AC82" t="s">
        <v>997</v>
      </c>
      <c r="AD82" t="s">
        <v>729</v>
      </c>
      <c r="AE82" t="s">
        <v>729</v>
      </c>
      <c r="AF82" t="s">
        <v>1348</v>
      </c>
      <c r="AI82" t="s">
        <v>1349</v>
      </c>
      <c r="AL82" t="s">
        <v>1259</v>
      </c>
    </row>
    <row r="83" spans="1:38">
      <c r="A83">
        <v>251</v>
      </c>
      <c r="B83" t="s">
        <v>1350</v>
      </c>
      <c r="C83">
        <v>151</v>
      </c>
      <c r="D83" t="s">
        <v>1351</v>
      </c>
      <c r="E83" t="s">
        <v>1277</v>
      </c>
      <c r="F83" t="s">
        <v>1232</v>
      </c>
      <c r="G83" t="s">
        <v>254</v>
      </c>
      <c r="H83" t="s">
        <v>1241</v>
      </c>
      <c r="I83" t="s">
        <v>1303</v>
      </c>
      <c r="J83" t="s">
        <v>1304</v>
      </c>
      <c r="N83" t="s">
        <v>1074</v>
      </c>
      <c r="S83" t="s">
        <v>1352</v>
      </c>
      <c r="T83" t="s">
        <v>1015</v>
      </c>
      <c r="U83" t="s">
        <v>1353</v>
      </c>
      <c r="V83" t="s">
        <v>1354</v>
      </c>
      <c r="W83" t="s">
        <v>950</v>
      </c>
      <c r="X83">
        <v>22724</v>
      </c>
      <c r="Y83">
        <v>63</v>
      </c>
      <c r="Z83" t="s">
        <v>1355</v>
      </c>
      <c r="AA83" t="s">
        <v>1356</v>
      </c>
      <c r="AB83" t="s">
        <v>996</v>
      </c>
      <c r="AC83" t="s">
        <v>997</v>
      </c>
      <c r="AD83" t="s">
        <v>729</v>
      </c>
      <c r="AE83" t="s">
        <v>1357</v>
      </c>
      <c r="AF83" t="s">
        <v>1358</v>
      </c>
      <c r="AI83" t="s">
        <v>1359</v>
      </c>
    </row>
    <row r="84" spans="1:38">
      <c r="A84">
        <v>82</v>
      </c>
      <c r="B84" t="s">
        <v>1360</v>
      </c>
      <c r="C84">
        <v>153</v>
      </c>
      <c r="D84" t="s">
        <v>1233</v>
      </c>
      <c r="E84" t="s">
        <v>1277</v>
      </c>
      <c r="F84" t="s">
        <v>1232</v>
      </c>
      <c r="G84" t="s">
        <v>254</v>
      </c>
      <c r="H84" t="s">
        <v>1241</v>
      </c>
      <c r="I84" t="s">
        <v>1360</v>
      </c>
      <c r="J84" t="s">
        <v>1361</v>
      </c>
      <c r="N84" t="s">
        <v>1115</v>
      </c>
      <c r="P84" t="s">
        <v>55</v>
      </c>
      <c r="Q84" t="s">
        <v>178</v>
      </c>
      <c r="T84" t="s">
        <v>1015</v>
      </c>
      <c r="U84" t="s">
        <v>305</v>
      </c>
      <c r="V84" t="s">
        <v>1362</v>
      </c>
      <c r="W84" t="s">
        <v>950</v>
      </c>
      <c r="X84">
        <v>25307</v>
      </c>
      <c r="Y84">
        <v>56</v>
      </c>
      <c r="Z84" t="s">
        <v>1363</v>
      </c>
      <c r="AA84" t="s">
        <v>1364</v>
      </c>
      <c r="AB84" t="s">
        <v>966</v>
      </c>
      <c r="AC84" t="s">
        <v>953</v>
      </c>
      <c r="AD84" t="s">
        <v>729</v>
      </c>
      <c r="AE84" t="s">
        <v>1239</v>
      </c>
      <c r="AF84" t="s">
        <v>1240</v>
      </c>
    </row>
    <row r="85" spans="1:38">
      <c r="A85">
        <v>146</v>
      </c>
      <c r="B85" t="s">
        <v>1361</v>
      </c>
      <c r="C85">
        <v>155</v>
      </c>
      <c r="D85" t="s">
        <v>1233</v>
      </c>
      <c r="E85" t="s">
        <v>1277</v>
      </c>
      <c r="F85" t="s">
        <v>1232</v>
      </c>
      <c r="G85" t="s">
        <v>254</v>
      </c>
      <c r="H85" t="s">
        <v>1241</v>
      </c>
      <c r="I85" t="s">
        <v>1360</v>
      </c>
      <c r="J85" t="s">
        <v>1361</v>
      </c>
      <c r="N85" t="s">
        <v>1115</v>
      </c>
      <c r="P85" t="s">
        <v>55</v>
      </c>
      <c r="Q85" t="s">
        <v>55</v>
      </c>
      <c r="T85" t="s">
        <v>1015</v>
      </c>
      <c r="U85" t="s">
        <v>1365</v>
      </c>
      <c r="V85" t="s">
        <v>1366</v>
      </c>
      <c r="W85" t="s">
        <v>950</v>
      </c>
      <c r="X85">
        <v>28273</v>
      </c>
      <c r="Y85">
        <v>48</v>
      </c>
      <c r="Z85" t="s">
        <v>1367</v>
      </c>
      <c r="AA85" t="s">
        <v>1368</v>
      </c>
      <c r="AB85" t="s">
        <v>996</v>
      </c>
      <c r="AC85" t="s">
        <v>997</v>
      </c>
      <c r="AD85" t="s">
        <v>1250</v>
      </c>
      <c r="AE85" t="s">
        <v>1250</v>
      </c>
      <c r="AF85" t="s">
        <v>1369</v>
      </c>
      <c r="AI85" t="s">
        <v>1125</v>
      </c>
    </row>
    <row r="86" spans="1:38">
      <c r="A86">
        <v>148</v>
      </c>
      <c r="B86" t="s">
        <v>1370</v>
      </c>
      <c r="C86">
        <v>157</v>
      </c>
      <c r="D86" t="s">
        <v>1233</v>
      </c>
      <c r="E86" t="s">
        <v>1277</v>
      </c>
      <c r="F86" t="s">
        <v>1232</v>
      </c>
      <c r="G86" t="s">
        <v>254</v>
      </c>
      <c r="H86" t="s">
        <v>1241</v>
      </c>
      <c r="I86" t="s">
        <v>1360</v>
      </c>
      <c r="J86" t="s">
        <v>1361</v>
      </c>
      <c r="N86" t="s">
        <v>1115</v>
      </c>
      <c r="T86" t="s">
        <v>1015</v>
      </c>
      <c r="U86" t="s">
        <v>1371</v>
      </c>
      <c r="V86" t="s">
        <v>1372</v>
      </c>
      <c r="W86" t="s">
        <v>950</v>
      </c>
      <c r="X86">
        <v>30230</v>
      </c>
      <c r="Y86">
        <v>43</v>
      </c>
      <c r="Z86" t="s">
        <v>1373</v>
      </c>
      <c r="AA86" t="s">
        <v>1374</v>
      </c>
      <c r="AB86" t="s">
        <v>996</v>
      </c>
      <c r="AC86" t="s">
        <v>997</v>
      </c>
      <c r="AD86" t="s">
        <v>1375</v>
      </c>
      <c r="AE86" t="s">
        <v>1375</v>
      </c>
      <c r="AF86" t="s">
        <v>1376</v>
      </c>
      <c r="AI86" t="s">
        <v>1125</v>
      </c>
    </row>
    <row r="87" spans="1:38">
      <c r="A87">
        <v>149</v>
      </c>
      <c r="B87" t="s">
        <v>1377</v>
      </c>
      <c r="C87">
        <v>159</v>
      </c>
      <c r="D87" t="s">
        <v>1233</v>
      </c>
      <c r="E87" t="s">
        <v>1277</v>
      </c>
      <c r="F87" t="s">
        <v>1232</v>
      </c>
      <c r="G87" t="s">
        <v>254</v>
      </c>
      <c r="H87" t="s">
        <v>1241</v>
      </c>
      <c r="I87" t="s">
        <v>1360</v>
      </c>
      <c r="J87" t="s">
        <v>1361</v>
      </c>
      <c r="K87" t="s">
        <v>1377</v>
      </c>
      <c r="N87" t="s">
        <v>1115</v>
      </c>
      <c r="P87" t="s">
        <v>69</v>
      </c>
      <c r="R87" t="s">
        <v>1286</v>
      </c>
      <c r="S87">
        <v>0</v>
      </c>
      <c r="T87" t="s">
        <v>1015</v>
      </c>
      <c r="U87" t="s">
        <v>1378</v>
      </c>
      <c r="V87" t="s">
        <v>1379</v>
      </c>
      <c r="W87" t="s">
        <v>950</v>
      </c>
      <c r="X87">
        <v>32894</v>
      </c>
      <c r="Y87">
        <v>36</v>
      </c>
      <c r="Z87" t="s">
        <v>1380</v>
      </c>
      <c r="AA87" t="s">
        <v>1381</v>
      </c>
      <c r="AB87" t="s">
        <v>996</v>
      </c>
      <c r="AC87" t="s">
        <v>997</v>
      </c>
      <c r="AD87" t="s">
        <v>1375</v>
      </c>
      <c r="AE87" t="s">
        <v>1375</v>
      </c>
      <c r="AF87" t="s">
        <v>1376</v>
      </c>
      <c r="AI87" t="s">
        <v>1125</v>
      </c>
    </row>
    <row r="88" spans="1:38">
      <c r="A88">
        <v>150</v>
      </c>
      <c r="B88" t="s">
        <v>1383</v>
      </c>
      <c r="C88">
        <v>161</v>
      </c>
      <c r="D88" t="s">
        <v>1233</v>
      </c>
      <c r="E88" t="s">
        <v>1277</v>
      </c>
      <c r="F88" t="s">
        <v>1232</v>
      </c>
      <c r="G88" t="s">
        <v>254</v>
      </c>
      <c r="H88" t="s">
        <v>1241</v>
      </c>
      <c r="I88" t="s">
        <v>1360</v>
      </c>
      <c r="J88" t="s">
        <v>1361</v>
      </c>
      <c r="N88" t="s">
        <v>1115</v>
      </c>
      <c r="T88" t="s">
        <v>1015</v>
      </c>
      <c r="U88" t="s">
        <v>1384</v>
      </c>
      <c r="V88" t="s">
        <v>1385</v>
      </c>
      <c r="W88" t="s">
        <v>950</v>
      </c>
      <c r="X88">
        <v>25602</v>
      </c>
      <c r="Y88">
        <v>55</v>
      </c>
      <c r="AA88" t="s">
        <v>1386</v>
      </c>
      <c r="AB88" t="s">
        <v>996</v>
      </c>
      <c r="AC88" t="s">
        <v>997</v>
      </c>
      <c r="AD88" t="s">
        <v>1250</v>
      </c>
      <c r="AE88" t="s">
        <v>1250</v>
      </c>
      <c r="AF88" t="s">
        <v>1387</v>
      </c>
      <c r="AI88" t="s">
        <v>1011</v>
      </c>
    </row>
    <row r="89" spans="1:38">
      <c r="A89">
        <v>153</v>
      </c>
      <c r="B89" t="s">
        <v>1388</v>
      </c>
      <c r="C89">
        <v>163</v>
      </c>
      <c r="D89" t="s">
        <v>1233</v>
      </c>
      <c r="E89" t="s">
        <v>1277</v>
      </c>
      <c r="F89" t="s">
        <v>1232</v>
      </c>
      <c r="G89" t="s">
        <v>254</v>
      </c>
      <c r="H89" t="s">
        <v>1241</v>
      </c>
      <c r="I89" t="s">
        <v>1360</v>
      </c>
      <c r="J89" t="s">
        <v>1361</v>
      </c>
      <c r="N89" t="s">
        <v>1115</v>
      </c>
      <c r="T89" t="s">
        <v>1015</v>
      </c>
      <c r="U89" t="s">
        <v>630</v>
      </c>
      <c r="V89" t="s">
        <v>1389</v>
      </c>
      <c r="W89" t="s">
        <v>950</v>
      </c>
      <c r="X89">
        <v>26339</v>
      </c>
      <c r="Y89">
        <v>53</v>
      </c>
      <c r="Z89" t="s">
        <v>1390</v>
      </c>
      <c r="AA89" t="s">
        <v>1391</v>
      </c>
      <c r="AB89" t="s">
        <v>996</v>
      </c>
      <c r="AC89" t="s">
        <v>997</v>
      </c>
      <c r="AD89" t="s">
        <v>729</v>
      </c>
      <c r="AE89" t="s">
        <v>729</v>
      </c>
      <c r="AF89" t="s">
        <v>1392</v>
      </c>
      <c r="AI89" t="s">
        <v>1025</v>
      </c>
      <c r="AK89">
        <v>-6</v>
      </c>
    </row>
    <row r="90" spans="1:38">
      <c r="A90">
        <v>114</v>
      </c>
      <c r="B90" t="s">
        <v>1338</v>
      </c>
      <c r="C90">
        <v>165</v>
      </c>
      <c r="D90" t="s">
        <v>1233</v>
      </c>
      <c r="E90" t="s">
        <v>1337</v>
      </c>
      <c r="F90" t="s">
        <v>1232</v>
      </c>
      <c r="G90" t="s">
        <v>254</v>
      </c>
      <c r="H90" t="s">
        <v>1241</v>
      </c>
      <c r="I90" t="s">
        <v>1360</v>
      </c>
      <c r="J90" t="s">
        <v>1361</v>
      </c>
      <c r="N90" t="s">
        <v>1115</v>
      </c>
      <c r="T90" t="s">
        <v>1015</v>
      </c>
      <c r="U90" t="s">
        <v>1393</v>
      </c>
      <c r="V90" t="s">
        <v>1394</v>
      </c>
      <c r="W90" t="s">
        <v>950</v>
      </c>
      <c r="X90">
        <v>31414</v>
      </c>
      <c r="Y90">
        <v>40</v>
      </c>
      <c r="Z90" t="s">
        <v>1395</v>
      </c>
      <c r="AA90" t="s">
        <v>1396</v>
      </c>
      <c r="AB90" t="s">
        <v>966</v>
      </c>
      <c r="AC90" t="s">
        <v>953</v>
      </c>
      <c r="AD90" t="s">
        <v>729</v>
      </c>
      <c r="AE90" t="s">
        <v>729</v>
      </c>
      <c r="AF90" t="s">
        <v>1397</v>
      </c>
      <c r="AI90" t="s">
        <v>1011</v>
      </c>
      <c r="AL90" t="s">
        <v>1259</v>
      </c>
    </row>
    <row r="91" spans="1:38">
      <c r="A91">
        <v>152</v>
      </c>
      <c r="B91" t="s">
        <v>1398</v>
      </c>
      <c r="C91">
        <v>167</v>
      </c>
      <c r="D91" t="s">
        <v>1233</v>
      </c>
      <c r="E91" t="s">
        <v>1277</v>
      </c>
      <c r="F91" t="s">
        <v>1232</v>
      </c>
      <c r="G91" t="s">
        <v>254</v>
      </c>
      <c r="H91" t="s">
        <v>1241</v>
      </c>
      <c r="I91" t="s">
        <v>1360</v>
      </c>
      <c r="J91" t="s">
        <v>1361</v>
      </c>
      <c r="N91" t="s">
        <v>1115</v>
      </c>
      <c r="T91" t="s">
        <v>1015</v>
      </c>
      <c r="U91" t="s">
        <v>701</v>
      </c>
      <c r="V91" t="s">
        <v>1399</v>
      </c>
      <c r="W91" t="s">
        <v>950</v>
      </c>
      <c r="X91">
        <v>27745</v>
      </c>
      <c r="Y91">
        <v>50</v>
      </c>
      <c r="Z91" t="s">
        <v>1400</v>
      </c>
      <c r="AA91" t="s">
        <v>1401</v>
      </c>
      <c r="AB91" t="s">
        <v>996</v>
      </c>
      <c r="AC91" t="s">
        <v>997</v>
      </c>
      <c r="AD91" t="s">
        <v>1375</v>
      </c>
      <c r="AE91" t="s">
        <v>1375</v>
      </c>
      <c r="AF91" t="s">
        <v>1402</v>
      </c>
      <c r="AI91" t="s">
        <v>1107</v>
      </c>
    </row>
    <row r="92" spans="1:38">
      <c r="A92">
        <v>154</v>
      </c>
      <c r="B92" t="s">
        <v>1403</v>
      </c>
      <c r="C92">
        <v>169</v>
      </c>
      <c r="D92" t="s">
        <v>1233</v>
      </c>
      <c r="E92" t="s">
        <v>1337</v>
      </c>
      <c r="F92" t="s">
        <v>1232</v>
      </c>
      <c r="G92" t="s">
        <v>606</v>
      </c>
      <c r="H92" t="s">
        <v>1403</v>
      </c>
      <c r="I92" t="s">
        <v>1403</v>
      </c>
      <c r="J92" t="s">
        <v>1404</v>
      </c>
      <c r="N92" t="s">
        <v>1127</v>
      </c>
      <c r="P92" t="s">
        <v>173</v>
      </c>
      <c r="Q92" t="s">
        <v>178</v>
      </c>
      <c r="S92" t="s">
        <v>1405</v>
      </c>
      <c r="T92" t="s">
        <v>1015</v>
      </c>
      <c r="U92" t="s">
        <v>606</v>
      </c>
      <c r="V92" t="s">
        <v>1406</v>
      </c>
      <c r="W92" t="s">
        <v>950</v>
      </c>
      <c r="X92">
        <v>28783</v>
      </c>
      <c r="Y92">
        <v>47</v>
      </c>
      <c r="Z92" t="s">
        <v>1407</v>
      </c>
      <c r="AA92" t="s">
        <v>1408</v>
      </c>
      <c r="AB92" t="s">
        <v>996</v>
      </c>
      <c r="AC92" t="s">
        <v>997</v>
      </c>
      <c r="AD92" t="s">
        <v>729</v>
      </c>
      <c r="AE92" t="s">
        <v>1250</v>
      </c>
      <c r="AF92" t="s">
        <v>1409</v>
      </c>
      <c r="AI92" t="s">
        <v>1114</v>
      </c>
    </row>
    <row r="93" spans="1:38">
      <c r="A93">
        <v>155</v>
      </c>
      <c r="B93" t="s">
        <v>1404</v>
      </c>
      <c r="C93">
        <v>171</v>
      </c>
      <c r="D93" t="s">
        <v>1233</v>
      </c>
      <c r="E93" t="s">
        <v>1337</v>
      </c>
      <c r="F93" t="s">
        <v>1232</v>
      </c>
      <c r="G93" t="s">
        <v>606</v>
      </c>
      <c r="H93" t="s">
        <v>1403</v>
      </c>
      <c r="I93" t="s">
        <v>1403</v>
      </c>
      <c r="J93" t="s">
        <v>1404</v>
      </c>
      <c r="N93" t="s">
        <v>1410</v>
      </c>
      <c r="P93" t="s">
        <v>69</v>
      </c>
      <c r="Q93" t="s">
        <v>562</v>
      </c>
      <c r="R93" t="s">
        <v>1286</v>
      </c>
      <c r="S93">
        <v>0</v>
      </c>
      <c r="T93" t="s">
        <v>1015</v>
      </c>
      <c r="U93" t="s">
        <v>612</v>
      </c>
      <c r="V93" t="s">
        <v>1411</v>
      </c>
      <c r="W93" t="s">
        <v>950</v>
      </c>
      <c r="X93">
        <v>35425</v>
      </c>
      <c r="Y93">
        <v>29</v>
      </c>
      <c r="Z93" t="s">
        <v>1412</v>
      </c>
      <c r="AA93" t="s">
        <v>1413</v>
      </c>
      <c r="AB93" t="s">
        <v>996</v>
      </c>
      <c r="AC93" t="s">
        <v>997</v>
      </c>
      <c r="AD93" t="s">
        <v>729</v>
      </c>
      <c r="AE93" t="s">
        <v>729</v>
      </c>
      <c r="AF93" t="s">
        <v>1414</v>
      </c>
      <c r="AI93" t="s">
        <v>1114</v>
      </c>
      <c r="AK93">
        <v>-6</v>
      </c>
    </row>
    <row r="94" spans="1:38">
      <c r="A94">
        <v>156</v>
      </c>
      <c r="B94" t="s">
        <v>1415</v>
      </c>
      <c r="C94">
        <v>173</v>
      </c>
      <c r="D94" t="s">
        <v>1233</v>
      </c>
      <c r="E94" t="s">
        <v>1337</v>
      </c>
      <c r="F94" t="s">
        <v>1232</v>
      </c>
      <c r="G94" t="s">
        <v>606</v>
      </c>
      <c r="H94" t="s">
        <v>1403</v>
      </c>
      <c r="I94" t="s">
        <v>1403</v>
      </c>
      <c r="J94" t="s">
        <v>1404</v>
      </c>
      <c r="K94" t="s">
        <v>1415</v>
      </c>
      <c r="N94" t="s">
        <v>1410</v>
      </c>
      <c r="P94" t="s">
        <v>69</v>
      </c>
      <c r="Q94" t="s">
        <v>562</v>
      </c>
      <c r="R94" t="s">
        <v>1286</v>
      </c>
      <c r="S94">
        <v>2</v>
      </c>
      <c r="T94" t="s">
        <v>1015</v>
      </c>
      <c r="U94" t="s">
        <v>1416</v>
      </c>
      <c r="V94" t="s">
        <v>1417</v>
      </c>
      <c r="W94" t="s">
        <v>950</v>
      </c>
      <c r="X94">
        <v>32534</v>
      </c>
      <c r="Y94">
        <v>37</v>
      </c>
      <c r="Z94" t="s">
        <v>1418</v>
      </c>
      <c r="AA94" t="s">
        <v>1419</v>
      </c>
      <c r="AB94" t="s">
        <v>996</v>
      </c>
      <c r="AC94" t="s">
        <v>997</v>
      </c>
      <c r="AD94" t="s">
        <v>729</v>
      </c>
      <c r="AE94" t="s">
        <v>729</v>
      </c>
      <c r="AF94" t="s">
        <v>1323</v>
      </c>
      <c r="AI94" t="s">
        <v>1107</v>
      </c>
      <c r="AL94" t="s">
        <v>1259</v>
      </c>
    </row>
    <row r="95" spans="1:38">
      <c r="A95">
        <v>157</v>
      </c>
      <c r="B95" t="s">
        <v>1420</v>
      </c>
      <c r="C95">
        <v>175</v>
      </c>
      <c r="D95" t="s">
        <v>1233</v>
      </c>
      <c r="E95" t="s">
        <v>1337</v>
      </c>
      <c r="F95" t="s">
        <v>1232</v>
      </c>
      <c r="G95" t="s">
        <v>606</v>
      </c>
      <c r="H95" t="s">
        <v>1403</v>
      </c>
      <c r="I95" t="s">
        <v>1403</v>
      </c>
      <c r="J95" t="s">
        <v>1404</v>
      </c>
      <c r="N95" t="s">
        <v>1410</v>
      </c>
      <c r="T95" t="s">
        <v>1015</v>
      </c>
      <c r="U95" t="s">
        <v>1421</v>
      </c>
      <c r="V95" t="s">
        <v>1422</v>
      </c>
      <c r="W95" t="s">
        <v>950</v>
      </c>
      <c r="X95">
        <v>29363</v>
      </c>
      <c r="Y95">
        <v>45</v>
      </c>
      <c r="Z95" t="s">
        <v>1423</v>
      </c>
      <c r="AA95" t="s">
        <v>1424</v>
      </c>
      <c r="AB95" t="s">
        <v>996</v>
      </c>
      <c r="AC95" t="s">
        <v>997</v>
      </c>
      <c r="AD95" t="s">
        <v>729</v>
      </c>
      <c r="AE95" t="s">
        <v>729</v>
      </c>
      <c r="AF95" t="s">
        <v>1425</v>
      </c>
      <c r="AI95" t="s">
        <v>1125</v>
      </c>
      <c r="AL95" t="s">
        <v>1275</v>
      </c>
    </row>
    <row r="96" spans="1:38">
      <c r="A96">
        <v>158</v>
      </c>
      <c r="B96" t="s">
        <v>1426</v>
      </c>
      <c r="C96">
        <v>177</v>
      </c>
      <c r="D96" t="s">
        <v>1233</v>
      </c>
      <c r="E96" t="s">
        <v>1337</v>
      </c>
      <c r="F96" t="s">
        <v>1232</v>
      </c>
      <c r="G96" t="s">
        <v>606</v>
      </c>
      <c r="H96" t="s">
        <v>1403</v>
      </c>
      <c r="I96" t="s">
        <v>1403</v>
      </c>
      <c r="J96" t="s">
        <v>1404</v>
      </c>
      <c r="N96" t="s">
        <v>1410</v>
      </c>
      <c r="T96" t="s">
        <v>1015</v>
      </c>
      <c r="U96" t="s">
        <v>668</v>
      </c>
      <c r="V96" t="s">
        <v>1427</v>
      </c>
      <c r="W96" t="s">
        <v>950</v>
      </c>
      <c r="X96">
        <v>31279</v>
      </c>
      <c r="Y96">
        <v>40</v>
      </c>
      <c r="Z96" t="s">
        <v>1428</v>
      </c>
      <c r="AB96" t="s">
        <v>996</v>
      </c>
      <c r="AC96" t="s">
        <v>997</v>
      </c>
      <c r="AD96" t="s">
        <v>729</v>
      </c>
      <c r="AE96" t="s">
        <v>729</v>
      </c>
      <c r="AF96" t="s">
        <v>1429</v>
      </c>
      <c r="AI96" t="s">
        <v>1114</v>
      </c>
      <c r="AK96">
        <v>-6</v>
      </c>
    </row>
    <row r="97" spans="1:38">
      <c r="A97">
        <v>159</v>
      </c>
      <c r="B97" t="s">
        <v>1430</v>
      </c>
      <c r="C97">
        <v>179</v>
      </c>
      <c r="D97" t="s">
        <v>1233</v>
      </c>
      <c r="E97" t="s">
        <v>1337</v>
      </c>
      <c r="F97" t="s">
        <v>1232</v>
      </c>
      <c r="G97" t="s">
        <v>606</v>
      </c>
      <c r="H97" t="s">
        <v>1403</v>
      </c>
      <c r="I97" t="s">
        <v>1403</v>
      </c>
      <c r="J97" t="s">
        <v>1404</v>
      </c>
      <c r="N97" t="s">
        <v>1410</v>
      </c>
      <c r="T97" t="s">
        <v>1015</v>
      </c>
      <c r="U97" t="s">
        <v>686</v>
      </c>
      <c r="V97" t="s">
        <v>1431</v>
      </c>
      <c r="W97" t="s">
        <v>950</v>
      </c>
      <c r="X97">
        <v>34479</v>
      </c>
      <c r="Y97">
        <v>31</v>
      </c>
      <c r="Z97" t="s">
        <v>1432</v>
      </c>
      <c r="AA97" t="s">
        <v>1433</v>
      </c>
      <c r="AB97" t="s">
        <v>996</v>
      </c>
      <c r="AC97" t="s">
        <v>997</v>
      </c>
      <c r="AD97" t="s">
        <v>729</v>
      </c>
      <c r="AE97" t="s">
        <v>729</v>
      </c>
      <c r="AF97" t="s">
        <v>1335</v>
      </c>
      <c r="AI97" t="s">
        <v>1114</v>
      </c>
      <c r="AK97">
        <v>-6</v>
      </c>
    </row>
    <row r="98" spans="1:38">
      <c r="A98">
        <v>117</v>
      </c>
      <c r="B98" t="s">
        <v>1434</v>
      </c>
      <c r="C98">
        <v>181</v>
      </c>
      <c r="D98" t="s">
        <v>1233</v>
      </c>
      <c r="E98" t="s">
        <v>1337</v>
      </c>
      <c r="F98" t="s">
        <v>1232</v>
      </c>
      <c r="G98" t="s">
        <v>606</v>
      </c>
      <c r="H98" t="s">
        <v>1403</v>
      </c>
      <c r="I98" t="s">
        <v>1403</v>
      </c>
      <c r="J98" t="s">
        <v>1404</v>
      </c>
      <c r="N98" t="s">
        <v>1410</v>
      </c>
      <c r="T98" t="s">
        <v>1015</v>
      </c>
      <c r="U98" t="s">
        <v>1435</v>
      </c>
      <c r="V98" t="s">
        <v>1436</v>
      </c>
      <c r="W98" t="s">
        <v>950</v>
      </c>
      <c r="X98">
        <v>33133</v>
      </c>
      <c r="Y98">
        <v>35</v>
      </c>
      <c r="Z98" t="s">
        <v>1437</v>
      </c>
      <c r="AA98" t="s">
        <v>1438</v>
      </c>
      <c r="AB98" t="s">
        <v>996</v>
      </c>
      <c r="AC98" t="s">
        <v>953</v>
      </c>
      <c r="AD98" t="s">
        <v>729</v>
      </c>
      <c r="AE98" t="s">
        <v>729</v>
      </c>
      <c r="AF98" t="s">
        <v>1439</v>
      </c>
      <c r="AI98" t="s">
        <v>1440</v>
      </c>
      <c r="AL98" t="s">
        <v>1259</v>
      </c>
    </row>
    <row r="99" spans="1:38">
      <c r="A99">
        <v>145</v>
      </c>
      <c r="B99" t="s">
        <v>1441</v>
      </c>
      <c r="C99">
        <v>183</v>
      </c>
      <c r="D99" t="s">
        <v>1233</v>
      </c>
      <c r="E99" t="s">
        <v>1337</v>
      </c>
      <c r="F99" t="s">
        <v>1232</v>
      </c>
      <c r="G99" t="s">
        <v>606</v>
      </c>
      <c r="H99" t="s">
        <v>1403</v>
      </c>
      <c r="I99" t="s">
        <v>1403</v>
      </c>
      <c r="J99" t="s">
        <v>1404</v>
      </c>
      <c r="N99" t="s">
        <v>1127</v>
      </c>
      <c r="T99" t="s">
        <v>992</v>
      </c>
      <c r="U99" t="s">
        <v>374</v>
      </c>
      <c r="V99" t="s">
        <v>1442</v>
      </c>
      <c r="W99" t="s">
        <v>950</v>
      </c>
      <c r="X99">
        <v>33178</v>
      </c>
      <c r="Y99">
        <v>35</v>
      </c>
      <c r="Z99" t="s">
        <v>1443</v>
      </c>
      <c r="AA99" t="s">
        <v>1444</v>
      </c>
      <c r="AB99" t="s">
        <v>996</v>
      </c>
      <c r="AC99" t="s">
        <v>997</v>
      </c>
      <c r="AD99" t="s">
        <v>729</v>
      </c>
      <c r="AE99" t="s">
        <v>729</v>
      </c>
      <c r="AF99" t="s">
        <v>1445</v>
      </c>
      <c r="AI99" t="s">
        <v>1446</v>
      </c>
      <c r="AL99" t="s">
        <v>1259</v>
      </c>
    </row>
    <row r="100" spans="1:38">
      <c r="A100">
        <v>160</v>
      </c>
      <c r="B100" t="s">
        <v>1447</v>
      </c>
      <c r="C100">
        <v>185</v>
      </c>
      <c r="D100" t="s">
        <v>1233</v>
      </c>
      <c r="E100" t="s">
        <v>1448</v>
      </c>
      <c r="F100" t="s">
        <v>1232</v>
      </c>
      <c r="G100" t="s">
        <v>606</v>
      </c>
      <c r="H100" t="s">
        <v>1403</v>
      </c>
      <c r="I100" t="s">
        <v>1403</v>
      </c>
      <c r="J100" t="s">
        <v>1404</v>
      </c>
      <c r="N100" t="s">
        <v>1127</v>
      </c>
      <c r="T100" t="s">
        <v>1015</v>
      </c>
      <c r="U100" t="s">
        <v>705</v>
      </c>
      <c r="V100" t="s">
        <v>1449</v>
      </c>
      <c r="W100" t="s">
        <v>950</v>
      </c>
      <c r="X100">
        <v>32130</v>
      </c>
      <c r="Y100">
        <v>38</v>
      </c>
      <c r="Z100" t="s">
        <v>1450</v>
      </c>
      <c r="AB100" t="s">
        <v>996</v>
      </c>
      <c r="AC100" t="s">
        <v>1018</v>
      </c>
      <c r="AD100" t="s">
        <v>729</v>
      </c>
      <c r="AE100" t="s">
        <v>729</v>
      </c>
      <c r="AF100" t="s">
        <v>1451</v>
      </c>
      <c r="AI100" t="s">
        <v>1452</v>
      </c>
      <c r="AK100">
        <v>-6</v>
      </c>
    </row>
    <row r="101" spans="1:38">
      <c r="A101">
        <v>163</v>
      </c>
      <c r="B101" t="s">
        <v>1453</v>
      </c>
      <c r="C101">
        <v>187</v>
      </c>
      <c r="D101" t="s">
        <v>1233</v>
      </c>
      <c r="E101" t="s">
        <v>1337</v>
      </c>
      <c r="F101" t="s">
        <v>1232</v>
      </c>
      <c r="G101" t="s">
        <v>606</v>
      </c>
      <c r="H101" t="s">
        <v>1403</v>
      </c>
      <c r="I101" t="s">
        <v>1453</v>
      </c>
      <c r="J101" t="s">
        <v>1454</v>
      </c>
      <c r="N101" t="s">
        <v>1157</v>
      </c>
      <c r="P101" t="s">
        <v>1455</v>
      </c>
      <c r="Q101" t="s">
        <v>55</v>
      </c>
      <c r="R101" t="s">
        <v>1286</v>
      </c>
      <c r="S101">
        <v>1</v>
      </c>
      <c r="T101" t="s">
        <v>1015</v>
      </c>
      <c r="U101" t="s">
        <v>361</v>
      </c>
      <c r="V101" t="s">
        <v>1456</v>
      </c>
      <c r="W101" t="s">
        <v>950</v>
      </c>
      <c r="X101">
        <v>34385</v>
      </c>
      <c r="Y101">
        <v>31</v>
      </c>
      <c r="Z101" t="s">
        <v>1457</v>
      </c>
      <c r="AA101" t="s">
        <v>1458</v>
      </c>
      <c r="AB101" t="s">
        <v>996</v>
      </c>
      <c r="AC101" t="s">
        <v>997</v>
      </c>
      <c r="AD101" t="s">
        <v>729</v>
      </c>
      <c r="AE101" t="s">
        <v>1250</v>
      </c>
      <c r="AF101" t="s">
        <v>1459</v>
      </c>
      <c r="AI101" t="s">
        <v>1452</v>
      </c>
    </row>
    <row r="102" spans="1:38">
      <c r="A102">
        <v>123</v>
      </c>
      <c r="B102" t="s">
        <v>1454</v>
      </c>
      <c r="C102">
        <v>189</v>
      </c>
      <c r="D102" t="s">
        <v>1233</v>
      </c>
      <c r="E102" t="s">
        <v>1337</v>
      </c>
      <c r="F102" t="s">
        <v>1232</v>
      </c>
      <c r="G102" t="s">
        <v>606</v>
      </c>
      <c r="H102" t="s">
        <v>1403</v>
      </c>
      <c r="I102" t="s">
        <v>1453</v>
      </c>
      <c r="J102" t="s">
        <v>1454</v>
      </c>
      <c r="N102" t="s">
        <v>1157</v>
      </c>
      <c r="P102" t="s">
        <v>69</v>
      </c>
      <c r="Q102" t="s">
        <v>562</v>
      </c>
      <c r="R102" t="s">
        <v>1286</v>
      </c>
      <c r="S102">
        <v>3</v>
      </c>
      <c r="T102" t="s">
        <v>992</v>
      </c>
      <c r="U102" t="s">
        <v>358</v>
      </c>
      <c r="V102" t="s">
        <v>1460</v>
      </c>
      <c r="W102" t="s">
        <v>950</v>
      </c>
      <c r="X102">
        <v>33229</v>
      </c>
      <c r="Y102">
        <v>35</v>
      </c>
      <c r="Z102" t="s">
        <v>1461</v>
      </c>
      <c r="AA102" t="s">
        <v>1462</v>
      </c>
      <c r="AB102" t="s">
        <v>996</v>
      </c>
      <c r="AC102" t="s">
        <v>997</v>
      </c>
      <c r="AD102" t="s">
        <v>729</v>
      </c>
      <c r="AE102" t="s">
        <v>1239</v>
      </c>
      <c r="AF102" t="s">
        <v>1463</v>
      </c>
      <c r="AI102" t="s">
        <v>1025</v>
      </c>
      <c r="AL102" t="s">
        <v>1275</v>
      </c>
    </row>
    <row r="103" spans="1:38">
      <c r="A103">
        <v>124</v>
      </c>
      <c r="B103" t="s">
        <v>1464</v>
      </c>
      <c r="C103">
        <v>191</v>
      </c>
      <c r="D103" t="s">
        <v>1233</v>
      </c>
      <c r="E103" t="s">
        <v>1337</v>
      </c>
      <c r="F103" t="s">
        <v>1232</v>
      </c>
      <c r="G103" t="s">
        <v>606</v>
      </c>
      <c r="H103" t="s">
        <v>1403</v>
      </c>
      <c r="I103" t="s">
        <v>1453</v>
      </c>
      <c r="J103" t="s">
        <v>1454</v>
      </c>
      <c r="N103" t="s">
        <v>1157</v>
      </c>
      <c r="P103" t="s">
        <v>69</v>
      </c>
      <c r="Q103" t="s">
        <v>562</v>
      </c>
      <c r="S103">
        <v>3</v>
      </c>
      <c r="T103" t="s">
        <v>1015</v>
      </c>
      <c r="U103" t="s">
        <v>1465</v>
      </c>
      <c r="V103" t="s">
        <v>1466</v>
      </c>
      <c r="W103" t="s">
        <v>950</v>
      </c>
      <c r="X103">
        <v>34252</v>
      </c>
      <c r="Y103">
        <v>32</v>
      </c>
      <c r="Z103" t="s">
        <v>1467</v>
      </c>
      <c r="AA103" t="s">
        <v>1468</v>
      </c>
      <c r="AB103" t="s">
        <v>996</v>
      </c>
      <c r="AC103" t="s">
        <v>997</v>
      </c>
      <c r="AD103" t="s">
        <v>729</v>
      </c>
      <c r="AE103" t="s">
        <v>729</v>
      </c>
      <c r="AF103" t="s">
        <v>1323</v>
      </c>
      <c r="AI103" t="s">
        <v>1025</v>
      </c>
      <c r="AL103" t="s">
        <v>1259</v>
      </c>
    </row>
    <row r="104" spans="1:38">
      <c r="A104">
        <v>127</v>
      </c>
      <c r="B104" t="s">
        <v>1469</v>
      </c>
      <c r="C104">
        <v>193</v>
      </c>
      <c r="D104" t="s">
        <v>1233</v>
      </c>
      <c r="E104" t="s">
        <v>1337</v>
      </c>
      <c r="F104" t="s">
        <v>1232</v>
      </c>
      <c r="G104" t="s">
        <v>606</v>
      </c>
      <c r="H104" t="s">
        <v>1403</v>
      </c>
      <c r="I104" t="s">
        <v>1453</v>
      </c>
      <c r="J104" t="s">
        <v>1454</v>
      </c>
      <c r="N104" t="s">
        <v>1157</v>
      </c>
      <c r="T104" t="s">
        <v>1015</v>
      </c>
      <c r="U104" t="s">
        <v>422</v>
      </c>
      <c r="V104" t="s">
        <v>1470</v>
      </c>
      <c r="W104" t="s">
        <v>950</v>
      </c>
      <c r="X104">
        <v>29402</v>
      </c>
      <c r="Y104">
        <v>45</v>
      </c>
      <c r="Z104" t="s">
        <v>1471</v>
      </c>
      <c r="AA104" t="s">
        <v>1472</v>
      </c>
      <c r="AB104" t="s">
        <v>996</v>
      </c>
      <c r="AC104" t="s">
        <v>997</v>
      </c>
      <c r="AD104" t="s">
        <v>729</v>
      </c>
      <c r="AE104" t="s">
        <v>729</v>
      </c>
      <c r="AF104" t="s">
        <v>1473</v>
      </c>
      <c r="AI104" t="s">
        <v>1359</v>
      </c>
      <c r="AK104">
        <v>-6</v>
      </c>
    </row>
    <row r="105" spans="1:38">
      <c r="A105">
        <v>129</v>
      </c>
      <c r="B105" t="s">
        <v>1474</v>
      </c>
      <c r="C105">
        <v>195</v>
      </c>
      <c r="D105" t="s">
        <v>1233</v>
      </c>
      <c r="E105" t="s">
        <v>1337</v>
      </c>
      <c r="F105" t="s">
        <v>1232</v>
      </c>
      <c r="G105" t="s">
        <v>606</v>
      </c>
      <c r="H105" t="s">
        <v>1403</v>
      </c>
      <c r="I105" t="s">
        <v>1453</v>
      </c>
      <c r="J105" t="s">
        <v>1454</v>
      </c>
      <c r="N105" t="s">
        <v>1157</v>
      </c>
      <c r="T105" t="s">
        <v>992</v>
      </c>
      <c r="U105" t="s">
        <v>438</v>
      </c>
      <c r="V105" t="s">
        <v>1475</v>
      </c>
      <c r="W105" t="s">
        <v>950</v>
      </c>
      <c r="X105">
        <v>36641</v>
      </c>
      <c r="Y105">
        <v>25</v>
      </c>
      <c r="Z105" t="s">
        <v>1476</v>
      </c>
      <c r="AA105" t="s">
        <v>1477</v>
      </c>
      <c r="AB105" t="s">
        <v>996</v>
      </c>
      <c r="AC105" t="s">
        <v>997</v>
      </c>
      <c r="AD105" t="s">
        <v>729</v>
      </c>
      <c r="AE105" t="s">
        <v>729</v>
      </c>
      <c r="AF105" t="s">
        <v>1329</v>
      </c>
      <c r="AI105" t="s">
        <v>1359</v>
      </c>
      <c r="AK105">
        <v>-7</v>
      </c>
    </row>
    <row r="106" spans="1:38">
      <c r="A106">
        <v>91</v>
      </c>
      <c r="B106" t="s">
        <v>1478</v>
      </c>
      <c r="C106">
        <v>197</v>
      </c>
      <c r="D106" t="s">
        <v>1233</v>
      </c>
      <c r="E106" t="s">
        <v>1479</v>
      </c>
      <c r="F106" t="s">
        <v>1232</v>
      </c>
      <c r="G106" t="s">
        <v>172</v>
      </c>
      <c r="H106" t="s">
        <v>1232</v>
      </c>
      <c r="I106" t="s">
        <v>1478</v>
      </c>
      <c r="J106" t="s">
        <v>959</v>
      </c>
      <c r="N106" t="s">
        <v>1480</v>
      </c>
      <c r="P106" t="s">
        <v>173</v>
      </c>
      <c r="Q106" t="s">
        <v>55</v>
      </c>
      <c r="S106" t="s">
        <v>55</v>
      </c>
      <c r="T106" t="s">
        <v>962</v>
      </c>
      <c r="U106" t="s">
        <v>175</v>
      </c>
      <c r="V106" t="s">
        <v>1481</v>
      </c>
      <c r="W106" t="s">
        <v>963</v>
      </c>
      <c r="X106">
        <v>27259</v>
      </c>
      <c r="Y106">
        <v>51</v>
      </c>
      <c r="Z106" t="s">
        <v>1482</v>
      </c>
      <c r="AA106" t="s">
        <v>1483</v>
      </c>
      <c r="AB106" t="s">
        <v>966</v>
      </c>
      <c r="AC106" t="s">
        <v>953</v>
      </c>
      <c r="AD106" t="s">
        <v>729</v>
      </c>
      <c r="AE106" t="s">
        <v>1239</v>
      </c>
      <c r="AF106" t="s">
        <v>1258</v>
      </c>
    </row>
    <row r="107" spans="1:38">
      <c r="A107">
        <v>96</v>
      </c>
      <c r="B107" t="s">
        <v>1484</v>
      </c>
      <c r="C107">
        <v>199</v>
      </c>
      <c r="D107" t="s">
        <v>1233</v>
      </c>
      <c r="E107" t="s">
        <v>1479</v>
      </c>
      <c r="F107" t="s">
        <v>1232</v>
      </c>
      <c r="G107" t="s">
        <v>172</v>
      </c>
      <c r="H107" t="s">
        <v>1232</v>
      </c>
      <c r="I107" t="s">
        <v>1478</v>
      </c>
      <c r="J107" t="s">
        <v>959</v>
      </c>
      <c r="N107" t="s">
        <v>1480</v>
      </c>
      <c r="T107" t="s">
        <v>962</v>
      </c>
      <c r="U107" t="s">
        <v>256</v>
      </c>
      <c r="V107" t="s">
        <v>1485</v>
      </c>
      <c r="W107" t="s">
        <v>963</v>
      </c>
      <c r="X107">
        <v>30074</v>
      </c>
      <c r="Y107">
        <v>43</v>
      </c>
      <c r="Z107" t="s">
        <v>1486</v>
      </c>
      <c r="AA107" t="s">
        <v>1487</v>
      </c>
      <c r="AB107" t="s">
        <v>966</v>
      </c>
      <c r="AC107" t="s">
        <v>953</v>
      </c>
      <c r="AD107" t="s">
        <v>729</v>
      </c>
      <c r="AE107" t="s">
        <v>1239</v>
      </c>
      <c r="AF107" t="s">
        <v>1488</v>
      </c>
      <c r="AI107" t="s">
        <v>1025</v>
      </c>
    </row>
    <row r="108" spans="1:38">
      <c r="A108">
        <v>97</v>
      </c>
      <c r="B108" t="s">
        <v>1489</v>
      </c>
      <c r="C108">
        <v>201</v>
      </c>
      <c r="D108" t="s">
        <v>1233</v>
      </c>
      <c r="E108" t="s">
        <v>1479</v>
      </c>
      <c r="F108" t="s">
        <v>1232</v>
      </c>
      <c r="G108" t="s">
        <v>172</v>
      </c>
      <c r="H108" t="s">
        <v>1232</v>
      </c>
      <c r="I108" t="s">
        <v>1478</v>
      </c>
      <c r="J108" t="s">
        <v>959</v>
      </c>
      <c r="N108" t="s">
        <v>1480</v>
      </c>
      <c r="T108" t="s">
        <v>962</v>
      </c>
      <c r="U108" t="s">
        <v>1490</v>
      </c>
      <c r="V108" t="s">
        <v>1491</v>
      </c>
      <c r="W108" t="s">
        <v>963</v>
      </c>
      <c r="X108">
        <v>33779</v>
      </c>
      <c r="Y108">
        <v>33</v>
      </c>
      <c r="Z108" t="s">
        <v>1492</v>
      </c>
      <c r="AA108" t="s">
        <v>1493</v>
      </c>
      <c r="AB108" t="s">
        <v>996</v>
      </c>
      <c r="AC108" t="s">
        <v>997</v>
      </c>
      <c r="AD108" t="s">
        <v>1494</v>
      </c>
      <c r="AE108" t="s">
        <v>1494</v>
      </c>
      <c r="AF108" t="s">
        <v>1495</v>
      </c>
      <c r="AI108" t="s">
        <v>1025</v>
      </c>
    </row>
    <row r="109" spans="1:38">
      <c r="A109">
        <v>95</v>
      </c>
      <c r="B109" t="s">
        <v>1496</v>
      </c>
      <c r="C109">
        <v>203</v>
      </c>
      <c r="D109" t="s">
        <v>1233</v>
      </c>
      <c r="E109" t="s">
        <v>1479</v>
      </c>
      <c r="F109" t="s">
        <v>1232</v>
      </c>
      <c r="G109" t="s">
        <v>172</v>
      </c>
      <c r="H109" t="s">
        <v>1232</v>
      </c>
      <c r="I109" t="s">
        <v>1478</v>
      </c>
      <c r="J109" t="s">
        <v>959</v>
      </c>
      <c r="N109" t="s">
        <v>1480</v>
      </c>
      <c r="T109" t="s">
        <v>962</v>
      </c>
      <c r="U109" t="s">
        <v>235</v>
      </c>
      <c r="V109" t="s">
        <v>1497</v>
      </c>
      <c r="W109" t="s">
        <v>963</v>
      </c>
      <c r="X109">
        <v>28966</v>
      </c>
      <c r="Y109">
        <v>46</v>
      </c>
      <c r="Z109" t="s">
        <v>1498</v>
      </c>
      <c r="AA109" t="s">
        <v>1499</v>
      </c>
      <c r="AB109" t="s">
        <v>996</v>
      </c>
      <c r="AC109" t="s">
        <v>953</v>
      </c>
      <c r="AD109" t="s">
        <v>1041</v>
      </c>
      <c r="AE109" t="s">
        <v>1239</v>
      </c>
      <c r="AF109" t="s">
        <v>1258</v>
      </c>
    </row>
    <row r="110" spans="1:38">
      <c r="A110">
        <v>138</v>
      </c>
      <c r="B110" t="s">
        <v>1500</v>
      </c>
      <c r="C110">
        <v>205</v>
      </c>
      <c r="D110" t="s">
        <v>1233</v>
      </c>
      <c r="E110" t="s">
        <v>1479</v>
      </c>
      <c r="F110" t="s">
        <v>1232</v>
      </c>
      <c r="G110" t="s">
        <v>172</v>
      </c>
      <c r="H110" t="s">
        <v>1232</v>
      </c>
      <c r="I110" t="s">
        <v>1478</v>
      </c>
      <c r="J110" t="s">
        <v>959</v>
      </c>
      <c r="N110" t="s">
        <v>1480</v>
      </c>
      <c r="S110" t="s">
        <v>1501</v>
      </c>
      <c r="T110" t="s">
        <v>962</v>
      </c>
      <c r="U110" t="s">
        <v>258</v>
      </c>
      <c r="V110" t="s">
        <v>1502</v>
      </c>
      <c r="W110" t="s">
        <v>963</v>
      </c>
      <c r="X110">
        <v>30020</v>
      </c>
      <c r="Y110">
        <v>43</v>
      </c>
      <c r="Z110" t="s">
        <v>1503</v>
      </c>
      <c r="AA110" t="s">
        <v>1504</v>
      </c>
      <c r="AB110" t="s">
        <v>996</v>
      </c>
      <c r="AC110" t="s">
        <v>997</v>
      </c>
      <c r="AD110" t="s">
        <v>729</v>
      </c>
      <c r="AE110" t="s">
        <v>729</v>
      </c>
      <c r="AF110" t="s">
        <v>1323</v>
      </c>
      <c r="AI110" t="s">
        <v>1359</v>
      </c>
      <c r="AK110">
        <v>-6</v>
      </c>
    </row>
    <row r="111" spans="1:38">
      <c r="A111">
        <v>135</v>
      </c>
      <c r="B111" t="s">
        <v>1505</v>
      </c>
      <c r="C111">
        <v>134</v>
      </c>
      <c r="D111" t="s">
        <v>1233</v>
      </c>
      <c r="E111" t="s">
        <v>1479</v>
      </c>
      <c r="F111" t="s">
        <v>1232</v>
      </c>
      <c r="G111" t="s">
        <v>271</v>
      </c>
      <c r="H111" t="s">
        <v>1506</v>
      </c>
      <c r="I111" t="s">
        <v>1507</v>
      </c>
      <c r="J111" t="s">
        <v>1505</v>
      </c>
      <c r="N111" t="s">
        <v>1480</v>
      </c>
      <c r="P111" t="s">
        <v>69</v>
      </c>
      <c r="Q111" t="s">
        <v>562</v>
      </c>
      <c r="R111" t="s">
        <v>1286</v>
      </c>
      <c r="S111">
        <v>1</v>
      </c>
      <c r="T111" t="s">
        <v>962</v>
      </c>
      <c r="U111" t="s">
        <v>1508</v>
      </c>
      <c r="V111" t="s">
        <v>1509</v>
      </c>
      <c r="W111" t="s">
        <v>963</v>
      </c>
      <c r="X111">
        <v>31125</v>
      </c>
      <c r="Y111">
        <v>40</v>
      </c>
      <c r="Z111" t="s">
        <v>1510</v>
      </c>
      <c r="AA111" t="s">
        <v>1511</v>
      </c>
      <c r="AB111" t="s">
        <v>996</v>
      </c>
      <c r="AC111" t="s">
        <v>997</v>
      </c>
      <c r="AD111" t="s">
        <v>1512</v>
      </c>
      <c r="AE111" t="s">
        <v>729</v>
      </c>
      <c r="AF111" t="s">
        <v>1052</v>
      </c>
      <c r="AI111" t="s">
        <v>1513</v>
      </c>
    </row>
    <row r="112" spans="1:38">
      <c r="A112">
        <v>74</v>
      </c>
      <c r="B112" t="s">
        <v>1514</v>
      </c>
      <c r="C112">
        <v>209</v>
      </c>
      <c r="D112" t="s">
        <v>1233</v>
      </c>
      <c r="E112" t="s">
        <v>1479</v>
      </c>
      <c r="F112" t="s">
        <v>1232</v>
      </c>
      <c r="G112" t="s">
        <v>172</v>
      </c>
      <c r="H112" t="s">
        <v>1232</v>
      </c>
      <c r="I112" t="s">
        <v>1514</v>
      </c>
      <c r="J112" t="s">
        <v>959</v>
      </c>
      <c r="N112" t="s">
        <v>1515</v>
      </c>
      <c r="P112" t="s">
        <v>55</v>
      </c>
      <c r="Q112" t="s">
        <v>178</v>
      </c>
      <c r="S112" t="s">
        <v>69</v>
      </c>
      <c r="T112" t="s">
        <v>1090</v>
      </c>
      <c r="U112" t="s">
        <v>191</v>
      </c>
      <c r="V112" t="s">
        <v>1516</v>
      </c>
      <c r="W112" t="s">
        <v>963</v>
      </c>
      <c r="X112">
        <v>19232</v>
      </c>
      <c r="Y112">
        <v>73</v>
      </c>
      <c r="Z112" t="s">
        <v>1517</v>
      </c>
      <c r="AA112" t="s">
        <v>1518</v>
      </c>
      <c r="AB112" t="s">
        <v>966</v>
      </c>
      <c r="AC112" t="s">
        <v>953</v>
      </c>
      <c r="AD112" t="s">
        <v>729</v>
      </c>
      <c r="AE112" t="s">
        <v>1239</v>
      </c>
      <c r="AF112" t="s">
        <v>1240</v>
      </c>
    </row>
    <row r="113" spans="1:38">
      <c r="A113">
        <v>93</v>
      </c>
      <c r="B113" t="s">
        <v>1519</v>
      </c>
      <c r="C113">
        <v>211</v>
      </c>
      <c r="D113" t="s">
        <v>1233</v>
      </c>
      <c r="E113" t="s">
        <v>1479</v>
      </c>
      <c r="F113" t="s">
        <v>1232</v>
      </c>
      <c r="G113" t="s">
        <v>172</v>
      </c>
      <c r="H113" t="s">
        <v>1232</v>
      </c>
      <c r="I113" t="s">
        <v>1514</v>
      </c>
      <c r="J113" t="s">
        <v>959</v>
      </c>
      <c r="N113" t="s">
        <v>1515</v>
      </c>
      <c r="T113" t="s">
        <v>1090</v>
      </c>
      <c r="U113" t="s">
        <v>213</v>
      </c>
      <c r="V113" t="s">
        <v>1520</v>
      </c>
      <c r="W113" t="s">
        <v>963</v>
      </c>
      <c r="X113">
        <v>19028</v>
      </c>
      <c r="Y113">
        <v>73</v>
      </c>
      <c r="Z113" t="s">
        <v>1521</v>
      </c>
      <c r="AA113" t="s">
        <v>1522</v>
      </c>
      <c r="AB113" t="s">
        <v>966</v>
      </c>
      <c r="AC113" t="s">
        <v>953</v>
      </c>
      <c r="AD113" t="s">
        <v>729</v>
      </c>
      <c r="AE113" t="s">
        <v>1239</v>
      </c>
      <c r="AF113" t="s">
        <v>1240</v>
      </c>
    </row>
    <row r="114" spans="1:38">
      <c r="A114">
        <v>102</v>
      </c>
      <c r="B114" t="s">
        <v>1523</v>
      </c>
      <c r="C114">
        <v>213</v>
      </c>
      <c r="D114" t="s">
        <v>1233</v>
      </c>
      <c r="E114" t="s">
        <v>1479</v>
      </c>
      <c r="F114" t="s">
        <v>1232</v>
      </c>
      <c r="G114" t="s">
        <v>172</v>
      </c>
      <c r="H114" t="s">
        <v>1232</v>
      </c>
      <c r="I114" t="s">
        <v>1514</v>
      </c>
      <c r="J114" t="s">
        <v>959</v>
      </c>
      <c r="N114" t="s">
        <v>1515</v>
      </c>
      <c r="T114" t="s">
        <v>962</v>
      </c>
      <c r="U114" t="s">
        <v>1524</v>
      </c>
      <c r="V114" t="s">
        <v>1525</v>
      </c>
      <c r="W114" t="s">
        <v>963</v>
      </c>
      <c r="X114">
        <v>21313</v>
      </c>
      <c r="Y114">
        <v>67</v>
      </c>
      <c r="Z114" t="s">
        <v>1526</v>
      </c>
      <c r="AA114" t="s">
        <v>1527</v>
      </c>
      <c r="AB114" t="s">
        <v>996</v>
      </c>
      <c r="AC114" t="s">
        <v>997</v>
      </c>
      <c r="AD114" t="s">
        <v>729</v>
      </c>
      <c r="AE114" t="s">
        <v>729</v>
      </c>
      <c r="AF114" t="s">
        <v>1323</v>
      </c>
      <c r="AI114" t="s">
        <v>1318</v>
      </c>
      <c r="AK114">
        <v>-6</v>
      </c>
    </row>
    <row r="115" spans="1:38">
      <c r="A115">
        <v>77</v>
      </c>
      <c r="B115" t="s">
        <v>1528</v>
      </c>
      <c r="C115">
        <v>215</v>
      </c>
      <c r="D115" t="s">
        <v>1233</v>
      </c>
      <c r="E115" t="s">
        <v>1479</v>
      </c>
      <c r="F115" t="s">
        <v>1232</v>
      </c>
      <c r="G115" t="s">
        <v>172</v>
      </c>
      <c r="H115" t="s">
        <v>1232</v>
      </c>
      <c r="I115" t="s">
        <v>1528</v>
      </c>
      <c r="J115" t="s">
        <v>959</v>
      </c>
      <c r="N115" t="s">
        <v>1529</v>
      </c>
      <c r="P115" t="s">
        <v>55</v>
      </c>
      <c r="Q115" t="s">
        <v>178</v>
      </c>
      <c r="T115" t="s">
        <v>962</v>
      </c>
      <c r="U115" t="s">
        <v>179</v>
      </c>
      <c r="V115" t="s">
        <v>1530</v>
      </c>
      <c r="W115" t="s">
        <v>963</v>
      </c>
      <c r="X115">
        <v>31834</v>
      </c>
      <c r="Y115">
        <v>38</v>
      </c>
      <c r="Z115" t="s">
        <v>1531</v>
      </c>
      <c r="AA115" t="s">
        <v>1532</v>
      </c>
      <c r="AB115" t="s">
        <v>966</v>
      </c>
      <c r="AC115" t="s">
        <v>953</v>
      </c>
      <c r="AD115" t="s">
        <v>729</v>
      </c>
      <c r="AE115" t="s">
        <v>1239</v>
      </c>
      <c r="AF115" t="s">
        <v>1533</v>
      </c>
    </row>
    <row r="116" spans="1:38">
      <c r="A116">
        <v>169</v>
      </c>
      <c r="B116" t="s">
        <v>1534</v>
      </c>
      <c r="C116">
        <v>217</v>
      </c>
      <c r="D116" t="s">
        <v>1233</v>
      </c>
      <c r="E116" t="s">
        <v>1479</v>
      </c>
      <c r="F116" t="s">
        <v>1232</v>
      </c>
      <c r="G116" t="s">
        <v>172</v>
      </c>
      <c r="H116" t="s">
        <v>1232</v>
      </c>
      <c r="I116" t="s">
        <v>1528</v>
      </c>
      <c r="J116" t="s">
        <v>959</v>
      </c>
      <c r="N116" t="s">
        <v>1529</v>
      </c>
      <c r="T116" t="s">
        <v>992</v>
      </c>
      <c r="U116" t="s">
        <v>404</v>
      </c>
      <c r="V116" t="s">
        <v>1535</v>
      </c>
      <c r="W116" t="s">
        <v>963</v>
      </c>
      <c r="X116">
        <v>39065</v>
      </c>
      <c r="Y116">
        <v>19</v>
      </c>
      <c r="Z116" t="s">
        <v>1536</v>
      </c>
      <c r="AA116" t="s">
        <v>1537</v>
      </c>
      <c r="AB116" t="s">
        <v>996</v>
      </c>
      <c r="AC116" t="s">
        <v>997</v>
      </c>
      <c r="AD116" t="s">
        <v>729</v>
      </c>
      <c r="AE116" t="s">
        <v>729</v>
      </c>
      <c r="AF116" t="s">
        <v>1323</v>
      </c>
      <c r="AI116" t="s">
        <v>1318</v>
      </c>
      <c r="AL116" t="s">
        <v>1259</v>
      </c>
    </row>
    <row r="117" spans="1:38">
      <c r="A117">
        <v>190</v>
      </c>
      <c r="B117" t="s">
        <v>1538</v>
      </c>
      <c r="C117">
        <v>219</v>
      </c>
      <c r="D117" t="s">
        <v>1233</v>
      </c>
      <c r="E117" t="s">
        <v>1479</v>
      </c>
      <c r="F117" t="s">
        <v>1232</v>
      </c>
      <c r="G117" t="s">
        <v>172</v>
      </c>
      <c r="H117" t="s">
        <v>1232</v>
      </c>
      <c r="I117" t="s">
        <v>1528</v>
      </c>
      <c r="J117" t="s">
        <v>959</v>
      </c>
      <c r="N117" t="s">
        <v>1529</v>
      </c>
      <c r="T117" t="s">
        <v>992</v>
      </c>
      <c r="U117" t="s">
        <v>1539</v>
      </c>
      <c r="V117" t="s">
        <v>1540</v>
      </c>
      <c r="W117" t="s">
        <v>963</v>
      </c>
      <c r="X117">
        <v>37497</v>
      </c>
      <c r="Y117">
        <v>23</v>
      </c>
      <c r="Z117" t="s">
        <v>1541</v>
      </c>
      <c r="AA117" t="s">
        <v>1542</v>
      </c>
      <c r="AB117" t="s">
        <v>996</v>
      </c>
      <c r="AC117" t="s">
        <v>1018</v>
      </c>
      <c r="AD117" t="s">
        <v>729</v>
      </c>
      <c r="AE117" t="s">
        <v>1239</v>
      </c>
      <c r="AF117" t="s">
        <v>1543</v>
      </c>
      <c r="AI117" t="s">
        <v>1125</v>
      </c>
    </row>
    <row r="118" spans="1:38">
      <c r="A118">
        <v>189</v>
      </c>
      <c r="B118" t="s">
        <v>1544</v>
      </c>
      <c r="C118">
        <v>221</v>
      </c>
      <c r="D118" t="s">
        <v>1233</v>
      </c>
      <c r="E118" t="s">
        <v>1479</v>
      </c>
      <c r="F118" t="s">
        <v>1232</v>
      </c>
      <c r="G118" t="s">
        <v>172</v>
      </c>
      <c r="H118" t="s">
        <v>1232</v>
      </c>
      <c r="I118" t="s">
        <v>1528</v>
      </c>
      <c r="J118" t="s">
        <v>959</v>
      </c>
      <c r="N118" t="s">
        <v>1529</v>
      </c>
      <c r="T118" t="s">
        <v>992</v>
      </c>
      <c r="U118" t="s">
        <v>1545</v>
      </c>
      <c r="V118" t="s">
        <v>1546</v>
      </c>
      <c r="W118" t="s">
        <v>963</v>
      </c>
      <c r="X118">
        <v>37703</v>
      </c>
      <c r="Y118">
        <v>22</v>
      </c>
      <c r="Z118" t="s">
        <v>1547</v>
      </c>
      <c r="AA118" t="s">
        <v>1548</v>
      </c>
      <c r="AB118" t="s">
        <v>1006</v>
      </c>
      <c r="AC118" t="s">
        <v>953</v>
      </c>
      <c r="AD118" t="s">
        <v>729</v>
      </c>
      <c r="AE118" t="s">
        <v>729</v>
      </c>
      <c r="AF118" t="s">
        <v>1549</v>
      </c>
      <c r="AI118" t="s">
        <v>1440</v>
      </c>
      <c r="AL118" t="s">
        <v>1259</v>
      </c>
    </row>
    <row r="119" spans="1:38">
      <c r="A119">
        <v>75</v>
      </c>
      <c r="B119" t="s">
        <v>1550</v>
      </c>
      <c r="C119">
        <v>223</v>
      </c>
      <c r="D119" t="s">
        <v>1233</v>
      </c>
      <c r="E119" t="s">
        <v>1551</v>
      </c>
      <c r="F119" t="s">
        <v>1232</v>
      </c>
      <c r="G119" t="s">
        <v>271</v>
      </c>
      <c r="H119" t="s">
        <v>1506</v>
      </c>
      <c r="I119" t="s">
        <v>1550</v>
      </c>
      <c r="J119" t="s">
        <v>959</v>
      </c>
      <c r="N119" t="s">
        <v>1552</v>
      </c>
      <c r="P119" t="s">
        <v>55</v>
      </c>
      <c r="Q119" t="s">
        <v>178</v>
      </c>
      <c r="T119" t="s">
        <v>1090</v>
      </c>
      <c r="U119" t="s">
        <v>181</v>
      </c>
      <c r="V119" t="s">
        <v>1553</v>
      </c>
      <c r="W119" t="s">
        <v>950</v>
      </c>
      <c r="X119">
        <v>19598</v>
      </c>
      <c r="Y119">
        <v>72</v>
      </c>
      <c r="Z119" t="s">
        <v>1554</v>
      </c>
      <c r="AA119" t="s">
        <v>1555</v>
      </c>
      <c r="AB119" t="s">
        <v>966</v>
      </c>
      <c r="AC119" t="s">
        <v>953</v>
      </c>
      <c r="AD119" t="s">
        <v>729</v>
      </c>
      <c r="AE119" t="s">
        <v>1239</v>
      </c>
      <c r="AF119" t="s">
        <v>1258</v>
      </c>
    </row>
    <row r="120" spans="1:38">
      <c r="A120">
        <v>88</v>
      </c>
      <c r="B120" t="s">
        <v>1556</v>
      </c>
      <c r="C120">
        <v>225</v>
      </c>
      <c r="D120" t="s">
        <v>1233</v>
      </c>
      <c r="E120" t="s">
        <v>1551</v>
      </c>
      <c r="F120" t="s">
        <v>1232</v>
      </c>
      <c r="G120" t="s">
        <v>271</v>
      </c>
      <c r="H120" t="s">
        <v>1506</v>
      </c>
      <c r="I120" t="s">
        <v>1550</v>
      </c>
      <c r="J120" t="s">
        <v>959</v>
      </c>
      <c r="N120" t="s">
        <v>1552</v>
      </c>
      <c r="T120" t="s">
        <v>1090</v>
      </c>
      <c r="U120" t="s">
        <v>1557</v>
      </c>
      <c r="V120" t="s">
        <v>1558</v>
      </c>
      <c r="W120" t="s">
        <v>950</v>
      </c>
      <c r="X120">
        <v>17513</v>
      </c>
      <c r="Y120">
        <v>78</v>
      </c>
      <c r="Z120" t="s">
        <v>1559</v>
      </c>
      <c r="AA120" t="s">
        <v>1560</v>
      </c>
      <c r="AB120" t="s">
        <v>996</v>
      </c>
      <c r="AC120" t="s">
        <v>997</v>
      </c>
      <c r="AD120" t="s">
        <v>729</v>
      </c>
      <c r="AE120" t="s">
        <v>729</v>
      </c>
      <c r="AF120" t="s">
        <v>1561</v>
      </c>
      <c r="AI120" t="s">
        <v>1513</v>
      </c>
      <c r="AK120">
        <v>-7</v>
      </c>
    </row>
    <row r="121" spans="1:38">
      <c r="A121">
        <v>106</v>
      </c>
      <c r="B121" t="s">
        <v>1562</v>
      </c>
      <c r="C121">
        <v>227</v>
      </c>
      <c r="D121" t="s">
        <v>1233</v>
      </c>
      <c r="E121" t="s">
        <v>1551</v>
      </c>
      <c r="F121" t="s">
        <v>1232</v>
      </c>
      <c r="G121" t="s">
        <v>271</v>
      </c>
      <c r="H121" t="s">
        <v>1506</v>
      </c>
      <c r="I121" t="s">
        <v>1550</v>
      </c>
      <c r="J121" t="s">
        <v>959</v>
      </c>
      <c r="N121" t="s">
        <v>1552</v>
      </c>
      <c r="T121" t="s">
        <v>1090</v>
      </c>
      <c r="U121" t="s">
        <v>717</v>
      </c>
      <c r="V121" t="s">
        <v>1563</v>
      </c>
      <c r="W121" t="s">
        <v>950</v>
      </c>
      <c r="X121">
        <v>18961</v>
      </c>
      <c r="Y121">
        <v>74</v>
      </c>
      <c r="Z121" t="s">
        <v>1564</v>
      </c>
      <c r="AA121" t="s">
        <v>1565</v>
      </c>
      <c r="AB121" t="s">
        <v>996</v>
      </c>
      <c r="AC121" t="s">
        <v>997</v>
      </c>
      <c r="AD121" t="s">
        <v>729</v>
      </c>
      <c r="AE121" t="s">
        <v>729</v>
      </c>
      <c r="AF121" t="s">
        <v>1533</v>
      </c>
      <c r="AI121" t="s">
        <v>1566</v>
      </c>
      <c r="AK121">
        <v>-6</v>
      </c>
    </row>
    <row r="122" spans="1:38">
      <c r="A122">
        <v>90</v>
      </c>
      <c r="B122" t="s">
        <v>1567</v>
      </c>
      <c r="C122">
        <v>229</v>
      </c>
      <c r="D122" t="s">
        <v>1233</v>
      </c>
      <c r="E122" t="s">
        <v>1551</v>
      </c>
      <c r="F122" t="s">
        <v>1232</v>
      </c>
      <c r="G122" t="s">
        <v>271</v>
      </c>
      <c r="H122" t="s">
        <v>1506</v>
      </c>
      <c r="I122" t="s">
        <v>1550</v>
      </c>
      <c r="J122" t="s">
        <v>959</v>
      </c>
      <c r="N122" t="s">
        <v>1552</v>
      </c>
      <c r="T122" t="s">
        <v>1015</v>
      </c>
      <c r="U122" t="s">
        <v>287</v>
      </c>
      <c r="V122" t="s">
        <v>1568</v>
      </c>
      <c r="W122" t="s">
        <v>950</v>
      </c>
      <c r="X122">
        <v>21846</v>
      </c>
      <c r="Y122">
        <v>66</v>
      </c>
      <c r="Z122" t="s">
        <v>1569</v>
      </c>
      <c r="AA122" t="s">
        <v>1570</v>
      </c>
      <c r="AB122" t="s">
        <v>996</v>
      </c>
      <c r="AC122" t="s">
        <v>1018</v>
      </c>
      <c r="AD122" t="s">
        <v>729</v>
      </c>
      <c r="AE122" t="s">
        <v>729</v>
      </c>
      <c r="AF122" t="s">
        <v>1323</v>
      </c>
      <c r="AI122" t="s">
        <v>1513</v>
      </c>
      <c r="AK122">
        <v>-6</v>
      </c>
    </row>
    <row r="123" spans="1:38">
      <c r="A123">
        <v>111</v>
      </c>
      <c r="B123" t="s">
        <v>1571</v>
      </c>
      <c r="C123">
        <v>231</v>
      </c>
      <c r="D123" t="s">
        <v>1233</v>
      </c>
      <c r="E123" t="s">
        <v>1551</v>
      </c>
      <c r="F123" t="s">
        <v>1232</v>
      </c>
      <c r="G123" t="s">
        <v>271</v>
      </c>
      <c r="H123" t="s">
        <v>1506</v>
      </c>
      <c r="I123" t="s">
        <v>1550</v>
      </c>
      <c r="J123" t="s">
        <v>959</v>
      </c>
      <c r="N123" t="s">
        <v>1552</v>
      </c>
      <c r="T123" t="s">
        <v>1015</v>
      </c>
      <c r="U123" t="s">
        <v>752</v>
      </c>
      <c r="V123" t="s">
        <v>1572</v>
      </c>
      <c r="W123" t="s">
        <v>950</v>
      </c>
      <c r="X123">
        <v>23137</v>
      </c>
      <c r="Y123">
        <v>62</v>
      </c>
      <c r="Z123" t="s">
        <v>1573</v>
      </c>
      <c r="AB123" t="s">
        <v>996</v>
      </c>
      <c r="AC123" t="s">
        <v>1018</v>
      </c>
      <c r="AD123" t="s">
        <v>729</v>
      </c>
      <c r="AE123" t="s">
        <v>729</v>
      </c>
      <c r="AF123" t="s">
        <v>1574</v>
      </c>
      <c r="AI123" t="s">
        <v>1575</v>
      </c>
    </row>
    <row r="124" spans="1:38">
      <c r="B124" t="s">
        <v>1576</v>
      </c>
      <c r="C124">
        <v>233</v>
      </c>
      <c r="D124" t="s">
        <v>1233</v>
      </c>
      <c r="E124" t="s">
        <v>1551</v>
      </c>
      <c r="F124" t="s">
        <v>1232</v>
      </c>
      <c r="G124" t="s">
        <v>271</v>
      </c>
      <c r="H124" t="s">
        <v>1506</v>
      </c>
      <c r="I124" t="s">
        <v>1550</v>
      </c>
      <c r="J124" t="s">
        <v>959</v>
      </c>
      <c r="N124" t="s">
        <v>1552</v>
      </c>
      <c r="T124" t="s">
        <v>1090</v>
      </c>
      <c r="U124" t="s">
        <v>1577</v>
      </c>
      <c r="V124" t="s">
        <v>1578</v>
      </c>
      <c r="W124" t="s">
        <v>950</v>
      </c>
      <c r="X124">
        <v>19550409</v>
      </c>
      <c r="Y124">
        <v>70</v>
      </c>
      <c r="Z124" t="s">
        <v>1579</v>
      </c>
      <c r="AB124" t="s">
        <v>996</v>
      </c>
      <c r="AC124" t="s">
        <v>1018</v>
      </c>
      <c r="AD124" t="s">
        <v>729</v>
      </c>
      <c r="AE124" t="s">
        <v>729</v>
      </c>
      <c r="AF124" t="s">
        <v>1580</v>
      </c>
    </row>
    <row r="125" spans="1:38">
      <c r="B125" t="s">
        <v>1581</v>
      </c>
      <c r="C125">
        <v>235</v>
      </c>
      <c r="D125" t="s">
        <v>1233</v>
      </c>
      <c r="E125" t="s">
        <v>1551</v>
      </c>
      <c r="F125" t="s">
        <v>1232</v>
      </c>
      <c r="G125" t="s">
        <v>271</v>
      </c>
      <c r="H125" t="s">
        <v>1506</v>
      </c>
      <c r="I125" t="s">
        <v>1550</v>
      </c>
      <c r="J125" t="s">
        <v>959</v>
      </c>
      <c r="N125" t="s">
        <v>1552</v>
      </c>
      <c r="T125" t="s">
        <v>1090</v>
      </c>
      <c r="U125" t="s">
        <v>1582</v>
      </c>
      <c r="V125" t="s">
        <v>1583</v>
      </c>
      <c r="W125" t="s">
        <v>950</v>
      </c>
      <c r="X125">
        <v>19540913</v>
      </c>
      <c r="Y125">
        <v>71</v>
      </c>
      <c r="Z125" t="s">
        <v>1584</v>
      </c>
      <c r="AB125" t="s">
        <v>996</v>
      </c>
      <c r="AC125" t="s">
        <v>1018</v>
      </c>
      <c r="AD125" t="s">
        <v>729</v>
      </c>
      <c r="AE125" t="s">
        <v>729</v>
      </c>
      <c r="AF125" t="s">
        <v>1585</v>
      </c>
      <c r="AI125" t="s">
        <v>1586</v>
      </c>
    </row>
    <row r="126" spans="1:38">
      <c r="B126" t="s">
        <v>1587</v>
      </c>
      <c r="C126">
        <v>237</v>
      </c>
      <c r="D126" t="s">
        <v>1233</v>
      </c>
      <c r="E126" t="s">
        <v>1551</v>
      </c>
      <c r="F126" t="s">
        <v>1232</v>
      </c>
      <c r="G126" t="s">
        <v>271</v>
      </c>
      <c r="H126" t="s">
        <v>1506</v>
      </c>
      <c r="I126" t="s">
        <v>1550</v>
      </c>
      <c r="J126" t="s">
        <v>959</v>
      </c>
      <c r="N126" t="s">
        <v>1552</v>
      </c>
      <c r="T126" t="s">
        <v>1015</v>
      </c>
      <c r="U126" t="s">
        <v>1588</v>
      </c>
      <c r="V126" t="s">
        <v>1589</v>
      </c>
      <c r="W126" t="s">
        <v>950</v>
      </c>
      <c r="X126">
        <v>19590310</v>
      </c>
      <c r="Y126">
        <v>66</v>
      </c>
      <c r="Z126" t="s">
        <v>1590</v>
      </c>
      <c r="AB126" t="s">
        <v>996</v>
      </c>
      <c r="AC126" t="s">
        <v>1018</v>
      </c>
      <c r="AD126" t="s">
        <v>1250</v>
      </c>
      <c r="AE126" t="s">
        <v>1250</v>
      </c>
      <c r="AF126" t="s">
        <v>1591</v>
      </c>
      <c r="AI126" t="s">
        <v>1586</v>
      </c>
    </row>
    <row r="127" spans="1:38">
      <c r="B127" t="s">
        <v>1592</v>
      </c>
      <c r="C127">
        <v>239</v>
      </c>
      <c r="D127" t="s">
        <v>1233</v>
      </c>
      <c r="E127" t="s">
        <v>1551</v>
      </c>
      <c r="F127" t="s">
        <v>1232</v>
      </c>
      <c r="G127" t="s">
        <v>271</v>
      </c>
      <c r="H127" t="s">
        <v>1506</v>
      </c>
      <c r="I127" t="s">
        <v>1550</v>
      </c>
      <c r="J127" t="s">
        <v>959</v>
      </c>
      <c r="N127" t="s">
        <v>1552</v>
      </c>
      <c r="T127" t="s">
        <v>1015</v>
      </c>
      <c r="U127" t="s">
        <v>1593</v>
      </c>
      <c r="V127" t="s">
        <v>1594</v>
      </c>
      <c r="W127" t="s">
        <v>950</v>
      </c>
      <c r="X127">
        <v>19600802</v>
      </c>
      <c r="Y127">
        <v>65</v>
      </c>
      <c r="Z127" t="s">
        <v>1595</v>
      </c>
      <c r="AB127" t="s">
        <v>996</v>
      </c>
      <c r="AC127" t="s">
        <v>1018</v>
      </c>
      <c r="AD127" t="s">
        <v>729</v>
      </c>
      <c r="AE127" t="s">
        <v>729</v>
      </c>
      <c r="AF127" t="s">
        <v>1574</v>
      </c>
      <c r="AI127" t="s">
        <v>1586</v>
      </c>
    </row>
    <row r="128" spans="1:38">
      <c r="A128">
        <v>79</v>
      </c>
      <c r="B128" t="s">
        <v>1506</v>
      </c>
      <c r="C128">
        <v>241</v>
      </c>
      <c r="D128" t="s">
        <v>1233</v>
      </c>
      <c r="E128" t="s">
        <v>1551</v>
      </c>
      <c r="F128" t="s">
        <v>1232</v>
      </c>
      <c r="G128" t="s">
        <v>271</v>
      </c>
      <c r="H128" t="s">
        <v>1506</v>
      </c>
      <c r="I128" t="s">
        <v>1506</v>
      </c>
      <c r="J128" t="s">
        <v>959</v>
      </c>
      <c r="N128" t="s">
        <v>1596</v>
      </c>
      <c r="P128" t="s">
        <v>173</v>
      </c>
      <c r="Q128" t="s">
        <v>514</v>
      </c>
      <c r="T128" t="s">
        <v>1015</v>
      </c>
      <c r="U128" t="s">
        <v>271</v>
      </c>
      <c r="V128" t="s">
        <v>1597</v>
      </c>
      <c r="W128" t="s">
        <v>950</v>
      </c>
      <c r="X128">
        <v>29437</v>
      </c>
      <c r="Y128">
        <v>45</v>
      </c>
      <c r="Z128" t="s">
        <v>1598</v>
      </c>
      <c r="AA128" t="s">
        <v>1599</v>
      </c>
      <c r="AB128" t="s">
        <v>966</v>
      </c>
      <c r="AC128" t="s">
        <v>953</v>
      </c>
      <c r="AD128" t="s">
        <v>729</v>
      </c>
      <c r="AE128" t="s">
        <v>1239</v>
      </c>
      <c r="AF128" t="s">
        <v>1533</v>
      </c>
    </row>
    <row r="129" spans="1:38">
      <c r="A129">
        <v>128</v>
      </c>
      <c r="B129" t="s">
        <v>1600</v>
      </c>
      <c r="C129">
        <v>243</v>
      </c>
      <c r="D129" t="s">
        <v>1233</v>
      </c>
      <c r="E129" t="s">
        <v>1551</v>
      </c>
      <c r="F129" t="s">
        <v>1232</v>
      </c>
      <c r="G129" t="s">
        <v>271</v>
      </c>
      <c r="H129" t="s">
        <v>1506</v>
      </c>
      <c r="I129" t="s">
        <v>1506</v>
      </c>
      <c r="J129" t="s">
        <v>1600</v>
      </c>
      <c r="N129" t="s">
        <v>1596</v>
      </c>
      <c r="P129" t="s">
        <v>69</v>
      </c>
      <c r="R129" t="s">
        <v>1286</v>
      </c>
      <c r="S129">
        <v>0</v>
      </c>
      <c r="T129" t="s">
        <v>1015</v>
      </c>
      <c r="U129" t="s">
        <v>447</v>
      </c>
      <c r="V129" t="s">
        <v>1601</v>
      </c>
      <c r="W129" t="s">
        <v>950</v>
      </c>
      <c r="X129">
        <v>30868</v>
      </c>
      <c r="Y129">
        <v>41</v>
      </c>
      <c r="Z129" t="s">
        <v>1602</v>
      </c>
      <c r="AA129" t="s">
        <v>1603</v>
      </c>
      <c r="AB129" t="s">
        <v>996</v>
      </c>
      <c r="AC129" t="s">
        <v>997</v>
      </c>
      <c r="AD129" t="s">
        <v>729</v>
      </c>
      <c r="AE129" t="s">
        <v>729</v>
      </c>
      <c r="AF129" t="s">
        <v>1323</v>
      </c>
      <c r="AI129" t="s">
        <v>1513</v>
      </c>
      <c r="AK129">
        <v>-6</v>
      </c>
    </row>
    <row r="130" spans="1:38">
      <c r="A130">
        <v>161</v>
      </c>
      <c r="B130" t="s">
        <v>1604</v>
      </c>
      <c r="C130">
        <v>245</v>
      </c>
      <c r="D130" t="s">
        <v>1233</v>
      </c>
      <c r="E130" t="s">
        <v>1551</v>
      </c>
      <c r="F130" t="s">
        <v>1232</v>
      </c>
      <c r="G130" t="s">
        <v>271</v>
      </c>
      <c r="H130" t="s">
        <v>1506</v>
      </c>
      <c r="I130" t="s">
        <v>1506</v>
      </c>
      <c r="J130" t="s">
        <v>959</v>
      </c>
      <c r="N130" t="s">
        <v>1596</v>
      </c>
      <c r="T130" t="s">
        <v>1015</v>
      </c>
      <c r="U130" t="s">
        <v>662</v>
      </c>
      <c r="V130" t="s">
        <v>1605</v>
      </c>
      <c r="W130" t="s">
        <v>950</v>
      </c>
      <c r="X130">
        <v>30879</v>
      </c>
      <c r="Y130">
        <v>41</v>
      </c>
      <c r="Z130" t="s">
        <v>1606</v>
      </c>
      <c r="AA130" t="s">
        <v>1607</v>
      </c>
      <c r="AB130" t="s">
        <v>996</v>
      </c>
      <c r="AC130" t="s">
        <v>997</v>
      </c>
      <c r="AD130" t="s">
        <v>729</v>
      </c>
      <c r="AE130" t="s">
        <v>729</v>
      </c>
      <c r="AF130" t="s">
        <v>1533</v>
      </c>
      <c r="AI130" t="s">
        <v>1566</v>
      </c>
      <c r="AK130">
        <v>-6</v>
      </c>
    </row>
    <row r="131" spans="1:38">
      <c r="A131">
        <v>164</v>
      </c>
      <c r="B131" t="s">
        <v>1608</v>
      </c>
      <c r="C131">
        <v>247</v>
      </c>
      <c r="D131" t="s">
        <v>1233</v>
      </c>
      <c r="E131" t="s">
        <v>1551</v>
      </c>
      <c r="F131" t="s">
        <v>1232</v>
      </c>
      <c r="G131" t="s">
        <v>271</v>
      </c>
      <c r="H131" t="s">
        <v>1506</v>
      </c>
      <c r="I131" t="s">
        <v>1506</v>
      </c>
      <c r="J131" t="s">
        <v>1608</v>
      </c>
      <c r="N131" t="s">
        <v>1596</v>
      </c>
      <c r="P131" t="s">
        <v>69</v>
      </c>
      <c r="R131" t="s">
        <v>1286</v>
      </c>
      <c r="S131">
        <v>1</v>
      </c>
      <c r="T131" t="s">
        <v>1015</v>
      </c>
      <c r="U131" t="s">
        <v>401</v>
      </c>
      <c r="V131" t="s">
        <v>1609</v>
      </c>
      <c r="W131" t="s">
        <v>950</v>
      </c>
      <c r="X131">
        <v>36538</v>
      </c>
      <c r="Y131">
        <v>26</v>
      </c>
      <c r="Z131" t="s">
        <v>1610</v>
      </c>
      <c r="AA131" t="s">
        <v>1611</v>
      </c>
      <c r="AB131" t="s">
        <v>996</v>
      </c>
      <c r="AC131" t="s">
        <v>997</v>
      </c>
      <c r="AD131" t="s">
        <v>729</v>
      </c>
      <c r="AE131" t="s">
        <v>729</v>
      </c>
      <c r="AF131" t="s">
        <v>1323</v>
      </c>
      <c r="AI131" t="s">
        <v>1612</v>
      </c>
      <c r="AK131">
        <v>-6</v>
      </c>
    </row>
    <row r="132" spans="1:38">
      <c r="A132">
        <v>165</v>
      </c>
      <c r="B132" t="s">
        <v>1613</v>
      </c>
      <c r="C132">
        <v>249</v>
      </c>
      <c r="D132" t="s">
        <v>1233</v>
      </c>
      <c r="E132" t="s">
        <v>1551</v>
      </c>
      <c r="F132" t="s">
        <v>1232</v>
      </c>
      <c r="G132" t="s">
        <v>271</v>
      </c>
      <c r="H132" t="s">
        <v>1506</v>
      </c>
      <c r="I132" t="s">
        <v>1506</v>
      </c>
      <c r="J132" t="s">
        <v>959</v>
      </c>
      <c r="N132" t="s">
        <v>1596</v>
      </c>
      <c r="T132" t="s">
        <v>992</v>
      </c>
      <c r="U132" t="s">
        <v>1614</v>
      </c>
      <c r="V132" t="s">
        <v>1615</v>
      </c>
      <c r="W132" t="s">
        <v>950</v>
      </c>
      <c r="X132">
        <v>36315</v>
      </c>
      <c r="Y132">
        <v>26</v>
      </c>
      <c r="Z132" t="s">
        <v>1616</v>
      </c>
      <c r="AA132" t="s">
        <v>1617</v>
      </c>
      <c r="AB132" t="s">
        <v>996</v>
      </c>
      <c r="AC132" t="s">
        <v>1018</v>
      </c>
      <c r="AD132" t="s">
        <v>729</v>
      </c>
      <c r="AE132" t="s">
        <v>729</v>
      </c>
      <c r="AF132" t="s">
        <v>1323</v>
      </c>
      <c r="AH132" t="s">
        <v>1618</v>
      </c>
      <c r="AI132" t="s">
        <v>1513</v>
      </c>
      <c r="AK132">
        <v>-6</v>
      </c>
    </row>
    <row r="133" spans="1:38">
      <c r="A133">
        <v>125</v>
      </c>
      <c r="B133" t="s">
        <v>1619</v>
      </c>
      <c r="C133">
        <v>251</v>
      </c>
      <c r="D133" t="s">
        <v>1351</v>
      </c>
      <c r="E133" t="s">
        <v>1551</v>
      </c>
      <c r="F133" t="s">
        <v>1232</v>
      </c>
      <c r="G133" t="s">
        <v>271</v>
      </c>
      <c r="H133" t="s">
        <v>1506</v>
      </c>
      <c r="I133" t="s">
        <v>1506</v>
      </c>
      <c r="J133" t="s">
        <v>959</v>
      </c>
      <c r="N133" t="s">
        <v>1596</v>
      </c>
      <c r="T133" t="s">
        <v>992</v>
      </c>
      <c r="U133" t="s">
        <v>385</v>
      </c>
      <c r="V133" t="s">
        <v>1620</v>
      </c>
      <c r="W133" t="s">
        <v>950</v>
      </c>
      <c r="X133">
        <v>31903</v>
      </c>
      <c r="Y133">
        <v>38</v>
      </c>
      <c r="Z133" t="s">
        <v>1621</v>
      </c>
      <c r="AA133" t="s">
        <v>1622</v>
      </c>
      <c r="AB133" t="s">
        <v>996</v>
      </c>
      <c r="AC133" t="s">
        <v>997</v>
      </c>
      <c r="AD133" t="s">
        <v>1494</v>
      </c>
      <c r="AE133" t="s">
        <v>1494</v>
      </c>
      <c r="AF133" t="s">
        <v>1623</v>
      </c>
      <c r="AI133" t="s">
        <v>1025</v>
      </c>
      <c r="AL133" t="s">
        <v>1252</v>
      </c>
    </row>
    <row r="134" spans="1:38">
      <c r="A134">
        <v>126</v>
      </c>
      <c r="B134" t="s">
        <v>1624</v>
      </c>
      <c r="C134">
        <v>253</v>
      </c>
      <c r="D134" t="s">
        <v>1351</v>
      </c>
      <c r="E134" t="s">
        <v>1551</v>
      </c>
      <c r="F134" t="s">
        <v>1232</v>
      </c>
      <c r="G134" t="s">
        <v>271</v>
      </c>
      <c r="H134" t="s">
        <v>1506</v>
      </c>
      <c r="I134" t="s">
        <v>1506</v>
      </c>
      <c r="J134" t="s">
        <v>959</v>
      </c>
      <c r="N134" t="s">
        <v>1596</v>
      </c>
      <c r="T134" t="s">
        <v>992</v>
      </c>
      <c r="U134" t="s">
        <v>398</v>
      </c>
      <c r="V134" t="s">
        <v>1625</v>
      </c>
      <c r="W134" t="s">
        <v>950</v>
      </c>
      <c r="X134">
        <v>31903</v>
      </c>
      <c r="Y134">
        <v>38</v>
      </c>
      <c r="Z134" t="s">
        <v>1626</v>
      </c>
      <c r="AA134" t="s">
        <v>1627</v>
      </c>
      <c r="AB134" t="s">
        <v>1006</v>
      </c>
      <c r="AC134" t="s">
        <v>953</v>
      </c>
      <c r="AD134" t="s">
        <v>1494</v>
      </c>
      <c r="AE134" t="s">
        <v>1494</v>
      </c>
      <c r="AF134" t="s">
        <v>1623</v>
      </c>
      <c r="AI134" t="s">
        <v>1025</v>
      </c>
      <c r="AL134" t="s">
        <v>1252</v>
      </c>
    </row>
    <row r="135" spans="1:38">
      <c r="B135" t="s">
        <v>1628</v>
      </c>
      <c r="C135">
        <v>255</v>
      </c>
      <c r="D135" t="s">
        <v>1233</v>
      </c>
      <c r="E135" t="s">
        <v>1551</v>
      </c>
      <c r="F135" t="s">
        <v>1232</v>
      </c>
      <c r="G135" t="s">
        <v>271</v>
      </c>
      <c r="H135" t="s">
        <v>1506</v>
      </c>
      <c r="I135" t="s">
        <v>1506</v>
      </c>
      <c r="J135" t="s">
        <v>959</v>
      </c>
      <c r="N135" t="s">
        <v>1596</v>
      </c>
      <c r="T135" t="s">
        <v>1015</v>
      </c>
      <c r="U135" t="s">
        <v>1629</v>
      </c>
      <c r="V135" t="s">
        <v>1630</v>
      </c>
      <c r="W135" t="s">
        <v>950</v>
      </c>
      <c r="X135">
        <v>19920303</v>
      </c>
      <c r="Y135">
        <v>33</v>
      </c>
      <c r="Z135" t="s">
        <v>1631</v>
      </c>
      <c r="AB135" t="s">
        <v>996</v>
      </c>
      <c r="AC135" t="s">
        <v>1018</v>
      </c>
      <c r="AE135" t="s">
        <v>1250</v>
      </c>
      <c r="AF135" t="s">
        <v>1632</v>
      </c>
    </row>
    <row r="136" spans="1:38">
      <c r="B136" t="s">
        <v>1633</v>
      </c>
      <c r="C136">
        <v>257</v>
      </c>
      <c r="D136" t="s">
        <v>1233</v>
      </c>
      <c r="E136" t="s">
        <v>1551</v>
      </c>
      <c r="F136" t="s">
        <v>1232</v>
      </c>
      <c r="G136" t="s">
        <v>271</v>
      </c>
      <c r="H136" t="s">
        <v>1506</v>
      </c>
      <c r="I136" t="s">
        <v>1506</v>
      </c>
      <c r="J136" t="s">
        <v>959</v>
      </c>
      <c r="N136" t="s">
        <v>1596</v>
      </c>
      <c r="T136" t="s">
        <v>1015</v>
      </c>
      <c r="U136" t="s">
        <v>1634</v>
      </c>
      <c r="V136" t="s">
        <v>1635</v>
      </c>
      <c r="W136" t="s">
        <v>950</v>
      </c>
      <c r="X136">
        <v>19671215</v>
      </c>
      <c r="Y136">
        <v>57</v>
      </c>
      <c r="Z136" t="s">
        <v>1636</v>
      </c>
      <c r="AB136" t="s">
        <v>996</v>
      </c>
      <c r="AC136" t="s">
        <v>1018</v>
      </c>
      <c r="AE136" t="s">
        <v>729</v>
      </c>
      <c r="AF136" t="s">
        <v>1637</v>
      </c>
    </row>
    <row r="137" spans="1:38">
      <c r="A137">
        <v>92</v>
      </c>
      <c r="B137" t="s">
        <v>1507</v>
      </c>
      <c r="C137">
        <v>259</v>
      </c>
      <c r="D137" t="s">
        <v>1233</v>
      </c>
      <c r="E137" t="s">
        <v>1551</v>
      </c>
      <c r="F137" t="s">
        <v>1232</v>
      </c>
      <c r="G137" t="s">
        <v>271</v>
      </c>
      <c r="H137" t="s">
        <v>1506</v>
      </c>
      <c r="I137" t="s">
        <v>1507</v>
      </c>
      <c r="J137" t="s">
        <v>1505</v>
      </c>
      <c r="N137" t="s">
        <v>1638</v>
      </c>
      <c r="P137" t="s">
        <v>1639</v>
      </c>
      <c r="Q137" t="s">
        <v>69</v>
      </c>
      <c r="R137" t="s">
        <v>1286</v>
      </c>
      <c r="T137" t="s">
        <v>992</v>
      </c>
      <c r="U137" t="s">
        <v>194</v>
      </c>
      <c r="V137" t="s">
        <v>1640</v>
      </c>
      <c r="W137" t="s">
        <v>963</v>
      </c>
      <c r="X137">
        <v>34694</v>
      </c>
      <c r="Y137">
        <v>31</v>
      </c>
      <c r="Z137" t="s">
        <v>1641</v>
      </c>
      <c r="AA137" t="s">
        <v>1642</v>
      </c>
      <c r="AB137" t="s">
        <v>1006</v>
      </c>
      <c r="AC137" t="s">
        <v>953</v>
      </c>
      <c r="AD137" t="s">
        <v>1041</v>
      </c>
      <c r="AE137" t="s">
        <v>1239</v>
      </c>
      <c r="AF137" t="s">
        <v>1258</v>
      </c>
    </row>
    <row r="138" spans="1:38">
      <c r="A138">
        <v>136</v>
      </c>
      <c r="B138" t="s">
        <v>1643</v>
      </c>
      <c r="C138">
        <v>261</v>
      </c>
      <c r="D138" t="s">
        <v>1233</v>
      </c>
      <c r="E138" t="s">
        <v>1551</v>
      </c>
      <c r="F138" t="s">
        <v>1232</v>
      </c>
      <c r="G138" t="s">
        <v>271</v>
      </c>
      <c r="H138" t="s">
        <v>1506</v>
      </c>
      <c r="I138" t="s">
        <v>1507</v>
      </c>
      <c r="J138" t="s">
        <v>1505</v>
      </c>
      <c r="N138" t="s">
        <v>1638</v>
      </c>
      <c r="T138" t="s">
        <v>962</v>
      </c>
      <c r="U138" t="s">
        <v>423</v>
      </c>
      <c r="V138" t="s">
        <v>1644</v>
      </c>
      <c r="W138" t="s">
        <v>963</v>
      </c>
      <c r="X138">
        <v>23557</v>
      </c>
      <c r="Y138">
        <v>61</v>
      </c>
      <c r="Z138" t="s">
        <v>1645</v>
      </c>
      <c r="AA138" t="s">
        <v>1646</v>
      </c>
      <c r="AB138" t="s">
        <v>996</v>
      </c>
      <c r="AC138" t="s">
        <v>1018</v>
      </c>
      <c r="AD138" t="s">
        <v>729</v>
      </c>
      <c r="AE138" t="s">
        <v>1357</v>
      </c>
      <c r="AF138" t="s">
        <v>1358</v>
      </c>
      <c r="AI138" t="s">
        <v>1566</v>
      </c>
    </row>
    <row r="139" spans="1:38">
      <c r="A139">
        <v>192</v>
      </c>
      <c r="B139" t="s">
        <v>1647</v>
      </c>
      <c r="C139">
        <v>263</v>
      </c>
      <c r="D139" t="s">
        <v>1351</v>
      </c>
      <c r="E139" t="s">
        <v>1551</v>
      </c>
      <c r="F139" t="s">
        <v>1232</v>
      </c>
      <c r="G139" t="s">
        <v>271</v>
      </c>
      <c r="H139" t="s">
        <v>1506</v>
      </c>
      <c r="I139" t="s">
        <v>1507</v>
      </c>
      <c r="J139" t="s">
        <v>1505</v>
      </c>
      <c r="N139" t="s">
        <v>1638</v>
      </c>
      <c r="S139" t="s">
        <v>1648</v>
      </c>
      <c r="T139" t="s">
        <v>992</v>
      </c>
      <c r="U139" t="s">
        <v>274</v>
      </c>
      <c r="V139" t="s">
        <v>1649</v>
      </c>
      <c r="W139" t="s">
        <v>963</v>
      </c>
      <c r="X139">
        <v>37979</v>
      </c>
      <c r="Y139">
        <v>22</v>
      </c>
      <c r="Z139" t="s">
        <v>1650</v>
      </c>
      <c r="AA139" t="s">
        <v>1651</v>
      </c>
      <c r="AB139" t="s">
        <v>996</v>
      </c>
      <c r="AC139" t="s">
        <v>997</v>
      </c>
      <c r="AD139" t="s">
        <v>729</v>
      </c>
      <c r="AE139" t="s">
        <v>729</v>
      </c>
      <c r="AF139" t="s">
        <v>1652</v>
      </c>
      <c r="AI139" t="s">
        <v>1513</v>
      </c>
      <c r="AK139">
        <v>-6</v>
      </c>
    </row>
    <row r="140" spans="1:38">
      <c r="B140" t="s">
        <v>1653</v>
      </c>
      <c r="C140">
        <v>265</v>
      </c>
      <c r="D140" t="s">
        <v>1233</v>
      </c>
      <c r="E140" t="s">
        <v>1551</v>
      </c>
      <c r="F140" t="s">
        <v>1232</v>
      </c>
      <c r="G140" t="s">
        <v>271</v>
      </c>
      <c r="H140" t="s">
        <v>1506</v>
      </c>
      <c r="I140" t="s">
        <v>1507</v>
      </c>
      <c r="J140" t="s">
        <v>1505</v>
      </c>
      <c r="N140" t="s">
        <v>1638</v>
      </c>
      <c r="T140" t="s">
        <v>962</v>
      </c>
      <c r="U140" t="s">
        <v>1654</v>
      </c>
      <c r="V140" t="s">
        <v>1655</v>
      </c>
      <c r="W140" t="s">
        <v>963</v>
      </c>
      <c r="X140">
        <v>19680103</v>
      </c>
      <c r="Y140">
        <v>57</v>
      </c>
      <c r="Z140" t="s">
        <v>1656</v>
      </c>
      <c r="AB140" t="s">
        <v>996</v>
      </c>
      <c r="AC140" t="s">
        <v>1018</v>
      </c>
      <c r="AE140" t="s">
        <v>1250</v>
      </c>
      <c r="AF140" t="s">
        <v>1657</v>
      </c>
    </row>
    <row r="141" spans="1:38">
      <c r="A141">
        <v>80</v>
      </c>
      <c r="B141" t="s">
        <v>1658</v>
      </c>
      <c r="C141">
        <v>267</v>
      </c>
      <c r="D141" t="s">
        <v>1233</v>
      </c>
      <c r="E141" t="s">
        <v>1551</v>
      </c>
      <c r="F141" t="s">
        <v>1232</v>
      </c>
      <c r="G141" t="s">
        <v>271</v>
      </c>
      <c r="H141" t="s">
        <v>1506</v>
      </c>
      <c r="I141" t="s">
        <v>1658</v>
      </c>
      <c r="J141" t="s">
        <v>959</v>
      </c>
      <c r="N141" t="s">
        <v>1659</v>
      </c>
      <c r="P141" t="s">
        <v>55</v>
      </c>
      <c r="Q141" t="s">
        <v>178</v>
      </c>
      <c r="T141" t="s">
        <v>1015</v>
      </c>
      <c r="U141" t="s">
        <v>286</v>
      </c>
      <c r="V141" t="s">
        <v>1660</v>
      </c>
      <c r="W141" t="s">
        <v>950</v>
      </c>
      <c r="X141">
        <v>29090</v>
      </c>
      <c r="Y141">
        <v>46</v>
      </c>
      <c r="Z141" t="s">
        <v>1661</v>
      </c>
      <c r="AA141" t="s">
        <v>1662</v>
      </c>
      <c r="AB141" t="s">
        <v>966</v>
      </c>
      <c r="AC141" t="s">
        <v>953</v>
      </c>
      <c r="AD141" t="s">
        <v>729</v>
      </c>
      <c r="AE141" t="s">
        <v>1239</v>
      </c>
      <c r="AF141" t="s">
        <v>1258</v>
      </c>
    </row>
    <row r="142" spans="1:38">
      <c r="A142">
        <v>141</v>
      </c>
      <c r="B142" t="s">
        <v>1663</v>
      </c>
      <c r="C142">
        <v>269</v>
      </c>
      <c r="D142" t="s">
        <v>1233</v>
      </c>
      <c r="E142" t="s">
        <v>1551</v>
      </c>
      <c r="F142" t="s">
        <v>1232</v>
      </c>
      <c r="G142" t="s">
        <v>271</v>
      </c>
      <c r="H142" t="s">
        <v>1506</v>
      </c>
      <c r="I142" t="s">
        <v>1658</v>
      </c>
      <c r="J142" t="s">
        <v>959</v>
      </c>
      <c r="N142" t="s">
        <v>1659</v>
      </c>
      <c r="T142" t="s">
        <v>1015</v>
      </c>
      <c r="U142" t="s">
        <v>622</v>
      </c>
      <c r="V142" t="s">
        <v>1664</v>
      </c>
      <c r="W142" t="s">
        <v>950</v>
      </c>
      <c r="X142">
        <v>24600</v>
      </c>
      <c r="Y142">
        <v>58</v>
      </c>
      <c r="Z142" t="s">
        <v>1665</v>
      </c>
      <c r="AA142" t="s">
        <v>1666</v>
      </c>
      <c r="AB142" t="s">
        <v>996</v>
      </c>
      <c r="AC142" t="s">
        <v>997</v>
      </c>
      <c r="AD142" t="s">
        <v>729</v>
      </c>
      <c r="AE142" t="s">
        <v>729</v>
      </c>
      <c r="AF142" t="s">
        <v>1323</v>
      </c>
      <c r="AI142" t="s">
        <v>1513</v>
      </c>
      <c r="AK142">
        <v>-6</v>
      </c>
    </row>
    <row r="143" spans="1:38">
      <c r="A143">
        <v>142</v>
      </c>
      <c r="B143" t="s">
        <v>1667</v>
      </c>
      <c r="C143">
        <v>271</v>
      </c>
      <c r="D143" t="s">
        <v>1233</v>
      </c>
      <c r="E143" t="s">
        <v>1551</v>
      </c>
      <c r="F143" t="s">
        <v>1232</v>
      </c>
      <c r="G143" t="s">
        <v>271</v>
      </c>
      <c r="H143" t="s">
        <v>1506</v>
      </c>
      <c r="I143" t="s">
        <v>1658</v>
      </c>
      <c r="J143" t="s">
        <v>959</v>
      </c>
      <c r="N143" t="s">
        <v>1659</v>
      </c>
      <c r="T143" t="s">
        <v>1015</v>
      </c>
      <c r="U143" t="s">
        <v>677</v>
      </c>
      <c r="V143" t="s">
        <v>1668</v>
      </c>
      <c r="W143" t="s">
        <v>950</v>
      </c>
      <c r="X143">
        <v>29536</v>
      </c>
      <c r="Y143">
        <v>45</v>
      </c>
      <c r="Z143" t="s">
        <v>1669</v>
      </c>
      <c r="AB143" t="s">
        <v>996</v>
      </c>
      <c r="AC143" t="s">
        <v>1018</v>
      </c>
      <c r="AD143" t="s">
        <v>1670</v>
      </c>
      <c r="AE143" t="s">
        <v>1670</v>
      </c>
      <c r="AF143" t="s">
        <v>1671</v>
      </c>
      <c r="AI143" t="s">
        <v>1513</v>
      </c>
    </row>
    <row r="144" spans="1:38">
      <c r="A144">
        <v>143</v>
      </c>
      <c r="B144" t="s">
        <v>1672</v>
      </c>
      <c r="C144">
        <v>273</v>
      </c>
      <c r="D144" t="s">
        <v>1233</v>
      </c>
      <c r="E144" t="s">
        <v>1551</v>
      </c>
      <c r="F144" t="s">
        <v>1232</v>
      </c>
      <c r="G144" t="s">
        <v>271</v>
      </c>
      <c r="H144" t="s">
        <v>1506</v>
      </c>
      <c r="I144" t="s">
        <v>1658</v>
      </c>
      <c r="J144" t="s">
        <v>959</v>
      </c>
      <c r="N144" t="s">
        <v>1659</v>
      </c>
      <c r="T144" t="s">
        <v>1015</v>
      </c>
      <c r="U144" t="s">
        <v>693</v>
      </c>
      <c r="V144" t="s">
        <v>1673</v>
      </c>
      <c r="W144" t="s">
        <v>950</v>
      </c>
      <c r="X144">
        <v>31881</v>
      </c>
      <c r="Y144">
        <v>38</v>
      </c>
      <c r="Z144" t="s">
        <v>1674</v>
      </c>
      <c r="AA144" t="s">
        <v>1675</v>
      </c>
      <c r="AB144" t="s">
        <v>996</v>
      </c>
      <c r="AC144" t="s">
        <v>997</v>
      </c>
      <c r="AD144" t="s">
        <v>1670</v>
      </c>
      <c r="AE144" t="s">
        <v>729</v>
      </c>
      <c r="AF144" t="s">
        <v>1323</v>
      </c>
      <c r="AI144" t="s">
        <v>1513</v>
      </c>
      <c r="AK144">
        <v>-6</v>
      </c>
    </row>
    <row r="145" spans="1:38">
      <c r="A145">
        <v>144</v>
      </c>
      <c r="B145" t="s">
        <v>1676</v>
      </c>
      <c r="C145">
        <v>275</v>
      </c>
      <c r="D145" t="s">
        <v>1233</v>
      </c>
      <c r="E145" t="s">
        <v>1551</v>
      </c>
      <c r="F145" t="s">
        <v>1232</v>
      </c>
      <c r="G145" t="s">
        <v>271</v>
      </c>
      <c r="H145" t="s">
        <v>1506</v>
      </c>
      <c r="I145" t="s">
        <v>1658</v>
      </c>
      <c r="J145" t="s">
        <v>959</v>
      </c>
      <c r="N145" t="s">
        <v>1659</v>
      </c>
      <c r="T145" t="s">
        <v>1015</v>
      </c>
      <c r="U145" t="s">
        <v>681</v>
      </c>
      <c r="V145" t="s">
        <v>1677</v>
      </c>
      <c r="W145" t="s">
        <v>950</v>
      </c>
      <c r="X145">
        <v>31503</v>
      </c>
      <c r="Y145">
        <v>39</v>
      </c>
      <c r="Z145" t="s">
        <v>1678</v>
      </c>
      <c r="AA145" t="s">
        <v>1679</v>
      </c>
      <c r="AB145" t="s">
        <v>996</v>
      </c>
      <c r="AC145" t="s">
        <v>997</v>
      </c>
      <c r="AD145" t="s">
        <v>729</v>
      </c>
      <c r="AE145" t="s">
        <v>729</v>
      </c>
      <c r="AF145" t="s">
        <v>1680</v>
      </c>
      <c r="AI145" t="s">
        <v>1566</v>
      </c>
      <c r="AK145">
        <v>-6</v>
      </c>
    </row>
    <row r="146" spans="1:38">
      <c r="A146">
        <v>151</v>
      </c>
      <c r="B146" t="s">
        <v>1681</v>
      </c>
      <c r="C146">
        <v>277</v>
      </c>
      <c r="D146" t="s">
        <v>1233</v>
      </c>
      <c r="E146" t="s">
        <v>1551</v>
      </c>
      <c r="F146" t="s">
        <v>1232</v>
      </c>
      <c r="G146" t="s">
        <v>271</v>
      </c>
      <c r="H146" t="s">
        <v>1506</v>
      </c>
      <c r="I146" t="s">
        <v>1658</v>
      </c>
      <c r="J146" t="s">
        <v>959</v>
      </c>
      <c r="N146" t="s">
        <v>1659</v>
      </c>
      <c r="T146" t="s">
        <v>1015</v>
      </c>
      <c r="U146" t="s">
        <v>900</v>
      </c>
      <c r="V146" t="s">
        <v>1682</v>
      </c>
      <c r="W146" t="s">
        <v>950</v>
      </c>
      <c r="X146">
        <v>30389</v>
      </c>
      <c r="Y146">
        <v>42</v>
      </c>
      <c r="Z146" t="s">
        <v>1683</v>
      </c>
      <c r="AB146" t="s">
        <v>996</v>
      </c>
      <c r="AC146" t="s">
        <v>1018</v>
      </c>
      <c r="AD146" t="s">
        <v>1250</v>
      </c>
      <c r="AE146" t="s">
        <v>1250</v>
      </c>
      <c r="AF146" t="s">
        <v>1684</v>
      </c>
      <c r="AI146" t="s">
        <v>1575</v>
      </c>
    </row>
    <row r="147" spans="1:38">
      <c r="A147">
        <v>113</v>
      </c>
      <c r="B147" t="s">
        <v>1685</v>
      </c>
      <c r="C147">
        <v>279</v>
      </c>
      <c r="D147" t="s">
        <v>1233</v>
      </c>
      <c r="E147" t="s">
        <v>1551</v>
      </c>
      <c r="F147" t="s">
        <v>1232</v>
      </c>
      <c r="G147" t="s">
        <v>271</v>
      </c>
      <c r="H147" t="s">
        <v>1506</v>
      </c>
      <c r="I147" t="s">
        <v>1685</v>
      </c>
      <c r="N147" t="s">
        <v>1686</v>
      </c>
      <c r="P147" t="s">
        <v>1687</v>
      </c>
      <c r="R147" t="s">
        <v>1286</v>
      </c>
      <c r="T147" t="s">
        <v>1015</v>
      </c>
      <c r="U147" t="s">
        <v>1688</v>
      </c>
      <c r="V147" t="s">
        <v>1689</v>
      </c>
      <c r="W147" t="s">
        <v>950</v>
      </c>
      <c r="X147">
        <v>29485</v>
      </c>
      <c r="Y147">
        <v>45</v>
      </c>
      <c r="Z147" t="s">
        <v>1690</v>
      </c>
      <c r="AA147" t="s">
        <v>1691</v>
      </c>
      <c r="AB147" t="s">
        <v>996</v>
      </c>
      <c r="AC147" t="s">
        <v>997</v>
      </c>
      <c r="AD147" t="s">
        <v>729</v>
      </c>
      <c r="AE147" t="s">
        <v>729</v>
      </c>
      <c r="AF147" t="s">
        <v>1323</v>
      </c>
      <c r="AI147" t="s">
        <v>1349</v>
      </c>
      <c r="AL147" t="s">
        <v>1259</v>
      </c>
    </row>
    <row r="148" spans="1:38">
      <c r="B148" t="s">
        <v>1692</v>
      </c>
      <c r="C148">
        <v>281</v>
      </c>
      <c r="D148" t="s">
        <v>1233</v>
      </c>
      <c r="E148" t="s">
        <v>1551</v>
      </c>
      <c r="F148" t="s">
        <v>1232</v>
      </c>
      <c r="G148" t="s">
        <v>271</v>
      </c>
      <c r="H148" t="s">
        <v>1506</v>
      </c>
      <c r="I148" t="s">
        <v>1685</v>
      </c>
      <c r="N148" t="s">
        <v>1686</v>
      </c>
      <c r="T148" t="s">
        <v>992</v>
      </c>
      <c r="U148" t="s">
        <v>1693</v>
      </c>
      <c r="V148" t="s">
        <v>1694</v>
      </c>
      <c r="W148" t="s">
        <v>950</v>
      </c>
      <c r="X148">
        <v>19970226</v>
      </c>
      <c r="Y148">
        <v>28</v>
      </c>
      <c r="Z148" t="s">
        <v>1695</v>
      </c>
      <c r="AB148" t="s">
        <v>996</v>
      </c>
      <c r="AC148" t="s">
        <v>1018</v>
      </c>
      <c r="AD148" t="s">
        <v>729</v>
      </c>
      <c r="AE148" t="s">
        <v>729</v>
      </c>
      <c r="AF148" t="s">
        <v>1696</v>
      </c>
      <c r="AI148" t="s">
        <v>1586</v>
      </c>
    </row>
    <row r="149" spans="1:38">
      <c r="B149" t="s">
        <v>1697</v>
      </c>
      <c r="C149">
        <v>283</v>
      </c>
      <c r="D149" t="s">
        <v>1233</v>
      </c>
      <c r="E149" t="s">
        <v>1551</v>
      </c>
      <c r="F149" t="s">
        <v>1232</v>
      </c>
      <c r="G149" t="s">
        <v>271</v>
      </c>
      <c r="H149" t="s">
        <v>1506</v>
      </c>
      <c r="I149" t="s">
        <v>1685</v>
      </c>
      <c r="N149" t="s">
        <v>1686</v>
      </c>
      <c r="T149" t="s">
        <v>1015</v>
      </c>
      <c r="U149" t="s">
        <v>1698</v>
      </c>
      <c r="V149" t="s">
        <v>1699</v>
      </c>
      <c r="W149" t="s">
        <v>950</v>
      </c>
      <c r="X149">
        <v>19830930</v>
      </c>
      <c r="Y149">
        <v>42</v>
      </c>
      <c r="Z149" t="s">
        <v>1700</v>
      </c>
      <c r="AB149" t="s">
        <v>996</v>
      </c>
      <c r="AC149" t="s">
        <v>1018</v>
      </c>
      <c r="AD149" t="s">
        <v>729</v>
      </c>
      <c r="AE149" t="s">
        <v>729</v>
      </c>
      <c r="AF149" t="s">
        <v>1696</v>
      </c>
      <c r="AI149" t="s">
        <v>1586</v>
      </c>
    </row>
    <row r="150" spans="1:38">
      <c r="A150">
        <v>166</v>
      </c>
      <c r="B150" t="s">
        <v>1701</v>
      </c>
      <c r="C150">
        <v>285</v>
      </c>
      <c r="D150" t="s">
        <v>1233</v>
      </c>
      <c r="E150" t="s">
        <v>1551</v>
      </c>
      <c r="F150" t="s">
        <v>1232</v>
      </c>
      <c r="G150" t="s">
        <v>271</v>
      </c>
      <c r="H150" t="s">
        <v>1506</v>
      </c>
      <c r="I150" t="s">
        <v>1701</v>
      </c>
      <c r="J150" t="s">
        <v>1702</v>
      </c>
      <c r="N150" t="s">
        <v>1703</v>
      </c>
      <c r="Q150" t="s">
        <v>1704</v>
      </c>
      <c r="T150" t="s">
        <v>1705</v>
      </c>
      <c r="U150" t="s">
        <v>349</v>
      </c>
      <c r="V150" t="s">
        <v>1706</v>
      </c>
      <c r="W150" t="s">
        <v>963</v>
      </c>
      <c r="X150">
        <v>39497</v>
      </c>
      <c r="Y150">
        <v>17</v>
      </c>
      <c r="Z150" t="s">
        <v>1707</v>
      </c>
      <c r="AA150" t="s">
        <v>1708</v>
      </c>
      <c r="AB150" t="s">
        <v>996</v>
      </c>
      <c r="AC150" t="s">
        <v>997</v>
      </c>
      <c r="AD150" t="s">
        <v>729</v>
      </c>
      <c r="AE150" t="s">
        <v>1250</v>
      </c>
      <c r="AF150" t="s">
        <v>1709</v>
      </c>
      <c r="AI150" t="s">
        <v>1452</v>
      </c>
      <c r="AL150" t="s">
        <v>1252</v>
      </c>
    </row>
    <row r="151" spans="1:38">
      <c r="A151">
        <v>167</v>
      </c>
      <c r="B151" t="s">
        <v>1702</v>
      </c>
      <c r="C151">
        <v>287</v>
      </c>
      <c r="D151" t="s">
        <v>1233</v>
      </c>
      <c r="E151" t="s">
        <v>1551</v>
      </c>
      <c r="F151" t="s">
        <v>1232</v>
      </c>
      <c r="G151" t="s">
        <v>271</v>
      </c>
      <c r="H151" t="s">
        <v>1506</v>
      </c>
      <c r="I151" t="s">
        <v>1701</v>
      </c>
      <c r="J151" t="s">
        <v>1702</v>
      </c>
      <c r="N151" t="s">
        <v>1703</v>
      </c>
      <c r="Q151" t="s">
        <v>1710</v>
      </c>
      <c r="T151" t="s">
        <v>1705</v>
      </c>
      <c r="U151" t="s">
        <v>427</v>
      </c>
      <c r="V151" t="s">
        <v>1711</v>
      </c>
      <c r="W151" t="s">
        <v>963</v>
      </c>
      <c r="X151">
        <v>40125</v>
      </c>
      <c r="Y151">
        <v>16</v>
      </c>
      <c r="Z151" t="s">
        <v>1712</v>
      </c>
      <c r="AA151" t="s">
        <v>1713</v>
      </c>
      <c r="AB151" t="s">
        <v>996</v>
      </c>
      <c r="AC151" t="s">
        <v>997</v>
      </c>
      <c r="AD151" t="s">
        <v>1670</v>
      </c>
      <c r="AE151" t="s">
        <v>729</v>
      </c>
      <c r="AF151" t="s">
        <v>1323</v>
      </c>
      <c r="AI151" t="s">
        <v>1513</v>
      </c>
      <c r="AL151" t="s">
        <v>1259</v>
      </c>
    </row>
    <row r="152" spans="1:38">
      <c r="A152">
        <v>168</v>
      </c>
      <c r="B152" t="s">
        <v>1714</v>
      </c>
      <c r="C152">
        <v>289</v>
      </c>
      <c r="D152" t="s">
        <v>1233</v>
      </c>
      <c r="E152" t="s">
        <v>1551</v>
      </c>
      <c r="F152" t="s">
        <v>1232</v>
      </c>
      <c r="G152" t="s">
        <v>271</v>
      </c>
      <c r="H152" t="s">
        <v>1506</v>
      </c>
      <c r="I152" t="s">
        <v>1701</v>
      </c>
      <c r="J152" t="s">
        <v>1702</v>
      </c>
      <c r="N152" t="s">
        <v>1703</v>
      </c>
      <c r="T152" t="s">
        <v>1705</v>
      </c>
      <c r="U152" t="s">
        <v>377</v>
      </c>
      <c r="V152" t="s">
        <v>1715</v>
      </c>
      <c r="W152" t="s">
        <v>950</v>
      </c>
      <c r="X152">
        <v>39833</v>
      </c>
      <c r="Y152">
        <v>17</v>
      </c>
      <c r="Z152" t="s">
        <v>1716</v>
      </c>
      <c r="AA152" t="s">
        <v>1717</v>
      </c>
      <c r="AB152" t="s">
        <v>996</v>
      </c>
      <c r="AC152" t="s">
        <v>997</v>
      </c>
      <c r="AD152" t="s">
        <v>729</v>
      </c>
      <c r="AE152" t="s">
        <v>729</v>
      </c>
      <c r="AF152" t="s">
        <v>1718</v>
      </c>
      <c r="AI152" t="s">
        <v>1452</v>
      </c>
      <c r="AL152" t="s">
        <v>1259</v>
      </c>
    </row>
    <row r="153" spans="1:38">
      <c r="A153">
        <v>171</v>
      </c>
      <c r="B153" t="s">
        <v>1719</v>
      </c>
      <c r="C153">
        <v>291</v>
      </c>
      <c r="D153" t="s">
        <v>1233</v>
      </c>
      <c r="E153" t="s">
        <v>1551</v>
      </c>
      <c r="F153" t="s">
        <v>1232</v>
      </c>
      <c r="G153" t="s">
        <v>271</v>
      </c>
      <c r="H153" t="s">
        <v>1506</v>
      </c>
      <c r="I153" t="s">
        <v>1701</v>
      </c>
      <c r="J153" t="s">
        <v>1702</v>
      </c>
      <c r="N153" t="s">
        <v>1703</v>
      </c>
      <c r="T153" t="s">
        <v>1705</v>
      </c>
      <c r="U153" t="s">
        <v>433</v>
      </c>
      <c r="V153" t="s">
        <v>1720</v>
      </c>
      <c r="W153" t="s">
        <v>963</v>
      </c>
      <c r="X153">
        <v>39893</v>
      </c>
      <c r="Y153">
        <v>16</v>
      </c>
      <c r="Z153" t="s">
        <v>1721</v>
      </c>
      <c r="AA153" t="s">
        <v>1722</v>
      </c>
      <c r="AB153" t="s">
        <v>996</v>
      </c>
      <c r="AC153" t="s">
        <v>997</v>
      </c>
      <c r="AD153" t="s">
        <v>1250</v>
      </c>
      <c r="AE153" t="s">
        <v>1250</v>
      </c>
      <c r="AF153" t="s">
        <v>1723</v>
      </c>
      <c r="AI153" t="s">
        <v>1566</v>
      </c>
      <c r="AL153" t="s">
        <v>1252</v>
      </c>
    </row>
    <row r="154" spans="1:38">
      <c r="A154">
        <v>170</v>
      </c>
      <c r="B154" t="s">
        <v>1724</v>
      </c>
      <c r="C154">
        <v>293</v>
      </c>
      <c r="D154" t="s">
        <v>1233</v>
      </c>
      <c r="E154" t="s">
        <v>1551</v>
      </c>
      <c r="F154" t="s">
        <v>1232</v>
      </c>
      <c r="G154" t="s">
        <v>271</v>
      </c>
      <c r="H154" t="s">
        <v>1506</v>
      </c>
      <c r="I154" t="s">
        <v>1701</v>
      </c>
      <c r="J154" t="s">
        <v>1702</v>
      </c>
      <c r="N154" t="s">
        <v>1703</v>
      </c>
      <c r="T154" t="s">
        <v>1705</v>
      </c>
      <c r="U154" t="s">
        <v>415</v>
      </c>
      <c r="V154" t="s">
        <v>1725</v>
      </c>
      <c r="W154" t="s">
        <v>950</v>
      </c>
      <c r="X154">
        <v>39343</v>
      </c>
      <c r="Y154">
        <v>18</v>
      </c>
      <c r="Z154" t="s">
        <v>1726</v>
      </c>
      <c r="AA154" t="s">
        <v>1727</v>
      </c>
      <c r="AB154" t="s">
        <v>996</v>
      </c>
      <c r="AC154" t="s">
        <v>1018</v>
      </c>
      <c r="AD154" t="s">
        <v>729</v>
      </c>
      <c r="AE154" t="s">
        <v>729</v>
      </c>
      <c r="AF154" t="s">
        <v>1323</v>
      </c>
      <c r="AI154" t="s">
        <v>1513</v>
      </c>
      <c r="AL154" t="s">
        <v>1259</v>
      </c>
    </row>
    <row r="155" spans="1:38">
      <c r="A155">
        <v>172</v>
      </c>
      <c r="B155" t="s">
        <v>1728</v>
      </c>
      <c r="C155">
        <v>295</v>
      </c>
      <c r="D155" t="s">
        <v>1351</v>
      </c>
      <c r="E155" t="s">
        <v>1551</v>
      </c>
      <c r="F155" t="s">
        <v>1232</v>
      </c>
      <c r="G155" t="s">
        <v>271</v>
      </c>
      <c r="H155" t="s">
        <v>1506</v>
      </c>
      <c r="I155" t="s">
        <v>1701</v>
      </c>
      <c r="J155" t="s">
        <v>1702</v>
      </c>
      <c r="N155" t="s">
        <v>1703</v>
      </c>
      <c r="S155" t="s">
        <v>1729</v>
      </c>
      <c r="T155" t="s">
        <v>1705</v>
      </c>
      <c r="U155" t="s">
        <v>1730</v>
      </c>
      <c r="V155" t="s">
        <v>1731</v>
      </c>
      <c r="W155" t="s">
        <v>963</v>
      </c>
      <c r="X155">
        <v>39617</v>
      </c>
      <c r="Y155">
        <v>17</v>
      </c>
      <c r="Z155" t="s">
        <v>1732</v>
      </c>
      <c r="AB155" t="s">
        <v>996</v>
      </c>
      <c r="AC155" t="s">
        <v>1018</v>
      </c>
      <c r="AD155" t="s">
        <v>729</v>
      </c>
      <c r="AE155" t="s">
        <v>729</v>
      </c>
      <c r="AF155" t="s">
        <v>1733</v>
      </c>
      <c r="AI155" t="s">
        <v>1575</v>
      </c>
    </row>
    <row r="156" spans="1:38">
      <c r="A156">
        <v>174</v>
      </c>
      <c r="B156" t="s">
        <v>1734</v>
      </c>
      <c r="C156">
        <v>297</v>
      </c>
      <c r="D156" t="s">
        <v>1351</v>
      </c>
      <c r="E156" t="s">
        <v>1735</v>
      </c>
      <c r="F156" t="s">
        <v>1202</v>
      </c>
      <c r="G156" t="s">
        <v>30</v>
      </c>
      <c r="H156" t="s">
        <v>1202</v>
      </c>
      <c r="I156" t="s">
        <v>1734</v>
      </c>
      <c r="J156" t="s">
        <v>1736</v>
      </c>
      <c r="N156" t="s">
        <v>1044</v>
      </c>
      <c r="P156" t="s">
        <v>55</v>
      </c>
      <c r="Q156" t="s">
        <v>55</v>
      </c>
      <c r="T156" t="s">
        <v>962</v>
      </c>
      <c r="U156" t="s">
        <v>177</v>
      </c>
      <c r="V156" t="s">
        <v>1737</v>
      </c>
      <c r="W156" t="s">
        <v>963</v>
      </c>
      <c r="X156">
        <v>28283</v>
      </c>
      <c r="Y156">
        <v>48</v>
      </c>
      <c r="Z156" t="s">
        <v>1738</v>
      </c>
      <c r="AA156" t="s">
        <v>1739</v>
      </c>
      <c r="AB156" t="s">
        <v>966</v>
      </c>
      <c r="AC156" t="s">
        <v>953</v>
      </c>
      <c r="AD156" t="s">
        <v>729</v>
      </c>
      <c r="AE156" t="s">
        <v>729</v>
      </c>
      <c r="AF156" t="s">
        <v>1740</v>
      </c>
      <c r="AI156" t="s">
        <v>1011</v>
      </c>
      <c r="AL156" t="s">
        <v>1252</v>
      </c>
    </row>
    <row r="157" spans="1:38">
      <c r="A157">
        <v>176</v>
      </c>
      <c r="B157" t="s">
        <v>1736</v>
      </c>
      <c r="C157">
        <v>299</v>
      </c>
      <c r="D157" t="s">
        <v>1351</v>
      </c>
      <c r="E157" t="s">
        <v>1735</v>
      </c>
      <c r="F157" t="s">
        <v>1202</v>
      </c>
      <c r="G157" t="s">
        <v>30</v>
      </c>
      <c r="H157" t="s">
        <v>1202</v>
      </c>
      <c r="I157" t="s">
        <v>1734</v>
      </c>
      <c r="J157" t="s">
        <v>1736</v>
      </c>
      <c r="N157" t="s">
        <v>1044</v>
      </c>
      <c r="P157" t="s">
        <v>69</v>
      </c>
      <c r="Q157" t="s">
        <v>562</v>
      </c>
      <c r="S157">
        <v>2</v>
      </c>
      <c r="T157" t="s">
        <v>962</v>
      </c>
      <c r="U157" t="s">
        <v>1741</v>
      </c>
      <c r="V157" t="s">
        <v>1742</v>
      </c>
      <c r="W157" t="s">
        <v>963</v>
      </c>
      <c r="X157">
        <v>27898</v>
      </c>
      <c r="Y157">
        <v>49</v>
      </c>
      <c r="Z157" t="s">
        <v>1743</v>
      </c>
      <c r="AA157" t="s">
        <v>1744</v>
      </c>
      <c r="AB157" t="s">
        <v>996</v>
      </c>
      <c r="AC157" t="s">
        <v>997</v>
      </c>
      <c r="AD157" t="s">
        <v>729</v>
      </c>
      <c r="AE157" t="s">
        <v>729</v>
      </c>
      <c r="AF157" t="s">
        <v>1745</v>
      </c>
      <c r="AI157" t="s">
        <v>1125</v>
      </c>
      <c r="AL157" t="s">
        <v>1252</v>
      </c>
    </row>
    <row r="158" spans="1:38">
      <c r="A158">
        <v>94</v>
      </c>
      <c r="B158" t="s">
        <v>1746</v>
      </c>
      <c r="C158">
        <v>301</v>
      </c>
      <c r="D158" t="s">
        <v>1351</v>
      </c>
      <c r="E158" t="s">
        <v>1735</v>
      </c>
      <c r="F158" t="s">
        <v>1202</v>
      </c>
      <c r="G158" t="s">
        <v>30</v>
      </c>
      <c r="H158" t="s">
        <v>1202</v>
      </c>
      <c r="I158" t="s">
        <v>1734</v>
      </c>
      <c r="J158" t="s">
        <v>1736</v>
      </c>
      <c r="N158" t="s">
        <v>1044</v>
      </c>
      <c r="T158" t="s">
        <v>1090</v>
      </c>
      <c r="U158" t="s">
        <v>707</v>
      </c>
      <c r="V158" t="s">
        <v>1747</v>
      </c>
      <c r="W158" t="s">
        <v>963</v>
      </c>
      <c r="X158">
        <v>18218</v>
      </c>
      <c r="Y158">
        <v>76</v>
      </c>
      <c r="Z158" t="s">
        <v>1748</v>
      </c>
      <c r="AA158" t="s">
        <v>1749</v>
      </c>
      <c r="AB158" t="s">
        <v>996</v>
      </c>
      <c r="AC158" t="s">
        <v>997</v>
      </c>
      <c r="AD158" t="s">
        <v>729</v>
      </c>
      <c r="AE158" t="s">
        <v>729</v>
      </c>
      <c r="AF158" t="s">
        <v>1750</v>
      </c>
      <c r="AI158" t="s">
        <v>1107</v>
      </c>
      <c r="AK158">
        <v>-4</v>
      </c>
    </row>
    <row r="159" spans="1:38">
      <c r="A159">
        <v>177</v>
      </c>
      <c r="B159" t="s">
        <v>1751</v>
      </c>
      <c r="C159">
        <v>303</v>
      </c>
      <c r="D159" t="s">
        <v>1351</v>
      </c>
      <c r="E159" t="s">
        <v>1735</v>
      </c>
      <c r="F159" t="s">
        <v>1202</v>
      </c>
      <c r="G159" t="s">
        <v>30</v>
      </c>
      <c r="H159" t="s">
        <v>1202</v>
      </c>
      <c r="I159" t="s">
        <v>1734</v>
      </c>
      <c r="J159" t="s">
        <v>1736</v>
      </c>
      <c r="N159" t="s">
        <v>1044</v>
      </c>
      <c r="T159" t="s">
        <v>962</v>
      </c>
      <c r="U159" t="s">
        <v>217</v>
      </c>
      <c r="V159" t="s">
        <v>1752</v>
      </c>
      <c r="W159" t="s">
        <v>963</v>
      </c>
      <c r="X159">
        <v>28259</v>
      </c>
      <c r="Y159">
        <v>48</v>
      </c>
      <c r="Z159" t="s">
        <v>1753</v>
      </c>
      <c r="AA159" t="s">
        <v>1754</v>
      </c>
      <c r="AB159" t="s">
        <v>996</v>
      </c>
      <c r="AC159" t="s">
        <v>997</v>
      </c>
      <c r="AD159" t="s">
        <v>729</v>
      </c>
      <c r="AE159" t="s">
        <v>729</v>
      </c>
      <c r="AF159" t="s">
        <v>1755</v>
      </c>
      <c r="AI159" t="s">
        <v>1359</v>
      </c>
      <c r="AK159">
        <v>-6</v>
      </c>
    </row>
    <row r="160" spans="1:38">
      <c r="A160">
        <v>179</v>
      </c>
      <c r="B160" t="s">
        <v>1756</v>
      </c>
      <c r="C160">
        <v>305</v>
      </c>
      <c r="D160" t="s">
        <v>1351</v>
      </c>
      <c r="E160" t="s">
        <v>1735</v>
      </c>
      <c r="F160" t="s">
        <v>1202</v>
      </c>
      <c r="G160" t="s">
        <v>30</v>
      </c>
      <c r="H160" t="s">
        <v>1202</v>
      </c>
      <c r="I160" t="s">
        <v>1734</v>
      </c>
      <c r="J160" t="s">
        <v>1736</v>
      </c>
      <c r="N160" t="s">
        <v>1044</v>
      </c>
      <c r="T160" t="s">
        <v>962</v>
      </c>
      <c r="U160" t="s">
        <v>386</v>
      </c>
      <c r="V160" t="s">
        <v>1757</v>
      </c>
      <c r="W160" t="s">
        <v>963</v>
      </c>
      <c r="X160">
        <v>24666</v>
      </c>
      <c r="Y160">
        <v>58</v>
      </c>
      <c r="Z160" t="s">
        <v>1758</v>
      </c>
      <c r="AA160" t="s">
        <v>1759</v>
      </c>
      <c r="AB160" t="s">
        <v>996</v>
      </c>
      <c r="AC160" t="s">
        <v>1018</v>
      </c>
      <c r="AD160" t="s">
        <v>729</v>
      </c>
      <c r="AE160" t="s">
        <v>729</v>
      </c>
      <c r="AF160" t="s">
        <v>1760</v>
      </c>
      <c r="AI160" t="s">
        <v>1513</v>
      </c>
      <c r="AK160">
        <v>-4</v>
      </c>
    </row>
    <row r="161" spans="1:38">
      <c r="A161">
        <v>180</v>
      </c>
      <c r="B161" t="s">
        <v>1761</v>
      </c>
      <c r="C161">
        <v>307</v>
      </c>
      <c r="D161" t="s">
        <v>1351</v>
      </c>
      <c r="E161" t="s">
        <v>1735</v>
      </c>
      <c r="F161" t="s">
        <v>1202</v>
      </c>
      <c r="G161" t="s">
        <v>30</v>
      </c>
      <c r="H161" t="s">
        <v>1202</v>
      </c>
      <c r="I161" t="s">
        <v>1734</v>
      </c>
      <c r="J161" t="s">
        <v>1736</v>
      </c>
      <c r="N161" t="s">
        <v>1044</v>
      </c>
      <c r="T161" t="s">
        <v>962</v>
      </c>
      <c r="U161" t="s">
        <v>411</v>
      </c>
      <c r="V161" t="s">
        <v>1762</v>
      </c>
      <c r="W161" t="s">
        <v>963</v>
      </c>
      <c r="X161">
        <v>26465</v>
      </c>
      <c r="Y161">
        <v>53</v>
      </c>
      <c r="Z161" t="s">
        <v>1763</v>
      </c>
      <c r="AB161" t="s">
        <v>996</v>
      </c>
      <c r="AC161" t="s">
        <v>1018</v>
      </c>
      <c r="AD161" t="s">
        <v>729</v>
      </c>
      <c r="AE161" t="s">
        <v>729</v>
      </c>
      <c r="AF161" t="s">
        <v>1764</v>
      </c>
      <c r="AI161" t="s">
        <v>1513</v>
      </c>
      <c r="AK161">
        <v>-6</v>
      </c>
    </row>
    <row r="162" spans="1:38">
      <c r="A162">
        <v>100</v>
      </c>
      <c r="B162" t="s">
        <v>1765</v>
      </c>
      <c r="C162">
        <v>309</v>
      </c>
      <c r="D162" t="s">
        <v>1351</v>
      </c>
      <c r="E162" t="s">
        <v>1735</v>
      </c>
      <c r="F162" t="s">
        <v>1202</v>
      </c>
      <c r="G162" t="s">
        <v>30</v>
      </c>
      <c r="H162" t="s">
        <v>1202</v>
      </c>
      <c r="I162" t="s">
        <v>1734</v>
      </c>
      <c r="J162" t="s">
        <v>1736</v>
      </c>
      <c r="N162" t="s">
        <v>1044</v>
      </c>
      <c r="T162" t="s">
        <v>962</v>
      </c>
      <c r="U162" t="s">
        <v>621</v>
      </c>
      <c r="V162" t="s">
        <v>1766</v>
      </c>
      <c r="W162" t="s">
        <v>963</v>
      </c>
      <c r="X162">
        <v>22720</v>
      </c>
      <c r="Y162">
        <v>63</v>
      </c>
      <c r="Z162" t="s">
        <v>1767</v>
      </c>
      <c r="AA162" t="s">
        <v>1768</v>
      </c>
      <c r="AB162" t="s">
        <v>996</v>
      </c>
      <c r="AC162" t="s">
        <v>997</v>
      </c>
      <c r="AD162" t="s">
        <v>729</v>
      </c>
      <c r="AE162" t="s">
        <v>729</v>
      </c>
      <c r="AF162" t="s">
        <v>1769</v>
      </c>
      <c r="AI162" t="s">
        <v>1452</v>
      </c>
      <c r="AK162">
        <v>-4</v>
      </c>
    </row>
    <row r="163" spans="1:38">
      <c r="A163">
        <v>181</v>
      </c>
      <c r="B163" t="s">
        <v>1770</v>
      </c>
      <c r="C163">
        <v>311</v>
      </c>
      <c r="D163" t="s">
        <v>1351</v>
      </c>
      <c r="E163" t="s">
        <v>1735</v>
      </c>
      <c r="F163" t="s">
        <v>1202</v>
      </c>
      <c r="G163" t="s">
        <v>30</v>
      </c>
      <c r="H163" t="s">
        <v>1202</v>
      </c>
      <c r="I163" t="s">
        <v>1734</v>
      </c>
      <c r="J163" t="s">
        <v>1736</v>
      </c>
      <c r="N163" t="s">
        <v>1044</v>
      </c>
      <c r="T163" t="s">
        <v>962</v>
      </c>
      <c r="U163" t="s">
        <v>1771</v>
      </c>
      <c r="V163" t="s">
        <v>1772</v>
      </c>
      <c r="W163" t="s">
        <v>963</v>
      </c>
      <c r="X163">
        <v>30297</v>
      </c>
      <c r="Y163">
        <v>43</v>
      </c>
      <c r="Z163" t="s">
        <v>1773</v>
      </c>
      <c r="AB163" t="s">
        <v>996</v>
      </c>
      <c r="AC163" t="s">
        <v>1018</v>
      </c>
      <c r="AD163" t="s">
        <v>729</v>
      </c>
      <c r="AE163" t="s">
        <v>729</v>
      </c>
      <c r="AF163" t="s">
        <v>1774</v>
      </c>
      <c r="AG163" t="s">
        <v>1775</v>
      </c>
      <c r="AH163" t="s">
        <v>1776</v>
      </c>
      <c r="AI163" t="s">
        <v>1349</v>
      </c>
      <c r="AJ163" t="s">
        <v>1777</v>
      </c>
      <c r="AL163" t="s">
        <v>1259</v>
      </c>
    </row>
    <row r="164" spans="1:38">
      <c r="A164">
        <v>175</v>
      </c>
      <c r="B164" t="s">
        <v>1778</v>
      </c>
      <c r="C164">
        <v>313</v>
      </c>
      <c r="D164" t="s">
        <v>1351</v>
      </c>
      <c r="E164" t="s">
        <v>1735</v>
      </c>
      <c r="F164" t="s">
        <v>1202</v>
      </c>
      <c r="G164" t="s">
        <v>30</v>
      </c>
      <c r="H164" t="s">
        <v>1202</v>
      </c>
      <c r="I164" t="s">
        <v>1778</v>
      </c>
      <c r="J164" t="s">
        <v>1779</v>
      </c>
      <c r="N164" t="s">
        <v>1074</v>
      </c>
      <c r="P164" t="s">
        <v>1780</v>
      </c>
      <c r="Q164" t="s">
        <v>562</v>
      </c>
      <c r="S164">
        <v>0</v>
      </c>
      <c r="T164" t="s">
        <v>962</v>
      </c>
      <c r="U164" t="s">
        <v>197</v>
      </c>
      <c r="V164" t="s">
        <v>1781</v>
      </c>
      <c r="W164" t="s">
        <v>963</v>
      </c>
      <c r="X164">
        <v>30250</v>
      </c>
      <c r="Y164">
        <v>43</v>
      </c>
      <c r="Z164" t="s">
        <v>1782</v>
      </c>
      <c r="AA164" t="s">
        <v>1783</v>
      </c>
      <c r="AB164" t="s">
        <v>996</v>
      </c>
      <c r="AC164" t="s">
        <v>997</v>
      </c>
      <c r="AD164" t="s">
        <v>729</v>
      </c>
      <c r="AE164" t="s">
        <v>729</v>
      </c>
      <c r="AF164" t="s">
        <v>1745</v>
      </c>
      <c r="AI164" t="s">
        <v>1359</v>
      </c>
      <c r="AK164">
        <v>-6</v>
      </c>
    </row>
    <row r="165" spans="1:38">
      <c r="A165">
        <v>178</v>
      </c>
      <c r="B165" t="s">
        <v>1779</v>
      </c>
      <c r="C165">
        <v>315</v>
      </c>
      <c r="D165" t="s">
        <v>1351</v>
      </c>
      <c r="E165" t="s">
        <v>1735</v>
      </c>
      <c r="F165" t="s">
        <v>1202</v>
      </c>
      <c r="G165" t="s">
        <v>30</v>
      </c>
      <c r="H165" t="s">
        <v>1202</v>
      </c>
      <c r="I165" t="s">
        <v>1778</v>
      </c>
      <c r="J165" t="s">
        <v>1779</v>
      </c>
      <c r="N165" t="s">
        <v>1074</v>
      </c>
      <c r="T165" t="s">
        <v>962</v>
      </c>
      <c r="U165" t="s">
        <v>237</v>
      </c>
      <c r="V165" t="s">
        <v>1784</v>
      </c>
      <c r="W165" t="s">
        <v>963</v>
      </c>
      <c r="X165">
        <v>29734</v>
      </c>
      <c r="Y165">
        <v>44</v>
      </c>
      <c r="Z165" t="s">
        <v>1785</v>
      </c>
      <c r="AA165" t="s">
        <v>1786</v>
      </c>
      <c r="AB165" t="s">
        <v>996</v>
      </c>
      <c r="AC165" t="s">
        <v>997</v>
      </c>
      <c r="AD165" t="s">
        <v>1078</v>
      </c>
      <c r="AE165" t="s">
        <v>729</v>
      </c>
      <c r="AF165" t="s">
        <v>1252</v>
      </c>
      <c r="AI165" t="s">
        <v>1359</v>
      </c>
      <c r="AK165">
        <v>-6</v>
      </c>
    </row>
    <row r="166" spans="1:38">
      <c r="A166">
        <v>187</v>
      </c>
      <c r="B166" t="s">
        <v>1787</v>
      </c>
      <c r="C166">
        <v>317</v>
      </c>
      <c r="D166" t="s">
        <v>1351</v>
      </c>
      <c r="E166" t="s">
        <v>1735</v>
      </c>
      <c r="F166" t="s">
        <v>1202</v>
      </c>
      <c r="G166" t="s">
        <v>30</v>
      </c>
      <c r="H166" t="s">
        <v>1202</v>
      </c>
      <c r="I166" t="s">
        <v>1778</v>
      </c>
      <c r="J166" t="s">
        <v>1779</v>
      </c>
      <c r="N166" t="s">
        <v>1074</v>
      </c>
      <c r="T166" t="s">
        <v>962</v>
      </c>
      <c r="U166" t="s">
        <v>273</v>
      </c>
      <c r="V166" t="s">
        <v>1788</v>
      </c>
      <c r="W166" t="s">
        <v>963</v>
      </c>
      <c r="X166">
        <v>34787</v>
      </c>
      <c r="Y166">
        <v>30</v>
      </c>
      <c r="Z166" t="s">
        <v>1789</v>
      </c>
      <c r="AA166" t="s">
        <v>1790</v>
      </c>
      <c r="AB166" t="s">
        <v>996</v>
      </c>
      <c r="AC166" t="s">
        <v>997</v>
      </c>
      <c r="AD166" t="s">
        <v>1494</v>
      </c>
      <c r="AE166" t="s">
        <v>1791</v>
      </c>
      <c r="AF166" t="s">
        <v>1792</v>
      </c>
      <c r="AI166" t="s">
        <v>1359</v>
      </c>
    </row>
    <row r="167" spans="1:38">
      <c r="A167">
        <v>188</v>
      </c>
      <c r="B167" t="s">
        <v>1793</v>
      </c>
      <c r="C167">
        <v>319</v>
      </c>
      <c r="D167" t="s">
        <v>1351</v>
      </c>
      <c r="E167" t="s">
        <v>1735</v>
      </c>
      <c r="F167" t="s">
        <v>1202</v>
      </c>
      <c r="G167" t="s">
        <v>30</v>
      </c>
      <c r="H167" t="s">
        <v>1202</v>
      </c>
      <c r="I167" t="s">
        <v>1778</v>
      </c>
      <c r="J167" t="s">
        <v>1779</v>
      </c>
      <c r="N167" t="s">
        <v>1074</v>
      </c>
      <c r="T167" t="s">
        <v>962</v>
      </c>
      <c r="U167" t="s">
        <v>783</v>
      </c>
      <c r="V167" t="s">
        <v>1794</v>
      </c>
      <c r="W167" t="s">
        <v>963</v>
      </c>
      <c r="X167">
        <v>34837</v>
      </c>
      <c r="Y167">
        <v>30</v>
      </c>
      <c r="Z167" t="s">
        <v>1795</v>
      </c>
      <c r="AB167" t="s">
        <v>996</v>
      </c>
      <c r="AC167" t="s">
        <v>1018</v>
      </c>
      <c r="AD167" t="s">
        <v>729</v>
      </c>
      <c r="AE167" t="s">
        <v>729</v>
      </c>
      <c r="AF167" t="s">
        <v>1796</v>
      </c>
      <c r="AI167" t="s">
        <v>1575</v>
      </c>
      <c r="AK167">
        <v>-2</v>
      </c>
      <c r="AL167" t="s">
        <v>1259</v>
      </c>
    </row>
    <row r="168" spans="1:38">
      <c r="A168">
        <v>371</v>
      </c>
      <c r="B168" t="s">
        <v>1797</v>
      </c>
      <c r="C168">
        <v>321</v>
      </c>
      <c r="D168" t="s">
        <v>1798</v>
      </c>
      <c r="E168" t="s">
        <v>1735</v>
      </c>
      <c r="F168" t="s">
        <v>1202</v>
      </c>
      <c r="G168" t="s">
        <v>30</v>
      </c>
      <c r="H168" t="s">
        <v>1202</v>
      </c>
      <c r="I168" t="s">
        <v>1778</v>
      </c>
      <c r="J168" t="s">
        <v>1779</v>
      </c>
      <c r="N168" t="s">
        <v>1074</v>
      </c>
      <c r="T168" t="s">
        <v>962</v>
      </c>
      <c r="U168" t="s">
        <v>1799</v>
      </c>
      <c r="V168" t="s">
        <v>1800</v>
      </c>
      <c r="W168" t="s">
        <v>963</v>
      </c>
      <c r="X168">
        <v>31932</v>
      </c>
      <c r="Y168">
        <v>38</v>
      </c>
      <c r="Z168" t="s">
        <v>1801</v>
      </c>
      <c r="AA168" t="s">
        <v>1802</v>
      </c>
      <c r="AB168" t="s">
        <v>966</v>
      </c>
      <c r="AC168" t="s">
        <v>953</v>
      </c>
      <c r="AD168" t="s">
        <v>1494</v>
      </c>
      <c r="AE168" t="s">
        <v>1494</v>
      </c>
      <c r="AF168" t="s">
        <v>1803</v>
      </c>
      <c r="AI168" t="s">
        <v>1125</v>
      </c>
    </row>
    <row r="169" spans="1:38">
      <c r="A169">
        <v>191</v>
      </c>
      <c r="B169" t="s">
        <v>1804</v>
      </c>
      <c r="C169">
        <v>323</v>
      </c>
      <c r="D169" t="s">
        <v>1351</v>
      </c>
      <c r="E169" t="s">
        <v>1735</v>
      </c>
      <c r="F169" t="s">
        <v>1202</v>
      </c>
      <c r="G169" t="s">
        <v>30</v>
      </c>
      <c r="H169" t="s">
        <v>1202</v>
      </c>
      <c r="I169" t="s">
        <v>1778</v>
      </c>
      <c r="J169" t="s">
        <v>1779</v>
      </c>
      <c r="N169" t="s">
        <v>1074</v>
      </c>
      <c r="T169" t="s">
        <v>992</v>
      </c>
      <c r="U169" t="s">
        <v>238</v>
      </c>
      <c r="V169" t="s">
        <v>1805</v>
      </c>
      <c r="W169" t="s">
        <v>963</v>
      </c>
      <c r="X169">
        <v>37793</v>
      </c>
      <c r="Y169">
        <v>22</v>
      </c>
      <c r="Z169" t="s">
        <v>1806</v>
      </c>
      <c r="AA169" t="s">
        <v>1807</v>
      </c>
      <c r="AB169" t="s">
        <v>996</v>
      </c>
      <c r="AC169" t="s">
        <v>997</v>
      </c>
      <c r="AD169" t="s">
        <v>729</v>
      </c>
      <c r="AE169" t="s">
        <v>729</v>
      </c>
      <c r="AF169" t="s">
        <v>1808</v>
      </c>
      <c r="AI169" t="s">
        <v>1359</v>
      </c>
      <c r="AK169">
        <v>-6</v>
      </c>
    </row>
    <row r="170" spans="1:38">
      <c r="A170">
        <v>193</v>
      </c>
      <c r="B170" t="s">
        <v>1809</v>
      </c>
      <c r="C170">
        <v>325</v>
      </c>
      <c r="D170" t="s">
        <v>1810</v>
      </c>
      <c r="E170" t="s">
        <v>1735</v>
      </c>
      <c r="F170" t="s">
        <v>1202</v>
      </c>
      <c r="G170" t="s">
        <v>30</v>
      </c>
      <c r="H170" t="s">
        <v>1202</v>
      </c>
      <c r="I170" t="s">
        <v>1778</v>
      </c>
      <c r="J170" t="s">
        <v>1779</v>
      </c>
      <c r="N170" t="s">
        <v>1074</v>
      </c>
      <c r="T170" t="s">
        <v>992</v>
      </c>
      <c r="U170" t="s">
        <v>400</v>
      </c>
      <c r="V170" t="s">
        <v>1811</v>
      </c>
      <c r="W170" t="s">
        <v>963</v>
      </c>
      <c r="X170">
        <v>33468</v>
      </c>
      <c r="Y170">
        <v>34</v>
      </c>
      <c r="Z170" t="s">
        <v>1812</v>
      </c>
      <c r="AA170" t="s">
        <v>1813</v>
      </c>
      <c r="AB170" t="s">
        <v>996</v>
      </c>
      <c r="AC170" t="s">
        <v>997</v>
      </c>
      <c r="AD170" t="s">
        <v>1078</v>
      </c>
      <c r="AE170" t="s">
        <v>1078</v>
      </c>
      <c r="AF170" t="s">
        <v>1814</v>
      </c>
      <c r="AI170" t="s">
        <v>1452</v>
      </c>
    </row>
    <row r="171" spans="1:38">
      <c r="B171" t="s">
        <v>1815</v>
      </c>
      <c r="C171">
        <v>327</v>
      </c>
      <c r="D171" t="s">
        <v>1351</v>
      </c>
      <c r="E171" t="s">
        <v>1735</v>
      </c>
      <c r="F171" t="s">
        <v>1202</v>
      </c>
      <c r="G171" t="s">
        <v>30</v>
      </c>
      <c r="H171" t="s">
        <v>1202</v>
      </c>
      <c r="I171" t="s">
        <v>1778</v>
      </c>
      <c r="J171" t="s">
        <v>1779</v>
      </c>
      <c r="N171" t="s">
        <v>1074</v>
      </c>
      <c r="T171" t="s">
        <v>992</v>
      </c>
      <c r="U171" t="s">
        <v>1816</v>
      </c>
      <c r="V171" t="s">
        <v>1817</v>
      </c>
      <c r="W171" t="s">
        <v>963</v>
      </c>
      <c r="X171">
        <v>19810516</v>
      </c>
      <c r="Y171">
        <v>44</v>
      </c>
      <c r="Z171" t="s">
        <v>1818</v>
      </c>
      <c r="AB171" t="s">
        <v>996</v>
      </c>
      <c r="AC171" t="s">
        <v>1018</v>
      </c>
      <c r="AD171" t="s">
        <v>1819</v>
      </c>
      <c r="AE171" t="s">
        <v>729</v>
      </c>
      <c r="AF171" t="s">
        <v>1808</v>
      </c>
    </row>
    <row r="172" spans="1:38">
      <c r="A172">
        <v>288</v>
      </c>
      <c r="B172" t="s">
        <v>1820</v>
      </c>
      <c r="C172">
        <v>329</v>
      </c>
      <c r="D172" t="s">
        <v>1351</v>
      </c>
      <c r="E172" t="s">
        <v>1735</v>
      </c>
      <c r="F172" t="s">
        <v>1202</v>
      </c>
      <c r="G172" t="s">
        <v>30</v>
      </c>
      <c r="H172" t="s">
        <v>1202</v>
      </c>
      <c r="I172" t="s">
        <v>1820</v>
      </c>
      <c r="J172" t="s">
        <v>1821</v>
      </c>
      <c r="N172" t="s">
        <v>1115</v>
      </c>
      <c r="P172" t="s">
        <v>55</v>
      </c>
      <c r="Q172" t="s">
        <v>178</v>
      </c>
      <c r="T172" t="s">
        <v>992</v>
      </c>
      <c r="U172" t="s">
        <v>257</v>
      </c>
      <c r="V172" t="s">
        <v>1822</v>
      </c>
      <c r="W172" t="s">
        <v>950</v>
      </c>
      <c r="X172">
        <v>35604</v>
      </c>
      <c r="Y172">
        <v>28</v>
      </c>
      <c r="Z172" t="s">
        <v>1823</v>
      </c>
      <c r="AA172" t="s">
        <v>1824</v>
      </c>
      <c r="AB172" t="s">
        <v>1006</v>
      </c>
      <c r="AC172" t="s">
        <v>953</v>
      </c>
      <c r="AD172" t="s">
        <v>729</v>
      </c>
      <c r="AE172" t="s">
        <v>729</v>
      </c>
      <c r="AF172" t="s">
        <v>1755</v>
      </c>
      <c r="AL172" t="s">
        <v>1252</v>
      </c>
    </row>
    <row r="173" spans="1:38">
      <c r="A173">
        <v>297</v>
      </c>
      <c r="B173" t="s">
        <v>1821</v>
      </c>
      <c r="C173">
        <v>331</v>
      </c>
      <c r="D173" t="s">
        <v>1351</v>
      </c>
      <c r="E173" t="s">
        <v>1735</v>
      </c>
      <c r="F173" t="s">
        <v>1202</v>
      </c>
      <c r="G173" t="s">
        <v>30</v>
      </c>
      <c r="H173" t="s">
        <v>1202</v>
      </c>
      <c r="I173" t="s">
        <v>1820</v>
      </c>
      <c r="J173" t="s">
        <v>1821</v>
      </c>
      <c r="N173" t="s">
        <v>1115</v>
      </c>
      <c r="P173" t="s">
        <v>69</v>
      </c>
      <c r="Q173" t="s">
        <v>69</v>
      </c>
      <c r="S173" t="s">
        <v>1825</v>
      </c>
      <c r="T173" t="s">
        <v>992</v>
      </c>
      <c r="U173" t="s">
        <v>1826</v>
      </c>
      <c r="V173" t="s">
        <v>1827</v>
      </c>
      <c r="W173" t="s">
        <v>950</v>
      </c>
      <c r="X173">
        <v>37601</v>
      </c>
      <c r="Y173">
        <v>23</v>
      </c>
      <c r="Z173" t="s">
        <v>1828</v>
      </c>
      <c r="AA173" t="s">
        <v>1829</v>
      </c>
      <c r="AB173" t="s">
        <v>1006</v>
      </c>
      <c r="AC173" t="s">
        <v>953</v>
      </c>
      <c r="AD173" t="s">
        <v>729</v>
      </c>
      <c r="AE173" t="s">
        <v>729</v>
      </c>
      <c r="AF173" t="s">
        <v>1830</v>
      </c>
      <c r="AI173" t="s">
        <v>1011</v>
      </c>
      <c r="AL173" t="s">
        <v>1252</v>
      </c>
    </row>
    <row r="174" spans="1:38">
      <c r="A174">
        <v>186</v>
      </c>
      <c r="B174" t="s">
        <v>1831</v>
      </c>
      <c r="C174">
        <v>333</v>
      </c>
      <c r="D174" t="s">
        <v>1351</v>
      </c>
      <c r="E174" t="s">
        <v>1735</v>
      </c>
      <c r="F174" t="s">
        <v>1202</v>
      </c>
      <c r="G174" t="s">
        <v>30</v>
      </c>
      <c r="H174" t="s">
        <v>1202</v>
      </c>
      <c r="I174" t="s">
        <v>1820</v>
      </c>
      <c r="J174" t="s">
        <v>1821</v>
      </c>
      <c r="N174" t="s">
        <v>1115</v>
      </c>
      <c r="P174" t="s">
        <v>69</v>
      </c>
      <c r="Q174" t="s">
        <v>69</v>
      </c>
      <c r="S174">
        <v>1</v>
      </c>
      <c r="T174" t="s">
        <v>992</v>
      </c>
      <c r="U174" t="s">
        <v>198</v>
      </c>
      <c r="V174" t="s">
        <v>1832</v>
      </c>
      <c r="W174" t="s">
        <v>963</v>
      </c>
      <c r="X174">
        <v>35647</v>
      </c>
      <c r="Y174">
        <v>28</v>
      </c>
      <c r="Z174" t="s">
        <v>1833</v>
      </c>
      <c r="AA174" t="s">
        <v>1834</v>
      </c>
      <c r="AB174" t="s">
        <v>996</v>
      </c>
      <c r="AC174" t="s">
        <v>997</v>
      </c>
      <c r="AD174" t="s">
        <v>729</v>
      </c>
      <c r="AE174" t="s">
        <v>729</v>
      </c>
      <c r="AF174" t="s">
        <v>1835</v>
      </c>
      <c r="AI174" t="s">
        <v>1359</v>
      </c>
      <c r="AK174">
        <v>-4</v>
      </c>
    </row>
    <row r="175" spans="1:38">
      <c r="A175">
        <v>303</v>
      </c>
      <c r="B175" t="s">
        <v>1836</v>
      </c>
      <c r="C175">
        <v>335</v>
      </c>
      <c r="D175" t="s">
        <v>1351</v>
      </c>
      <c r="E175" t="s">
        <v>1735</v>
      </c>
      <c r="F175" t="s">
        <v>1202</v>
      </c>
      <c r="G175" t="s">
        <v>30</v>
      </c>
      <c r="H175" t="s">
        <v>1202</v>
      </c>
      <c r="I175" t="s">
        <v>1820</v>
      </c>
      <c r="J175" t="s">
        <v>1821</v>
      </c>
      <c r="N175" t="s">
        <v>1115</v>
      </c>
      <c r="Q175" t="s">
        <v>1710</v>
      </c>
      <c r="T175" t="s">
        <v>1705</v>
      </c>
      <c r="U175" t="s">
        <v>1837</v>
      </c>
      <c r="V175" t="s">
        <v>1838</v>
      </c>
      <c r="W175" t="s">
        <v>950</v>
      </c>
      <c r="X175">
        <v>39593</v>
      </c>
      <c r="Y175">
        <v>17</v>
      </c>
      <c r="Z175" t="s">
        <v>1839</v>
      </c>
      <c r="AA175" t="s">
        <v>1840</v>
      </c>
      <c r="AB175" t="s">
        <v>996</v>
      </c>
      <c r="AC175" t="s">
        <v>953</v>
      </c>
      <c r="AD175" t="s">
        <v>1841</v>
      </c>
      <c r="AE175" t="s">
        <v>1494</v>
      </c>
      <c r="AF175" t="s">
        <v>1842</v>
      </c>
      <c r="AI175" t="s">
        <v>1125</v>
      </c>
    </row>
    <row r="176" spans="1:38">
      <c r="A176">
        <v>290</v>
      </c>
      <c r="B176" t="s">
        <v>1843</v>
      </c>
      <c r="C176">
        <v>337</v>
      </c>
      <c r="D176" t="s">
        <v>1351</v>
      </c>
      <c r="E176" t="s">
        <v>1735</v>
      </c>
      <c r="F176" t="s">
        <v>1202</v>
      </c>
      <c r="G176" t="s">
        <v>30</v>
      </c>
      <c r="H176" t="s">
        <v>1202</v>
      </c>
      <c r="I176" t="s">
        <v>1820</v>
      </c>
      <c r="J176" t="s">
        <v>1821</v>
      </c>
      <c r="N176" t="s">
        <v>1115</v>
      </c>
      <c r="T176" t="s">
        <v>992</v>
      </c>
      <c r="U176" t="s">
        <v>216</v>
      </c>
      <c r="V176" t="s">
        <v>1844</v>
      </c>
      <c r="W176" t="s">
        <v>950</v>
      </c>
      <c r="X176">
        <v>37601</v>
      </c>
      <c r="Y176">
        <v>23</v>
      </c>
      <c r="Z176" t="s">
        <v>1845</v>
      </c>
      <c r="AA176" t="s">
        <v>1846</v>
      </c>
      <c r="AB176" t="s">
        <v>1006</v>
      </c>
      <c r="AC176" t="s">
        <v>953</v>
      </c>
      <c r="AD176" t="s">
        <v>729</v>
      </c>
      <c r="AE176" t="s">
        <v>729</v>
      </c>
      <c r="AF176" t="s">
        <v>1847</v>
      </c>
      <c r="AL176" t="s">
        <v>1252</v>
      </c>
    </row>
    <row r="177" spans="1:38">
      <c r="A177">
        <v>291</v>
      </c>
      <c r="B177" t="s">
        <v>1848</v>
      </c>
      <c r="C177">
        <v>339</v>
      </c>
      <c r="D177" t="s">
        <v>1351</v>
      </c>
      <c r="E177" t="s">
        <v>1735</v>
      </c>
      <c r="F177" t="s">
        <v>1202</v>
      </c>
      <c r="G177" t="s">
        <v>30</v>
      </c>
      <c r="H177" t="s">
        <v>1202</v>
      </c>
      <c r="I177" t="s">
        <v>1820</v>
      </c>
      <c r="J177" t="s">
        <v>1821</v>
      </c>
      <c r="N177" t="s">
        <v>1115</v>
      </c>
      <c r="T177" t="s">
        <v>992</v>
      </c>
      <c r="U177" t="s">
        <v>1849</v>
      </c>
      <c r="V177" t="s">
        <v>1850</v>
      </c>
      <c r="W177" t="s">
        <v>950</v>
      </c>
      <c r="X177">
        <v>36350</v>
      </c>
      <c r="Y177">
        <v>26</v>
      </c>
      <c r="Z177" t="s">
        <v>1851</v>
      </c>
      <c r="AA177" t="s">
        <v>1852</v>
      </c>
      <c r="AB177" t="s">
        <v>996</v>
      </c>
      <c r="AC177" t="s">
        <v>997</v>
      </c>
      <c r="AD177" t="s">
        <v>729</v>
      </c>
      <c r="AE177" t="s">
        <v>729</v>
      </c>
      <c r="AF177" t="s">
        <v>1853</v>
      </c>
      <c r="AI177" t="s">
        <v>1125</v>
      </c>
      <c r="AK177">
        <v>-3</v>
      </c>
      <c r="AL177" t="s">
        <v>1052</v>
      </c>
    </row>
    <row r="178" spans="1:38">
      <c r="A178">
        <v>292</v>
      </c>
      <c r="B178" t="s">
        <v>1854</v>
      </c>
      <c r="C178">
        <v>341</v>
      </c>
      <c r="D178" t="s">
        <v>1351</v>
      </c>
      <c r="E178" t="s">
        <v>1735</v>
      </c>
      <c r="F178" t="s">
        <v>1202</v>
      </c>
      <c r="G178" t="s">
        <v>30</v>
      </c>
      <c r="H178" t="s">
        <v>1202</v>
      </c>
      <c r="I178" t="s">
        <v>1820</v>
      </c>
      <c r="J178" t="s">
        <v>1821</v>
      </c>
      <c r="N178" t="s">
        <v>1115</v>
      </c>
      <c r="T178" t="s">
        <v>992</v>
      </c>
      <c r="U178" t="s">
        <v>1855</v>
      </c>
      <c r="V178" t="s">
        <v>1856</v>
      </c>
      <c r="W178" t="s">
        <v>963</v>
      </c>
      <c r="X178">
        <v>36950</v>
      </c>
      <c r="Y178">
        <v>24</v>
      </c>
      <c r="Z178" t="s">
        <v>1857</v>
      </c>
      <c r="AA178" t="s">
        <v>1858</v>
      </c>
      <c r="AB178" t="s">
        <v>996</v>
      </c>
      <c r="AC178" t="s">
        <v>1018</v>
      </c>
      <c r="AD178" t="s">
        <v>729</v>
      </c>
      <c r="AE178" t="s">
        <v>729</v>
      </c>
      <c r="AF178" t="s">
        <v>1252</v>
      </c>
      <c r="AI178" t="s">
        <v>1125</v>
      </c>
      <c r="AK178">
        <v>-1</v>
      </c>
      <c r="AL178" t="s">
        <v>1052</v>
      </c>
    </row>
    <row r="179" spans="1:38">
      <c r="A179">
        <v>280</v>
      </c>
      <c r="B179" t="s">
        <v>1859</v>
      </c>
      <c r="C179">
        <v>343</v>
      </c>
      <c r="D179" t="s">
        <v>1351</v>
      </c>
      <c r="E179" t="s">
        <v>1735</v>
      </c>
      <c r="F179" t="s">
        <v>1202</v>
      </c>
      <c r="G179" t="s">
        <v>30</v>
      </c>
      <c r="H179" t="s">
        <v>1202</v>
      </c>
      <c r="I179" t="s">
        <v>1820</v>
      </c>
      <c r="J179" t="s">
        <v>1821</v>
      </c>
      <c r="N179" t="s">
        <v>1115</v>
      </c>
      <c r="T179" t="s">
        <v>992</v>
      </c>
      <c r="U179" t="s">
        <v>373</v>
      </c>
      <c r="V179" t="s">
        <v>1860</v>
      </c>
      <c r="W179" t="s">
        <v>950</v>
      </c>
      <c r="X179">
        <v>36437</v>
      </c>
      <c r="Y179">
        <v>26</v>
      </c>
      <c r="Z179" t="s">
        <v>1861</v>
      </c>
      <c r="AA179" t="s">
        <v>1862</v>
      </c>
      <c r="AB179" t="s">
        <v>996</v>
      </c>
      <c r="AC179" t="s">
        <v>997</v>
      </c>
      <c r="AD179" t="s">
        <v>1494</v>
      </c>
      <c r="AE179" t="s">
        <v>1494</v>
      </c>
      <c r="AF179" t="s">
        <v>1863</v>
      </c>
      <c r="AI179" t="s">
        <v>1452</v>
      </c>
    </row>
    <row r="180" spans="1:38">
      <c r="A180">
        <v>282</v>
      </c>
      <c r="B180" t="s">
        <v>1864</v>
      </c>
      <c r="C180">
        <v>345</v>
      </c>
      <c r="D180" t="s">
        <v>1351</v>
      </c>
      <c r="E180" t="s">
        <v>1735</v>
      </c>
      <c r="F180" t="s">
        <v>1202</v>
      </c>
      <c r="G180" t="s">
        <v>30</v>
      </c>
      <c r="H180" t="s">
        <v>1202</v>
      </c>
      <c r="I180" t="s">
        <v>1820</v>
      </c>
      <c r="J180" t="s">
        <v>1821</v>
      </c>
      <c r="N180" t="s">
        <v>1115</v>
      </c>
      <c r="T180" t="s">
        <v>992</v>
      </c>
      <c r="U180" t="s">
        <v>412</v>
      </c>
      <c r="V180" t="s">
        <v>1865</v>
      </c>
      <c r="W180" t="s">
        <v>950</v>
      </c>
      <c r="X180">
        <v>38335</v>
      </c>
      <c r="Y180">
        <v>21</v>
      </c>
      <c r="Z180" t="s">
        <v>1866</v>
      </c>
      <c r="AA180" t="s">
        <v>1867</v>
      </c>
      <c r="AB180" t="s">
        <v>996</v>
      </c>
      <c r="AC180" t="s">
        <v>997</v>
      </c>
      <c r="AD180" t="s">
        <v>1868</v>
      </c>
      <c r="AE180" t="s">
        <v>729</v>
      </c>
      <c r="AF180" t="s">
        <v>1869</v>
      </c>
      <c r="AI180" t="s">
        <v>1452</v>
      </c>
      <c r="AK180">
        <v>-6</v>
      </c>
    </row>
    <row r="181" spans="1:38">
      <c r="A181">
        <v>214</v>
      </c>
      <c r="B181" t="s">
        <v>1870</v>
      </c>
      <c r="C181">
        <v>347</v>
      </c>
      <c r="D181" t="s">
        <v>1351</v>
      </c>
      <c r="E181" t="s">
        <v>1735</v>
      </c>
      <c r="F181" t="s">
        <v>1202</v>
      </c>
      <c r="G181" t="s">
        <v>30</v>
      </c>
      <c r="H181" t="s">
        <v>1202</v>
      </c>
      <c r="I181" t="s">
        <v>1870</v>
      </c>
      <c r="J181" t="s">
        <v>1871</v>
      </c>
      <c r="N181" t="s">
        <v>1127</v>
      </c>
      <c r="P181" t="s">
        <v>1780</v>
      </c>
      <c r="Q181" t="s">
        <v>562</v>
      </c>
      <c r="S181">
        <v>2</v>
      </c>
      <c r="T181" t="s">
        <v>1015</v>
      </c>
      <c r="U181" t="s">
        <v>1872</v>
      </c>
      <c r="V181" t="s">
        <v>1873</v>
      </c>
      <c r="W181" t="s">
        <v>950</v>
      </c>
      <c r="X181">
        <v>34534</v>
      </c>
      <c r="Y181">
        <v>31</v>
      </c>
      <c r="Z181" t="s">
        <v>1874</v>
      </c>
      <c r="AA181" t="s">
        <v>1875</v>
      </c>
      <c r="AB181" t="s">
        <v>996</v>
      </c>
      <c r="AC181" t="s">
        <v>997</v>
      </c>
      <c r="AD181" t="s">
        <v>1494</v>
      </c>
      <c r="AE181" t="s">
        <v>1791</v>
      </c>
      <c r="AF181" t="s">
        <v>1876</v>
      </c>
      <c r="AI181" t="s">
        <v>1107</v>
      </c>
      <c r="AL181" t="s">
        <v>1252</v>
      </c>
    </row>
    <row r="182" spans="1:38">
      <c r="A182">
        <v>203</v>
      </c>
      <c r="B182" t="s">
        <v>1871</v>
      </c>
      <c r="C182">
        <v>349</v>
      </c>
      <c r="D182" t="s">
        <v>1351</v>
      </c>
      <c r="E182" t="s">
        <v>1735</v>
      </c>
      <c r="F182" t="s">
        <v>1202</v>
      </c>
      <c r="G182" t="s">
        <v>30</v>
      </c>
      <c r="H182" t="s">
        <v>1202</v>
      </c>
      <c r="I182" t="s">
        <v>1870</v>
      </c>
      <c r="J182" t="s">
        <v>1871</v>
      </c>
      <c r="N182" t="s">
        <v>1127</v>
      </c>
      <c r="P182" t="s">
        <v>1877</v>
      </c>
      <c r="Q182" t="s">
        <v>178</v>
      </c>
      <c r="S182">
        <v>1</v>
      </c>
      <c r="T182" t="s">
        <v>1015</v>
      </c>
      <c r="U182" t="s">
        <v>1878</v>
      </c>
      <c r="V182" t="s">
        <v>1879</v>
      </c>
      <c r="W182" t="s">
        <v>950</v>
      </c>
      <c r="X182">
        <v>33871</v>
      </c>
      <c r="Y182">
        <v>33</v>
      </c>
      <c r="Z182" t="s">
        <v>1880</v>
      </c>
      <c r="AA182" t="s">
        <v>1881</v>
      </c>
      <c r="AB182" t="s">
        <v>996</v>
      </c>
      <c r="AC182" t="s">
        <v>997</v>
      </c>
      <c r="AD182" t="s">
        <v>1494</v>
      </c>
      <c r="AE182" t="s">
        <v>1494</v>
      </c>
      <c r="AF182" t="s">
        <v>1882</v>
      </c>
      <c r="AI182" t="s">
        <v>1114</v>
      </c>
    </row>
    <row r="183" spans="1:38">
      <c r="A183">
        <v>215</v>
      </c>
      <c r="B183" t="s">
        <v>1883</v>
      </c>
      <c r="C183">
        <v>351</v>
      </c>
      <c r="D183" t="s">
        <v>1351</v>
      </c>
      <c r="E183" t="s">
        <v>1735</v>
      </c>
      <c r="F183" t="s">
        <v>1202</v>
      </c>
      <c r="G183" t="s">
        <v>30</v>
      </c>
      <c r="H183" t="s">
        <v>1202</v>
      </c>
      <c r="I183" t="s">
        <v>1870</v>
      </c>
      <c r="J183" t="s">
        <v>1871</v>
      </c>
      <c r="N183" t="s">
        <v>1127</v>
      </c>
      <c r="T183" t="s">
        <v>1015</v>
      </c>
      <c r="U183" t="s">
        <v>1884</v>
      </c>
      <c r="V183" t="s">
        <v>1885</v>
      </c>
      <c r="W183" t="s">
        <v>950</v>
      </c>
      <c r="X183">
        <v>37018</v>
      </c>
      <c r="Y183">
        <v>24</v>
      </c>
      <c r="Z183" t="s">
        <v>1886</v>
      </c>
      <c r="AA183" t="s">
        <v>1887</v>
      </c>
      <c r="AB183" t="s">
        <v>996</v>
      </c>
      <c r="AC183" t="s">
        <v>997</v>
      </c>
      <c r="AD183" t="s">
        <v>729</v>
      </c>
      <c r="AE183" t="s">
        <v>729</v>
      </c>
      <c r="AF183" t="s">
        <v>1830</v>
      </c>
      <c r="AI183" t="s">
        <v>1349</v>
      </c>
      <c r="AL183" t="s">
        <v>1252</v>
      </c>
    </row>
    <row r="184" spans="1:38">
      <c r="A184">
        <v>216</v>
      </c>
      <c r="B184" t="s">
        <v>1888</v>
      </c>
      <c r="C184">
        <v>353</v>
      </c>
      <c r="D184" t="s">
        <v>1351</v>
      </c>
      <c r="E184" t="s">
        <v>1735</v>
      </c>
      <c r="F184" t="s">
        <v>1202</v>
      </c>
      <c r="G184" t="s">
        <v>30</v>
      </c>
      <c r="H184" t="s">
        <v>1202</v>
      </c>
      <c r="I184" t="s">
        <v>1870</v>
      </c>
      <c r="J184" t="s">
        <v>1871</v>
      </c>
      <c r="N184" t="s">
        <v>1127</v>
      </c>
      <c r="T184" t="s">
        <v>1015</v>
      </c>
      <c r="U184" t="s">
        <v>631</v>
      </c>
      <c r="V184" t="s">
        <v>1889</v>
      </c>
      <c r="W184" t="s">
        <v>950</v>
      </c>
      <c r="X184">
        <v>35131</v>
      </c>
      <c r="Y184">
        <v>29</v>
      </c>
      <c r="Z184" t="s">
        <v>1890</v>
      </c>
      <c r="AA184" t="s">
        <v>1891</v>
      </c>
      <c r="AB184" t="s">
        <v>996</v>
      </c>
      <c r="AC184" t="s">
        <v>997</v>
      </c>
      <c r="AD184" t="s">
        <v>1494</v>
      </c>
      <c r="AE184" t="s">
        <v>1494</v>
      </c>
      <c r="AF184" t="s">
        <v>1892</v>
      </c>
      <c r="AI184" t="s">
        <v>1114</v>
      </c>
    </row>
    <row r="185" spans="1:38">
      <c r="A185">
        <v>217</v>
      </c>
      <c r="B185" t="s">
        <v>1893</v>
      </c>
      <c r="C185">
        <v>355</v>
      </c>
      <c r="D185" t="s">
        <v>1351</v>
      </c>
      <c r="E185" t="s">
        <v>1735</v>
      </c>
      <c r="F185" t="s">
        <v>1202</v>
      </c>
      <c r="G185" t="s">
        <v>30</v>
      </c>
      <c r="H185" t="s">
        <v>1202</v>
      </c>
      <c r="I185" t="s">
        <v>1870</v>
      </c>
      <c r="J185" t="s">
        <v>1871</v>
      </c>
      <c r="N185" t="s">
        <v>1127</v>
      </c>
      <c r="T185" t="s">
        <v>1015</v>
      </c>
      <c r="U185" t="s">
        <v>1894</v>
      </c>
      <c r="V185" t="s">
        <v>1895</v>
      </c>
      <c r="W185" t="s">
        <v>950</v>
      </c>
      <c r="X185">
        <v>31403</v>
      </c>
      <c r="Y185">
        <v>40</v>
      </c>
      <c r="Z185" t="s">
        <v>1896</v>
      </c>
      <c r="AA185" t="s">
        <v>1897</v>
      </c>
      <c r="AB185" t="s">
        <v>996</v>
      </c>
      <c r="AC185" t="s">
        <v>997</v>
      </c>
      <c r="AD185" t="s">
        <v>1898</v>
      </c>
      <c r="AE185" t="s">
        <v>729</v>
      </c>
      <c r="AF185" t="s">
        <v>1899</v>
      </c>
      <c r="AI185" t="s">
        <v>1107</v>
      </c>
      <c r="AL185" t="s">
        <v>1252</v>
      </c>
    </row>
    <row r="186" spans="1:38">
      <c r="A186">
        <v>298</v>
      </c>
      <c r="B186" t="s">
        <v>1900</v>
      </c>
      <c r="C186">
        <v>357</v>
      </c>
      <c r="D186" t="s">
        <v>1351</v>
      </c>
      <c r="E186" t="s">
        <v>1735</v>
      </c>
      <c r="F186" t="s">
        <v>1202</v>
      </c>
      <c r="G186" t="s">
        <v>30</v>
      </c>
      <c r="H186" t="s">
        <v>1202</v>
      </c>
      <c r="I186" t="s">
        <v>1870</v>
      </c>
      <c r="J186" t="s">
        <v>1871</v>
      </c>
      <c r="N186" t="s">
        <v>1127</v>
      </c>
      <c r="T186" t="s">
        <v>992</v>
      </c>
      <c r="U186" t="s">
        <v>300</v>
      </c>
      <c r="V186" t="s">
        <v>1901</v>
      </c>
      <c r="W186" t="s">
        <v>950</v>
      </c>
      <c r="X186">
        <v>34094</v>
      </c>
      <c r="Y186">
        <v>32</v>
      </c>
      <c r="Z186" t="s">
        <v>1902</v>
      </c>
      <c r="AB186" t="s">
        <v>1006</v>
      </c>
      <c r="AC186" t="s">
        <v>953</v>
      </c>
      <c r="AD186" t="s">
        <v>729</v>
      </c>
      <c r="AE186" t="s">
        <v>729</v>
      </c>
      <c r="AF186" t="s">
        <v>1252</v>
      </c>
      <c r="AL186" t="s">
        <v>1252</v>
      </c>
    </row>
    <row r="187" spans="1:38">
      <c r="A187">
        <v>299</v>
      </c>
      <c r="B187" t="s">
        <v>1903</v>
      </c>
      <c r="C187">
        <v>359</v>
      </c>
      <c r="D187" t="s">
        <v>1351</v>
      </c>
      <c r="E187" t="s">
        <v>1735</v>
      </c>
      <c r="F187" t="s">
        <v>1202</v>
      </c>
      <c r="G187" t="s">
        <v>30</v>
      </c>
      <c r="H187" t="s">
        <v>1202</v>
      </c>
      <c r="I187" t="s">
        <v>1870</v>
      </c>
      <c r="J187" t="s">
        <v>1871</v>
      </c>
      <c r="N187" t="s">
        <v>1127</v>
      </c>
      <c r="S187" t="s">
        <v>1904</v>
      </c>
      <c r="T187" t="s">
        <v>992</v>
      </c>
      <c r="U187" t="s">
        <v>1905</v>
      </c>
      <c r="V187" t="s">
        <v>1906</v>
      </c>
      <c r="W187" t="s">
        <v>950</v>
      </c>
      <c r="X187">
        <v>31881</v>
      </c>
      <c r="Y187">
        <v>38</v>
      </c>
      <c r="Z187" t="s">
        <v>1907</v>
      </c>
      <c r="AA187" t="s">
        <v>1908</v>
      </c>
      <c r="AB187" t="s">
        <v>996</v>
      </c>
      <c r="AC187" t="s">
        <v>997</v>
      </c>
      <c r="AD187" t="s">
        <v>1909</v>
      </c>
      <c r="AE187" t="s">
        <v>1910</v>
      </c>
      <c r="AF187" t="s">
        <v>1911</v>
      </c>
      <c r="AI187" t="s">
        <v>1107</v>
      </c>
      <c r="AL187" t="s">
        <v>1259</v>
      </c>
    </row>
    <row r="188" spans="1:38">
      <c r="A188">
        <v>194</v>
      </c>
      <c r="B188" t="s">
        <v>1912</v>
      </c>
      <c r="C188">
        <v>361</v>
      </c>
      <c r="D188" t="s">
        <v>1351</v>
      </c>
      <c r="E188" t="s">
        <v>1735</v>
      </c>
      <c r="F188" t="s">
        <v>1202</v>
      </c>
      <c r="G188" t="s">
        <v>30</v>
      </c>
      <c r="H188" t="s">
        <v>1202</v>
      </c>
      <c r="I188" t="s">
        <v>1912</v>
      </c>
      <c r="J188" t="s">
        <v>1913</v>
      </c>
      <c r="N188" t="s">
        <v>1157</v>
      </c>
      <c r="P188" t="s">
        <v>55</v>
      </c>
      <c r="Q188" t="s">
        <v>178</v>
      </c>
      <c r="T188" t="s">
        <v>1015</v>
      </c>
      <c r="U188" t="s">
        <v>1914</v>
      </c>
      <c r="V188" t="s">
        <v>1915</v>
      </c>
      <c r="W188" t="s">
        <v>950</v>
      </c>
      <c r="X188">
        <v>31138</v>
      </c>
      <c r="Y188">
        <v>40</v>
      </c>
      <c r="Z188" t="s">
        <v>1916</v>
      </c>
      <c r="AA188" t="s">
        <v>1917</v>
      </c>
      <c r="AB188" t="s">
        <v>966</v>
      </c>
      <c r="AC188" t="s">
        <v>953</v>
      </c>
      <c r="AD188" t="s">
        <v>729</v>
      </c>
      <c r="AE188" t="s">
        <v>729</v>
      </c>
      <c r="AF188" t="s">
        <v>1561</v>
      </c>
      <c r="AI188" t="s">
        <v>1349</v>
      </c>
      <c r="AL188" t="s">
        <v>1252</v>
      </c>
    </row>
    <row r="189" spans="1:38">
      <c r="A189">
        <v>195</v>
      </c>
      <c r="B189" t="s">
        <v>1913</v>
      </c>
      <c r="C189">
        <v>363</v>
      </c>
      <c r="D189" t="s">
        <v>1351</v>
      </c>
      <c r="E189" t="s">
        <v>1735</v>
      </c>
      <c r="F189" t="s">
        <v>1202</v>
      </c>
      <c r="G189" t="s">
        <v>30</v>
      </c>
      <c r="H189" t="s">
        <v>1202</v>
      </c>
      <c r="I189" t="s">
        <v>1912</v>
      </c>
      <c r="J189" t="s">
        <v>1913</v>
      </c>
      <c r="N189" t="s">
        <v>1157</v>
      </c>
      <c r="P189" t="s">
        <v>69</v>
      </c>
      <c r="Q189" t="s">
        <v>562</v>
      </c>
      <c r="T189" t="s">
        <v>1015</v>
      </c>
      <c r="U189" t="s">
        <v>1918</v>
      </c>
      <c r="V189" t="s">
        <v>1919</v>
      </c>
      <c r="W189" t="s">
        <v>950</v>
      </c>
      <c r="X189">
        <v>28649</v>
      </c>
      <c r="Y189">
        <v>47</v>
      </c>
      <c r="Z189" t="s">
        <v>1920</v>
      </c>
      <c r="AA189" t="s">
        <v>1921</v>
      </c>
      <c r="AB189" t="s">
        <v>966</v>
      </c>
      <c r="AC189" t="s">
        <v>953</v>
      </c>
      <c r="AD189" t="s">
        <v>729</v>
      </c>
      <c r="AE189" t="s">
        <v>729</v>
      </c>
      <c r="AF189" t="s">
        <v>1922</v>
      </c>
      <c r="AI189" t="s">
        <v>1349</v>
      </c>
      <c r="AL189" t="s">
        <v>1252</v>
      </c>
    </row>
    <row r="190" spans="1:38">
      <c r="A190">
        <v>309</v>
      </c>
      <c r="B190" t="s">
        <v>1923</v>
      </c>
      <c r="C190">
        <v>365</v>
      </c>
      <c r="D190" t="s">
        <v>1351</v>
      </c>
      <c r="E190" t="s">
        <v>1735</v>
      </c>
      <c r="F190" t="s">
        <v>1202</v>
      </c>
      <c r="G190" t="s">
        <v>30</v>
      </c>
      <c r="H190" t="s">
        <v>1202</v>
      </c>
      <c r="I190" t="s">
        <v>1912</v>
      </c>
      <c r="J190" t="s">
        <v>1913</v>
      </c>
      <c r="N190" t="s">
        <v>1157</v>
      </c>
      <c r="P190" t="s">
        <v>55</v>
      </c>
      <c r="Q190" t="s">
        <v>178</v>
      </c>
      <c r="S190" t="s">
        <v>1924</v>
      </c>
      <c r="T190" t="s">
        <v>1015</v>
      </c>
      <c r="U190" t="s">
        <v>299</v>
      </c>
      <c r="V190" t="s">
        <v>1925</v>
      </c>
      <c r="W190" t="s">
        <v>950</v>
      </c>
      <c r="X190">
        <v>22549</v>
      </c>
      <c r="Y190">
        <v>64</v>
      </c>
      <c r="Z190" t="s">
        <v>1926</v>
      </c>
      <c r="AA190" t="s">
        <v>1927</v>
      </c>
      <c r="AB190" t="s">
        <v>966</v>
      </c>
      <c r="AC190" t="s">
        <v>953</v>
      </c>
      <c r="AD190" t="s">
        <v>729</v>
      </c>
      <c r="AE190" t="s">
        <v>729</v>
      </c>
      <c r="AF190" t="s">
        <v>1928</v>
      </c>
      <c r="AI190" t="s">
        <v>1349</v>
      </c>
      <c r="AL190" t="s">
        <v>1252</v>
      </c>
    </row>
    <row r="191" spans="1:38">
      <c r="A191">
        <v>198</v>
      </c>
      <c r="B191" t="s">
        <v>1929</v>
      </c>
      <c r="C191">
        <v>367</v>
      </c>
      <c r="D191" t="s">
        <v>1351</v>
      </c>
      <c r="E191" t="s">
        <v>1735</v>
      </c>
      <c r="F191" t="s">
        <v>1202</v>
      </c>
      <c r="G191" t="s">
        <v>30</v>
      </c>
      <c r="H191" t="s">
        <v>1202</v>
      </c>
      <c r="I191" t="s">
        <v>1912</v>
      </c>
      <c r="J191" t="s">
        <v>1913</v>
      </c>
      <c r="N191" t="s">
        <v>1157</v>
      </c>
      <c r="T191" t="s">
        <v>1015</v>
      </c>
      <c r="U191" t="s">
        <v>690</v>
      </c>
      <c r="V191" t="s">
        <v>1930</v>
      </c>
      <c r="W191" t="s">
        <v>950</v>
      </c>
      <c r="X191">
        <v>30310</v>
      </c>
      <c r="Z191" t="s">
        <v>1931</v>
      </c>
      <c r="AA191" t="s">
        <v>1932</v>
      </c>
      <c r="AB191" t="s">
        <v>996</v>
      </c>
      <c r="AC191" t="s">
        <v>1018</v>
      </c>
      <c r="AD191" t="s">
        <v>729</v>
      </c>
      <c r="AE191" t="s">
        <v>729</v>
      </c>
      <c r="AF191" t="s">
        <v>1933</v>
      </c>
    </row>
    <row r="192" spans="1:38">
      <c r="A192">
        <v>199</v>
      </c>
      <c r="B192" t="s">
        <v>1934</v>
      </c>
      <c r="C192">
        <v>369</v>
      </c>
      <c r="D192" t="s">
        <v>1351</v>
      </c>
      <c r="E192" t="s">
        <v>1735</v>
      </c>
      <c r="F192" t="s">
        <v>1202</v>
      </c>
      <c r="G192" t="s">
        <v>30</v>
      </c>
      <c r="H192" t="s">
        <v>1202</v>
      </c>
      <c r="I192" t="s">
        <v>1912</v>
      </c>
      <c r="J192" t="s">
        <v>1913</v>
      </c>
      <c r="N192" t="s">
        <v>1157</v>
      </c>
      <c r="T192" t="s">
        <v>1015</v>
      </c>
      <c r="U192" t="s">
        <v>1935</v>
      </c>
      <c r="V192" t="s">
        <v>1936</v>
      </c>
      <c r="W192" t="s">
        <v>950</v>
      </c>
      <c r="X192">
        <v>29857</v>
      </c>
      <c r="Y192">
        <v>44</v>
      </c>
      <c r="Z192" t="s">
        <v>1937</v>
      </c>
      <c r="AA192" t="s">
        <v>1938</v>
      </c>
      <c r="AB192" t="s">
        <v>996</v>
      </c>
      <c r="AC192" t="s">
        <v>997</v>
      </c>
      <c r="AD192" t="s">
        <v>246</v>
      </c>
      <c r="AE192" t="s">
        <v>729</v>
      </c>
      <c r="AF192" t="s">
        <v>1808</v>
      </c>
      <c r="AI192" t="s">
        <v>1107</v>
      </c>
    </row>
    <row r="193" spans="1:38">
      <c r="A193">
        <v>200</v>
      </c>
      <c r="B193" t="s">
        <v>1939</v>
      </c>
      <c r="C193">
        <v>371</v>
      </c>
      <c r="D193" t="s">
        <v>1351</v>
      </c>
      <c r="E193" t="s">
        <v>1735</v>
      </c>
      <c r="F193" t="s">
        <v>1202</v>
      </c>
      <c r="G193" t="s">
        <v>30</v>
      </c>
      <c r="H193" t="s">
        <v>1202</v>
      </c>
      <c r="I193" t="s">
        <v>1912</v>
      </c>
      <c r="J193" t="s">
        <v>1913</v>
      </c>
      <c r="N193" t="s">
        <v>1157</v>
      </c>
      <c r="T193" t="s">
        <v>1015</v>
      </c>
      <c r="U193" t="s">
        <v>1940</v>
      </c>
      <c r="V193" t="s">
        <v>1941</v>
      </c>
      <c r="W193" t="s">
        <v>950</v>
      </c>
      <c r="X193">
        <v>30123</v>
      </c>
      <c r="Y193">
        <v>43</v>
      </c>
      <c r="Z193" t="s">
        <v>1942</v>
      </c>
      <c r="AA193" t="s">
        <v>1943</v>
      </c>
      <c r="AB193" t="s">
        <v>996</v>
      </c>
      <c r="AC193" t="s">
        <v>997</v>
      </c>
      <c r="AD193" t="s">
        <v>729</v>
      </c>
      <c r="AE193" t="s">
        <v>729</v>
      </c>
      <c r="AF193" t="s">
        <v>1808</v>
      </c>
      <c r="AI193" t="s">
        <v>1107</v>
      </c>
    </row>
    <row r="194" spans="1:38">
      <c r="A194">
        <v>201</v>
      </c>
      <c r="B194" t="s">
        <v>1944</v>
      </c>
      <c r="C194">
        <v>373</v>
      </c>
      <c r="D194" t="s">
        <v>1351</v>
      </c>
      <c r="E194" t="s">
        <v>1735</v>
      </c>
      <c r="F194" t="s">
        <v>1202</v>
      </c>
      <c r="G194" t="s">
        <v>30</v>
      </c>
      <c r="H194" t="s">
        <v>1202</v>
      </c>
      <c r="I194" t="s">
        <v>1912</v>
      </c>
      <c r="J194" t="s">
        <v>1913</v>
      </c>
      <c r="K194" t="s">
        <v>1944</v>
      </c>
      <c r="N194" t="s">
        <v>1157</v>
      </c>
      <c r="P194" t="s">
        <v>69</v>
      </c>
      <c r="R194" t="s">
        <v>1286</v>
      </c>
      <c r="S194">
        <v>0</v>
      </c>
      <c r="T194" t="s">
        <v>1015</v>
      </c>
      <c r="U194" t="s">
        <v>1945</v>
      </c>
      <c r="V194" t="s">
        <v>1946</v>
      </c>
      <c r="W194" t="s">
        <v>950</v>
      </c>
      <c r="X194">
        <v>30594</v>
      </c>
      <c r="Y194">
        <v>42</v>
      </c>
      <c r="Z194" t="s">
        <v>1947</v>
      </c>
      <c r="AA194" t="s">
        <v>1948</v>
      </c>
      <c r="AB194" t="s">
        <v>996</v>
      </c>
      <c r="AC194" t="s">
        <v>997</v>
      </c>
      <c r="AD194" t="s">
        <v>729</v>
      </c>
      <c r="AE194" t="s">
        <v>729</v>
      </c>
      <c r="AF194" t="s">
        <v>1808</v>
      </c>
      <c r="AI194" t="s">
        <v>1107</v>
      </c>
    </row>
    <row r="195" spans="1:38">
      <c r="A195">
        <v>209</v>
      </c>
      <c r="B195" t="s">
        <v>1949</v>
      </c>
      <c r="C195">
        <v>375</v>
      </c>
      <c r="D195" t="s">
        <v>1351</v>
      </c>
      <c r="E195" t="s">
        <v>1735</v>
      </c>
      <c r="F195" t="s">
        <v>1202</v>
      </c>
      <c r="G195" t="s">
        <v>30</v>
      </c>
      <c r="H195" t="s">
        <v>1202</v>
      </c>
      <c r="I195" t="s">
        <v>1949</v>
      </c>
      <c r="J195" t="s">
        <v>1950</v>
      </c>
      <c r="N195" t="s">
        <v>1480</v>
      </c>
      <c r="P195" t="s">
        <v>55</v>
      </c>
      <c r="Q195" t="s">
        <v>178</v>
      </c>
      <c r="T195" t="s">
        <v>1015</v>
      </c>
      <c r="U195" t="s">
        <v>336</v>
      </c>
      <c r="V195" t="s">
        <v>4643</v>
      </c>
      <c r="W195" t="s">
        <v>950</v>
      </c>
      <c r="X195">
        <v>30593</v>
      </c>
      <c r="Y195">
        <v>42</v>
      </c>
      <c r="Z195" t="s">
        <v>1951</v>
      </c>
      <c r="AA195" t="s">
        <v>1952</v>
      </c>
      <c r="AB195" t="s">
        <v>966</v>
      </c>
      <c r="AC195" t="s">
        <v>953</v>
      </c>
      <c r="AD195" t="s">
        <v>729</v>
      </c>
      <c r="AE195" t="s">
        <v>729</v>
      </c>
      <c r="AF195" t="s">
        <v>1953</v>
      </c>
      <c r="AI195" t="s">
        <v>1440</v>
      </c>
      <c r="AL195" t="s">
        <v>1252</v>
      </c>
    </row>
    <row r="196" spans="1:38">
      <c r="A196">
        <v>210</v>
      </c>
      <c r="B196" t="s">
        <v>1950</v>
      </c>
      <c r="C196">
        <v>377</v>
      </c>
      <c r="D196" t="s">
        <v>1351</v>
      </c>
      <c r="E196" t="s">
        <v>1735</v>
      </c>
      <c r="F196" t="s">
        <v>1202</v>
      </c>
      <c r="G196" t="s">
        <v>30</v>
      </c>
      <c r="H196" t="s">
        <v>1202</v>
      </c>
      <c r="I196" t="s">
        <v>1949</v>
      </c>
      <c r="J196" t="s">
        <v>1950</v>
      </c>
      <c r="N196" t="s">
        <v>1480</v>
      </c>
      <c r="P196" t="s">
        <v>69</v>
      </c>
      <c r="S196">
        <v>1</v>
      </c>
      <c r="T196" t="s">
        <v>1015</v>
      </c>
      <c r="U196" t="s">
        <v>345</v>
      </c>
      <c r="V196" t="s">
        <v>1954</v>
      </c>
      <c r="W196" t="s">
        <v>950</v>
      </c>
      <c r="X196">
        <v>27988</v>
      </c>
      <c r="Y196">
        <v>49</v>
      </c>
      <c r="Z196" t="s">
        <v>1955</v>
      </c>
      <c r="AA196" t="s">
        <v>1956</v>
      </c>
      <c r="AB196" t="s">
        <v>996</v>
      </c>
      <c r="AC196" t="s">
        <v>997</v>
      </c>
      <c r="AD196" t="s">
        <v>729</v>
      </c>
      <c r="AE196" t="s">
        <v>729</v>
      </c>
      <c r="AF196" t="s">
        <v>1760</v>
      </c>
      <c r="AI196" t="s">
        <v>1318</v>
      </c>
      <c r="AK196">
        <v>-4</v>
      </c>
    </row>
    <row r="197" spans="1:38">
      <c r="A197">
        <v>273</v>
      </c>
      <c r="B197" t="s">
        <v>1957</v>
      </c>
      <c r="C197">
        <v>379</v>
      </c>
      <c r="D197" t="s">
        <v>1351</v>
      </c>
      <c r="E197" t="s">
        <v>1735</v>
      </c>
      <c r="F197" t="s">
        <v>1202</v>
      </c>
      <c r="G197" t="s">
        <v>30</v>
      </c>
      <c r="H197" t="s">
        <v>1202</v>
      </c>
      <c r="I197" t="s">
        <v>1949</v>
      </c>
      <c r="J197" t="s">
        <v>1950</v>
      </c>
      <c r="N197" t="s">
        <v>1480</v>
      </c>
      <c r="P197" t="s">
        <v>69</v>
      </c>
      <c r="Q197" t="s">
        <v>562</v>
      </c>
      <c r="S197">
        <v>1</v>
      </c>
      <c r="T197" t="s">
        <v>1015</v>
      </c>
      <c r="U197" t="s">
        <v>1958</v>
      </c>
      <c r="V197" t="s">
        <v>1959</v>
      </c>
      <c r="W197" t="s">
        <v>950</v>
      </c>
      <c r="X197">
        <v>23999</v>
      </c>
      <c r="Y197">
        <v>60</v>
      </c>
      <c r="Z197" t="s">
        <v>1960</v>
      </c>
      <c r="AA197" t="s">
        <v>1961</v>
      </c>
      <c r="AB197" t="s">
        <v>996</v>
      </c>
      <c r="AC197" t="s">
        <v>997</v>
      </c>
      <c r="AD197" t="s">
        <v>729</v>
      </c>
      <c r="AE197" t="s">
        <v>729</v>
      </c>
      <c r="AF197" t="s">
        <v>1962</v>
      </c>
      <c r="AI197" t="s">
        <v>1107</v>
      </c>
      <c r="AL197" t="s">
        <v>1252</v>
      </c>
    </row>
    <row r="198" spans="1:38">
      <c r="A198">
        <v>262</v>
      </c>
      <c r="B198" t="s">
        <v>1963</v>
      </c>
      <c r="C198">
        <v>381</v>
      </c>
      <c r="D198" t="s">
        <v>1351</v>
      </c>
      <c r="E198" t="s">
        <v>1735</v>
      </c>
      <c r="F198" t="s">
        <v>1202</v>
      </c>
      <c r="G198" t="s">
        <v>30</v>
      </c>
      <c r="H198" t="s">
        <v>1202</v>
      </c>
      <c r="I198" t="s">
        <v>1949</v>
      </c>
      <c r="J198" t="s">
        <v>1950</v>
      </c>
      <c r="N198" t="s">
        <v>1480</v>
      </c>
      <c r="P198" t="s">
        <v>69</v>
      </c>
      <c r="Q198" t="s">
        <v>562</v>
      </c>
      <c r="S198">
        <v>1</v>
      </c>
      <c r="T198" t="s">
        <v>1015</v>
      </c>
      <c r="U198" t="s">
        <v>633</v>
      </c>
      <c r="V198" t="s">
        <v>1964</v>
      </c>
      <c r="W198" t="s">
        <v>950</v>
      </c>
      <c r="X198">
        <v>25485</v>
      </c>
      <c r="Y198">
        <v>56</v>
      </c>
      <c r="Z198" t="s">
        <v>1965</v>
      </c>
      <c r="AA198" t="s">
        <v>1966</v>
      </c>
      <c r="AB198" t="s">
        <v>996</v>
      </c>
      <c r="AC198" t="s">
        <v>997</v>
      </c>
      <c r="AD198" t="s">
        <v>729</v>
      </c>
      <c r="AE198" t="s">
        <v>729</v>
      </c>
      <c r="AF198" t="s">
        <v>1760</v>
      </c>
      <c r="AI198" t="s">
        <v>1107</v>
      </c>
      <c r="AK198">
        <v>-4</v>
      </c>
    </row>
    <row r="199" spans="1:38">
      <c r="A199">
        <v>212</v>
      </c>
      <c r="B199" t="s">
        <v>1967</v>
      </c>
      <c r="C199">
        <v>383</v>
      </c>
      <c r="D199" t="s">
        <v>1351</v>
      </c>
      <c r="E199" t="s">
        <v>1735</v>
      </c>
      <c r="F199" t="s">
        <v>1202</v>
      </c>
      <c r="G199" t="s">
        <v>30</v>
      </c>
      <c r="H199" t="s">
        <v>1202</v>
      </c>
      <c r="I199" t="s">
        <v>1949</v>
      </c>
      <c r="J199" t="s">
        <v>1950</v>
      </c>
      <c r="N199" t="s">
        <v>1480</v>
      </c>
      <c r="T199" t="s">
        <v>1015</v>
      </c>
      <c r="U199" t="s">
        <v>1968</v>
      </c>
      <c r="V199" t="s">
        <v>1969</v>
      </c>
      <c r="W199" t="s">
        <v>950</v>
      </c>
      <c r="X199">
        <v>28228</v>
      </c>
      <c r="Y199">
        <v>48</v>
      </c>
      <c r="Z199" t="s">
        <v>1970</v>
      </c>
      <c r="AA199" t="s">
        <v>1971</v>
      </c>
      <c r="AB199" t="s">
        <v>966</v>
      </c>
      <c r="AC199" t="s">
        <v>953</v>
      </c>
      <c r="AD199" t="s">
        <v>729</v>
      </c>
      <c r="AE199" t="s">
        <v>729</v>
      </c>
      <c r="AF199" t="s">
        <v>1972</v>
      </c>
      <c r="AI199" t="s">
        <v>1440</v>
      </c>
      <c r="AL199" t="s">
        <v>1252</v>
      </c>
    </row>
    <row r="200" spans="1:38">
      <c r="A200">
        <v>269</v>
      </c>
      <c r="B200" t="s">
        <v>1973</v>
      </c>
      <c r="C200">
        <v>385</v>
      </c>
      <c r="D200" t="s">
        <v>1351</v>
      </c>
      <c r="E200" t="s">
        <v>1735</v>
      </c>
      <c r="F200" t="s">
        <v>1202</v>
      </c>
      <c r="G200" t="s">
        <v>30</v>
      </c>
      <c r="H200" t="s">
        <v>1202</v>
      </c>
      <c r="I200" t="s">
        <v>1949</v>
      </c>
      <c r="J200" t="s">
        <v>1950</v>
      </c>
      <c r="N200" t="s">
        <v>1480</v>
      </c>
      <c r="S200" t="s">
        <v>1974</v>
      </c>
      <c r="T200" t="s">
        <v>1015</v>
      </c>
      <c r="U200" t="s">
        <v>1975</v>
      </c>
      <c r="V200" t="s">
        <v>1976</v>
      </c>
      <c r="W200" t="s">
        <v>950</v>
      </c>
      <c r="X200">
        <v>23081</v>
      </c>
      <c r="Y200">
        <v>62</v>
      </c>
      <c r="Z200" t="s">
        <v>1977</v>
      </c>
      <c r="AA200" t="s">
        <v>1978</v>
      </c>
      <c r="AB200" t="s">
        <v>996</v>
      </c>
      <c r="AC200" t="s">
        <v>997</v>
      </c>
      <c r="AD200" t="s">
        <v>729</v>
      </c>
      <c r="AE200" t="s">
        <v>729</v>
      </c>
      <c r="AF200" t="s">
        <v>1979</v>
      </c>
      <c r="AI200" t="s">
        <v>1440</v>
      </c>
      <c r="AL200" t="s">
        <v>1252</v>
      </c>
    </row>
    <row r="201" spans="1:38">
      <c r="A201">
        <v>213</v>
      </c>
      <c r="B201" t="s">
        <v>1980</v>
      </c>
      <c r="C201">
        <v>387</v>
      </c>
      <c r="D201" t="s">
        <v>1351</v>
      </c>
      <c r="E201" t="s">
        <v>1735</v>
      </c>
      <c r="F201" t="s">
        <v>1202</v>
      </c>
      <c r="G201" t="s">
        <v>30</v>
      </c>
      <c r="H201" t="s">
        <v>1202</v>
      </c>
      <c r="I201" t="s">
        <v>1949</v>
      </c>
      <c r="J201" t="s">
        <v>1950</v>
      </c>
      <c r="K201" t="s">
        <v>1980</v>
      </c>
      <c r="N201" t="s">
        <v>1480</v>
      </c>
      <c r="P201" t="s">
        <v>69</v>
      </c>
      <c r="R201" t="s">
        <v>1286</v>
      </c>
      <c r="S201">
        <v>1</v>
      </c>
      <c r="T201" t="s">
        <v>1015</v>
      </c>
      <c r="U201" t="s">
        <v>1981</v>
      </c>
      <c r="V201" t="s">
        <v>1982</v>
      </c>
      <c r="W201" t="s">
        <v>950</v>
      </c>
      <c r="X201">
        <v>31463</v>
      </c>
      <c r="Y201">
        <v>39</v>
      </c>
      <c r="Z201" t="s">
        <v>1983</v>
      </c>
      <c r="AA201" t="s">
        <v>1984</v>
      </c>
      <c r="AB201" t="s">
        <v>996</v>
      </c>
      <c r="AC201" t="s">
        <v>997</v>
      </c>
      <c r="AD201" t="s">
        <v>729</v>
      </c>
      <c r="AE201" t="s">
        <v>729</v>
      </c>
      <c r="AF201" t="s">
        <v>1835</v>
      </c>
      <c r="AI201" t="s">
        <v>1125</v>
      </c>
      <c r="AK201">
        <v>-4</v>
      </c>
    </row>
    <row r="202" spans="1:38">
      <c r="A202">
        <v>266</v>
      </c>
      <c r="B202" t="s">
        <v>1985</v>
      </c>
      <c r="C202">
        <v>389</v>
      </c>
      <c r="D202" t="s">
        <v>1351</v>
      </c>
      <c r="E202" t="s">
        <v>1735</v>
      </c>
      <c r="F202" t="s">
        <v>1202</v>
      </c>
      <c r="G202" t="s">
        <v>30</v>
      </c>
      <c r="H202" t="s">
        <v>1202</v>
      </c>
      <c r="I202" t="s">
        <v>1949</v>
      </c>
      <c r="J202" t="s">
        <v>1950</v>
      </c>
      <c r="N202" t="s">
        <v>1480</v>
      </c>
      <c r="T202" t="s">
        <v>1015</v>
      </c>
      <c r="U202" t="s">
        <v>1986</v>
      </c>
      <c r="V202" t="s">
        <v>1987</v>
      </c>
      <c r="W202" t="s">
        <v>950</v>
      </c>
      <c r="X202">
        <v>21997</v>
      </c>
      <c r="Y202">
        <v>65</v>
      </c>
      <c r="Z202" t="s">
        <v>1988</v>
      </c>
      <c r="AA202" t="s">
        <v>1989</v>
      </c>
      <c r="AB202" t="s">
        <v>966</v>
      </c>
      <c r="AC202" t="s">
        <v>953</v>
      </c>
      <c r="AD202" t="s">
        <v>729</v>
      </c>
      <c r="AE202" t="s">
        <v>729</v>
      </c>
      <c r="AF202" t="s">
        <v>1990</v>
      </c>
      <c r="AI202" t="s">
        <v>1125</v>
      </c>
      <c r="AL202" t="s">
        <v>1252</v>
      </c>
    </row>
    <row r="203" spans="1:38">
      <c r="A203">
        <v>220</v>
      </c>
      <c r="B203" t="s">
        <v>1991</v>
      </c>
      <c r="C203">
        <v>391</v>
      </c>
      <c r="D203" t="s">
        <v>1351</v>
      </c>
      <c r="E203" t="s">
        <v>1735</v>
      </c>
      <c r="F203" t="s">
        <v>1202</v>
      </c>
      <c r="G203" t="s">
        <v>30</v>
      </c>
      <c r="H203" t="s">
        <v>1202</v>
      </c>
      <c r="I203" t="s">
        <v>1991</v>
      </c>
      <c r="J203" t="s">
        <v>1992</v>
      </c>
      <c r="N203" t="s">
        <v>1515</v>
      </c>
      <c r="P203" t="s">
        <v>55</v>
      </c>
      <c r="Q203" t="s">
        <v>178</v>
      </c>
      <c r="T203" t="s">
        <v>1015</v>
      </c>
      <c r="U203" t="s">
        <v>289</v>
      </c>
      <c r="V203" t="s">
        <v>1993</v>
      </c>
      <c r="W203" t="s">
        <v>950</v>
      </c>
      <c r="X203">
        <v>28944</v>
      </c>
      <c r="Y203">
        <v>46</v>
      </c>
      <c r="Z203" t="s">
        <v>1994</v>
      </c>
      <c r="AA203" t="s">
        <v>1995</v>
      </c>
      <c r="AB203" t="s">
        <v>966</v>
      </c>
      <c r="AC203" t="s">
        <v>953</v>
      </c>
      <c r="AD203" t="s">
        <v>246</v>
      </c>
      <c r="AE203" t="s">
        <v>729</v>
      </c>
      <c r="AF203" t="s">
        <v>1252</v>
      </c>
      <c r="AI203" t="s">
        <v>1025</v>
      </c>
      <c r="AL203" t="s">
        <v>1252</v>
      </c>
    </row>
    <row r="204" spans="1:38">
      <c r="A204">
        <v>256</v>
      </c>
      <c r="B204" t="s">
        <v>1996</v>
      </c>
      <c r="C204">
        <v>393</v>
      </c>
      <c r="D204" t="s">
        <v>1351</v>
      </c>
      <c r="E204" t="s">
        <v>1735</v>
      </c>
      <c r="F204" t="s">
        <v>1202</v>
      </c>
      <c r="G204" t="s">
        <v>30</v>
      </c>
      <c r="H204" t="s">
        <v>1202</v>
      </c>
      <c r="I204" t="s">
        <v>1991</v>
      </c>
      <c r="J204" t="s">
        <v>1992</v>
      </c>
      <c r="N204" t="s">
        <v>1515</v>
      </c>
      <c r="T204" t="s">
        <v>1015</v>
      </c>
      <c r="U204" t="s">
        <v>669</v>
      </c>
      <c r="V204" t="s">
        <v>1997</v>
      </c>
      <c r="W204" t="s">
        <v>950</v>
      </c>
      <c r="X204">
        <v>26636</v>
      </c>
      <c r="Y204">
        <v>53</v>
      </c>
      <c r="Z204" t="s">
        <v>1998</v>
      </c>
      <c r="AA204" t="s">
        <v>1999</v>
      </c>
      <c r="AB204" t="s">
        <v>996</v>
      </c>
      <c r="AC204" t="s">
        <v>997</v>
      </c>
      <c r="AD204" t="s">
        <v>729</v>
      </c>
      <c r="AE204" t="s">
        <v>729</v>
      </c>
      <c r="AF204" t="s">
        <v>2000</v>
      </c>
      <c r="AI204" t="s">
        <v>1107</v>
      </c>
      <c r="AK204">
        <v>-6</v>
      </c>
    </row>
    <row r="205" spans="1:38">
      <c r="A205">
        <v>258</v>
      </c>
      <c r="B205" t="s">
        <v>2001</v>
      </c>
      <c r="C205">
        <v>395</v>
      </c>
      <c r="D205" t="s">
        <v>1351</v>
      </c>
      <c r="E205" t="s">
        <v>1735</v>
      </c>
      <c r="F205" t="s">
        <v>1202</v>
      </c>
      <c r="G205" t="s">
        <v>30</v>
      </c>
      <c r="H205" t="s">
        <v>1202</v>
      </c>
      <c r="I205" t="s">
        <v>1991</v>
      </c>
      <c r="J205" t="s">
        <v>1992</v>
      </c>
      <c r="N205" t="s">
        <v>1515</v>
      </c>
      <c r="T205" t="s">
        <v>1015</v>
      </c>
      <c r="U205" t="s">
        <v>2002</v>
      </c>
      <c r="V205" t="s">
        <v>2003</v>
      </c>
      <c r="W205" t="s">
        <v>950</v>
      </c>
      <c r="X205">
        <v>25028</v>
      </c>
      <c r="Y205">
        <v>57</v>
      </c>
      <c r="Z205" t="s">
        <v>2004</v>
      </c>
      <c r="AA205" t="s">
        <v>2005</v>
      </c>
      <c r="AB205" t="s">
        <v>996</v>
      </c>
      <c r="AC205" t="s">
        <v>997</v>
      </c>
      <c r="AD205" t="s">
        <v>729</v>
      </c>
      <c r="AE205" t="s">
        <v>729</v>
      </c>
      <c r="AF205" t="s">
        <v>2000</v>
      </c>
      <c r="AI205" t="s">
        <v>1359</v>
      </c>
      <c r="AK205">
        <v>-6</v>
      </c>
    </row>
    <row r="206" spans="1:38">
      <c r="A206">
        <v>207</v>
      </c>
      <c r="B206" t="s">
        <v>2006</v>
      </c>
      <c r="C206">
        <v>397</v>
      </c>
      <c r="D206" t="s">
        <v>1351</v>
      </c>
      <c r="E206" t="s">
        <v>1735</v>
      </c>
      <c r="F206" t="s">
        <v>1202</v>
      </c>
      <c r="G206" t="s">
        <v>30</v>
      </c>
      <c r="H206" t="s">
        <v>1202</v>
      </c>
      <c r="I206" t="s">
        <v>1991</v>
      </c>
      <c r="J206" t="s">
        <v>1992</v>
      </c>
      <c r="N206" t="s">
        <v>1515</v>
      </c>
      <c r="T206" t="s">
        <v>1015</v>
      </c>
      <c r="U206" t="s">
        <v>674</v>
      </c>
      <c r="V206" t="s">
        <v>2007</v>
      </c>
      <c r="W206" t="s">
        <v>950</v>
      </c>
      <c r="X206">
        <v>29947</v>
      </c>
      <c r="Y206">
        <v>44</v>
      </c>
      <c r="Z206" t="s">
        <v>2008</v>
      </c>
      <c r="AA206" t="s">
        <v>2009</v>
      </c>
      <c r="AB206" t="s">
        <v>996</v>
      </c>
      <c r="AC206" t="s">
        <v>997</v>
      </c>
      <c r="AD206" t="s">
        <v>1494</v>
      </c>
      <c r="AE206" t="s">
        <v>1494</v>
      </c>
      <c r="AF206" t="s">
        <v>2010</v>
      </c>
    </row>
    <row r="207" spans="1:38">
      <c r="A207">
        <v>204</v>
      </c>
      <c r="B207" t="s">
        <v>2011</v>
      </c>
      <c r="C207">
        <v>399</v>
      </c>
      <c r="D207" t="s">
        <v>1351</v>
      </c>
      <c r="E207" t="s">
        <v>1735</v>
      </c>
      <c r="F207" t="s">
        <v>1202</v>
      </c>
      <c r="G207" t="s">
        <v>30</v>
      </c>
      <c r="H207" t="s">
        <v>1202</v>
      </c>
      <c r="I207" t="s">
        <v>1991</v>
      </c>
      <c r="J207" t="s">
        <v>1992</v>
      </c>
      <c r="N207" t="s">
        <v>1515</v>
      </c>
      <c r="T207" t="s">
        <v>1015</v>
      </c>
      <c r="U207" t="s">
        <v>2012</v>
      </c>
      <c r="V207" t="s">
        <v>2013</v>
      </c>
      <c r="W207" t="s">
        <v>950</v>
      </c>
      <c r="X207">
        <v>27920</v>
      </c>
      <c r="Y207">
        <v>49</v>
      </c>
      <c r="Z207" t="s">
        <v>2014</v>
      </c>
      <c r="AA207" t="s">
        <v>2015</v>
      </c>
      <c r="AB207" t="s">
        <v>996</v>
      </c>
      <c r="AC207" t="s">
        <v>997</v>
      </c>
      <c r="AD207" t="s">
        <v>1494</v>
      </c>
      <c r="AE207" t="s">
        <v>1494</v>
      </c>
      <c r="AF207" t="s">
        <v>2016</v>
      </c>
      <c r="AI207" t="s">
        <v>1125</v>
      </c>
      <c r="AL207" t="s">
        <v>1252</v>
      </c>
    </row>
    <row r="208" spans="1:38">
      <c r="A208">
        <v>205</v>
      </c>
      <c r="B208" t="s">
        <v>2017</v>
      </c>
      <c r="C208">
        <v>401</v>
      </c>
      <c r="D208" t="s">
        <v>1351</v>
      </c>
      <c r="E208" t="s">
        <v>1735</v>
      </c>
      <c r="F208" t="s">
        <v>1202</v>
      </c>
      <c r="G208" t="s">
        <v>30</v>
      </c>
      <c r="H208" t="s">
        <v>1202</v>
      </c>
      <c r="I208" t="s">
        <v>1991</v>
      </c>
      <c r="J208" t="s">
        <v>1992</v>
      </c>
      <c r="N208" t="s">
        <v>1515</v>
      </c>
      <c r="T208" t="s">
        <v>1015</v>
      </c>
      <c r="U208" t="s">
        <v>2018</v>
      </c>
      <c r="V208" t="s">
        <v>2019</v>
      </c>
      <c r="W208" t="s">
        <v>950</v>
      </c>
      <c r="X208">
        <v>28954</v>
      </c>
      <c r="Y208">
        <v>46</v>
      </c>
      <c r="Z208" t="s">
        <v>2020</v>
      </c>
      <c r="AA208" t="s">
        <v>2021</v>
      </c>
      <c r="AB208" t="s">
        <v>996</v>
      </c>
      <c r="AC208" t="s">
        <v>997</v>
      </c>
      <c r="AD208" t="s">
        <v>1494</v>
      </c>
      <c r="AE208" t="s">
        <v>1494</v>
      </c>
      <c r="AF208" t="s">
        <v>2016</v>
      </c>
      <c r="AH208" t="s">
        <v>2022</v>
      </c>
      <c r="AI208" t="s">
        <v>1125</v>
      </c>
      <c r="AJ208" t="s">
        <v>1020</v>
      </c>
      <c r="AL208" t="s">
        <v>1252</v>
      </c>
    </row>
    <row r="209" spans="1:38">
      <c r="A209">
        <v>224</v>
      </c>
      <c r="B209" t="s">
        <v>2023</v>
      </c>
      <c r="C209">
        <v>403</v>
      </c>
      <c r="D209" t="s">
        <v>1351</v>
      </c>
      <c r="E209" t="s">
        <v>1735</v>
      </c>
      <c r="F209" t="s">
        <v>1202</v>
      </c>
      <c r="G209" t="s">
        <v>30</v>
      </c>
      <c r="H209" t="s">
        <v>1202</v>
      </c>
      <c r="I209" t="s">
        <v>1991</v>
      </c>
      <c r="J209" t="s">
        <v>1992</v>
      </c>
      <c r="N209" t="s">
        <v>1515</v>
      </c>
      <c r="T209" t="s">
        <v>1015</v>
      </c>
      <c r="U209" t="s">
        <v>710</v>
      </c>
      <c r="V209" t="s">
        <v>2024</v>
      </c>
      <c r="W209" t="s">
        <v>950</v>
      </c>
      <c r="X209">
        <v>28463</v>
      </c>
      <c r="Y209">
        <v>48</v>
      </c>
      <c r="Z209" t="s">
        <v>2025</v>
      </c>
      <c r="AA209" t="s">
        <v>2026</v>
      </c>
      <c r="AB209" t="s">
        <v>996</v>
      </c>
      <c r="AC209" t="s">
        <v>997</v>
      </c>
      <c r="AD209" t="s">
        <v>729</v>
      </c>
      <c r="AE209" t="s">
        <v>729</v>
      </c>
      <c r="AF209" t="s">
        <v>2027</v>
      </c>
      <c r="AI209" t="s">
        <v>1107</v>
      </c>
      <c r="AK209">
        <v>-5</v>
      </c>
    </row>
    <row r="210" spans="1:38">
      <c r="A210">
        <v>235</v>
      </c>
      <c r="B210" t="s">
        <v>2028</v>
      </c>
      <c r="C210">
        <v>405</v>
      </c>
      <c r="D210" t="s">
        <v>1351</v>
      </c>
      <c r="E210" t="s">
        <v>1735</v>
      </c>
      <c r="F210" t="s">
        <v>1202</v>
      </c>
      <c r="G210" t="s">
        <v>30</v>
      </c>
      <c r="H210" t="s">
        <v>1202</v>
      </c>
      <c r="I210" t="s">
        <v>2028</v>
      </c>
      <c r="J210" t="s">
        <v>2029</v>
      </c>
      <c r="N210" t="s">
        <v>1529</v>
      </c>
      <c r="P210" t="s">
        <v>1455</v>
      </c>
      <c r="Q210" t="s">
        <v>562</v>
      </c>
      <c r="S210">
        <v>1</v>
      </c>
      <c r="T210" t="s">
        <v>1015</v>
      </c>
      <c r="U210" t="s">
        <v>703</v>
      </c>
      <c r="V210" t="s">
        <v>2030</v>
      </c>
      <c r="W210" t="s">
        <v>950</v>
      </c>
      <c r="X210">
        <v>26671</v>
      </c>
      <c r="Y210">
        <v>53</v>
      </c>
      <c r="Z210" t="s">
        <v>2031</v>
      </c>
      <c r="AA210" t="s">
        <v>2032</v>
      </c>
      <c r="AB210" t="s">
        <v>996</v>
      </c>
      <c r="AC210" t="s">
        <v>997</v>
      </c>
      <c r="AD210" t="s">
        <v>729</v>
      </c>
      <c r="AE210" t="s">
        <v>729</v>
      </c>
      <c r="AF210" t="s">
        <v>1252</v>
      </c>
      <c r="AI210" t="s">
        <v>1318</v>
      </c>
      <c r="AK210">
        <v>-6</v>
      </c>
    </row>
    <row r="211" spans="1:38">
      <c r="A211">
        <v>249</v>
      </c>
      <c r="B211" t="s">
        <v>2029</v>
      </c>
      <c r="C211">
        <v>407</v>
      </c>
      <c r="D211" t="s">
        <v>1351</v>
      </c>
      <c r="E211" t="s">
        <v>1735</v>
      </c>
      <c r="F211" t="s">
        <v>1202</v>
      </c>
      <c r="G211" t="s">
        <v>30</v>
      </c>
      <c r="H211" t="s">
        <v>1202</v>
      </c>
      <c r="I211" t="s">
        <v>2028</v>
      </c>
      <c r="J211" t="s">
        <v>2029</v>
      </c>
      <c r="N211" t="s">
        <v>1529</v>
      </c>
      <c r="P211" t="s">
        <v>69</v>
      </c>
      <c r="Q211" t="s">
        <v>562</v>
      </c>
      <c r="S211">
        <v>4</v>
      </c>
      <c r="T211" t="s">
        <v>1015</v>
      </c>
      <c r="U211" t="s">
        <v>637</v>
      </c>
      <c r="V211" t="s">
        <v>2033</v>
      </c>
      <c r="W211" t="s">
        <v>950</v>
      </c>
      <c r="X211">
        <v>23911</v>
      </c>
      <c r="Y211">
        <v>60</v>
      </c>
      <c r="Z211" t="s">
        <v>2034</v>
      </c>
      <c r="AA211" t="s">
        <v>2035</v>
      </c>
      <c r="AB211" t="s">
        <v>996</v>
      </c>
      <c r="AC211" t="s">
        <v>997</v>
      </c>
      <c r="AD211" t="s">
        <v>729</v>
      </c>
      <c r="AE211" t="s">
        <v>729</v>
      </c>
      <c r="AF211" t="s">
        <v>2036</v>
      </c>
      <c r="AI211" t="s">
        <v>1452</v>
      </c>
      <c r="AK211">
        <v>-6</v>
      </c>
    </row>
    <row r="212" spans="1:38">
      <c r="A212">
        <v>236</v>
      </c>
      <c r="B212" t="s">
        <v>2037</v>
      </c>
      <c r="C212">
        <v>409</v>
      </c>
      <c r="D212" t="s">
        <v>1351</v>
      </c>
      <c r="E212" t="s">
        <v>1735</v>
      </c>
      <c r="F212" t="s">
        <v>1202</v>
      </c>
      <c r="G212" t="s">
        <v>30</v>
      </c>
      <c r="H212" t="s">
        <v>1202</v>
      </c>
      <c r="I212" t="s">
        <v>2028</v>
      </c>
      <c r="J212" t="s">
        <v>2029</v>
      </c>
      <c r="N212" t="s">
        <v>1529</v>
      </c>
      <c r="P212" t="s">
        <v>69</v>
      </c>
      <c r="S212">
        <v>1</v>
      </c>
      <c r="T212" t="s">
        <v>1015</v>
      </c>
      <c r="U212" t="s">
        <v>652</v>
      </c>
      <c r="V212" t="s">
        <v>2038</v>
      </c>
      <c r="W212" t="s">
        <v>950</v>
      </c>
      <c r="X212">
        <v>21805</v>
      </c>
      <c r="Y212">
        <v>66</v>
      </c>
      <c r="Z212" t="s">
        <v>2039</v>
      </c>
      <c r="AA212" t="s">
        <v>2040</v>
      </c>
      <c r="AB212" t="s">
        <v>996</v>
      </c>
      <c r="AC212" t="s">
        <v>997</v>
      </c>
      <c r="AD212" t="s">
        <v>729</v>
      </c>
      <c r="AE212" t="s">
        <v>729</v>
      </c>
      <c r="AF212" t="s">
        <v>1252</v>
      </c>
      <c r="AI212" t="s">
        <v>1318</v>
      </c>
      <c r="AK212">
        <v>-6</v>
      </c>
    </row>
    <row r="213" spans="1:38">
      <c r="A213">
        <v>255</v>
      </c>
      <c r="B213" t="s">
        <v>2041</v>
      </c>
      <c r="C213">
        <v>411</v>
      </c>
      <c r="D213" t="s">
        <v>1351</v>
      </c>
      <c r="E213" t="s">
        <v>1735</v>
      </c>
      <c r="F213" t="s">
        <v>1202</v>
      </c>
      <c r="G213" t="s">
        <v>30</v>
      </c>
      <c r="H213" t="s">
        <v>1202</v>
      </c>
      <c r="I213" t="s">
        <v>2028</v>
      </c>
      <c r="J213" t="s">
        <v>2029</v>
      </c>
      <c r="N213" t="s">
        <v>1529</v>
      </c>
      <c r="P213" t="s">
        <v>69</v>
      </c>
      <c r="Q213" t="s">
        <v>562</v>
      </c>
      <c r="S213">
        <v>2</v>
      </c>
      <c r="T213" t="s">
        <v>1015</v>
      </c>
      <c r="U213" t="s">
        <v>635</v>
      </c>
      <c r="V213" t="s">
        <v>2042</v>
      </c>
      <c r="W213" t="s">
        <v>950</v>
      </c>
      <c r="X213">
        <v>22484</v>
      </c>
      <c r="Y213">
        <v>64</v>
      </c>
      <c r="Z213" t="s">
        <v>2043</v>
      </c>
      <c r="AA213" t="s">
        <v>2044</v>
      </c>
      <c r="AB213" t="s">
        <v>996</v>
      </c>
      <c r="AC213" t="s">
        <v>997</v>
      </c>
      <c r="AD213" t="s">
        <v>729</v>
      </c>
      <c r="AE213" t="s">
        <v>1494</v>
      </c>
      <c r="AF213" t="s">
        <v>2045</v>
      </c>
      <c r="AI213" t="s">
        <v>1114</v>
      </c>
    </row>
    <row r="214" spans="1:38">
      <c r="A214">
        <v>257</v>
      </c>
      <c r="B214" t="s">
        <v>2046</v>
      </c>
      <c r="C214">
        <v>413</v>
      </c>
      <c r="D214" t="s">
        <v>1351</v>
      </c>
      <c r="E214" t="s">
        <v>1735</v>
      </c>
      <c r="F214" t="s">
        <v>1202</v>
      </c>
      <c r="G214" t="s">
        <v>30</v>
      </c>
      <c r="H214" t="s">
        <v>1202</v>
      </c>
      <c r="I214" t="s">
        <v>2028</v>
      </c>
      <c r="J214" t="s">
        <v>2029</v>
      </c>
      <c r="N214" t="s">
        <v>1529</v>
      </c>
      <c r="T214" t="s">
        <v>1015</v>
      </c>
      <c r="U214" t="s">
        <v>671</v>
      </c>
      <c r="V214" t="s">
        <v>2047</v>
      </c>
      <c r="W214" t="s">
        <v>950</v>
      </c>
      <c r="X214">
        <v>22122</v>
      </c>
      <c r="Y214">
        <v>65</v>
      </c>
      <c r="Z214" t="s">
        <v>2048</v>
      </c>
      <c r="AA214" t="s">
        <v>2049</v>
      </c>
      <c r="AB214" t="s">
        <v>996</v>
      </c>
      <c r="AC214" t="s">
        <v>997</v>
      </c>
      <c r="AD214" t="s">
        <v>729</v>
      </c>
      <c r="AE214" t="s">
        <v>729</v>
      </c>
      <c r="AF214" t="s">
        <v>1764</v>
      </c>
      <c r="AI214" t="s">
        <v>1318</v>
      </c>
      <c r="AK214">
        <v>-6</v>
      </c>
    </row>
    <row r="215" spans="1:38">
      <c r="A215">
        <v>250</v>
      </c>
      <c r="B215" t="s">
        <v>2050</v>
      </c>
      <c r="C215">
        <v>415</v>
      </c>
      <c r="D215" t="s">
        <v>1351</v>
      </c>
      <c r="E215" t="s">
        <v>1735</v>
      </c>
      <c r="F215" t="s">
        <v>1202</v>
      </c>
      <c r="G215" t="s">
        <v>30</v>
      </c>
      <c r="H215" t="s">
        <v>1202</v>
      </c>
      <c r="I215" t="s">
        <v>2028</v>
      </c>
      <c r="J215" t="s">
        <v>2029</v>
      </c>
      <c r="N215" t="s">
        <v>1529</v>
      </c>
      <c r="T215" t="s">
        <v>1015</v>
      </c>
      <c r="U215" t="s">
        <v>655</v>
      </c>
      <c r="V215" t="s">
        <v>2051</v>
      </c>
      <c r="W215" t="s">
        <v>950</v>
      </c>
      <c r="X215">
        <v>24181</v>
      </c>
      <c r="Y215">
        <v>59</v>
      </c>
      <c r="Z215" t="s">
        <v>2052</v>
      </c>
      <c r="AA215" t="s">
        <v>2053</v>
      </c>
      <c r="AB215" t="s">
        <v>996</v>
      </c>
      <c r="AC215" t="s">
        <v>997</v>
      </c>
      <c r="AD215" t="s">
        <v>729</v>
      </c>
      <c r="AE215" t="s">
        <v>729</v>
      </c>
      <c r="AF215" t="s">
        <v>2054</v>
      </c>
      <c r="AI215" t="s">
        <v>1452</v>
      </c>
      <c r="AK215">
        <v>-7</v>
      </c>
    </row>
    <row r="216" spans="1:38">
      <c r="A216">
        <v>272</v>
      </c>
      <c r="B216" t="s">
        <v>2055</v>
      </c>
      <c r="C216">
        <v>417</v>
      </c>
      <c r="D216" t="s">
        <v>1351</v>
      </c>
      <c r="E216" t="s">
        <v>1735</v>
      </c>
      <c r="F216" t="s">
        <v>1202</v>
      </c>
      <c r="G216" t="s">
        <v>30</v>
      </c>
      <c r="H216" t="s">
        <v>1202</v>
      </c>
      <c r="I216" t="s">
        <v>2055</v>
      </c>
      <c r="J216" t="s">
        <v>2056</v>
      </c>
      <c r="N216" t="s">
        <v>2057</v>
      </c>
      <c r="P216" t="s">
        <v>1455</v>
      </c>
      <c r="Q216" t="s">
        <v>562</v>
      </c>
      <c r="S216">
        <v>6</v>
      </c>
      <c r="T216" t="s">
        <v>1015</v>
      </c>
      <c r="U216" t="s">
        <v>219</v>
      </c>
      <c r="V216" t="s">
        <v>2058</v>
      </c>
      <c r="W216" t="s">
        <v>950</v>
      </c>
      <c r="X216">
        <v>20588</v>
      </c>
      <c r="Y216">
        <v>69</v>
      </c>
      <c r="Z216" t="s">
        <v>2059</v>
      </c>
      <c r="AA216" t="s">
        <v>2060</v>
      </c>
      <c r="AB216" t="s">
        <v>996</v>
      </c>
      <c r="AC216" t="s">
        <v>997</v>
      </c>
      <c r="AD216" t="s">
        <v>729</v>
      </c>
      <c r="AE216" t="s">
        <v>729</v>
      </c>
      <c r="AF216" t="s">
        <v>2061</v>
      </c>
      <c r="AI216" t="s">
        <v>1349</v>
      </c>
      <c r="AL216" t="s">
        <v>1252</v>
      </c>
    </row>
    <row r="217" spans="1:38">
      <c r="A217">
        <v>271</v>
      </c>
      <c r="B217" t="s">
        <v>2056</v>
      </c>
      <c r="C217">
        <v>419</v>
      </c>
      <c r="D217" t="s">
        <v>1351</v>
      </c>
      <c r="E217" t="s">
        <v>1735</v>
      </c>
      <c r="F217" t="s">
        <v>1202</v>
      </c>
      <c r="G217" t="s">
        <v>30</v>
      </c>
      <c r="H217" t="s">
        <v>1202</v>
      </c>
      <c r="I217" t="s">
        <v>2055</v>
      </c>
      <c r="J217" t="s">
        <v>2056</v>
      </c>
      <c r="N217" t="s">
        <v>2057</v>
      </c>
      <c r="P217" t="s">
        <v>69</v>
      </c>
      <c r="Q217" t="s">
        <v>562</v>
      </c>
      <c r="S217">
        <v>1</v>
      </c>
      <c r="T217" t="s">
        <v>1090</v>
      </c>
      <c r="U217" t="s">
        <v>200</v>
      </c>
      <c r="V217" t="s">
        <v>2062</v>
      </c>
      <c r="W217" t="s">
        <v>950</v>
      </c>
      <c r="X217">
        <v>20242</v>
      </c>
      <c r="Y217">
        <v>70</v>
      </c>
      <c r="Z217" t="s">
        <v>2063</v>
      </c>
      <c r="AA217" t="s">
        <v>2064</v>
      </c>
      <c r="AB217" t="s">
        <v>996</v>
      </c>
      <c r="AC217" t="s">
        <v>997</v>
      </c>
      <c r="AD217" t="s">
        <v>729</v>
      </c>
      <c r="AE217" t="s">
        <v>729</v>
      </c>
      <c r="AF217" t="s">
        <v>1252</v>
      </c>
      <c r="AI217" t="s">
        <v>1107</v>
      </c>
      <c r="AL217" t="s">
        <v>1252</v>
      </c>
    </row>
    <row r="218" spans="1:38">
      <c r="A218">
        <v>274</v>
      </c>
      <c r="B218" t="s">
        <v>2065</v>
      </c>
      <c r="C218">
        <v>421</v>
      </c>
      <c r="D218" t="s">
        <v>1351</v>
      </c>
      <c r="E218" t="s">
        <v>1735</v>
      </c>
      <c r="F218" t="s">
        <v>1202</v>
      </c>
      <c r="G218" t="s">
        <v>30</v>
      </c>
      <c r="H218" t="s">
        <v>1202</v>
      </c>
      <c r="I218" t="s">
        <v>2055</v>
      </c>
      <c r="J218" t="s">
        <v>2056</v>
      </c>
      <c r="N218" t="s">
        <v>2057</v>
      </c>
      <c r="T218" t="s">
        <v>1090</v>
      </c>
      <c r="U218" t="s">
        <v>616</v>
      </c>
      <c r="V218" t="s">
        <v>2066</v>
      </c>
      <c r="W218" t="s">
        <v>950</v>
      </c>
      <c r="X218">
        <v>19196</v>
      </c>
      <c r="Y218">
        <v>73</v>
      </c>
      <c r="Z218" t="s">
        <v>2067</v>
      </c>
      <c r="AA218" t="s">
        <v>2068</v>
      </c>
      <c r="AB218" t="s">
        <v>996</v>
      </c>
      <c r="AC218" t="s">
        <v>997</v>
      </c>
      <c r="AD218" t="s">
        <v>2069</v>
      </c>
      <c r="AE218" t="s">
        <v>2069</v>
      </c>
      <c r="AF218" t="s">
        <v>2070</v>
      </c>
      <c r="AI218" t="s">
        <v>1114</v>
      </c>
    </row>
    <row r="219" spans="1:38">
      <c r="A219">
        <v>275</v>
      </c>
      <c r="B219" t="s">
        <v>2071</v>
      </c>
      <c r="C219">
        <v>423</v>
      </c>
      <c r="D219" t="s">
        <v>1351</v>
      </c>
      <c r="E219" t="s">
        <v>1735</v>
      </c>
      <c r="F219" t="s">
        <v>1202</v>
      </c>
      <c r="G219" t="s">
        <v>30</v>
      </c>
      <c r="H219" t="s">
        <v>1202</v>
      </c>
      <c r="I219" t="s">
        <v>2055</v>
      </c>
      <c r="J219" t="s">
        <v>2056</v>
      </c>
      <c r="N219" t="s">
        <v>2057</v>
      </c>
      <c r="S219" t="s">
        <v>2072</v>
      </c>
      <c r="T219" t="s">
        <v>1090</v>
      </c>
      <c r="U219" t="s">
        <v>260</v>
      </c>
      <c r="V219" t="s">
        <v>2073</v>
      </c>
      <c r="W219" t="s">
        <v>950</v>
      </c>
      <c r="X219">
        <v>18593</v>
      </c>
      <c r="Y219">
        <v>75</v>
      </c>
      <c r="Z219" t="s">
        <v>2074</v>
      </c>
      <c r="AA219" t="s">
        <v>2075</v>
      </c>
      <c r="AB219" t="s">
        <v>996</v>
      </c>
      <c r="AC219" t="s">
        <v>997</v>
      </c>
      <c r="AD219" t="s">
        <v>729</v>
      </c>
      <c r="AE219" t="s">
        <v>729</v>
      </c>
      <c r="AF219" t="s">
        <v>1750</v>
      </c>
      <c r="AI219" t="s">
        <v>1107</v>
      </c>
      <c r="AL219" t="s">
        <v>1252</v>
      </c>
    </row>
    <row r="220" spans="1:38">
      <c r="A220">
        <v>277</v>
      </c>
      <c r="B220" t="s">
        <v>2076</v>
      </c>
      <c r="C220">
        <v>425</v>
      </c>
      <c r="D220" t="s">
        <v>1351</v>
      </c>
      <c r="E220" t="s">
        <v>1735</v>
      </c>
      <c r="F220" t="s">
        <v>1202</v>
      </c>
      <c r="G220" t="s">
        <v>30</v>
      </c>
      <c r="H220" t="s">
        <v>1202</v>
      </c>
      <c r="I220" t="s">
        <v>2055</v>
      </c>
      <c r="J220" t="s">
        <v>2056</v>
      </c>
      <c r="N220" t="s">
        <v>2057</v>
      </c>
      <c r="T220" t="s">
        <v>1090</v>
      </c>
      <c r="U220" t="s">
        <v>239</v>
      </c>
      <c r="V220" t="s">
        <v>2077</v>
      </c>
      <c r="W220" t="s">
        <v>950</v>
      </c>
      <c r="X220">
        <v>15134</v>
      </c>
      <c r="Y220">
        <v>84</v>
      </c>
      <c r="Z220" t="s">
        <v>2078</v>
      </c>
      <c r="AB220" t="s">
        <v>996</v>
      </c>
      <c r="AC220" t="s">
        <v>1018</v>
      </c>
      <c r="AD220" t="s">
        <v>729</v>
      </c>
      <c r="AE220" t="s">
        <v>729</v>
      </c>
      <c r="AF220" t="s">
        <v>1962</v>
      </c>
      <c r="AH220" t="s">
        <v>2079</v>
      </c>
      <c r="AI220" t="s">
        <v>1107</v>
      </c>
      <c r="AJ220" t="s">
        <v>2080</v>
      </c>
      <c r="AL220" t="s">
        <v>1252</v>
      </c>
    </row>
    <row r="221" spans="1:38">
      <c r="A221">
        <v>226</v>
      </c>
      <c r="B221" t="s">
        <v>1202</v>
      </c>
      <c r="C221">
        <v>427</v>
      </c>
      <c r="D221" t="s">
        <v>1351</v>
      </c>
      <c r="E221" t="s">
        <v>1735</v>
      </c>
      <c r="F221" t="s">
        <v>1202</v>
      </c>
      <c r="G221" t="s">
        <v>30</v>
      </c>
      <c r="H221" t="s">
        <v>1202</v>
      </c>
      <c r="I221" t="s">
        <v>1202</v>
      </c>
      <c r="J221" t="s">
        <v>959</v>
      </c>
      <c r="N221" t="s">
        <v>2081</v>
      </c>
      <c r="P221" t="s">
        <v>1227</v>
      </c>
      <c r="Q221" t="s">
        <v>173</v>
      </c>
      <c r="S221" t="s">
        <v>55</v>
      </c>
      <c r="T221" t="s">
        <v>992</v>
      </c>
      <c r="U221" t="s">
        <v>30</v>
      </c>
      <c r="V221" t="s">
        <v>1203</v>
      </c>
      <c r="W221" t="s">
        <v>950</v>
      </c>
      <c r="X221">
        <v>33065</v>
      </c>
      <c r="Y221">
        <v>35</v>
      </c>
      <c r="Z221" t="s">
        <v>1204</v>
      </c>
      <c r="AA221" t="s">
        <v>1205</v>
      </c>
      <c r="AB221" t="s">
        <v>1006</v>
      </c>
      <c r="AC221" t="s">
        <v>953</v>
      </c>
      <c r="AD221" t="s">
        <v>729</v>
      </c>
      <c r="AE221" t="s">
        <v>954</v>
      </c>
      <c r="AF221" t="s">
        <v>974</v>
      </c>
      <c r="AL221" t="s">
        <v>1252</v>
      </c>
    </row>
    <row r="222" spans="1:38">
      <c r="A222">
        <v>248</v>
      </c>
      <c r="B222" t="s">
        <v>2082</v>
      </c>
      <c r="C222">
        <v>429</v>
      </c>
      <c r="D222" t="s">
        <v>1351</v>
      </c>
      <c r="E222" t="s">
        <v>1735</v>
      </c>
      <c r="F222" t="s">
        <v>1202</v>
      </c>
      <c r="G222" t="s">
        <v>30</v>
      </c>
      <c r="H222" t="s">
        <v>1202</v>
      </c>
      <c r="I222" t="s">
        <v>1202</v>
      </c>
      <c r="J222" t="s">
        <v>959</v>
      </c>
      <c r="N222" t="s">
        <v>2081</v>
      </c>
      <c r="P222" t="s">
        <v>69</v>
      </c>
      <c r="Q222" t="s">
        <v>1002</v>
      </c>
      <c r="S222">
        <v>3</v>
      </c>
      <c r="T222" t="s">
        <v>1015</v>
      </c>
      <c r="U222" t="s">
        <v>618</v>
      </c>
      <c r="V222" t="s">
        <v>2083</v>
      </c>
      <c r="W222" t="s">
        <v>950</v>
      </c>
      <c r="X222">
        <v>24860</v>
      </c>
      <c r="Y222">
        <v>58</v>
      </c>
      <c r="Z222" t="s">
        <v>2084</v>
      </c>
      <c r="AA222" t="s">
        <v>2085</v>
      </c>
      <c r="AB222" t="s">
        <v>996</v>
      </c>
      <c r="AC222" t="s">
        <v>997</v>
      </c>
      <c r="AD222" t="s">
        <v>729</v>
      </c>
      <c r="AE222" t="s">
        <v>729</v>
      </c>
      <c r="AF222" t="s">
        <v>2086</v>
      </c>
      <c r="AI222" t="s">
        <v>1452</v>
      </c>
      <c r="AK222">
        <v>-6</v>
      </c>
    </row>
    <row r="223" spans="1:38">
      <c r="A223">
        <v>278</v>
      </c>
      <c r="B223" t="s">
        <v>2087</v>
      </c>
      <c r="C223">
        <v>431</v>
      </c>
      <c r="D223" t="s">
        <v>1351</v>
      </c>
      <c r="E223" t="s">
        <v>2088</v>
      </c>
      <c r="F223" t="s">
        <v>1202</v>
      </c>
      <c r="G223" t="s">
        <v>335</v>
      </c>
      <c r="H223" t="s">
        <v>2087</v>
      </c>
      <c r="I223" t="s">
        <v>2087</v>
      </c>
      <c r="N223" t="s">
        <v>1552</v>
      </c>
      <c r="P223" t="s">
        <v>173</v>
      </c>
      <c r="Q223" t="s">
        <v>514</v>
      </c>
      <c r="S223" t="s">
        <v>55</v>
      </c>
      <c r="T223" t="s">
        <v>992</v>
      </c>
      <c r="U223" t="s">
        <v>335</v>
      </c>
      <c r="V223" t="s">
        <v>2089</v>
      </c>
      <c r="W223" t="s">
        <v>950</v>
      </c>
      <c r="X223">
        <v>36694</v>
      </c>
      <c r="Y223">
        <v>25</v>
      </c>
      <c r="Z223" t="s">
        <v>2090</v>
      </c>
      <c r="AA223" t="s">
        <v>2091</v>
      </c>
      <c r="AB223" t="s">
        <v>1006</v>
      </c>
      <c r="AC223" t="s">
        <v>953</v>
      </c>
      <c r="AD223" t="s">
        <v>729</v>
      </c>
      <c r="AE223" t="s">
        <v>729</v>
      </c>
      <c r="AF223" t="s">
        <v>2092</v>
      </c>
      <c r="AI223" t="s">
        <v>1011</v>
      </c>
      <c r="AL223" t="s">
        <v>1252</v>
      </c>
    </row>
    <row r="224" spans="1:38">
      <c r="A224">
        <v>293</v>
      </c>
      <c r="B224" t="s">
        <v>2093</v>
      </c>
      <c r="C224">
        <v>433</v>
      </c>
      <c r="D224" t="s">
        <v>1351</v>
      </c>
      <c r="E224" t="s">
        <v>2088</v>
      </c>
      <c r="F224" t="s">
        <v>1202</v>
      </c>
      <c r="G224" t="s">
        <v>335</v>
      </c>
      <c r="H224" t="s">
        <v>2087</v>
      </c>
      <c r="I224" t="s">
        <v>2087</v>
      </c>
      <c r="N224" t="s">
        <v>1552</v>
      </c>
      <c r="T224" t="s">
        <v>992</v>
      </c>
      <c r="U224" t="s">
        <v>413</v>
      </c>
      <c r="V224" t="s">
        <v>2094</v>
      </c>
      <c r="W224" t="s">
        <v>950</v>
      </c>
      <c r="X224">
        <v>38233</v>
      </c>
      <c r="Y224">
        <v>21</v>
      </c>
      <c r="Z224" t="s">
        <v>2095</v>
      </c>
      <c r="AA224" t="s">
        <v>2096</v>
      </c>
      <c r="AB224" t="s">
        <v>996</v>
      </c>
      <c r="AC224" t="s">
        <v>997</v>
      </c>
      <c r="AD224" t="s">
        <v>729</v>
      </c>
      <c r="AE224" t="s">
        <v>729</v>
      </c>
      <c r="AF224" t="s">
        <v>2097</v>
      </c>
      <c r="AI224" t="s">
        <v>1612</v>
      </c>
      <c r="AK224">
        <v>-6</v>
      </c>
    </row>
    <row r="225" spans="1:38">
      <c r="A225">
        <v>283</v>
      </c>
      <c r="B225" t="s">
        <v>2098</v>
      </c>
      <c r="C225">
        <v>435</v>
      </c>
      <c r="D225" t="s">
        <v>1351</v>
      </c>
      <c r="E225" t="s">
        <v>2088</v>
      </c>
      <c r="F225" t="s">
        <v>1202</v>
      </c>
      <c r="G225" t="s">
        <v>335</v>
      </c>
      <c r="H225" t="s">
        <v>2087</v>
      </c>
      <c r="I225" t="s">
        <v>2087</v>
      </c>
      <c r="N225" t="s">
        <v>1552</v>
      </c>
      <c r="T225" t="s">
        <v>992</v>
      </c>
      <c r="U225" t="s">
        <v>2099</v>
      </c>
      <c r="V225" t="s">
        <v>2100</v>
      </c>
      <c r="W225" t="s">
        <v>950</v>
      </c>
      <c r="X225">
        <v>37110</v>
      </c>
      <c r="Y225">
        <v>24</v>
      </c>
      <c r="Z225" t="s">
        <v>2101</v>
      </c>
      <c r="AA225" t="s">
        <v>2102</v>
      </c>
      <c r="AB225" t="s">
        <v>996</v>
      </c>
      <c r="AC225" t="s">
        <v>997</v>
      </c>
      <c r="AD225" t="s">
        <v>1494</v>
      </c>
      <c r="AE225" t="s">
        <v>1494</v>
      </c>
      <c r="AF225" t="s">
        <v>2103</v>
      </c>
      <c r="AI225" t="s">
        <v>1566</v>
      </c>
    </row>
    <row r="226" spans="1:38">
      <c r="A226">
        <v>284</v>
      </c>
      <c r="B226" t="s">
        <v>2104</v>
      </c>
      <c r="C226">
        <v>437</v>
      </c>
      <c r="D226" t="s">
        <v>1351</v>
      </c>
      <c r="E226" t="s">
        <v>2088</v>
      </c>
      <c r="F226" t="s">
        <v>1202</v>
      </c>
      <c r="G226" t="s">
        <v>335</v>
      </c>
      <c r="H226" t="s">
        <v>2087</v>
      </c>
      <c r="I226" t="s">
        <v>2087</v>
      </c>
      <c r="J226" t="s">
        <v>2104</v>
      </c>
      <c r="N226" t="s">
        <v>1552</v>
      </c>
      <c r="P226" t="s">
        <v>69</v>
      </c>
      <c r="R226" t="s">
        <v>1286</v>
      </c>
      <c r="S226">
        <v>0</v>
      </c>
      <c r="T226" t="s">
        <v>992</v>
      </c>
      <c r="U226" t="s">
        <v>824</v>
      </c>
      <c r="V226" t="s">
        <v>2105</v>
      </c>
      <c r="W226" t="s">
        <v>950</v>
      </c>
      <c r="X226">
        <v>37577</v>
      </c>
      <c r="Y226">
        <v>23</v>
      </c>
      <c r="Z226" t="s">
        <v>2106</v>
      </c>
      <c r="AB226" t="s">
        <v>996</v>
      </c>
      <c r="AC226" t="s">
        <v>1018</v>
      </c>
      <c r="AD226" t="s">
        <v>729</v>
      </c>
      <c r="AE226" t="s">
        <v>729</v>
      </c>
      <c r="AF226" t="s">
        <v>2107</v>
      </c>
      <c r="AI226" t="s">
        <v>1575</v>
      </c>
      <c r="AL226" t="s">
        <v>1252</v>
      </c>
    </row>
    <row r="227" spans="1:38">
      <c r="A227">
        <v>285</v>
      </c>
      <c r="B227" t="s">
        <v>2108</v>
      </c>
      <c r="C227">
        <v>439</v>
      </c>
      <c r="D227" t="s">
        <v>1351</v>
      </c>
      <c r="E227" t="s">
        <v>2088</v>
      </c>
      <c r="F227" t="s">
        <v>1202</v>
      </c>
      <c r="G227" t="s">
        <v>335</v>
      </c>
      <c r="H227" t="s">
        <v>2087</v>
      </c>
      <c r="I227" t="s">
        <v>2087</v>
      </c>
      <c r="N227" t="s">
        <v>1552</v>
      </c>
      <c r="T227" t="s">
        <v>992</v>
      </c>
      <c r="U227" t="s">
        <v>827</v>
      </c>
      <c r="V227" t="s">
        <v>2109</v>
      </c>
      <c r="W227" t="s">
        <v>950</v>
      </c>
      <c r="X227">
        <v>38508</v>
      </c>
      <c r="Y227">
        <v>20</v>
      </c>
      <c r="Z227" t="s">
        <v>2110</v>
      </c>
      <c r="AB227" t="s">
        <v>996</v>
      </c>
      <c r="AC227" t="s">
        <v>1018</v>
      </c>
      <c r="AD227" t="s">
        <v>729</v>
      </c>
      <c r="AE227" t="s">
        <v>729</v>
      </c>
      <c r="AF227" t="s">
        <v>2111</v>
      </c>
      <c r="AI227" t="s">
        <v>1575</v>
      </c>
      <c r="AL227" t="s">
        <v>1252</v>
      </c>
    </row>
    <row r="228" spans="1:38">
      <c r="A228">
        <v>286</v>
      </c>
      <c r="B228" t="s">
        <v>2112</v>
      </c>
      <c r="C228">
        <v>441</v>
      </c>
      <c r="D228" t="s">
        <v>1351</v>
      </c>
      <c r="E228" t="s">
        <v>2088</v>
      </c>
      <c r="F228" t="s">
        <v>1202</v>
      </c>
      <c r="G228" t="s">
        <v>335</v>
      </c>
      <c r="H228" t="s">
        <v>2087</v>
      </c>
      <c r="I228" t="s">
        <v>2087</v>
      </c>
      <c r="N228" t="s">
        <v>1552</v>
      </c>
      <c r="T228" t="s">
        <v>992</v>
      </c>
      <c r="U228" t="s">
        <v>815</v>
      </c>
      <c r="V228" t="s">
        <v>2113</v>
      </c>
      <c r="W228" t="s">
        <v>950</v>
      </c>
      <c r="X228">
        <v>35821</v>
      </c>
      <c r="Y228">
        <v>28</v>
      </c>
      <c r="Z228" t="s">
        <v>2114</v>
      </c>
      <c r="AB228" t="s">
        <v>996</v>
      </c>
      <c r="AC228" t="s">
        <v>1018</v>
      </c>
      <c r="AD228" t="s">
        <v>729</v>
      </c>
      <c r="AE228" t="s">
        <v>729</v>
      </c>
      <c r="AF228" t="s">
        <v>1808</v>
      </c>
      <c r="AI228" t="s">
        <v>1575</v>
      </c>
      <c r="AL228" t="s">
        <v>1252</v>
      </c>
    </row>
    <row r="229" spans="1:38">
      <c r="A229">
        <v>287</v>
      </c>
      <c r="B229" t="s">
        <v>2115</v>
      </c>
      <c r="C229">
        <v>443</v>
      </c>
      <c r="D229" t="s">
        <v>1351</v>
      </c>
      <c r="E229" t="s">
        <v>2088</v>
      </c>
      <c r="F229" t="s">
        <v>1202</v>
      </c>
      <c r="G229" t="s">
        <v>335</v>
      </c>
      <c r="H229" t="s">
        <v>2087</v>
      </c>
      <c r="I229" t="s">
        <v>2087</v>
      </c>
      <c r="J229" t="s">
        <v>2115</v>
      </c>
      <c r="N229" t="s">
        <v>1552</v>
      </c>
      <c r="P229" t="s">
        <v>69</v>
      </c>
      <c r="R229" t="s">
        <v>1286</v>
      </c>
      <c r="S229">
        <v>0</v>
      </c>
      <c r="T229" t="s">
        <v>992</v>
      </c>
      <c r="U229" t="s">
        <v>818</v>
      </c>
      <c r="V229" t="s">
        <v>2116</v>
      </c>
      <c r="W229" t="s">
        <v>950</v>
      </c>
      <c r="X229">
        <v>35931</v>
      </c>
      <c r="Y229">
        <v>27</v>
      </c>
      <c r="Z229" t="s">
        <v>2117</v>
      </c>
      <c r="AB229" t="s">
        <v>996</v>
      </c>
      <c r="AC229" t="s">
        <v>1018</v>
      </c>
      <c r="AD229" t="s">
        <v>729</v>
      </c>
      <c r="AE229" t="s">
        <v>729</v>
      </c>
      <c r="AF229" t="s">
        <v>2118</v>
      </c>
      <c r="AI229" t="s">
        <v>1575</v>
      </c>
      <c r="AL229" t="s">
        <v>1252</v>
      </c>
    </row>
    <row r="230" spans="1:38">
      <c r="A230">
        <v>281</v>
      </c>
      <c r="B230" t="s">
        <v>2119</v>
      </c>
      <c r="C230">
        <v>445</v>
      </c>
      <c r="D230" t="s">
        <v>1351</v>
      </c>
      <c r="E230" t="s">
        <v>2088</v>
      </c>
      <c r="F230" t="s">
        <v>1202</v>
      </c>
      <c r="G230" t="s">
        <v>335</v>
      </c>
      <c r="H230" t="s">
        <v>2087</v>
      </c>
      <c r="I230" t="s">
        <v>2087</v>
      </c>
      <c r="N230" t="s">
        <v>1552</v>
      </c>
      <c r="T230" t="s">
        <v>992</v>
      </c>
      <c r="U230" t="s">
        <v>387</v>
      </c>
      <c r="V230" t="s">
        <v>2120</v>
      </c>
      <c r="W230" t="s">
        <v>950</v>
      </c>
      <c r="X230">
        <v>36516</v>
      </c>
      <c r="Y230">
        <v>26</v>
      </c>
      <c r="Z230" t="s">
        <v>2121</v>
      </c>
      <c r="AA230" t="s">
        <v>2122</v>
      </c>
      <c r="AB230" t="s">
        <v>996</v>
      </c>
      <c r="AC230" t="s">
        <v>997</v>
      </c>
      <c r="AD230" t="s">
        <v>1494</v>
      </c>
      <c r="AE230" t="s">
        <v>1494</v>
      </c>
      <c r="AF230" t="s">
        <v>1623</v>
      </c>
      <c r="AI230" t="s">
        <v>1452</v>
      </c>
    </row>
    <row r="231" spans="1:38">
      <c r="A231">
        <v>307</v>
      </c>
      <c r="B231" t="s">
        <v>2123</v>
      </c>
      <c r="C231">
        <v>447</v>
      </c>
      <c r="D231" t="s">
        <v>1351</v>
      </c>
      <c r="E231" t="s">
        <v>2088</v>
      </c>
      <c r="F231" t="s">
        <v>1202</v>
      </c>
      <c r="G231" t="s">
        <v>335</v>
      </c>
      <c r="H231" t="s">
        <v>2087</v>
      </c>
      <c r="I231" t="s">
        <v>2087</v>
      </c>
      <c r="N231" t="s">
        <v>1552</v>
      </c>
      <c r="T231" t="s">
        <v>1705</v>
      </c>
      <c r="U231" t="s">
        <v>2124</v>
      </c>
      <c r="V231" t="s">
        <v>2125</v>
      </c>
      <c r="W231" t="s">
        <v>963</v>
      </c>
      <c r="X231">
        <v>20120601</v>
      </c>
      <c r="Y231">
        <v>15</v>
      </c>
      <c r="Z231" t="s">
        <v>2126</v>
      </c>
      <c r="AB231" t="s">
        <v>996</v>
      </c>
      <c r="AC231" t="s">
        <v>1018</v>
      </c>
      <c r="AD231" t="s">
        <v>729</v>
      </c>
      <c r="AE231" t="s">
        <v>729</v>
      </c>
      <c r="AF231" t="s">
        <v>2127</v>
      </c>
      <c r="AI231" t="s">
        <v>1586</v>
      </c>
      <c r="AJ231" t="s">
        <v>2128</v>
      </c>
    </row>
    <row r="232" spans="1:38">
      <c r="B232" t="s">
        <v>2129</v>
      </c>
      <c r="C232">
        <v>449</v>
      </c>
      <c r="D232" t="s">
        <v>1351</v>
      </c>
      <c r="E232" t="s">
        <v>2088</v>
      </c>
      <c r="F232" t="s">
        <v>1202</v>
      </c>
      <c r="G232" t="s">
        <v>335</v>
      </c>
      <c r="H232" t="s">
        <v>2087</v>
      </c>
      <c r="I232" t="s">
        <v>2087</v>
      </c>
      <c r="N232" t="s">
        <v>1552</v>
      </c>
      <c r="T232" t="s">
        <v>1705</v>
      </c>
      <c r="U232" t="s">
        <v>2130</v>
      </c>
      <c r="V232" t="s">
        <v>2131</v>
      </c>
      <c r="W232" t="s">
        <v>963</v>
      </c>
      <c r="X232">
        <v>20081101</v>
      </c>
      <c r="Y232">
        <v>17</v>
      </c>
      <c r="Z232" t="s">
        <v>2132</v>
      </c>
      <c r="AB232" t="s">
        <v>996</v>
      </c>
      <c r="AC232" t="s">
        <v>1018</v>
      </c>
      <c r="AD232" t="s">
        <v>729</v>
      </c>
      <c r="AE232" t="s">
        <v>729</v>
      </c>
      <c r="AF232" t="s">
        <v>2133</v>
      </c>
      <c r="AI232" t="s">
        <v>1586</v>
      </c>
    </row>
    <row r="233" spans="1:38">
      <c r="A233">
        <v>221</v>
      </c>
      <c r="B233" t="s">
        <v>2134</v>
      </c>
      <c r="C233">
        <v>451</v>
      </c>
      <c r="D233" t="s">
        <v>1351</v>
      </c>
      <c r="E233" t="s">
        <v>2088</v>
      </c>
      <c r="F233" t="s">
        <v>1202</v>
      </c>
      <c r="G233" t="s">
        <v>335</v>
      </c>
      <c r="H233" t="s">
        <v>2087</v>
      </c>
      <c r="I233" t="s">
        <v>2134</v>
      </c>
      <c r="J233" t="s">
        <v>2135</v>
      </c>
      <c r="N233" t="s">
        <v>1596</v>
      </c>
      <c r="P233" t="s">
        <v>1780</v>
      </c>
      <c r="Q233" t="s">
        <v>562</v>
      </c>
      <c r="S233">
        <v>0</v>
      </c>
      <c r="T233" t="s">
        <v>1015</v>
      </c>
      <c r="U233" t="s">
        <v>346</v>
      </c>
      <c r="V233" t="s">
        <v>2136</v>
      </c>
      <c r="W233" t="s">
        <v>950</v>
      </c>
      <c r="X233">
        <v>30826</v>
      </c>
      <c r="Y233">
        <v>41</v>
      </c>
      <c r="Z233" t="s">
        <v>2137</v>
      </c>
      <c r="AA233" t="s">
        <v>2138</v>
      </c>
      <c r="AB233" t="s">
        <v>996</v>
      </c>
      <c r="AC233" t="s">
        <v>997</v>
      </c>
      <c r="AD233" t="s">
        <v>729</v>
      </c>
      <c r="AE233" t="s">
        <v>729</v>
      </c>
      <c r="AF233" t="s">
        <v>1252</v>
      </c>
      <c r="AI233" t="s">
        <v>1318</v>
      </c>
      <c r="AK233">
        <v>-6</v>
      </c>
    </row>
    <row r="234" spans="1:38">
      <c r="A234">
        <v>301</v>
      </c>
      <c r="B234" t="s">
        <v>2139</v>
      </c>
      <c r="C234">
        <v>453</v>
      </c>
      <c r="D234" t="s">
        <v>1351</v>
      </c>
      <c r="E234" t="s">
        <v>2088</v>
      </c>
      <c r="F234" t="s">
        <v>1202</v>
      </c>
      <c r="G234" t="s">
        <v>335</v>
      </c>
      <c r="H234" t="s">
        <v>2087</v>
      </c>
      <c r="I234" t="s">
        <v>2134</v>
      </c>
      <c r="J234" t="s">
        <v>2135</v>
      </c>
      <c r="N234" t="s">
        <v>1596</v>
      </c>
      <c r="T234" t="s">
        <v>992</v>
      </c>
      <c r="U234" t="s">
        <v>449</v>
      </c>
      <c r="V234" t="s">
        <v>2140</v>
      </c>
      <c r="W234" t="s">
        <v>950</v>
      </c>
      <c r="X234">
        <v>32006</v>
      </c>
      <c r="Y234">
        <v>38</v>
      </c>
      <c r="Z234" t="s">
        <v>2141</v>
      </c>
      <c r="AB234" t="s">
        <v>996</v>
      </c>
      <c r="AC234" t="s">
        <v>997</v>
      </c>
      <c r="AD234" t="s">
        <v>729</v>
      </c>
      <c r="AE234" t="s">
        <v>729</v>
      </c>
      <c r="AF234" t="s">
        <v>2142</v>
      </c>
      <c r="AI234" t="s">
        <v>1513</v>
      </c>
      <c r="AK234">
        <v>-6</v>
      </c>
    </row>
    <row r="235" spans="1:38">
      <c r="A235">
        <v>202</v>
      </c>
      <c r="B235" t="s">
        <v>2143</v>
      </c>
      <c r="C235">
        <v>455</v>
      </c>
      <c r="D235" t="s">
        <v>1351</v>
      </c>
      <c r="E235" t="s">
        <v>2088</v>
      </c>
      <c r="F235" t="s">
        <v>1202</v>
      </c>
      <c r="G235" t="s">
        <v>335</v>
      </c>
      <c r="H235" t="s">
        <v>2087</v>
      </c>
      <c r="I235" t="s">
        <v>2134</v>
      </c>
      <c r="J235" t="s">
        <v>2135</v>
      </c>
      <c r="K235" t="s">
        <v>2143</v>
      </c>
      <c r="N235" t="s">
        <v>1596</v>
      </c>
      <c r="P235" t="s">
        <v>69</v>
      </c>
      <c r="R235" t="s">
        <v>1286</v>
      </c>
      <c r="S235">
        <v>0</v>
      </c>
      <c r="T235" t="s">
        <v>1015</v>
      </c>
      <c r="U235" t="s">
        <v>626</v>
      </c>
      <c r="V235" t="s">
        <v>2144</v>
      </c>
      <c r="W235" t="s">
        <v>950</v>
      </c>
      <c r="X235">
        <v>28386</v>
      </c>
      <c r="Y235">
        <v>48</v>
      </c>
      <c r="Z235" t="s">
        <v>2145</v>
      </c>
      <c r="AA235" t="s">
        <v>2146</v>
      </c>
      <c r="AB235" t="s">
        <v>996</v>
      </c>
      <c r="AC235" t="s">
        <v>997</v>
      </c>
      <c r="AD235" t="s">
        <v>2147</v>
      </c>
      <c r="AE235" t="s">
        <v>2147</v>
      </c>
      <c r="AF235" t="s">
        <v>2148</v>
      </c>
      <c r="AI235" t="s">
        <v>1566</v>
      </c>
    </row>
    <row r="236" spans="1:38">
      <c r="A236">
        <v>219</v>
      </c>
      <c r="B236" t="s">
        <v>2149</v>
      </c>
      <c r="C236">
        <v>457</v>
      </c>
      <c r="D236" t="s">
        <v>1351</v>
      </c>
      <c r="E236" t="s">
        <v>2088</v>
      </c>
      <c r="F236" t="s">
        <v>1202</v>
      </c>
      <c r="G236" t="s">
        <v>335</v>
      </c>
      <c r="H236" t="s">
        <v>2087</v>
      </c>
      <c r="I236" t="s">
        <v>2134</v>
      </c>
      <c r="J236" t="s">
        <v>2135</v>
      </c>
      <c r="N236" t="s">
        <v>1596</v>
      </c>
      <c r="T236" t="s">
        <v>1015</v>
      </c>
      <c r="U236" t="s">
        <v>2150</v>
      </c>
      <c r="V236" t="s">
        <v>2151</v>
      </c>
      <c r="W236" t="s">
        <v>950</v>
      </c>
      <c r="X236">
        <v>35008</v>
      </c>
      <c r="Y236">
        <v>30</v>
      </c>
      <c r="Z236" t="s">
        <v>2152</v>
      </c>
      <c r="AB236" t="s">
        <v>996</v>
      </c>
      <c r="AC236" t="s">
        <v>1018</v>
      </c>
      <c r="AD236" t="s">
        <v>1494</v>
      </c>
      <c r="AE236" t="s">
        <v>1494</v>
      </c>
      <c r="AF236" t="s">
        <v>2153</v>
      </c>
      <c r="AI236" t="s">
        <v>1575</v>
      </c>
      <c r="AL236" t="s">
        <v>1252</v>
      </c>
    </row>
    <row r="237" spans="1:38">
      <c r="A237">
        <v>225</v>
      </c>
      <c r="B237" t="s">
        <v>2154</v>
      </c>
      <c r="C237">
        <v>459</v>
      </c>
      <c r="D237" t="s">
        <v>1351</v>
      </c>
      <c r="E237" t="s">
        <v>2088</v>
      </c>
      <c r="F237" t="s">
        <v>1202</v>
      </c>
      <c r="G237" t="s">
        <v>335</v>
      </c>
      <c r="H237" t="s">
        <v>2087</v>
      </c>
      <c r="I237" t="s">
        <v>2134</v>
      </c>
      <c r="J237" t="s">
        <v>2135</v>
      </c>
      <c r="N237" t="s">
        <v>1596</v>
      </c>
      <c r="T237" t="s">
        <v>1015</v>
      </c>
      <c r="U237" t="s">
        <v>897</v>
      </c>
      <c r="V237" t="s">
        <v>2155</v>
      </c>
      <c r="W237" t="s">
        <v>950</v>
      </c>
      <c r="X237">
        <v>32472</v>
      </c>
      <c r="Y237">
        <v>37</v>
      </c>
      <c r="Z237" t="s">
        <v>2156</v>
      </c>
      <c r="AB237" t="s">
        <v>996</v>
      </c>
      <c r="AC237" t="s">
        <v>1018</v>
      </c>
      <c r="AD237" t="s">
        <v>729</v>
      </c>
      <c r="AE237" t="s">
        <v>729</v>
      </c>
      <c r="AF237" t="s">
        <v>2157</v>
      </c>
      <c r="AI237" t="s">
        <v>1575</v>
      </c>
      <c r="AL237" t="s">
        <v>1252</v>
      </c>
    </row>
    <row r="238" spans="1:38">
      <c r="B238" t="s">
        <v>2158</v>
      </c>
      <c r="C238">
        <v>461</v>
      </c>
      <c r="D238" t="s">
        <v>1351</v>
      </c>
      <c r="E238" t="s">
        <v>2088</v>
      </c>
      <c r="F238" t="s">
        <v>1202</v>
      </c>
      <c r="G238" t="s">
        <v>335</v>
      </c>
      <c r="H238" t="s">
        <v>2087</v>
      </c>
      <c r="I238" t="s">
        <v>2134</v>
      </c>
      <c r="J238" t="s">
        <v>2135</v>
      </c>
      <c r="N238" t="s">
        <v>1596</v>
      </c>
      <c r="T238" t="s">
        <v>1015</v>
      </c>
      <c r="U238" t="s">
        <v>2159</v>
      </c>
      <c r="V238" t="s">
        <v>2160</v>
      </c>
      <c r="W238" t="s">
        <v>950</v>
      </c>
      <c r="X238">
        <v>31228</v>
      </c>
      <c r="Y238">
        <v>40</v>
      </c>
      <c r="Z238" t="s">
        <v>2161</v>
      </c>
      <c r="AB238" t="s">
        <v>996</v>
      </c>
      <c r="AC238" t="s">
        <v>1018</v>
      </c>
      <c r="AD238" t="s">
        <v>2162</v>
      </c>
      <c r="AE238" t="s">
        <v>1494</v>
      </c>
      <c r="AF238" t="s">
        <v>2163</v>
      </c>
    </row>
    <row r="239" spans="1:38">
      <c r="B239" t="s">
        <v>2164</v>
      </c>
      <c r="C239">
        <v>463</v>
      </c>
      <c r="D239" t="s">
        <v>1351</v>
      </c>
      <c r="E239" t="s">
        <v>2088</v>
      </c>
      <c r="F239" t="s">
        <v>1202</v>
      </c>
      <c r="G239" t="s">
        <v>335</v>
      </c>
      <c r="H239" t="s">
        <v>2087</v>
      </c>
      <c r="I239" t="s">
        <v>2134</v>
      </c>
      <c r="J239" t="s">
        <v>2135</v>
      </c>
      <c r="N239" t="s">
        <v>1596</v>
      </c>
      <c r="T239" t="s">
        <v>1015</v>
      </c>
      <c r="U239" t="s">
        <v>2165</v>
      </c>
      <c r="V239" t="s">
        <v>2166</v>
      </c>
      <c r="W239" t="s">
        <v>950</v>
      </c>
      <c r="X239">
        <v>19921011</v>
      </c>
      <c r="Y239">
        <v>33</v>
      </c>
      <c r="Z239" t="s">
        <v>2167</v>
      </c>
      <c r="AB239" t="s">
        <v>996</v>
      </c>
      <c r="AC239" t="s">
        <v>1018</v>
      </c>
      <c r="AD239" t="s">
        <v>729</v>
      </c>
      <c r="AE239" t="s">
        <v>729</v>
      </c>
      <c r="AF239" t="s">
        <v>1796</v>
      </c>
      <c r="AI239" t="s">
        <v>1586</v>
      </c>
    </row>
    <row r="240" spans="1:38">
      <c r="A240">
        <v>261</v>
      </c>
      <c r="B240" t="s">
        <v>2168</v>
      </c>
      <c r="C240">
        <v>465</v>
      </c>
      <c r="D240" t="s">
        <v>1351</v>
      </c>
      <c r="E240" t="s">
        <v>2088</v>
      </c>
      <c r="F240" t="s">
        <v>1202</v>
      </c>
      <c r="G240" t="s">
        <v>335</v>
      </c>
      <c r="H240" t="s">
        <v>2087</v>
      </c>
      <c r="I240" t="s">
        <v>2168</v>
      </c>
      <c r="J240" t="s">
        <v>959</v>
      </c>
      <c r="N240" t="s">
        <v>1638</v>
      </c>
      <c r="P240" t="s">
        <v>55</v>
      </c>
      <c r="Q240" t="s">
        <v>178</v>
      </c>
      <c r="T240" t="s">
        <v>1015</v>
      </c>
      <c r="U240" t="s">
        <v>605</v>
      </c>
      <c r="V240" t="s">
        <v>2169</v>
      </c>
      <c r="W240" t="s">
        <v>950</v>
      </c>
      <c r="X240">
        <v>21524</v>
      </c>
      <c r="Y240">
        <v>67</v>
      </c>
      <c r="Z240" t="s">
        <v>2170</v>
      </c>
      <c r="AA240" t="s">
        <v>2171</v>
      </c>
      <c r="AB240" t="s">
        <v>966</v>
      </c>
      <c r="AC240" t="s">
        <v>953</v>
      </c>
      <c r="AD240" t="s">
        <v>729</v>
      </c>
      <c r="AE240" t="s">
        <v>729</v>
      </c>
      <c r="AF240" t="s">
        <v>2172</v>
      </c>
      <c r="AI240" t="s">
        <v>1025</v>
      </c>
      <c r="AK240">
        <v>-4</v>
      </c>
    </row>
    <row r="241" spans="1:38">
      <c r="A241">
        <v>265</v>
      </c>
      <c r="B241" t="s">
        <v>2173</v>
      </c>
      <c r="C241">
        <v>467</v>
      </c>
      <c r="D241" t="s">
        <v>1351</v>
      </c>
      <c r="E241" t="s">
        <v>2088</v>
      </c>
      <c r="F241" t="s">
        <v>1202</v>
      </c>
      <c r="G241" t="s">
        <v>335</v>
      </c>
      <c r="H241" t="s">
        <v>2087</v>
      </c>
      <c r="I241" t="s">
        <v>2168</v>
      </c>
      <c r="J241" t="s">
        <v>959</v>
      </c>
      <c r="N241" t="s">
        <v>1638</v>
      </c>
      <c r="T241" t="s">
        <v>1015</v>
      </c>
      <c r="U241" t="s">
        <v>659</v>
      </c>
      <c r="V241" t="s">
        <v>2174</v>
      </c>
      <c r="W241" t="s">
        <v>950</v>
      </c>
      <c r="X241">
        <v>24929</v>
      </c>
      <c r="Y241">
        <v>57</v>
      </c>
      <c r="Z241" t="s">
        <v>2175</v>
      </c>
      <c r="AA241" t="s">
        <v>2176</v>
      </c>
      <c r="AB241" t="s">
        <v>996</v>
      </c>
      <c r="AC241" t="s">
        <v>997</v>
      </c>
      <c r="AD241" t="s">
        <v>729</v>
      </c>
      <c r="AE241" t="s">
        <v>729</v>
      </c>
      <c r="AF241" t="s">
        <v>1760</v>
      </c>
      <c r="AI241" t="s">
        <v>1513</v>
      </c>
      <c r="AK241">
        <v>-4</v>
      </c>
    </row>
    <row r="242" spans="1:38">
      <c r="A242">
        <v>240</v>
      </c>
      <c r="B242" t="s">
        <v>2177</v>
      </c>
      <c r="C242">
        <v>469</v>
      </c>
      <c r="D242" t="s">
        <v>1351</v>
      </c>
      <c r="E242" t="s">
        <v>2088</v>
      </c>
      <c r="F242" t="s">
        <v>1202</v>
      </c>
      <c r="G242" t="s">
        <v>335</v>
      </c>
      <c r="H242" t="s">
        <v>2087</v>
      </c>
      <c r="I242" t="s">
        <v>2168</v>
      </c>
      <c r="J242" t="s">
        <v>959</v>
      </c>
      <c r="N242" t="s">
        <v>1638</v>
      </c>
      <c r="T242" t="s">
        <v>1015</v>
      </c>
      <c r="U242" t="s">
        <v>722</v>
      </c>
      <c r="V242" t="s">
        <v>2178</v>
      </c>
      <c r="W242" t="s">
        <v>950</v>
      </c>
      <c r="X242">
        <v>21527</v>
      </c>
      <c r="Y242">
        <v>67</v>
      </c>
      <c r="Z242" t="s">
        <v>2179</v>
      </c>
      <c r="AA242" t="s">
        <v>2180</v>
      </c>
      <c r="AB242" t="s">
        <v>996</v>
      </c>
      <c r="AC242" t="s">
        <v>997</v>
      </c>
      <c r="AD242" t="s">
        <v>729</v>
      </c>
      <c r="AE242" t="s">
        <v>729</v>
      </c>
      <c r="AF242" t="s">
        <v>2000</v>
      </c>
      <c r="AI242" t="s">
        <v>1566</v>
      </c>
      <c r="AK242">
        <v>-6</v>
      </c>
    </row>
    <row r="243" spans="1:38">
      <c r="A243">
        <v>264</v>
      </c>
      <c r="B243" t="s">
        <v>2181</v>
      </c>
      <c r="C243">
        <v>471</v>
      </c>
      <c r="D243" t="s">
        <v>1351</v>
      </c>
      <c r="E243" t="s">
        <v>2088</v>
      </c>
      <c r="F243" t="s">
        <v>1202</v>
      </c>
      <c r="G243" t="s">
        <v>335</v>
      </c>
      <c r="H243" t="s">
        <v>2087</v>
      </c>
      <c r="I243" t="s">
        <v>2168</v>
      </c>
      <c r="J243" t="s">
        <v>959</v>
      </c>
      <c r="N243" t="s">
        <v>1638</v>
      </c>
      <c r="T243" t="s">
        <v>1015</v>
      </c>
      <c r="U243" t="s">
        <v>642</v>
      </c>
      <c r="V243" t="s">
        <v>2182</v>
      </c>
      <c r="W243" t="s">
        <v>950</v>
      </c>
      <c r="X243">
        <v>24691</v>
      </c>
      <c r="Y243">
        <v>58</v>
      </c>
      <c r="Z243" t="s">
        <v>2183</v>
      </c>
      <c r="AA243" t="s">
        <v>2184</v>
      </c>
      <c r="AB243" t="s">
        <v>996</v>
      </c>
      <c r="AC243" t="s">
        <v>997</v>
      </c>
      <c r="AD243" t="s">
        <v>729</v>
      </c>
      <c r="AE243" t="s">
        <v>729</v>
      </c>
      <c r="AF243" t="s">
        <v>2185</v>
      </c>
      <c r="AI243" t="s">
        <v>1513</v>
      </c>
      <c r="AK243">
        <v>-4</v>
      </c>
    </row>
    <row r="244" spans="1:38">
      <c r="A244">
        <v>267</v>
      </c>
      <c r="B244" t="s">
        <v>2186</v>
      </c>
      <c r="C244">
        <v>473</v>
      </c>
      <c r="D244" t="s">
        <v>1351</v>
      </c>
      <c r="E244" t="s">
        <v>2088</v>
      </c>
      <c r="F244" t="s">
        <v>1202</v>
      </c>
      <c r="G244" t="s">
        <v>335</v>
      </c>
      <c r="H244" t="s">
        <v>2087</v>
      </c>
      <c r="I244" t="s">
        <v>2168</v>
      </c>
      <c r="J244" t="s">
        <v>959</v>
      </c>
      <c r="N244" t="s">
        <v>1638</v>
      </c>
      <c r="T244" t="s">
        <v>1015</v>
      </c>
      <c r="U244" t="s">
        <v>646</v>
      </c>
      <c r="V244" t="s">
        <v>2187</v>
      </c>
      <c r="W244" t="s">
        <v>950</v>
      </c>
      <c r="X244">
        <v>25153</v>
      </c>
      <c r="Y244">
        <v>57</v>
      </c>
      <c r="Z244" t="s">
        <v>2188</v>
      </c>
      <c r="AA244" t="s">
        <v>2189</v>
      </c>
      <c r="AB244" t="s">
        <v>996</v>
      </c>
      <c r="AC244" t="s">
        <v>997</v>
      </c>
      <c r="AD244" t="s">
        <v>729</v>
      </c>
      <c r="AE244" t="s">
        <v>729</v>
      </c>
      <c r="AF244" t="s">
        <v>2190</v>
      </c>
      <c r="AI244" t="s">
        <v>1566</v>
      </c>
      <c r="AK244">
        <v>-4</v>
      </c>
    </row>
    <row r="245" spans="1:38">
      <c r="A245">
        <v>263</v>
      </c>
      <c r="B245" t="s">
        <v>2191</v>
      </c>
      <c r="C245">
        <v>475</v>
      </c>
      <c r="D245" t="s">
        <v>1351</v>
      </c>
      <c r="E245" t="s">
        <v>2088</v>
      </c>
      <c r="F245" t="s">
        <v>1202</v>
      </c>
      <c r="G245" t="s">
        <v>335</v>
      </c>
      <c r="H245" t="s">
        <v>2087</v>
      </c>
      <c r="I245" t="s">
        <v>2168</v>
      </c>
      <c r="J245" t="s">
        <v>959</v>
      </c>
      <c r="N245" t="s">
        <v>1638</v>
      </c>
      <c r="T245" t="s">
        <v>1015</v>
      </c>
      <c r="U245" t="s">
        <v>687</v>
      </c>
      <c r="V245" t="s">
        <v>2192</v>
      </c>
      <c r="W245" t="s">
        <v>950</v>
      </c>
      <c r="X245">
        <v>23272</v>
      </c>
      <c r="Y245">
        <v>62</v>
      </c>
      <c r="Z245" t="s">
        <v>2193</v>
      </c>
      <c r="AA245" t="s">
        <v>2194</v>
      </c>
      <c r="AB245" t="s">
        <v>996</v>
      </c>
      <c r="AC245" t="s">
        <v>997</v>
      </c>
      <c r="AD245" t="s">
        <v>729</v>
      </c>
      <c r="AE245" t="s">
        <v>729</v>
      </c>
      <c r="AF245" t="s">
        <v>2172</v>
      </c>
      <c r="AI245" t="s">
        <v>1566</v>
      </c>
      <c r="AK245">
        <v>-4</v>
      </c>
    </row>
    <row r="246" spans="1:38">
      <c r="A246">
        <v>241</v>
      </c>
      <c r="B246" t="s">
        <v>2195</v>
      </c>
      <c r="C246">
        <v>477</v>
      </c>
      <c r="D246" t="s">
        <v>1351</v>
      </c>
      <c r="E246" t="s">
        <v>2088</v>
      </c>
      <c r="F246" t="s">
        <v>1202</v>
      </c>
      <c r="G246" t="s">
        <v>335</v>
      </c>
      <c r="H246" t="s">
        <v>2087</v>
      </c>
      <c r="I246" t="s">
        <v>2168</v>
      </c>
      <c r="J246" t="s">
        <v>959</v>
      </c>
      <c r="N246" t="s">
        <v>1638</v>
      </c>
      <c r="T246" t="s">
        <v>1015</v>
      </c>
      <c r="U246" t="s">
        <v>627</v>
      </c>
      <c r="V246" t="s">
        <v>2196</v>
      </c>
      <c r="W246" t="s">
        <v>950</v>
      </c>
      <c r="X246">
        <v>23563</v>
      </c>
      <c r="Y246">
        <v>61</v>
      </c>
      <c r="Z246" t="s">
        <v>2197</v>
      </c>
      <c r="AA246" t="s">
        <v>2198</v>
      </c>
      <c r="AB246" t="s">
        <v>996</v>
      </c>
      <c r="AC246" t="s">
        <v>997</v>
      </c>
      <c r="AD246" t="s">
        <v>729</v>
      </c>
      <c r="AE246" t="s">
        <v>729</v>
      </c>
      <c r="AF246" t="s">
        <v>1252</v>
      </c>
      <c r="AI246" t="s">
        <v>1566</v>
      </c>
      <c r="AK246">
        <v>-6</v>
      </c>
    </row>
    <row r="247" spans="1:38">
      <c r="A247">
        <v>276</v>
      </c>
      <c r="B247" t="s">
        <v>2199</v>
      </c>
      <c r="C247">
        <v>479</v>
      </c>
      <c r="D247" t="s">
        <v>1351</v>
      </c>
      <c r="E247" t="s">
        <v>2088</v>
      </c>
      <c r="F247" t="s">
        <v>1202</v>
      </c>
      <c r="G247" t="s">
        <v>335</v>
      </c>
      <c r="H247" t="s">
        <v>2087</v>
      </c>
      <c r="I247" t="s">
        <v>2168</v>
      </c>
      <c r="J247" t="s">
        <v>959</v>
      </c>
      <c r="N247" t="s">
        <v>1638</v>
      </c>
      <c r="T247" t="s">
        <v>1090</v>
      </c>
      <c r="U247" t="s">
        <v>786</v>
      </c>
      <c r="V247" t="s">
        <v>2200</v>
      </c>
      <c r="W247" t="s">
        <v>950</v>
      </c>
      <c r="X247">
        <v>18986</v>
      </c>
      <c r="Y247">
        <v>74</v>
      </c>
      <c r="Z247" t="s">
        <v>2201</v>
      </c>
      <c r="AB247" t="s">
        <v>996</v>
      </c>
      <c r="AC247" t="s">
        <v>1018</v>
      </c>
      <c r="AD247" t="s">
        <v>729</v>
      </c>
      <c r="AE247" t="s">
        <v>729</v>
      </c>
      <c r="AF247" t="s">
        <v>2202</v>
      </c>
      <c r="AI247" t="s">
        <v>1575</v>
      </c>
    </row>
    <row r="248" spans="1:38">
      <c r="A248">
        <v>268</v>
      </c>
      <c r="B248" t="s">
        <v>2203</v>
      </c>
      <c r="C248">
        <v>481</v>
      </c>
      <c r="D248" t="s">
        <v>1351</v>
      </c>
      <c r="E248" t="s">
        <v>2088</v>
      </c>
      <c r="F248" t="s">
        <v>1202</v>
      </c>
      <c r="G248" t="s">
        <v>335</v>
      </c>
      <c r="H248" t="s">
        <v>2087</v>
      </c>
      <c r="I248" t="s">
        <v>2168</v>
      </c>
      <c r="J248" t="s">
        <v>959</v>
      </c>
      <c r="N248" t="s">
        <v>1638</v>
      </c>
      <c r="T248" t="s">
        <v>1015</v>
      </c>
      <c r="U248" t="s">
        <v>663</v>
      </c>
      <c r="V248" t="s">
        <v>2204</v>
      </c>
      <c r="W248" t="s">
        <v>950</v>
      </c>
      <c r="X248">
        <v>25850</v>
      </c>
      <c r="Y248">
        <v>55</v>
      </c>
      <c r="Z248" t="s">
        <v>2205</v>
      </c>
      <c r="AA248" t="s">
        <v>2206</v>
      </c>
      <c r="AB248" t="s">
        <v>996</v>
      </c>
      <c r="AC248" t="s">
        <v>997</v>
      </c>
      <c r="AD248" t="s">
        <v>729</v>
      </c>
      <c r="AE248" t="s">
        <v>729</v>
      </c>
      <c r="AF248" t="s">
        <v>2207</v>
      </c>
      <c r="AI248" t="s">
        <v>1566</v>
      </c>
      <c r="AK248">
        <v>-4</v>
      </c>
    </row>
    <row r="249" spans="1:38">
      <c r="B249" t="s">
        <v>2208</v>
      </c>
      <c r="C249">
        <v>483</v>
      </c>
      <c r="D249" t="s">
        <v>1351</v>
      </c>
      <c r="E249" t="s">
        <v>2088</v>
      </c>
      <c r="F249" t="s">
        <v>1195</v>
      </c>
      <c r="G249" t="s">
        <v>335</v>
      </c>
      <c r="H249" t="s">
        <v>2209</v>
      </c>
      <c r="I249" t="s">
        <v>2168</v>
      </c>
      <c r="J249" t="s">
        <v>959</v>
      </c>
      <c r="N249" t="s">
        <v>1638</v>
      </c>
      <c r="T249" t="s">
        <v>1015</v>
      </c>
      <c r="U249" t="s">
        <v>2210</v>
      </c>
      <c r="V249" t="s">
        <v>2211</v>
      </c>
      <c r="W249" t="s">
        <v>950</v>
      </c>
      <c r="X249">
        <v>19650329</v>
      </c>
      <c r="Y249">
        <v>60</v>
      </c>
      <c r="Z249" t="s">
        <v>2212</v>
      </c>
      <c r="AB249" t="s">
        <v>996</v>
      </c>
      <c r="AC249" t="s">
        <v>1018</v>
      </c>
      <c r="AD249" t="s">
        <v>729</v>
      </c>
      <c r="AE249" t="s">
        <v>729</v>
      </c>
      <c r="AF249" t="s">
        <v>2213</v>
      </c>
      <c r="AI249" t="s">
        <v>1586</v>
      </c>
    </row>
    <row r="250" spans="1:38">
      <c r="A250">
        <v>234</v>
      </c>
      <c r="B250" t="s">
        <v>2214</v>
      </c>
      <c r="C250">
        <v>485</v>
      </c>
      <c r="D250" t="s">
        <v>1351</v>
      </c>
      <c r="E250" t="s">
        <v>2088</v>
      </c>
      <c r="F250" t="s">
        <v>2215</v>
      </c>
      <c r="G250" t="s">
        <v>335</v>
      </c>
      <c r="H250" t="s">
        <v>1821</v>
      </c>
      <c r="I250" t="s">
        <v>2214</v>
      </c>
      <c r="J250" t="s">
        <v>959</v>
      </c>
      <c r="N250" t="s">
        <v>1659</v>
      </c>
      <c r="P250" t="s">
        <v>1780</v>
      </c>
      <c r="Q250" t="s">
        <v>562</v>
      </c>
      <c r="S250">
        <v>1</v>
      </c>
      <c r="T250" t="s">
        <v>1015</v>
      </c>
      <c r="U250" t="s">
        <v>615</v>
      </c>
      <c r="V250" t="s">
        <v>2216</v>
      </c>
      <c r="W250" t="s">
        <v>950</v>
      </c>
      <c r="X250">
        <v>26069</v>
      </c>
      <c r="Y250">
        <v>54</v>
      </c>
      <c r="Z250" t="s">
        <v>2217</v>
      </c>
      <c r="AA250" t="s">
        <v>2218</v>
      </c>
      <c r="AB250" t="s">
        <v>996</v>
      </c>
      <c r="AC250" t="s">
        <v>997</v>
      </c>
      <c r="AD250" t="s">
        <v>729</v>
      </c>
      <c r="AE250" t="s">
        <v>729</v>
      </c>
      <c r="AF250" t="s">
        <v>1252</v>
      </c>
      <c r="AI250" t="s">
        <v>1318</v>
      </c>
      <c r="AK250">
        <v>-6</v>
      </c>
    </row>
    <row r="251" spans="1:38">
      <c r="A251">
        <v>243</v>
      </c>
      <c r="B251" t="s">
        <v>2219</v>
      </c>
      <c r="C251">
        <v>487</v>
      </c>
      <c r="D251" t="s">
        <v>1351</v>
      </c>
      <c r="E251" t="s">
        <v>2088</v>
      </c>
      <c r="F251" t="s">
        <v>1202</v>
      </c>
      <c r="G251" t="s">
        <v>335</v>
      </c>
      <c r="H251" t="s">
        <v>2220</v>
      </c>
      <c r="I251" t="s">
        <v>2214</v>
      </c>
      <c r="J251" t="s">
        <v>2219</v>
      </c>
      <c r="N251" t="s">
        <v>1659</v>
      </c>
      <c r="P251" t="s">
        <v>69</v>
      </c>
      <c r="R251" t="s">
        <v>1286</v>
      </c>
      <c r="S251">
        <v>1</v>
      </c>
      <c r="T251" t="s">
        <v>1015</v>
      </c>
      <c r="U251" t="s">
        <v>697</v>
      </c>
      <c r="V251" t="s">
        <v>2221</v>
      </c>
      <c r="W251" t="s">
        <v>950</v>
      </c>
      <c r="X251">
        <v>24619</v>
      </c>
      <c r="Y251">
        <v>58</v>
      </c>
      <c r="Z251" t="s">
        <v>2222</v>
      </c>
      <c r="AA251" t="s">
        <v>2223</v>
      </c>
      <c r="AB251" t="s">
        <v>996</v>
      </c>
      <c r="AC251" t="s">
        <v>997</v>
      </c>
      <c r="AD251" t="s">
        <v>729</v>
      </c>
      <c r="AE251" t="s">
        <v>729</v>
      </c>
      <c r="AF251" t="s">
        <v>1252</v>
      </c>
      <c r="AI251" t="s">
        <v>1513</v>
      </c>
      <c r="AL251" t="s">
        <v>1275</v>
      </c>
    </row>
    <row r="252" spans="1:38">
      <c r="A252">
        <v>260</v>
      </c>
      <c r="B252" t="s">
        <v>2224</v>
      </c>
      <c r="C252">
        <v>489</v>
      </c>
      <c r="D252" t="s">
        <v>1351</v>
      </c>
      <c r="E252" t="s">
        <v>2088</v>
      </c>
      <c r="F252" t="s">
        <v>1202</v>
      </c>
      <c r="G252" t="s">
        <v>335</v>
      </c>
      <c r="H252" t="s">
        <v>2087</v>
      </c>
      <c r="I252" t="s">
        <v>2214</v>
      </c>
      <c r="J252" t="s">
        <v>2224</v>
      </c>
      <c r="N252" t="s">
        <v>1659</v>
      </c>
      <c r="P252" t="s">
        <v>69</v>
      </c>
      <c r="R252" t="s">
        <v>1286</v>
      </c>
      <c r="S252">
        <v>0</v>
      </c>
      <c r="T252" t="s">
        <v>1015</v>
      </c>
      <c r="U252" t="s">
        <v>766</v>
      </c>
      <c r="V252" t="s">
        <v>2225</v>
      </c>
      <c r="W252" t="s">
        <v>950</v>
      </c>
      <c r="X252">
        <v>25944</v>
      </c>
      <c r="Z252" t="s">
        <v>2226</v>
      </c>
      <c r="AB252" t="s">
        <v>996</v>
      </c>
      <c r="AC252" t="s">
        <v>1018</v>
      </c>
      <c r="AD252" t="s">
        <v>729</v>
      </c>
      <c r="AE252" t="s">
        <v>729</v>
      </c>
      <c r="AF252" t="s">
        <v>2227</v>
      </c>
    </row>
    <row r="253" spans="1:38">
      <c r="A253">
        <v>239</v>
      </c>
      <c r="B253" t="s">
        <v>2228</v>
      </c>
      <c r="C253">
        <v>491</v>
      </c>
      <c r="D253" t="s">
        <v>1351</v>
      </c>
      <c r="E253" t="s">
        <v>2088</v>
      </c>
      <c r="F253" t="s">
        <v>1202</v>
      </c>
      <c r="G253" t="s">
        <v>335</v>
      </c>
      <c r="H253" t="s">
        <v>2087</v>
      </c>
      <c r="I253" t="s">
        <v>2214</v>
      </c>
      <c r="J253" t="s">
        <v>959</v>
      </c>
      <c r="N253" t="s">
        <v>1659</v>
      </c>
      <c r="T253" t="s">
        <v>1015</v>
      </c>
      <c r="U253" t="s">
        <v>744</v>
      </c>
      <c r="V253" t="s">
        <v>2229</v>
      </c>
      <c r="W253" t="s">
        <v>950</v>
      </c>
      <c r="X253">
        <v>21195</v>
      </c>
      <c r="Y253">
        <v>68</v>
      </c>
      <c r="Z253" t="s">
        <v>2230</v>
      </c>
      <c r="AB253" t="s">
        <v>996</v>
      </c>
      <c r="AC253" t="s">
        <v>1018</v>
      </c>
      <c r="AD253" t="s">
        <v>729</v>
      </c>
      <c r="AE253" t="s">
        <v>729</v>
      </c>
      <c r="AF253" t="s">
        <v>2231</v>
      </c>
      <c r="AI253" t="s">
        <v>1575</v>
      </c>
    </row>
    <row r="254" spans="1:38">
      <c r="A254">
        <v>259</v>
      </c>
      <c r="B254" t="s">
        <v>2232</v>
      </c>
      <c r="C254">
        <v>493</v>
      </c>
      <c r="D254" t="s">
        <v>1351</v>
      </c>
      <c r="E254" t="s">
        <v>2088</v>
      </c>
      <c r="F254" t="s">
        <v>1202</v>
      </c>
      <c r="G254" t="s">
        <v>335</v>
      </c>
      <c r="H254" t="s">
        <v>2087</v>
      </c>
      <c r="I254" t="s">
        <v>2214</v>
      </c>
      <c r="J254" t="s">
        <v>959</v>
      </c>
      <c r="N254" t="s">
        <v>1659</v>
      </c>
      <c r="T254" t="s">
        <v>1015</v>
      </c>
      <c r="U254" t="s">
        <v>758</v>
      </c>
      <c r="V254" t="s">
        <v>2233</v>
      </c>
      <c r="W254" t="s">
        <v>950</v>
      </c>
      <c r="X254">
        <v>24001</v>
      </c>
      <c r="Z254" t="s">
        <v>2234</v>
      </c>
      <c r="AB254" t="s">
        <v>996</v>
      </c>
      <c r="AC254" t="s">
        <v>1018</v>
      </c>
      <c r="AD254" t="s">
        <v>729</v>
      </c>
      <c r="AE254" t="s">
        <v>729</v>
      </c>
      <c r="AF254" t="s">
        <v>2107</v>
      </c>
    </row>
    <row r="255" spans="1:38">
      <c r="A255">
        <v>242</v>
      </c>
      <c r="B255" t="s">
        <v>2235</v>
      </c>
      <c r="C255">
        <v>495</v>
      </c>
      <c r="D255" t="s">
        <v>1351</v>
      </c>
      <c r="E255" t="s">
        <v>2088</v>
      </c>
      <c r="F255" t="s">
        <v>1202</v>
      </c>
      <c r="G255" t="s">
        <v>335</v>
      </c>
      <c r="H255" t="s">
        <v>2087</v>
      </c>
      <c r="I255" t="s">
        <v>2214</v>
      </c>
      <c r="J255" t="s">
        <v>959</v>
      </c>
      <c r="N255" t="s">
        <v>1659</v>
      </c>
      <c r="T255" t="s">
        <v>1015</v>
      </c>
      <c r="U255" t="s">
        <v>2236</v>
      </c>
      <c r="V255" t="s">
        <v>2237</v>
      </c>
      <c r="W255" t="s">
        <v>950</v>
      </c>
      <c r="X255">
        <v>25908</v>
      </c>
      <c r="Y255">
        <v>55</v>
      </c>
      <c r="Z255" t="s">
        <v>2238</v>
      </c>
      <c r="AA255" t="s">
        <v>2239</v>
      </c>
      <c r="AB255" t="s">
        <v>996</v>
      </c>
      <c r="AC255" t="s">
        <v>997</v>
      </c>
      <c r="AD255" t="s">
        <v>729</v>
      </c>
      <c r="AE255" t="s">
        <v>729</v>
      </c>
      <c r="AF255" t="s">
        <v>2240</v>
      </c>
      <c r="AI255" t="s">
        <v>1566</v>
      </c>
      <c r="AK255">
        <v>-5</v>
      </c>
    </row>
    <row r="256" spans="1:38">
      <c r="A256">
        <v>238</v>
      </c>
      <c r="B256" t="s">
        <v>2241</v>
      </c>
      <c r="C256">
        <v>497</v>
      </c>
      <c r="D256" t="s">
        <v>1351</v>
      </c>
      <c r="E256" t="s">
        <v>2088</v>
      </c>
      <c r="F256" t="s">
        <v>1202</v>
      </c>
      <c r="G256" t="s">
        <v>335</v>
      </c>
      <c r="H256" t="s">
        <v>2087</v>
      </c>
      <c r="I256" t="s">
        <v>2214</v>
      </c>
      <c r="J256" t="s">
        <v>959</v>
      </c>
      <c r="N256" t="s">
        <v>1659</v>
      </c>
      <c r="T256" t="s">
        <v>1015</v>
      </c>
      <c r="U256" t="s">
        <v>2242</v>
      </c>
      <c r="V256" t="s">
        <v>2243</v>
      </c>
      <c r="W256" t="s">
        <v>950</v>
      </c>
      <c r="X256">
        <v>23348</v>
      </c>
      <c r="Y256">
        <v>62</v>
      </c>
      <c r="Z256" t="s">
        <v>2244</v>
      </c>
      <c r="AA256" t="s">
        <v>2245</v>
      </c>
      <c r="AB256" t="s">
        <v>996</v>
      </c>
      <c r="AC256" t="s">
        <v>997</v>
      </c>
      <c r="AD256" t="s">
        <v>729</v>
      </c>
      <c r="AE256" t="s">
        <v>729</v>
      </c>
      <c r="AF256" t="s">
        <v>1252</v>
      </c>
      <c r="AI256" t="s">
        <v>1446</v>
      </c>
      <c r="AL256" t="s">
        <v>1252</v>
      </c>
    </row>
    <row r="257" spans="1:38">
      <c r="B257" t="s">
        <v>2246</v>
      </c>
      <c r="C257">
        <v>499</v>
      </c>
      <c r="D257" t="s">
        <v>1351</v>
      </c>
      <c r="E257" t="s">
        <v>2088</v>
      </c>
      <c r="F257" t="s">
        <v>1202</v>
      </c>
      <c r="G257" t="s">
        <v>335</v>
      </c>
      <c r="H257" t="s">
        <v>2087</v>
      </c>
      <c r="I257" t="s">
        <v>2214</v>
      </c>
      <c r="J257" t="s">
        <v>959</v>
      </c>
      <c r="N257" t="s">
        <v>1659</v>
      </c>
      <c r="T257" t="s">
        <v>1015</v>
      </c>
      <c r="U257" t="s">
        <v>2247</v>
      </c>
      <c r="V257" t="s">
        <v>2248</v>
      </c>
      <c r="W257" t="s">
        <v>950</v>
      </c>
      <c r="X257">
        <v>25276</v>
      </c>
      <c r="Y257">
        <v>56</v>
      </c>
      <c r="Z257" t="s">
        <v>2249</v>
      </c>
      <c r="AB257" t="s">
        <v>996</v>
      </c>
      <c r="AC257" t="s">
        <v>1018</v>
      </c>
      <c r="AD257" t="s">
        <v>2162</v>
      </c>
      <c r="AE257" t="s">
        <v>1494</v>
      </c>
      <c r="AF257" t="s">
        <v>2250</v>
      </c>
    </row>
    <row r="258" spans="1:38">
      <c r="B258" t="s">
        <v>2251</v>
      </c>
      <c r="C258">
        <v>501</v>
      </c>
      <c r="D258" t="s">
        <v>1351</v>
      </c>
      <c r="E258" t="s">
        <v>2088</v>
      </c>
      <c r="F258" t="s">
        <v>1202</v>
      </c>
      <c r="G258" t="s">
        <v>335</v>
      </c>
      <c r="H258" t="s">
        <v>2087</v>
      </c>
      <c r="I258" t="s">
        <v>2214</v>
      </c>
      <c r="J258" t="s">
        <v>959</v>
      </c>
      <c r="N258" t="s">
        <v>1659</v>
      </c>
      <c r="T258" t="s">
        <v>1015</v>
      </c>
      <c r="U258" t="s">
        <v>2252</v>
      </c>
      <c r="V258" t="s">
        <v>2253</v>
      </c>
      <c r="W258" t="s">
        <v>950</v>
      </c>
      <c r="X258">
        <v>24843</v>
      </c>
      <c r="Y258">
        <v>57</v>
      </c>
      <c r="Z258" t="s">
        <v>2254</v>
      </c>
      <c r="AB258" t="s">
        <v>996</v>
      </c>
      <c r="AC258" t="s">
        <v>1018</v>
      </c>
      <c r="AD258" t="s">
        <v>2255</v>
      </c>
      <c r="AE258" t="s">
        <v>1494</v>
      </c>
      <c r="AF258" t="s">
        <v>2256</v>
      </c>
    </row>
    <row r="259" spans="1:38">
      <c r="B259" t="s">
        <v>2257</v>
      </c>
      <c r="C259">
        <v>503</v>
      </c>
      <c r="D259" t="s">
        <v>1351</v>
      </c>
      <c r="E259" t="s">
        <v>2088</v>
      </c>
      <c r="F259" t="s">
        <v>1202</v>
      </c>
      <c r="G259" t="s">
        <v>335</v>
      </c>
      <c r="H259" t="s">
        <v>2087</v>
      </c>
      <c r="I259" t="s">
        <v>2214</v>
      </c>
      <c r="N259" t="s">
        <v>1659</v>
      </c>
      <c r="T259" t="s">
        <v>1015</v>
      </c>
      <c r="U259" t="s">
        <v>2258</v>
      </c>
      <c r="V259" t="s">
        <v>2259</v>
      </c>
      <c r="W259" t="s">
        <v>950</v>
      </c>
      <c r="X259">
        <v>19570822</v>
      </c>
      <c r="Y259">
        <v>68</v>
      </c>
      <c r="Z259" t="s">
        <v>2260</v>
      </c>
      <c r="AB259" t="s">
        <v>996</v>
      </c>
      <c r="AC259" t="s">
        <v>1018</v>
      </c>
      <c r="AD259" t="s">
        <v>2261</v>
      </c>
      <c r="AE259" t="s">
        <v>2261</v>
      </c>
      <c r="AF259" t="s">
        <v>1623</v>
      </c>
      <c r="AI259" t="s">
        <v>1586</v>
      </c>
    </row>
    <row r="260" spans="1:38">
      <c r="A260">
        <v>222</v>
      </c>
      <c r="B260" t="s">
        <v>1992</v>
      </c>
      <c r="C260">
        <v>505</v>
      </c>
      <c r="D260" t="s">
        <v>1351</v>
      </c>
      <c r="E260" t="s">
        <v>2088</v>
      </c>
      <c r="F260" t="s">
        <v>1202</v>
      </c>
      <c r="G260" t="s">
        <v>335</v>
      </c>
      <c r="H260" t="s">
        <v>2087</v>
      </c>
      <c r="I260" t="s">
        <v>1992</v>
      </c>
      <c r="J260" t="s">
        <v>959</v>
      </c>
      <c r="N260" t="s">
        <v>1686</v>
      </c>
      <c r="P260" t="s">
        <v>1455</v>
      </c>
      <c r="Q260" t="s">
        <v>562</v>
      </c>
      <c r="S260">
        <v>1</v>
      </c>
      <c r="T260" t="s">
        <v>1015</v>
      </c>
      <c r="U260" t="s">
        <v>658</v>
      </c>
      <c r="V260" t="s">
        <v>2262</v>
      </c>
      <c r="W260" t="s">
        <v>950</v>
      </c>
      <c r="X260">
        <v>27630</v>
      </c>
      <c r="Y260">
        <v>50</v>
      </c>
      <c r="Z260" t="s">
        <v>2263</v>
      </c>
      <c r="AA260" t="s">
        <v>2264</v>
      </c>
      <c r="AB260" t="s">
        <v>996</v>
      </c>
      <c r="AC260" t="s">
        <v>997</v>
      </c>
      <c r="AD260" t="s">
        <v>729</v>
      </c>
      <c r="AE260" t="s">
        <v>729</v>
      </c>
      <c r="AF260" t="s">
        <v>2265</v>
      </c>
      <c r="AI260" t="s">
        <v>1513</v>
      </c>
      <c r="AK260">
        <v>-6</v>
      </c>
    </row>
    <row r="261" spans="1:38">
      <c r="B261" t="s">
        <v>2266</v>
      </c>
      <c r="C261">
        <v>507</v>
      </c>
      <c r="D261" t="s">
        <v>1351</v>
      </c>
      <c r="E261" t="s">
        <v>2088</v>
      </c>
      <c r="F261" t="s">
        <v>1202</v>
      </c>
      <c r="G261" t="s">
        <v>335</v>
      </c>
      <c r="H261" t="s">
        <v>2087</v>
      </c>
      <c r="I261" t="s">
        <v>1992</v>
      </c>
      <c r="J261" t="s">
        <v>959</v>
      </c>
      <c r="N261" t="s">
        <v>1686</v>
      </c>
      <c r="T261" t="s">
        <v>1015</v>
      </c>
      <c r="U261" t="s">
        <v>2267</v>
      </c>
      <c r="V261" t="s">
        <v>2268</v>
      </c>
      <c r="W261" t="s">
        <v>950</v>
      </c>
      <c r="X261">
        <v>22102</v>
      </c>
      <c r="Y261">
        <v>65</v>
      </c>
      <c r="Z261" t="s">
        <v>2269</v>
      </c>
      <c r="AB261" t="s">
        <v>996</v>
      </c>
      <c r="AC261" t="s">
        <v>1018</v>
      </c>
      <c r="AD261" t="s">
        <v>729</v>
      </c>
      <c r="AE261" t="s">
        <v>729</v>
      </c>
      <c r="AF261" t="s">
        <v>2270</v>
      </c>
    </row>
    <row r="262" spans="1:38">
      <c r="B262" t="s">
        <v>2271</v>
      </c>
      <c r="C262">
        <v>509</v>
      </c>
      <c r="D262" t="s">
        <v>1351</v>
      </c>
      <c r="E262" t="s">
        <v>2088</v>
      </c>
      <c r="F262" t="s">
        <v>1202</v>
      </c>
      <c r="G262" t="s">
        <v>335</v>
      </c>
      <c r="H262" t="s">
        <v>2087</v>
      </c>
      <c r="I262" t="s">
        <v>1992</v>
      </c>
      <c r="J262" t="s">
        <v>959</v>
      </c>
      <c r="N262" t="s">
        <v>1686</v>
      </c>
      <c r="T262" t="s">
        <v>1015</v>
      </c>
      <c r="U262" t="s">
        <v>2272</v>
      </c>
      <c r="V262" t="s">
        <v>2273</v>
      </c>
      <c r="W262" t="s">
        <v>950</v>
      </c>
      <c r="X262">
        <v>23976</v>
      </c>
      <c r="Y262">
        <v>60</v>
      </c>
      <c r="Z262" t="s">
        <v>2274</v>
      </c>
      <c r="AB262" t="s">
        <v>996</v>
      </c>
      <c r="AC262" t="s">
        <v>1018</v>
      </c>
      <c r="AD262" t="s">
        <v>2275</v>
      </c>
      <c r="AE262" t="s">
        <v>729</v>
      </c>
      <c r="AF262" t="s">
        <v>2276</v>
      </c>
    </row>
    <row r="263" spans="1:38">
      <c r="B263" t="s">
        <v>2277</v>
      </c>
      <c r="C263">
        <v>511</v>
      </c>
      <c r="D263" t="s">
        <v>1351</v>
      </c>
      <c r="E263" t="s">
        <v>2088</v>
      </c>
      <c r="F263" t="s">
        <v>1202</v>
      </c>
      <c r="G263" t="s">
        <v>335</v>
      </c>
      <c r="H263" t="s">
        <v>2087</v>
      </c>
      <c r="I263" t="s">
        <v>1992</v>
      </c>
      <c r="J263" t="s">
        <v>959</v>
      </c>
      <c r="N263" t="s">
        <v>1686</v>
      </c>
      <c r="T263" t="s">
        <v>1015</v>
      </c>
      <c r="U263" t="s">
        <v>2278</v>
      </c>
      <c r="V263" t="s">
        <v>2279</v>
      </c>
      <c r="W263" t="s">
        <v>950</v>
      </c>
      <c r="X263">
        <v>21732</v>
      </c>
      <c r="Y263">
        <v>66</v>
      </c>
      <c r="Z263" t="s">
        <v>2280</v>
      </c>
      <c r="AB263" t="s">
        <v>996</v>
      </c>
      <c r="AC263" t="s">
        <v>1018</v>
      </c>
      <c r="AD263" t="s">
        <v>729</v>
      </c>
      <c r="AE263" t="s">
        <v>729</v>
      </c>
      <c r="AF263" t="s">
        <v>2270</v>
      </c>
    </row>
    <row r="264" spans="1:38">
      <c r="B264" t="s">
        <v>2281</v>
      </c>
      <c r="C264">
        <v>513</v>
      </c>
      <c r="D264" t="s">
        <v>1351</v>
      </c>
      <c r="E264" t="s">
        <v>2088</v>
      </c>
      <c r="F264" t="s">
        <v>1202</v>
      </c>
      <c r="G264" t="s">
        <v>335</v>
      </c>
      <c r="H264" t="s">
        <v>2087</v>
      </c>
      <c r="I264" t="s">
        <v>1992</v>
      </c>
      <c r="J264" t="s">
        <v>959</v>
      </c>
      <c r="N264" t="s">
        <v>1686</v>
      </c>
      <c r="T264" t="s">
        <v>1015</v>
      </c>
      <c r="U264" t="s">
        <v>2282</v>
      </c>
      <c r="V264" t="s">
        <v>2283</v>
      </c>
      <c r="W264" t="s">
        <v>950</v>
      </c>
      <c r="X264">
        <v>22308</v>
      </c>
      <c r="Y264">
        <v>64</v>
      </c>
      <c r="Z264" t="s">
        <v>2284</v>
      </c>
      <c r="AB264" t="s">
        <v>996</v>
      </c>
      <c r="AC264" t="s">
        <v>1018</v>
      </c>
      <c r="AD264" t="s">
        <v>729</v>
      </c>
      <c r="AE264" t="s">
        <v>729</v>
      </c>
      <c r="AF264" t="s">
        <v>2285</v>
      </c>
    </row>
    <row r="265" spans="1:38">
      <c r="B265" t="s">
        <v>2286</v>
      </c>
      <c r="C265">
        <v>515</v>
      </c>
      <c r="D265" t="s">
        <v>1351</v>
      </c>
      <c r="E265" t="s">
        <v>2088</v>
      </c>
      <c r="F265" t="s">
        <v>1202</v>
      </c>
      <c r="G265" t="s">
        <v>335</v>
      </c>
      <c r="H265" t="s">
        <v>2087</v>
      </c>
      <c r="I265" t="s">
        <v>1992</v>
      </c>
      <c r="J265" t="s">
        <v>959</v>
      </c>
      <c r="N265" t="s">
        <v>1686</v>
      </c>
      <c r="T265" t="s">
        <v>1015</v>
      </c>
      <c r="U265" t="s">
        <v>2287</v>
      </c>
      <c r="V265" t="s">
        <v>2288</v>
      </c>
      <c r="W265" t="s">
        <v>950</v>
      </c>
      <c r="X265">
        <v>21658</v>
      </c>
      <c r="Y265">
        <v>66</v>
      </c>
      <c r="Z265" t="s">
        <v>2289</v>
      </c>
      <c r="AB265" t="s">
        <v>996</v>
      </c>
      <c r="AC265" t="s">
        <v>1018</v>
      </c>
      <c r="AD265" t="s">
        <v>1494</v>
      </c>
      <c r="AE265" t="s">
        <v>1494</v>
      </c>
      <c r="AF265" t="s">
        <v>2290</v>
      </c>
    </row>
    <row r="266" spans="1:38">
      <c r="B266" t="s">
        <v>2291</v>
      </c>
      <c r="C266">
        <v>517</v>
      </c>
      <c r="D266" t="s">
        <v>1351</v>
      </c>
      <c r="E266" t="s">
        <v>2088</v>
      </c>
      <c r="F266" t="s">
        <v>1202</v>
      </c>
      <c r="G266" t="s">
        <v>335</v>
      </c>
      <c r="H266" t="s">
        <v>2087</v>
      </c>
      <c r="I266" t="s">
        <v>1992</v>
      </c>
      <c r="J266" t="s">
        <v>959</v>
      </c>
      <c r="N266" t="s">
        <v>1686</v>
      </c>
      <c r="T266" t="s">
        <v>1015</v>
      </c>
      <c r="U266" t="s">
        <v>2292</v>
      </c>
      <c r="V266" t="s">
        <v>2293</v>
      </c>
      <c r="W266" t="s">
        <v>950</v>
      </c>
      <c r="X266">
        <v>22747</v>
      </c>
      <c r="Y266">
        <v>63</v>
      </c>
      <c r="Z266" t="s">
        <v>2294</v>
      </c>
      <c r="AB266" t="s">
        <v>996</v>
      </c>
      <c r="AC266" t="s">
        <v>1018</v>
      </c>
      <c r="AD266" t="s">
        <v>729</v>
      </c>
      <c r="AE266" t="s">
        <v>729</v>
      </c>
      <c r="AF266" t="s">
        <v>2295</v>
      </c>
    </row>
    <row r="267" spans="1:38">
      <c r="B267" t="s">
        <v>2296</v>
      </c>
      <c r="C267">
        <v>519</v>
      </c>
      <c r="D267" t="s">
        <v>1351</v>
      </c>
      <c r="E267" t="s">
        <v>2088</v>
      </c>
      <c r="F267" t="s">
        <v>1202</v>
      </c>
      <c r="G267" t="s">
        <v>335</v>
      </c>
      <c r="H267" t="s">
        <v>2087</v>
      </c>
      <c r="I267" t="s">
        <v>1992</v>
      </c>
      <c r="J267" t="s">
        <v>959</v>
      </c>
      <c r="N267" t="s">
        <v>1686</v>
      </c>
      <c r="T267" t="s">
        <v>1015</v>
      </c>
      <c r="U267" t="s">
        <v>2297</v>
      </c>
      <c r="V267" t="s">
        <v>2298</v>
      </c>
      <c r="W267" t="s">
        <v>950</v>
      </c>
      <c r="X267">
        <v>26824</v>
      </c>
      <c r="Y267">
        <v>52</v>
      </c>
      <c r="Z267" t="s">
        <v>2299</v>
      </c>
      <c r="AB267" t="s">
        <v>996</v>
      </c>
      <c r="AC267" t="s">
        <v>1018</v>
      </c>
      <c r="AD267" t="s">
        <v>729</v>
      </c>
      <c r="AE267" t="s">
        <v>729</v>
      </c>
      <c r="AF267" t="s">
        <v>2300</v>
      </c>
    </row>
    <row r="268" spans="1:38">
      <c r="A268">
        <v>296</v>
      </c>
      <c r="B268" t="s">
        <v>2301</v>
      </c>
      <c r="C268">
        <v>521</v>
      </c>
      <c r="D268" t="s">
        <v>1351</v>
      </c>
      <c r="E268" t="s">
        <v>2088</v>
      </c>
      <c r="F268" t="s">
        <v>1202</v>
      </c>
      <c r="G268" t="s">
        <v>335</v>
      </c>
      <c r="H268" t="s">
        <v>2087</v>
      </c>
      <c r="I268" t="s">
        <v>2301</v>
      </c>
      <c r="J268" t="s">
        <v>2302</v>
      </c>
      <c r="N268" t="s">
        <v>2303</v>
      </c>
      <c r="P268" t="s">
        <v>1455</v>
      </c>
      <c r="Q268" t="s">
        <v>178</v>
      </c>
      <c r="S268">
        <v>2</v>
      </c>
      <c r="T268" t="s">
        <v>992</v>
      </c>
      <c r="U268" t="s">
        <v>2304</v>
      </c>
      <c r="V268" t="s">
        <v>2305</v>
      </c>
      <c r="W268" t="s">
        <v>950</v>
      </c>
      <c r="X268">
        <v>35142</v>
      </c>
      <c r="Y268">
        <v>29</v>
      </c>
      <c r="AA268" t="s">
        <v>2306</v>
      </c>
      <c r="AB268" t="s">
        <v>996</v>
      </c>
      <c r="AC268" t="s">
        <v>997</v>
      </c>
      <c r="AD268" t="s">
        <v>729</v>
      </c>
      <c r="AE268" t="s">
        <v>729</v>
      </c>
      <c r="AF268" t="s">
        <v>1252</v>
      </c>
      <c r="AI268" t="s">
        <v>1107</v>
      </c>
      <c r="AL268" t="s">
        <v>1259</v>
      </c>
    </row>
    <row r="269" spans="1:38">
      <c r="A269">
        <v>279</v>
      </c>
      <c r="B269" t="s">
        <v>2302</v>
      </c>
      <c r="C269">
        <v>523</v>
      </c>
      <c r="D269" t="s">
        <v>1351</v>
      </c>
      <c r="E269" t="s">
        <v>2088</v>
      </c>
      <c r="F269" t="s">
        <v>1202</v>
      </c>
      <c r="G269" t="s">
        <v>335</v>
      </c>
      <c r="H269" t="s">
        <v>2087</v>
      </c>
      <c r="I269" t="s">
        <v>2301</v>
      </c>
      <c r="J269" t="s">
        <v>2302</v>
      </c>
      <c r="N269" t="s">
        <v>2303</v>
      </c>
      <c r="P269" t="s">
        <v>69</v>
      </c>
      <c r="Q269" t="s">
        <v>562</v>
      </c>
      <c r="S269">
        <v>4</v>
      </c>
      <c r="T269" t="s">
        <v>992</v>
      </c>
      <c r="U269" t="s">
        <v>344</v>
      </c>
      <c r="V269" t="s">
        <v>2307</v>
      </c>
      <c r="W269" t="s">
        <v>950</v>
      </c>
      <c r="X269">
        <v>38170</v>
      </c>
      <c r="Y269">
        <v>21</v>
      </c>
      <c r="Z269" t="s">
        <v>2308</v>
      </c>
      <c r="AA269" t="s">
        <v>2309</v>
      </c>
      <c r="AB269" t="s">
        <v>996</v>
      </c>
      <c r="AC269" t="s">
        <v>997</v>
      </c>
      <c r="AD269" t="s">
        <v>729</v>
      </c>
      <c r="AE269" t="s">
        <v>729</v>
      </c>
      <c r="AF269" t="s">
        <v>1808</v>
      </c>
      <c r="AH269" t="s">
        <v>2310</v>
      </c>
      <c r="AI269" t="s">
        <v>1318</v>
      </c>
      <c r="AK269">
        <v>-6</v>
      </c>
    </row>
    <row r="270" spans="1:38">
      <c r="A270">
        <v>289</v>
      </c>
      <c r="B270" t="s">
        <v>2311</v>
      </c>
      <c r="C270">
        <v>525</v>
      </c>
      <c r="D270" t="s">
        <v>1351</v>
      </c>
      <c r="E270" t="s">
        <v>2088</v>
      </c>
      <c r="F270" t="s">
        <v>1202</v>
      </c>
      <c r="G270" t="s">
        <v>335</v>
      </c>
      <c r="H270" t="s">
        <v>2087</v>
      </c>
      <c r="I270" t="s">
        <v>2301</v>
      </c>
      <c r="J270" t="s">
        <v>2302</v>
      </c>
      <c r="N270" t="s">
        <v>2303</v>
      </c>
      <c r="P270" t="s">
        <v>69</v>
      </c>
      <c r="Q270" t="s">
        <v>562</v>
      </c>
      <c r="S270">
        <v>1</v>
      </c>
      <c r="T270" t="s">
        <v>992</v>
      </c>
      <c r="U270" t="s">
        <v>431</v>
      </c>
      <c r="V270" t="s">
        <v>2312</v>
      </c>
      <c r="W270" t="s">
        <v>950</v>
      </c>
      <c r="X270">
        <v>36581</v>
      </c>
      <c r="Y270">
        <v>25</v>
      </c>
      <c r="Z270" t="s">
        <v>2313</v>
      </c>
      <c r="AA270" t="s">
        <v>2314</v>
      </c>
      <c r="AB270" t="s">
        <v>996</v>
      </c>
      <c r="AC270" t="s">
        <v>997</v>
      </c>
      <c r="AD270" t="s">
        <v>729</v>
      </c>
      <c r="AE270" t="s">
        <v>729</v>
      </c>
      <c r="AF270" t="s">
        <v>2185</v>
      </c>
      <c r="AI270" t="s">
        <v>1513</v>
      </c>
      <c r="AK270">
        <v>-4</v>
      </c>
    </row>
    <row r="271" spans="1:38">
      <c r="B271" t="s">
        <v>2315</v>
      </c>
      <c r="C271">
        <v>527</v>
      </c>
      <c r="D271" t="s">
        <v>1351</v>
      </c>
      <c r="E271" t="s">
        <v>2088</v>
      </c>
      <c r="F271" t="s">
        <v>1202</v>
      </c>
      <c r="G271" t="s">
        <v>335</v>
      </c>
      <c r="H271" t="s">
        <v>2087</v>
      </c>
      <c r="I271" t="s">
        <v>2301</v>
      </c>
      <c r="J271" t="s">
        <v>2302</v>
      </c>
      <c r="N271" t="s">
        <v>2303</v>
      </c>
      <c r="T271" t="s">
        <v>992</v>
      </c>
      <c r="U271" t="s">
        <v>2316</v>
      </c>
      <c r="V271" t="s">
        <v>2317</v>
      </c>
      <c r="W271" t="s">
        <v>950</v>
      </c>
      <c r="X271">
        <v>36047</v>
      </c>
      <c r="Y271">
        <v>27</v>
      </c>
      <c r="Z271" t="s">
        <v>2318</v>
      </c>
      <c r="AB271" t="s">
        <v>996</v>
      </c>
      <c r="AC271" t="s">
        <v>1018</v>
      </c>
      <c r="AD271" t="s">
        <v>729</v>
      </c>
      <c r="AE271" t="s">
        <v>729</v>
      </c>
      <c r="AF271" t="s">
        <v>2319</v>
      </c>
    </row>
    <row r="272" spans="1:38">
      <c r="B272" t="s">
        <v>2320</v>
      </c>
      <c r="C272">
        <v>529</v>
      </c>
      <c r="D272" t="s">
        <v>1351</v>
      </c>
      <c r="E272" t="s">
        <v>2088</v>
      </c>
      <c r="F272" t="s">
        <v>1202</v>
      </c>
      <c r="G272" t="s">
        <v>335</v>
      </c>
      <c r="H272" t="s">
        <v>2087</v>
      </c>
      <c r="I272" t="s">
        <v>2301</v>
      </c>
      <c r="J272" t="s">
        <v>2302</v>
      </c>
      <c r="N272" t="s">
        <v>2303</v>
      </c>
      <c r="T272" t="s">
        <v>992</v>
      </c>
      <c r="U272" t="s">
        <v>2321</v>
      </c>
      <c r="V272" t="s">
        <v>2322</v>
      </c>
      <c r="W272" t="s">
        <v>950</v>
      </c>
      <c r="X272">
        <v>35543</v>
      </c>
      <c r="Y272">
        <v>28</v>
      </c>
      <c r="Z272" t="s">
        <v>2323</v>
      </c>
      <c r="AB272" t="s">
        <v>996</v>
      </c>
      <c r="AC272" t="s">
        <v>1018</v>
      </c>
      <c r="AD272" t="s">
        <v>2324</v>
      </c>
      <c r="AE272" t="s">
        <v>2325</v>
      </c>
      <c r="AF272" t="s">
        <v>2326</v>
      </c>
    </row>
    <row r="273" spans="1:40">
      <c r="B273" t="s">
        <v>2327</v>
      </c>
      <c r="C273">
        <v>531</v>
      </c>
      <c r="D273" t="s">
        <v>1351</v>
      </c>
      <c r="E273" t="s">
        <v>2088</v>
      </c>
      <c r="F273" t="s">
        <v>1202</v>
      </c>
      <c r="G273" t="s">
        <v>335</v>
      </c>
      <c r="H273" t="s">
        <v>2087</v>
      </c>
      <c r="I273" t="s">
        <v>2301</v>
      </c>
      <c r="J273" t="s">
        <v>2302</v>
      </c>
      <c r="N273" t="s">
        <v>2303</v>
      </c>
      <c r="T273" t="s">
        <v>992</v>
      </c>
      <c r="U273" t="s">
        <v>2328</v>
      </c>
      <c r="V273" t="s">
        <v>2329</v>
      </c>
      <c r="W273" t="s">
        <v>950</v>
      </c>
      <c r="X273">
        <v>20051005</v>
      </c>
      <c r="Y273">
        <v>20</v>
      </c>
      <c r="Z273" t="s">
        <v>2330</v>
      </c>
      <c r="AB273" t="s">
        <v>996</v>
      </c>
      <c r="AC273" t="s">
        <v>1018</v>
      </c>
      <c r="AD273" t="s">
        <v>729</v>
      </c>
      <c r="AE273" t="s">
        <v>729</v>
      </c>
      <c r="AF273" t="s">
        <v>2118</v>
      </c>
      <c r="AI273" t="s">
        <v>1586</v>
      </c>
    </row>
    <row r="274" spans="1:40">
      <c r="B274" t="s">
        <v>2331</v>
      </c>
      <c r="C274">
        <v>533</v>
      </c>
      <c r="D274" t="s">
        <v>1351</v>
      </c>
      <c r="E274" t="s">
        <v>2088</v>
      </c>
      <c r="F274" t="s">
        <v>1202</v>
      </c>
      <c r="G274" t="s">
        <v>335</v>
      </c>
      <c r="H274" t="s">
        <v>2087</v>
      </c>
      <c r="I274" t="s">
        <v>2301</v>
      </c>
      <c r="J274" t="s">
        <v>2302</v>
      </c>
      <c r="N274" t="s">
        <v>2303</v>
      </c>
      <c r="T274" t="s">
        <v>992</v>
      </c>
      <c r="U274" t="s">
        <v>2332</v>
      </c>
      <c r="V274" t="s">
        <v>2333</v>
      </c>
      <c r="W274" t="s">
        <v>950</v>
      </c>
      <c r="X274">
        <v>19990709</v>
      </c>
      <c r="Y274">
        <v>26</v>
      </c>
      <c r="Z274" t="s">
        <v>2334</v>
      </c>
      <c r="AB274" t="s">
        <v>996</v>
      </c>
      <c r="AC274" t="s">
        <v>1018</v>
      </c>
      <c r="AD274" t="s">
        <v>729</v>
      </c>
      <c r="AE274" t="s">
        <v>729</v>
      </c>
      <c r="AF274" t="s">
        <v>1808</v>
      </c>
      <c r="AI274" t="s">
        <v>1586</v>
      </c>
    </row>
    <row r="275" spans="1:40">
      <c r="B275" t="s">
        <v>2335</v>
      </c>
      <c r="C275">
        <v>535</v>
      </c>
      <c r="D275" t="s">
        <v>1351</v>
      </c>
      <c r="E275" t="s">
        <v>2088</v>
      </c>
      <c r="F275" t="s">
        <v>1202</v>
      </c>
      <c r="G275" t="s">
        <v>335</v>
      </c>
      <c r="H275" t="s">
        <v>2087</v>
      </c>
      <c r="I275" t="s">
        <v>2301</v>
      </c>
      <c r="J275" t="s">
        <v>2302</v>
      </c>
      <c r="N275" t="s">
        <v>2303</v>
      </c>
      <c r="T275" t="s">
        <v>992</v>
      </c>
      <c r="U275" t="s">
        <v>2336</v>
      </c>
      <c r="V275" t="s">
        <v>2337</v>
      </c>
      <c r="W275" t="s">
        <v>950</v>
      </c>
      <c r="X275">
        <v>20041205</v>
      </c>
      <c r="Y275">
        <v>21</v>
      </c>
      <c r="Z275" t="s">
        <v>2338</v>
      </c>
      <c r="AB275" t="s">
        <v>996</v>
      </c>
      <c r="AC275" t="s">
        <v>1018</v>
      </c>
      <c r="AD275" t="s">
        <v>729</v>
      </c>
      <c r="AE275" t="s">
        <v>729</v>
      </c>
      <c r="AF275" t="s">
        <v>2118</v>
      </c>
      <c r="AI275" t="s">
        <v>1586</v>
      </c>
    </row>
    <row r="276" spans="1:40">
      <c r="A276">
        <v>211</v>
      </c>
      <c r="B276" t="s">
        <v>2135</v>
      </c>
      <c r="C276">
        <v>537</v>
      </c>
      <c r="D276" t="s">
        <v>1351</v>
      </c>
      <c r="E276" t="s">
        <v>2088</v>
      </c>
      <c r="F276" t="s">
        <v>1202</v>
      </c>
      <c r="G276" t="s">
        <v>335</v>
      </c>
      <c r="H276" t="s">
        <v>2087</v>
      </c>
      <c r="I276" t="s">
        <v>2135</v>
      </c>
      <c r="J276" t="s">
        <v>2339</v>
      </c>
      <c r="N276" t="s">
        <v>2340</v>
      </c>
      <c r="P276" t="s">
        <v>1455</v>
      </c>
      <c r="Q276" t="s">
        <v>562</v>
      </c>
      <c r="S276">
        <v>0</v>
      </c>
      <c r="T276" t="s">
        <v>1015</v>
      </c>
      <c r="U276" t="s">
        <v>402</v>
      </c>
      <c r="V276" t="s">
        <v>2341</v>
      </c>
      <c r="W276" t="s">
        <v>950</v>
      </c>
      <c r="X276">
        <v>31415</v>
      </c>
      <c r="Y276">
        <v>40</v>
      </c>
      <c r="Z276" t="s">
        <v>2342</v>
      </c>
      <c r="AA276" t="s">
        <v>2343</v>
      </c>
      <c r="AB276" t="s">
        <v>996</v>
      </c>
      <c r="AC276" t="s">
        <v>997</v>
      </c>
      <c r="AD276" t="s">
        <v>729</v>
      </c>
      <c r="AE276" t="s">
        <v>729</v>
      </c>
      <c r="AF276" t="s">
        <v>2118</v>
      </c>
      <c r="AI276" t="s">
        <v>1612</v>
      </c>
      <c r="AK276">
        <v>-6</v>
      </c>
    </row>
    <row r="277" spans="1:40">
      <c r="A277">
        <v>208</v>
      </c>
      <c r="B277" t="s">
        <v>2339</v>
      </c>
      <c r="C277">
        <v>539</v>
      </c>
      <c r="D277" t="s">
        <v>1351</v>
      </c>
      <c r="E277" t="s">
        <v>2088</v>
      </c>
      <c r="F277" t="s">
        <v>1202</v>
      </c>
      <c r="G277" t="s">
        <v>335</v>
      </c>
      <c r="H277" t="s">
        <v>2087</v>
      </c>
      <c r="I277" t="s">
        <v>2135</v>
      </c>
      <c r="J277" t="s">
        <v>2339</v>
      </c>
      <c r="K277" t="s">
        <v>2339</v>
      </c>
      <c r="N277" t="s">
        <v>2340</v>
      </c>
      <c r="P277" t="s">
        <v>69</v>
      </c>
      <c r="R277" t="s">
        <v>1286</v>
      </c>
      <c r="S277">
        <v>0</v>
      </c>
      <c r="T277" t="s">
        <v>1015</v>
      </c>
      <c r="U277" t="s">
        <v>645</v>
      </c>
      <c r="V277" t="s">
        <v>2344</v>
      </c>
      <c r="W277" t="s">
        <v>950</v>
      </c>
      <c r="X277">
        <v>29120</v>
      </c>
      <c r="Y277">
        <v>46</v>
      </c>
      <c r="Z277" t="s">
        <v>2345</v>
      </c>
      <c r="AA277" t="s">
        <v>2346</v>
      </c>
      <c r="AB277" t="s">
        <v>996</v>
      </c>
      <c r="AC277" t="s">
        <v>997</v>
      </c>
      <c r="AD277" t="s">
        <v>1494</v>
      </c>
      <c r="AE277" t="s">
        <v>1494</v>
      </c>
      <c r="AF277" t="s">
        <v>1623</v>
      </c>
      <c r="AI277" t="s">
        <v>1566</v>
      </c>
    </row>
    <row r="278" spans="1:40">
      <c r="B278" t="s">
        <v>2347</v>
      </c>
      <c r="C278">
        <v>541</v>
      </c>
      <c r="D278" t="s">
        <v>1351</v>
      </c>
      <c r="E278" t="s">
        <v>2088</v>
      </c>
      <c r="F278" t="s">
        <v>1202</v>
      </c>
      <c r="G278" t="s">
        <v>335</v>
      </c>
      <c r="H278" t="s">
        <v>2087</v>
      </c>
      <c r="I278" t="s">
        <v>2135</v>
      </c>
      <c r="J278" t="s">
        <v>2339</v>
      </c>
      <c r="N278" t="s">
        <v>2340</v>
      </c>
      <c r="T278" t="s">
        <v>1015</v>
      </c>
      <c r="U278" t="s">
        <v>2348</v>
      </c>
      <c r="V278" t="s">
        <v>2349</v>
      </c>
      <c r="W278" t="s">
        <v>950</v>
      </c>
      <c r="X278">
        <v>32049</v>
      </c>
      <c r="Y278">
        <v>38</v>
      </c>
      <c r="Z278" t="s">
        <v>2350</v>
      </c>
      <c r="AB278" t="s">
        <v>996</v>
      </c>
      <c r="AC278" t="s">
        <v>1018</v>
      </c>
      <c r="AD278" t="s">
        <v>729</v>
      </c>
      <c r="AE278" t="s">
        <v>729</v>
      </c>
      <c r="AF278" t="s">
        <v>2351</v>
      </c>
    </row>
    <row r="279" spans="1:40">
      <c r="B279" t="s">
        <v>2352</v>
      </c>
      <c r="C279">
        <v>543</v>
      </c>
      <c r="D279" t="s">
        <v>1351</v>
      </c>
      <c r="E279" t="s">
        <v>2088</v>
      </c>
      <c r="F279" t="s">
        <v>1202</v>
      </c>
      <c r="G279" t="s">
        <v>335</v>
      </c>
      <c r="H279" t="s">
        <v>2087</v>
      </c>
      <c r="I279" t="s">
        <v>2135</v>
      </c>
      <c r="J279" t="s">
        <v>2339</v>
      </c>
      <c r="N279" t="s">
        <v>2340</v>
      </c>
      <c r="T279" t="s">
        <v>1015</v>
      </c>
      <c r="U279" t="s">
        <v>2353</v>
      </c>
      <c r="V279" t="s">
        <v>2354</v>
      </c>
      <c r="W279" t="s">
        <v>950</v>
      </c>
      <c r="X279">
        <v>30260</v>
      </c>
      <c r="Y279">
        <v>42</v>
      </c>
      <c r="Z279" t="s">
        <v>2355</v>
      </c>
      <c r="AB279" t="s">
        <v>996</v>
      </c>
      <c r="AC279" t="s">
        <v>1018</v>
      </c>
      <c r="AD279" t="s">
        <v>729</v>
      </c>
      <c r="AE279" t="s">
        <v>729</v>
      </c>
      <c r="AF279" t="s">
        <v>2356</v>
      </c>
    </row>
    <row r="280" spans="1:40">
      <c r="B280" t="s">
        <v>2357</v>
      </c>
      <c r="C280">
        <v>545</v>
      </c>
      <c r="D280" t="s">
        <v>1351</v>
      </c>
      <c r="E280" t="s">
        <v>2088</v>
      </c>
      <c r="F280" t="s">
        <v>1202</v>
      </c>
      <c r="G280" t="s">
        <v>335</v>
      </c>
      <c r="H280" t="s">
        <v>2087</v>
      </c>
      <c r="I280" t="s">
        <v>2135</v>
      </c>
      <c r="J280" t="s">
        <v>2339</v>
      </c>
      <c r="N280" t="s">
        <v>2340</v>
      </c>
      <c r="T280" t="s">
        <v>1015</v>
      </c>
      <c r="U280" t="s">
        <v>2358</v>
      </c>
      <c r="V280" t="s">
        <v>2359</v>
      </c>
      <c r="W280" t="s">
        <v>950</v>
      </c>
      <c r="X280">
        <v>30355</v>
      </c>
      <c r="Y280">
        <v>42</v>
      </c>
      <c r="Z280" t="s">
        <v>2360</v>
      </c>
      <c r="AB280" t="s">
        <v>996</v>
      </c>
      <c r="AC280" t="s">
        <v>1018</v>
      </c>
      <c r="AD280" t="s">
        <v>729</v>
      </c>
      <c r="AE280" t="s">
        <v>729</v>
      </c>
      <c r="AF280" t="s">
        <v>2361</v>
      </c>
    </row>
    <row r="281" spans="1:40">
      <c r="B281" t="s">
        <v>2362</v>
      </c>
      <c r="C281">
        <v>547</v>
      </c>
      <c r="D281" t="s">
        <v>1233</v>
      </c>
      <c r="E281" t="s">
        <v>2088</v>
      </c>
      <c r="F281" t="s">
        <v>1202</v>
      </c>
      <c r="G281" t="s">
        <v>335</v>
      </c>
      <c r="H281" t="s">
        <v>2087</v>
      </c>
      <c r="I281" t="s">
        <v>2135</v>
      </c>
      <c r="J281" t="s">
        <v>2339</v>
      </c>
      <c r="N281" t="s">
        <v>2340</v>
      </c>
      <c r="T281" t="s">
        <v>1015</v>
      </c>
      <c r="U281" t="s">
        <v>2363</v>
      </c>
      <c r="V281" t="s">
        <v>2364</v>
      </c>
      <c r="W281" t="s">
        <v>950</v>
      </c>
      <c r="X281">
        <v>19770419</v>
      </c>
      <c r="Y281">
        <v>48</v>
      </c>
      <c r="Z281" t="s">
        <v>2365</v>
      </c>
      <c r="AB281" t="s">
        <v>996</v>
      </c>
      <c r="AC281" t="s">
        <v>1018</v>
      </c>
      <c r="AD281" t="s">
        <v>729</v>
      </c>
      <c r="AE281" t="s">
        <v>729</v>
      </c>
      <c r="AF281" t="s">
        <v>2366</v>
      </c>
      <c r="AI281" t="s">
        <v>1586</v>
      </c>
    </row>
    <row r="282" spans="1:40">
      <c r="B282" t="s">
        <v>2367</v>
      </c>
      <c r="C282">
        <v>549</v>
      </c>
      <c r="D282" t="s">
        <v>1351</v>
      </c>
      <c r="E282" t="s">
        <v>2088</v>
      </c>
      <c r="F282" t="s">
        <v>1202</v>
      </c>
      <c r="G282" t="s">
        <v>335</v>
      </c>
      <c r="H282" t="s">
        <v>2087</v>
      </c>
      <c r="I282" t="s">
        <v>2135</v>
      </c>
      <c r="J282" t="s">
        <v>2339</v>
      </c>
      <c r="N282" t="s">
        <v>2340</v>
      </c>
      <c r="T282" t="s">
        <v>1015</v>
      </c>
      <c r="U282" t="s">
        <v>2368</v>
      </c>
      <c r="V282" t="s">
        <v>2369</v>
      </c>
      <c r="W282" t="s">
        <v>950</v>
      </c>
      <c r="X282">
        <v>19820315</v>
      </c>
      <c r="Y282">
        <v>43</v>
      </c>
      <c r="Z282" t="s">
        <v>2370</v>
      </c>
      <c r="AB282" t="s">
        <v>996</v>
      </c>
      <c r="AC282" t="s">
        <v>1018</v>
      </c>
      <c r="AD282" t="s">
        <v>729</v>
      </c>
      <c r="AE282" t="s">
        <v>729</v>
      </c>
      <c r="AF282" t="s">
        <v>2371</v>
      </c>
      <c r="AI282" t="s">
        <v>1586</v>
      </c>
    </row>
    <row r="283" spans="1:40">
      <c r="A283">
        <v>252</v>
      </c>
      <c r="B283" t="s">
        <v>2372</v>
      </c>
      <c r="C283">
        <v>551</v>
      </c>
      <c r="D283" t="s">
        <v>1351</v>
      </c>
      <c r="E283" t="s">
        <v>2373</v>
      </c>
      <c r="F283" t="s">
        <v>1202</v>
      </c>
      <c r="G283" t="s">
        <v>254</v>
      </c>
      <c r="H283" t="s">
        <v>1241</v>
      </c>
      <c r="I283" t="s">
        <v>1506</v>
      </c>
      <c r="N283" t="s">
        <v>1074</v>
      </c>
      <c r="T283" t="s">
        <v>1015</v>
      </c>
      <c r="U283" t="s">
        <v>2374</v>
      </c>
      <c r="V283" t="s">
        <v>2375</v>
      </c>
      <c r="W283" t="s">
        <v>950</v>
      </c>
      <c r="X283">
        <v>22873</v>
      </c>
      <c r="Y283">
        <v>63</v>
      </c>
      <c r="Z283" t="s">
        <v>2376</v>
      </c>
      <c r="AB283" t="s">
        <v>996</v>
      </c>
      <c r="AC283" t="s">
        <v>1018</v>
      </c>
      <c r="AD283" t="s">
        <v>729</v>
      </c>
      <c r="AE283" t="s">
        <v>729</v>
      </c>
      <c r="AF283" t="s">
        <v>2377</v>
      </c>
      <c r="AG283" t="s">
        <v>1775</v>
      </c>
      <c r="AH283" t="s">
        <v>2378</v>
      </c>
      <c r="AI283" t="s">
        <v>1359</v>
      </c>
      <c r="AK283">
        <v>-6</v>
      </c>
    </row>
    <row r="284" spans="1:40">
      <c r="A284">
        <v>246</v>
      </c>
      <c r="B284" t="s">
        <v>2379</v>
      </c>
      <c r="C284">
        <v>553</v>
      </c>
      <c r="D284" t="s">
        <v>1351</v>
      </c>
      <c r="E284" t="s">
        <v>2373</v>
      </c>
      <c r="F284" t="s">
        <v>1202</v>
      </c>
      <c r="G284" t="s">
        <v>254</v>
      </c>
      <c r="H284" t="s">
        <v>1241</v>
      </c>
      <c r="I284" t="s">
        <v>1241</v>
      </c>
      <c r="N284" t="s">
        <v>1044</v>
      </c>
      <c r="T284" t="s">
        <v>1015</v>
      </c>
      <c r="U284" t="s">
        <v>2380</v>
      </c>
      <c r="V284" t="s">
        <v>2381</v>
      </c>
      <c r="W284" t="s">
        <v>950</v>
      </c>
      <c r="X284">
        <v>25538</v>
      </c>
      <c r="Y284">
        <v>56</v>
      </c>
      <c r="Z284" t="s">
        <v>2382</v>
      </c>
      <c r="AB284" t="s">
        <v>996</v>
      </c>
      <c r="AC284" t="s">
        <v>1018</v>
      </c>
      <c r="AD284" t="s">
        <v>729</v>
      </c>
      <c r="AE284" t="s">
        <v>729</v>
      </c>
      <c r="AF284" t="s">
        <v>1899</v>
      </c>
      <c r="AG284" t="s">
        <v>1775</v>
      </c>
      <c r="AH284" t="s">
        <v>2383</v>
      </c>
      <c r="AI284" t="s">
        <v>1114</v>
      </c>
      <c r="AK284">
        <v>-6</v>
      </c>
    </row>
    <row r="285" spans="1:40">
      <c r="A285">
        <v>223</v>
      </c>
      <c r="B285" t="s">
        <v>2384</v>
      </c>
      <c r="C285">
        <v>555</v>
      </c>
      <c r="D285" t="s">
        <v>1351</v>
      </c>
      <c r="E285" t="s">
        <v>2385</v>
      </c>
      <c r="F285" t="s">
        <v>1202</v>
      </c>
      <c r="G285" t="s">
        <v>30</v>
      </c>
      <c r="H285" t="s">
        <v>1202</v>
      </c>
      <c r="N285" t="s">
        <v>2386</v>
      </c>
      <c r="T285" t="s">
        <v>1015</v>
      </c>
      <c r="U285" t="s">
        <v>2387</v>
      </c>
      <c r="V285" t="s">
        <v>2388</v>
      </c>
      <c r="W285" t="s">
        <v>950</v>
      </c>
      <c r="X285">
        <v>32411</v>
      </c>
      <c r="Y285">
        <v>37</v>
      </c>
      <c r="Z285" t="s">
        <v>2389</v>
      </c>
      <c r="AB285" t="s">
        <v>996</v>
      </c>
      <c r="AC285" t="s">
        <v>1018</v>
      </c>
      <c r="AD285" t="s">
        <v>729</v>
      </c>
      <c r="AE285" t="s">
        <v>729</v>
      </c>
      <c r="AF285" t="s">
        <v>2390</v>
      </c>
      <c r="AH285" t="s">
        <v>1019</v>
      </c>
      <c r="AI285" t="s">
        <v>1114</v>
      </c>
      <c r="AK285">
        <v>-6</v>
      </c>
    </row>
    <row r="286" spans="1:40">
      <c r="A286">
        <v>253</v>
      </c>
      <c r="B286" t="s">
        <v>2391</v>
      </c>
      <c r="C286">
        <v>557</v>
      </c>
      <c r="D286" t="s">
        <v>1351</v>
      </c>
      <c r="E286" t="s">
        <v>2385</v>
      </c>
      <c r="F286" t="s">
        <v>1202</v>
      </c>
      <c r="G286" t="s">
        <v>254</v>
      </c>
      <c r="H286" t="s">
        <v>1241</v>
      </c>
      <c r="N286" t="s">
        <v>2386</v>
      </c>
      <c r="T286" t="s">
        <v>1015</v>
      </c>
      <c r="U286" t="s">
        <v>641</v>
      </c>
      <c r="V286" t="s">
        <v>2392</v>
      </c>
      <c r="W286" t="s">
        <v>950</v>
      </c>
      <c r="X286">
        <v>26817</v>
      </c>
      <c r="Y286">
        <v>52</v>
      </c>
      <c r="Z286" t="s">
        <v>2393</v>
      </c>
      <c r="AB286" t="s">
        <v>996</v>
      </c>
      <c r="AC286" t="s">
        <v>1018</v>
      </c>
      <c r="AD286" t="s">
        <v>729</v>
      </c>
      <c r="AE286" t="s">
        <v>729</v>
      </c>
      <c r="AF286" t="s">
        <v>2142</v>
      </c>
      <c r="AI286" t="s">
        <v>1513</v>
      </c>
      <c r="AK286">
        <v>-6</v>
      </c>
    </row>
    <row r="287" spans="1:40">
      <c r="A287">
        <v>25</v>
      </c>
      <c r="B287" t="s">
        <v>1051</v>
      </c>
      <c r="C287">
        <v>558</v>
      </c>
      <c r="E287" t="s">
        <v>1013</v>
      </c>
      <c r="F287" t="s">
        <v>956</v>
      </c>
      <c r="G287" t="s">
        <v>64</v>
      </c>
      <c r="H287" t="s">
        <v>956</v>
      </c>
      <c r="I287" t="s">
        <v>1042</v>
      </c>
      <c r="J287" t="s">
        <v>1043</v>
      </c>
      <c r="N287" t="s">
        <v>1044</v>
      </c>
      <c r="P287" t="s">
        <v>173</v>
      </c>
      <c r="Q287" t="s">
        <v>514</v>
      </c>
      <c r="S287" t="s">
        <v>2394</v>
      </c>
      <c r="U287" t="s">
        <v>80</v>
      </c>
      <c r="V287" t="s">
        <v>1053</v>
      </c>
      <c r="W287" t="s">
        <v>950</v>
      </c>
      <c r="X287">
        <v>31722</v>
      </c>
      <c r="Y287">
        <v>39</v>
      </c>
      <c r="Z287" t="s">
        <v>1054</v>
      </c>
      <c r="AA287" t="s">
        <v>1055</v>
      </c>
      <c r="AB287" t="s">
        <v>966</v>
      </c>
      <c r="AC287" t="s">
        <v>953</v>
      </c>
      <c r="AD287" t="s">
        <v>729</v>
      </c>
      <c r="AE287" t="s">
        <v>954</v>
      </c>
      <c r="AF287" t="s">
        <v>968</v>
      </c>
      <c r="AG287" t="s">
        <v>955</v>
      </c>
      <c r="AH287" t="s">
        <v>1056</v>
      </c>
    </row>
    <row r="288" spans="1:40">
      <c r="A288">
        <v>336</v>
      </c>
      <c r="B288" t="s">
        <v>2395</v>
      </c>
      <c r="C288">
        <v>560</v>
      </c>
      <c r="D288" t="s">
        <v>2396</v>
      </c>
      <c r="E288" t="s">
        <v>2397</v>
      </c>
      <c r="F288" t="s">
        <v>1195</v>
      </c>
      <c r="G288" t="s">
        <v>80</v>
      </c>
      <c r="H288" t="s">
        <v>1051</v>
      </c>
      <c r="I288" t="s">
        <v>2395</v>
      </c>
      <c r="J288" t="s">
        <v>2398</v>
      </c>
      <c r="N288" t="s">
        <v>1044</v>
      </c>
      <c r="P288" t="s">
        <v>55</v>
      </c>
      <c r="R288" t="s">
        <v>1286</v>
      </c>
      <c r="S288">
        <v>3</v>
      </c>
      <c r="T288" t="s">
        <v>1015</v>
      </c>
      <c r="U288" t="s">
        <v>2399</v>
      </c>
      <c r="V288" t="s">
        <v>2400</v>
      </c>
      <c r="W288" t="s">
        <v>950</v>
      </c>
      <c r="X288">
        <v>31113</v>
      </c>
      <c r="Y288">
        <v>40</v>
      </c>
      <c r="Z288" t="s">
        <v>2401</v>
      </c>
      <c r="AA288" t="s">
        <v>2402</v>
      </c>
      <c r="AB288" t="s">
        <v>996</v>
      </c>
      <c r="AC288" t="s">
        <v>997</v>
      </c>
      <c r="AD288" t="s">
        <v>729</v>
      </c>
      <c r="AE288" t="s">
        <v>729</v>
      </c>
      <c r="AF288" t="s">
        <v>2403</v>
      </c>
      <c r="AI288" t="s">
        <v>1359</v>
      </c>
      <c r="AK288">
        <v>-2</v>
      </c>
      <c r="AL288" t="s">
        <v>1052</v>
      </c>
      <c r="AM288">
        <v>1110</v>
      </c>
      <c r="AN288" t="s">
        <v>5082</v>
      </c>
    </row>
    <row r="289" spans="1:40">
      <c r="A289">
        <v>333</v>
      </c>
      <c r="B289" t="s">
        <v>2398</v>
      </c>
      <c r="C289">
        <v>562</v>
      </c>
      <c r="D289" t="s">
        <v>2396</v>
      </c>
      <c r="E289" t="s">
        <v>2397</v>
      </c>
      <c r="F289" t="s">
        <v>1195</v>
      </c>
      <c r="G289" t="s">
        <v>80</v>
      </c>
      <c r="H289" t="s">
        <v>1051</v>
      </c>
      <c r="I289" t="s">
        <v>2395</v>
      </c>
      <c r="J289" t="s">
        <v>2398</v>
      </c>
      <c r="N289" t="s">
        <v>1044</v>
      </c>
      <c r="P289" t="s">
        <v>69</v>
      </c>
      <c r="Q289" t="s">
        <v>562</v>
      </c>
      <c r="S289">
        <v>0</v>
      </c>
      <c r="T289" t="s">
        <v>1015</v>
      </c>
      <c r="U289" t="s">
        <v>699</v>
      </c>
      <c r="V289" t="s">
        <v>2404</v>
      </c>
      <c r="W289" t="s">
        <v>950</v>
      </c>
      <c r="X289">
        <v>31732</v>
      </c>
      <c r="Y289">
        <v>39</v>
      </c>
      <c r="Z289" t="s">
        <v>2405</v>
      </c>
      <c r="AA289" t="s">
        <v>2406</v>
      </c>
      <c r="AB289" t="s">
        <v>996</v>
      </c>
      <c r="AC289" t="s">
        <v>997</v>
      </c>
      <c r="AD289" t="s">
        <v>729</v>
      </c>
      <c r="AE289" t="s">
        <v>729</v>
      </c>
      <c r="AF289" t="s">
        <v>2407</v>
      </c>
      <c r="AI289" t="s">
        <v>1566</v>
      </c>
      <c r="AK289">
        <v>-2</v>
      </c>
      <c r="AL289" t="s">
        <v>1052</v>
      </c>
      <c r="AM289">
        <v>0</v>
      </c>
      <c r="AN289" t="s">
        <v>5082</v>
      </c>
    </row>
    <row r="290" spans="1:40">
      <c r="A290">
        <v>337</v>
      </c>
      <c r="B290" t="s">
        <v>2408</v>
      </c>
      <c r="C290">
        <v>564</v>
      </c>
      <c r="D290" t="s">
        <v>2396</v>
      </c>
      <c r="E290" t="s">
        <v>2397</v>
      </c>
      <c r="F290" t="s">
        <v>1195</v>
      </c>
      <c r="G290" t="s">
        <v>80</v>
      </c>
      <c r="H290" t="s">
        <v>1051</v>
      </c>
      <c r="I290" t="s">
        <v>2395</v>
      </c>
      <c r="J290" t="s">
        <v>2398</v>
      </c>
      <c r="N290" t="s">
        <v>1044</v>
      </c>
      <c r="T290" t="s">
        <v>1015</v>
      </c>
      <c r="U290" t="s">
        <v>2409</v>
      </c>
      <c r="V290" t="s">
        <v>2410</v>
      </c>
      <c r="W290" t="s">
        <v>950</v>
      </c>
      <c r="X290">
        <v>30783</v>
      </c>
      <c r="Y290">
        <v>41</v>
      </c>
      <c r="Z290" t="s">
        <v>2411</v>
      </c>
      <c r="AA290" t="s">
        <v>2412</v>
      </c>
      <c r="AB290" t="s">
        <v>996</v>
      </c>
      <c r="AC290" t="s">
        <v>997</v>
      </c>
      <c r="AD290" t="s">
        <v>729</v>
      </c>
      <c r="AE290" t="s">
        <v>729</v>
      </c>
      <c r="AF290" t="s">
        <v>2413</v>
      </c>
      <c r="AI290" t="s">
        <v>1612</v>
      </c>
      <c r="AK290">
        <v>-1</v>
      </c>
      <c r="AL290" t="s">
        <v>1052</v>
      </c>
      <c r="AM290">
        <v>2000</v>
      </c>
      <c r="AN290" t="s">
        <v>5082</v>
      </c>
    </row>
    <row r="291" spans="1:40">
      <c r="A291">
        <v>338</v>
      </c>
      <c r="B291" t="s">
        <v>2414</v>
      </c>
      <c r="C291">
        <v>566</v>
      </c>
      <c r="D291" t="s">
        <v>2396</v>
      </c>
      <c r="E291" t="s">
        <v>2397</v>
      </c>
      <c r="F291" t="s">
        <v>1195</v>
      </c>
      <c r="G291" t="s">
        <v>80</v>
      </c>
      <c r="H291" t="s">
        <v>1051</v>
      </c>
      <c r="I291" t="s">
        <v>2395</v>
      </c>
      <c r="J291" t="s">
        <v>2398</v>
      </c>
      <c r="N291" t="s">
        <v>1044</v>
      </c>
      <c r="T291" t="s">
        <v>1015</v>
      </c>
      <c r="U291" t="s">
        <v>709</v>
      </c>
      <c r="V291" t="s">
        <v>2415</v>
      </c>
      <c r="W291" t="s">
        <v>950</v>
      </c>
      <c r="X291">
        <v>32987</v>
      </c>
      <c r="Y291">
        <v>35</v>
      </c>
      <c r="Z291" t="s">
        <v>2416</v>
      </c>
      <c r="AA291" t="s">
        <v>2417</v>
      </c>
      <c r="AB291" t="s">
        <v>996</v>
      </c>
      <c r="AC291" t="s">
        <v>997</v>
      </c>
      <c r="AD291" t="s">
        <v>729</v>
      </c>
      <c r="AE291" t="s">
        <v>729</v>
      </c>
      <c r="AF291" t="s">
        <v>2418</v>
      </c>
      <c r="AI291" t="s">
        <v>1566</v>
      </c>
      <c r="AK291">
        <v>-2</v>
      </c>
      <c r="AL291" t="s">
        <v>1052</v>
      </c>
      <c r="AM291">
        <v>1000</v>
      </c>
      <c r="AN291" t="s">
        <v>5082</v>
      </c>
    </row>
    <row r="292" spans="1:40">
      <c r="A292">
        <v>335</v>
      </c>
      <c r="B292" t="s">
        <v>2419</v>
      </c>
      <c r="C292">
        <v>568</v>
      </c>
      <c r="D292" t="s">
        <v>2396</v>
      </c>
      <c r="E292" t="s">
        <v>2397</v>
      </c>
      <c r="F292" t="s">
        <v>1195</v>
      </c>
      <c r="G292" t="s">
        <v>80</v>
      </c>
      <c r="H292" t="s">
        <v>1051</v>
      </c>
      <c r="I292" t="s">
        <v>2395</v>
      </c>
      <c r="J292" t="s">
        <v>2398</v>
      </c>
      <c r="N292" t="s">
        <v>1044</v>
      </c>
      <c r="T292" t="s">
        <v>1015</v>
      </c>
      <c r="U292" t="s">
        <v>2420</v>
      </c>
      <c r="V292" t="s">
        <v>2421</v>
      </c>
      <c r="W292" t="s">
        <v>950</v>
      </c>
      <c r="X292">
        <v>35591</v>
      </c>
      <c r="Y292">
        <v>28</v>
      </c>
      <c r="Z292" t="s">
        <v>2422</v>
      </c>
      <c r="AA292" t="s">
        <v>2423</v>
      </c>
      <c r="AB292" t="s">
        <v>966</v>
      </c>
      <c r="AC292" t="s">
        <v>953</v>
      </c>
      <c r="AD292" t="s">
        <v>729</v>
      </c>
      <c r="AE292" t="s">
        <v>729</v>
      </c>
      <c r="AF292" t="s">
        <v>2424</v>
      </c>
      <c r="AI292" t="s">
        <v>1125</v>
      </c>
      <c r="AK292">
        <v>0</v>
      </c>
      <c r="AL292" t="s">
        <v>1052</v>
      </c>
      <c r="AM292">
        <v>2000</v>
      </c>
      <c r="AN292" t="s">
        <v>5082</v>
      </c>
    </row>
    <row r="293" spans="1:40">
      <c r="A293">
        <v>334</v>
      </c>
      <c r="B293" t="s">
        <v>2425</v>
      </c>
      <c r="C293">
        <v>570</v>
      </c>
      <c r="D293" t="s">
        <v>2396</v>
      </c>
      <c r="E293" t="s">
        <v>2397</v>
      </c>
      <c r="F293" t="s">
        <v>1195</v>
      </c>
      <c r="G293" t="s">
        <v>80</v>
      </c>
      <c r="H293" t="s">
        <v>1051</v>
      </c>
      <c r="I293" t="s">
        <v>2395</v>
      </c>
      <c r="J293" t="s">
        <v>2398</v>
      </c>
      <c r="N293" t="s">
        <v>1044</v>
      </c>
      <c r="T293" t="s">
        <v>1015</v>
      </c>
      <c r="U293" t="s">
        <v>2426</v>
      </c>
      <c r="V293" t="s">
        <v>2427</v>
      </c>
      <c r="W293" t="s">
        <v>950</v>
      </c>
      <c r="X293">
        <v>32267</v>
      </c>
      <c r="Y293">
        <v>37</v>
      </c>
      <c r="Z293" t="s">
        <v>2428</v>
      </c>
      <c r="AA293" t="s">
        <v>2429</v>
      </c>
      <c r="AB293" t="s">
        <v>996</v>
      </c>
      <c r="AC293" t="s">
        <v>1018</v>
      </c>
      <c r="AD293" t="s">
        <v>729</v>
      </c>
      <c r="AE293" t="s">
        <v>729</v>
      </c>
      <c r="AF293" t="s">
        <v>2424</v>
      </c>
      <c r="AH293" t="s">
        <v>2430</v>
      </c>
      <c r="AI293" t="s">
        <v>1125</v>
      </c>
      <c r="AK293">
        <v>0</v>
      </c>
      <c r="AL293" t="s">
        <v>1052</v>
      </c>
      <c r="AM293">
        <v>0</v>
      </c>
      <c r="AN293" t="s">
        <v>5082</v>
      </c>
    </row>
    <row r="294" spans="1:40">
      <c r="A294">
        <v>342</v>
      </c>
      <c r="B294" t="s">
        <v>2431</v>
      </c>
      <c r="C294">
        <v>572</v>
      </c>
      <c r="D294" t="s">
        <v>2396</v>
      </c>
      <c r="E294" t="s">
        <v>2397</v>
      </c>
      <c r="F294" t="s">
        <v>1195</v>
      </c>
      <c r="G294" t="s">
        <v>80</v>
      </c>
      <c r="H294" t="s">
        <v>1051</v>
      </c>
      <c r="I294" t="s">
        <v>2395</v>
      </c>
      <c r="J294" t="s">
        <v>2398</v>
      </c>
      <c r="N294" t="s">
        <v>1044</v>
      </c>
      <c r="T294" t="s">
        <v>1015</v>
      </c>
      <c r="U294" t="s">
        <v>700</v>
      </c>
      <c r="V294" t="s">
        <v>2432</v>
      </c>
      <c r="W294" t="s">
        <v>950</v>
      </c>
      <c r="X294" t="s">
        <v>2433</v>
      </c>
      <c r="Y294">
        <v>25</v>
      </c>
      <c r="Z294" t="s">
        <v>2434</v>
      </c>
      <c r="AA294" t="s">
        <v>2435</v>
      </c>
      <c r="AB294" t="s">
        <v>996</v>
      </c>
      <c r="AC294" t="s">
        <v>997</v>
      </c>
      <c r="AD294" t="s">
        <v>729</v>
      </c>
      <c r="AE294" t="s">
        <v>729</v>
      </c>
      <c r="AF294" t="s">
        <v>2436</v>
      </c>
      <c r="AI294" t="s">
        <v>1114</v>
      </c>
      <c r="AK294">
        <v>-2</v>
      </c>
      <c r="AL294" t="s">
        <v>1052</v>
      </c>
      <c r="AM294">
        <v>0</v>
      </c>
      <c r="AN294" t="s">
        <v>5082</v>
      </c>
    </row>
    <row r="295" spans="1:40">
      <c r="B295" t="s">
        <v>2437</v>
      </c>
      <c r="C295">
        <v>574</v>
      </c>
      <c r="D295" t="s">
        <v>2396</v>
      </c>
      <c r="E295" t="s">
        <v>2397</v>
      </c>
      <c r="F295" t="s">
        <v>1195</v>
      </c>
      <c r="G295" t="s">
        <v>80</v>
      </c>
      <c r="H295" t="s">
        <v>1051</v>
      </c>
      <c r="I295" t="s">
        <v>2395</v>
      </c>
      <c r="J295" t="s">
        <v>2398</v>
      </c>
      <c r="N295" t="s">
        <v>1044</v>
      </c>
      <c r="T295" t="s">
        <v>992</v>
      </c>
      <c r="U295" t="s">
        <v>2438</v>
      </c>
      <c r="V295" t="s">
        <v>2439</v>
      </c>
      <c r="W295" t="s">
        <v>950</v>
      </c>
      <c r="X295">
        <v>20010323</v>
      </c>
      <c r="Y295">
        <v>24</v>
      </c>
      <c r="Z295" t="s">
        <v>2440</v>
      </c>
      <c r="AB295" t="s">
        <v>996</v>
      </c>
      <c r="AC295" t="s">
        <v>1018</v>
      </c>
      <c r="AD295" t="s">
        <v>729</v>
      </c>
      <c r="AE295" t="s">
        <v>729</v>
      </c>
      <c r="AF295" t="s">
        <v>2441</v>
      </c>
      <c r="AI295" t="s">
        <v>1586</v>
      </c>
      <c r="AM295">
        <v>0</v>
      </c>
      <c r="AN295" t="s">
        <v>5082</v>
      </c>
    </row>
    <row r="296" spans="1:40">
      <c r="A296">
        <v>340</v>
      </c>
      <c r="B296" t="s">
        <v>2442</v>
      </c>
      <c r="C296">
        <v>576</v>
      </c>
      <c r="D296" t="s">
        <v>2396</v>
      </c>
      <c r="E296" t="s">
        <v>2397</v>
      </c>
      <c r="F296" t="s">
        <v>1195</v>
      </c>
      <c r="G296" t="s">
        <v>80</v>
      </c>
      <c r="H296" t="s">
        <v>1051</v>
      </c>
      <c r="I296" t="s">
        <v>2442</v>
      </c>
      <c r="J296" t="s">
        <v>2443</v>
      </c>
      <c r="N296" t="s">
        <v>1074</v>
      </c>
      <c r="P296" t="s">
        <v>69</v>
      </c>
      <c r="Q296" t="s">
        <v>69</v>
      </c>
      <c r="T296" t="s">
        <v>1015</v>
      </c>
      <c r="U296" t="s">
        <v>2444</v>
      </c>
      <c r="V296" t="s">
        <v>2445</v>
      </c>
      <c r="W296" t="s">
        <v>950</v>
      </c>
      <c r="X296">
        <v>31817</v>
      </c>
      <c r="Y296">
        <v>38</v>
      </c>
      <c r="Z296" t="s">
        <v>2446</v>
      </c>
      <c r="AA296" t="s">
        <v>2447</v>
      </c>
      <c r="AB296" t="s">
        <v>966</v>
      </c>
      <c r="AC296" t="s">
        <v>953</v>
      </c>
      <c r="AD296" t="s">
        <v>729</v>
      </c>
      <c r="AE296" t="s">
        <v>729</v>
      </c>
      <c r="AF296" t="s">
        <v>2448</v>
      </c>
      <c r="AI296" t="s">
        <v>1349</v>
      </c>
      <c r="AK296">
        <v>-2</v>
      </c>
      <c r="AM296">
        <v>1000</v>
      </c>
      <c r="AN296" t="s">
        <v>5082</v>
      </c>
    </row>
    <row r="297" spans="1:40">
      <c r="A297">
        <v>322</v>
      </c>
      <c r="B297" t="s">
        <v>2443</v>
      </c>
      <c r="C297">
        <v>578</v>
      </c>
      <c r="D297" t="s">
        <v>2396</v>
      </c>
      <c r="E297" t="s">
        <v>2397</v>
      </c>
      <c r="F297" t="s">
        <v>1195</v>
      </c>
      <c r="G297" t="s">
        <v>80</v>
      </c>
      <c r="H297" t="s">
        <v>1051</v>
      </c>
      <c r="I297" t="s">
        <v>2442</v>
      </c>
      <c r="J297" t="s">
        <v>2443</v>
      </c>
      <c r="N297" t="s">
        <v>1074</v>
      </c>
      <c r="P297" t="s">
        <v>69</v>
      </c>
      <c r="Q297" t="s">
        <v>178</v>
      </c>
      <c r="T297" t="s">
        <v>1015</v>
      </c>
      <c r="U297" t="s">
        <v>2449</v>
      </c>
      <c r="V297" t="s">
        <v>2450</v>
      </c>
      <c r="W297" t="s">
        <v>950</v>
      </c>
      <c r="X297">
        <v>29346</v>
      </c>
      <c r="Y297">
        <v>45</v>
      </c>
      <c r="Z297" t="s">
        <v>2451</v>
      </c>
      <c r="AA297" t="s">
        <v>2452</v>
      </c>
      <c r="AB297" t="s">
        <v>966</v>
      </c>
      <c r="AC297" t="s">
        <v>953</v>
      </c>
      <c r="AD297" t="s">
        <v>729</v>
      </c>
      <c r="AE297" t="s">
        <v>729</v>
      </c>
      <c r="AF297" t="s">
        <v>2453</v>
      </c>
      <c r="AI297" t="s">
        <v>1440</v>
      </c>
      <c r="AM297">
        <v>1000</v>
      </c>
      <c r="AN297" t="s">
        <v>5082</v>
      </c>
    </row>
    <row r="298" spans="1:40">
      <c r="A298">
        <v>341</v>
      </c>
      <c r="B298" t="s">
        <v>2454</v>
      </c>
      <c r="C298">
        <v>580</v>
      </c>
      <c r="D298" t="s">
        <v>2396</v>
      </c>
      <c r="E298" t="s">
        <v>2397</v>
      </c>
      <c r="F298" t="s">
        <v>1195</v>
      </c>
      <c r="G298" t="s">
        <v>80</v>
      </c>
      <c r="H298" t="s">
        <v>1051</v>
      </c>
      <c r="I298" t="s">
        <v>2442</v>
      </c>
      <c r="J298" t="s">
        <v>2443</v>
      </c>
      <c r="N298" t="s">
        <v>1074</v>
      </c>
      <c r="T298" t="s">
        <v>1015</v>
      </c>
      <c r="U298" t="s">
        <v>649</v>
      </c>
      <c r="V298" t="s">
        <v>2455</v>
      </c>
      <c r="W298" t="s">
        <v>950</v>
      </c>
      <c r="X298">
        <v>31175</v>
      </c>
      <c r="Y298">
        <v>40</v>
      </c>
      <c r="Z298" t="s">
        <v>2456</v>
      </c>
      <c r="AA298" t="s">
        <v>2457</v>
      </c>
      <c r="AB298" t="s">
        <v>996</v>
      </c>
      <c r="AC298" t="s">
        <v>997</v>
      </c>
      <c r="AD298" t="s">
        <v>729</v>
      </c>
      <c r="AE298" t="s">
        <v>729</v>
      </c>
      <c r="AF298" t="s">
        <v>2458</v>
      </c>
      <c r="AI298" t="s">
        <v>1114</v>
      </c>
      <c r="AK298">
        <v>-2</v>
      </c>
      <c r="AL298" t="s">
        <v>1052</v>
      </c>
      <c r="AM298">
        <v>1000</v>
      </c>
      <c r="AN298" t="s">
        <v>5082</v>
      </c>
    </row>
    <row r="299" spans="1:40">
      <c r="A299">
        <v>343</v>
      </c>
      <c r="B299" t="s">
        <v>2459</v>
      </c>
      <c r="C299">
        <v>582</v>
      </c>
      <c r="D299" t="s">
        <v>2396</v>
      </c>
      <c r="E299" t="s">
        <v>2397</v>
      </c>
      <c r="F299" t="s">
        <v>1195</v>
      </c>
      <c r="G299" t="s">
        <v>80</v>
      </c>
      <c r="H299" t="s">
        <v>1051</v>
      </c>
      <c r="I299" t="s">
        <v>2442</v>
      </c>
      <c r="J299" t="s">
        <v>2443</v>
      </c>
      <c r="N299" t="s">
        <v>1074</v>
      </c>
      <c r="P299" t="s">
        <v>69</v>
      </c>
      <c r="Q299" t="s">
        <v>562</v>
      </c>
      <c r="S299">
        <v>0</v>
      </c>
      <c r="T299" t="s">
        <v>1015</v>
      </c>
      <c r="U299" t="s">
        <v>388</v>
      </c>
      <c r="V299" t="s">
        <v>2460</v>
      </c>
      <c r="W299" t="s">
        <v>950</v>
      </c>
      <c r="X299">
        <v>30447</v>
      </c>
      <c r="Y299">
        <v>42</v>
      </c>
      <c r="Z299" t="s">
        <v>2461</v>
      </c>
      <c r="AA299" t="s">
        <v>2462</v>
      </c>
      <c r="AB299" t="s">
        <v>996</v>
      </c>
      <c r="AC299" t="s">
        <v>997</v>
      </c>
      <c r="AD299" t="s">
        <v>729</v>
      </c>
      <c r="AE299" t="s">
        <v>729</v>
      </c>
      <c r="AF299" t="s">
        <v>2463</v>
      </c>
      <c r="AI299" t="s">
        <v>1318</v>
      </c>
      <c r="AK299">
        <v>-2</v>
      </c>
      <c r="AL299" t="s">
        <v>1052</v>
      </c>
      <c r="AM299">
        <v>0</v>
      </c>
      <c r="AN299" t="s">
        <v>5082</v>
      </c>
    </row>
    <row r="300" spans="1:40">
      <c r="A300">
        <v>317</v>
      </c>
      <c r="B300" t="s">
        <v>2464</v>
      </c>
      <c r="C300">
        <v>584</v>
      </c>
      <c r="D300" t="s">
        <v>2396</v>
      </c>
      <c r="E300" t="s">
        <v>2397</v>
      </c>
      <c r="F300" t="s">
        <v>1195</v>
      </c>
      <c r="G300" t="s">
        <v>80</v>
      </c>
      <c r="H300" t="s">
        <v>1051</v>
      </c>
      <c r="I300" t="s">
        <v>2442</v>
      </c>
      <c r="J300" t="s">
        <v>2443</v>
      </c>
      <c r="N300" t="s">
        <v>1074</v>
      </c>
      <c r="T300" t="s">
        <v>1015</v>
      </c>
      <c r="U300" t="s">
        <v>712</v>
      </c>
      <c r="V300" t="s">
        <v>2465</v>
      </c>
      <c r="W300" t="s">
        <v>950</v>
      </c>
      <c r="X300">
        <v>30203</v>
      </c>
      <c r="Y300">
        <v>43</v>
      </c>
      <c r="Z300" t="s">
        <v>2466</v>
      </c>
      <c r="AA300" t="s">
        <v>2467</v>
      </c>
      <c r="AB300" t="s">
        <v>996</v>
      </c>
      <c r="AC300" t="s">
        <v>997</v>
      </c>
      <c r="AD300" t="s">
        <v>729</v>
      </c>
      <c r="AE300" t="s">
        <v>729</v>
      </c>
      <c r="AF300" t="s">
        <v>2468</v>
      </c>
      <c r="AI300" t="s">
        <v>1452</v>
      </c>
      <c r="AK300">
        <v>-5</v>
      </c>
      <c r="AL300" t="s">
        <v>1052</v>
      </c>
      <c r="AM300">
        <v>500</v>
      </c>
      <c r="AN300" t="s">
        <v>5082</v>
      </c>
    </row>
    <row r="301" spans="1:40">
      <c r="A301">
        <v>316</v>
      </c>
      <c r="B301" t="s">
        <v>2469</v>
      </c>
      <c r="C301">
        <v>586</v>
      </c>
      <c r="D301" t="s">
        <v>2396</v>
      </c>
      <c r="E301" t="s">
        <v>2397</v>
      </c>
      <c r="F301" t="s">
        <v>1195</v>
      </c>
      <c r="G301" t="s">
        <v>80</v>
      </c>
      <c r="H301" t="s">
        <v>1051</v>
      </c>
      <c r="I301" t="s">
        <v>2442</v>
      </c>
      <c r="J301" t="s">
        <v>2443</v>
      </c>
      <c r="N301" t="s">
        <v>1074</v>
      </c>
      <c r="T301" t="s">
        <v>1015</v>
      </c>
      <c r="U301" t="s">
        <v>704</v>
      </c>
      <c r="V301" t="s">
        <v>2470</v>
      </c>
      <c r="W301" t="s">
        <v>950</v>
      </c>
      <c r="X301">
        <v>29981</v>
      </c>
      <c r="Y301">
        <v>44</v>
      </c>
      <c r="Z301" t="s">
        <v>2471</v>
      </c>
      <c r="AA301" t="s">
        <v>2472</v>
      </c>
      <c r="AB301" t="s">
        <v>996</v>
      </c>
      <c r="AC301" t="s">
        <v>997</v>
      </c>
      <c r="AD301" t="s">
        <v>729</v>
      </c>
      <c r="AE301" t="s">
        <v>729</v>
      </c>
      <c r="AF301" t="s">
        <v>2473</v>
      </c>
      <c r="AI301" t="s">
        <v>1452</v>
      </c>
      <c r="AK301">
        <v>-1</v>
      </c>
      <c r="AL301" t="s">
        <v>1052</v>
      </c>
      <c r="AM301">
        <v>2000</v>
      </c>
      <c r="AN301" t="s">
        <v>5082</v>
      </c>
    </row>
    <row r="302" spans="1:40">
      <c r="A302">
        <v>309</v>
      </c>
      <c r="B302" t="s">
        <v>1923</v>
      </c>
      <c r="C302">
        <v>587</v>
      </c>
      <c r="E302" t="s">
        <v>2397</v>
      </c>
      <c r="F302" t="s">
        <v>1202</v>
      </c>
      <c r="G302" t="s">
        <v>30</v>
      </c>
      <c r="H302" t="s">
        <v>1051</v>
      </c>
      <c r="I302" t="s">
        <v>1912</v>
      </c>
      <c r="J302" t="s">
        <v>2474</v>
      </c>
      <c r="N302" t="s">
        <v>1115</v>
      </c>
      <c r="P302" t="s">
        <v>55</v>
      </c>
      <c r="Q302" t="s">
        <v>178</v>
      </c>
      <c r="S302" t="s">
        <v>1924</v>
      </c>
      <c r="U302" t="s">
        <v>299</v>
      </c>
      <c r="V302" t="s">
        <v>1925</v>
      </c>
      <c r="W302" t="s">
        <v>950</v>
      </c>
      <c r="X302">
        <v>22549</v>
      </c>
      <c r="Y302">
        <v>64</v>
      </c>
      <c r="Z302" t="s">
        <v>1926</v>
      </c>
      <c r="AA302" t="s">
        <v>1927</v>
      </c>
      <c r="AB302" t="s">
        <v>966</v>
      </c>
      <c r="AC302" t="s">
        <v>953</v>
      </c>
      <c r="AD302" t="s">
        <v>729</v>
      </c>
      <c r="AE302" t="s">
        <v>729</v>
      </c>
      <c r="AF302" t="s">
        <v>1928</v>
      </c>
      <c r="AG302" t="s">
        <v>955</v>
      </c>
      <c r="AI302" t="s">
        <v>1349</v>
      </c>
      <c r="AL302" t="s">
        <v>1252</v>
      </c>
    </row>
    <row r="303" spans="1:40">
      <c r="A303">
        <v>310</v>
      </c>
      <c r="B303" t="s">
        <v>2474</v>
      </c>
      <c r="C303">
        <v>589</v>
      </c>
      <c r="D303" t="s">
        <v>2396</v>
      </c>
      <c r="E303" t="s">
        <v>2397</v>
      </c>
      <c r="F303" t="s">
        <v>1195</v>
      </c>
      <c r="G303" t="s">
        <v>80</v>
      </c>
      <c r="H303" t="s">
        <v>1051</v>
      </c>
      <c r="I303" t="s">
        <v>1923</v>
      </c>
      <c r="J303" t="s">
        <v>2474</v>
      </c>
      <c r="N303" t="s">
        <v>1115</v>
      </c>
      <c r="P303" t="s">
        <v>69</v>
      </c>
      <c r="Q303" t="s">
        <v>562</v>
      </c>
      <c r="S303">
        <v>1</v>
      </c>
      <c r="T303" t="s">
        <v>1090</v>
      </c>
      <c r="U303" t="s">
        <v>617</v>
      </c>
      <c r="V303" t="s">
        <v>2475</v>
      </c>
      <c r="W303" t="s">
        <v>950</v>
      </c>
      <c r="X303">
        <v>20098</v>
      </c>
      <c r="Y303">
        <v>71</v>
      </c>
      <c r="Z303" t="s">
        <v>2476</v>
      </c>
      <c r="AA303" t="s">
        <v>2477</v>
      </c>
      <c r="AB303" t="s">
        <v>996</v>
      </c>
      <c r="AC303" t="s">
        <v>997</v>
      </c>
      <c r="AD303" t="s">
        <v>729</v>
      </c>
      <c r="AE303" t="s">
        <v>729</v>
      </c>
      <c r="AF303" t="s">
        <v>2478</v>
      </c>
      <c r="AI303" t="s">
        <v>1452</v>
      </c>
      <c r="AK303">
        <v>-5</v>
      </c>
      <c r="AL303" t="s">
        <v>1052</v>
      </c>
      <c r="AM303">
        <v>500</v>
      </c>
      <c r="AN303" t="s">
        <v>5082</v>
      </c>
    </row>
    <row r="304" spans="1:40">
      <c r="A304">
        <v>311</v>
      </c>
      <c r="B304" t="s">
        <v>2479</v>
      </c>
      <c r="C304">
        <v>591</v>
      </c>
      <c r="D304" t="s">
        <v>2396</v>
      </c>
      <c r="E304" t="s">
        <v>2397</v>
      </c>
      <c r="F304" t="s">
        <v>1195</v>
      </c>
      <c r="G304" t="s">
        <v>80</v>
      </c>
      <c r="H304" t="s">
        <v>1051</v>
      </c>
      <c r="I304" t="s">
        <v>1923</v>
      </c>
      <c r="J304" t="s">
        <v>2474</v>
      </c>
      <c r="N304" t="s">
        <v>1115</v>
      </c>
      <c r="T304" t="s">
        <v>1090</v>
      </c>
      <c r="U304" t="s">
        <v>654</v>
      </c>
      <c r="V304" t="s">
        <v>5085</v>
      </c>
      <c r="W304" t="s">
        <v>950</v>
      </c>
      <c r="X304">
        <v>15828</v>
      </c>
      <c r="Y304">
        <v>82</v>
      </c>
      <c r="Z304" t="s">
        <v>2481</v>
      </c>
      <c r="AA304" t="s">
        <v>2482</v>
      </c>
      <c r="AB304" t="s">
        <v>996</v>
      </c>
      <c r="AC304" t="s">
        <v>997</v>
      </c>
      <c r="AD304" t="s">
        <v>729</v>
      </c>
      <c r="AE304" t="s">
        <v>729</v>
      </c>
      <c r="AF304" t="s">
        <v>2483</v>
      </c>
      <c r="AI304" t="s">
        <v>1452</v>
      </c>
      <c r="AK304">
        <v>1</v>
      </c>
      <c r="AL304" t="s">
        <v>1052</v>
      </c>
      <c r="AM304">
        <v>0</v>
      </c>
      <c r="AN304" t="s">
        <v>5082</v>
      </c>
    </row>
    <row r="305" spans="1:40">
      <c r="A305">
        <v>312</v>
      </c>
      <c r="B305" t="s">
        <v>2484</v>
      </c>
      <c r="C305">
        <v>593</v>
      </c>
      <c r="D305" t="s">
        <v>2396</v>
      </c>
      <c r="E305" t="s">
        <v>2397</v>
      </c>
      <c r="F305" t="s">
        <v>1195</v>
      </c>
      <c r="G305" t="s">
        <v>80</v>
      </c>
      <c r="H305" t="s">
        <v>1051</v>
      </c>
      <c r="I305" t="s">
        <v>1923</v>
      </c>
      <c r="J305" t="s">
        <v>2474</v>
      </c>
      <c r="N305" t="s">
        <v>1115</v>
      </c>
      <c r="T305" t="s">
        <v>1090</v>
      </c>
      <c r="U305" t="s">
        <v>2485</v>
      </c>
      <c r="V305" t="s">
        <v>2486</v>
      </c>
      <c r="W305" t="s">
        <v>950</v>
      </c>
      <c r="X305" t="s">
        <v>2487</v>
      </c>
      <c r="AA305" t="s">
        <v>1575</v>
      </c>
      <c r="AB305" t="s">
        <v>996</v>
      </c>
      <c r="AC305" t="s">
        <v>1018</v>
      </c>
      <c r="AD305" t="s">
        <v>729</v>
      </c>
      <c r="AE305" t="s">
        <v>729</v>
      </c>
      <c r="AF305" t="s">
        <v>2488</v>
      </c>
      <c r="AM305">
        <v>0</v>
      </c>
      <c r="AN305" t="s">
        <v>5082</v>
      </c>
    </row>
    <row r="306" spans="1:40">
      <c r="A306">
        <v>323</v>
      </c>
      <c r="B306" t="s">
        <v>2489</v>
      </c>
      <c r="C306">
        <v>595</v>
      </c>
      <c r="D306" t="s">
        <v>2396</v>
      </c>
      <c r="E306" t="s">
        <v>2397</v>
      </c>
      <c r="F306" t="s">
        <v>1195</v>
      </c>
      <c r="G306" t="s">
        <v>80</v>
      </c>
      <c r="H306" t="s">
        <v>1051</v>
      </c>
      <c r="I306" t="s">
        <v>1923</v>
      </c>
      <c r="J306" t="s">
        <v>2474</v>
      </c>
      <c r="N306" t="s">
        <v>1115</v>
      </c>
      <c r="T306" t="s">
        <v>1090</v>
      </c>
      <c r="U306" t="s">
        <v>901</v>
      </c>
      <c r="V306" t="s">
        <v>2490</v>
      </c>
      <c r="W306" t="s">
        <v>950</v>
      </c>
      <c r="X306">
        <v>20209</v>
      </c>
      <c r="Y306">
        <v>70</v>
      </c>
      <c r="Z306" t="s">
        <v>2491</v>
      </c>
      <c r="AB306" t="s">
        <v>996</v>
      </c>
      <c r="AC306" t="s">
        <v>1018</v>
      </c>
      <c r="AD306" t="s">
        <v>729</v>
      </c>
      <c r="AE306" t="s">
        <v>729</v>
      </c>
      <c r="AF306" t="s">
        <v>2492</v>
      </c>
      <c r="AI306" t="s">
        <v>1575</v>
      </c>
      <c r="AL306" t="s">
        <v>1052</v>
      </c>
      <c r="AM306">
        <v>2700</v>
      </c>
      <c r="AN306" t="s">
        <v>5082</v>
      </c>
    </row>
    <row r="307" spans="1:40">
      <c r="A307">
        <v>314</v>
      </c>
      <c r="B307" t="s">
        <v>2493</v>
      </c>
      <c r="C307">
        <v>597</v>
      </c>
      <c r="D307" t="s">
        <v>2396</v>
      </c>
      <c r="E307" t="s">
        <v>2397</v>
      </c>
      <c r="F307" t="s">
        <v>1195</v>
      </c>
      <c r="G307" t="s">
        <v>80</v>
      </c>
      <c r="H307" t="s">
        <v>1051</v>
      </c>
      <c r="I307" t="s">
        <v>1923</v>
      </c>
      <c r="J307" t="s">
        <v>2474</v>
      </c>
      <c r="N307" t="s">
        <v>1115</v>
      </c>
      <c r="T307" t="s">
        <v>1015</v>
      </c>
      <c r="U307" t="s">
        <v>673</v>
      </c>
      <c r="V307" t="s">
        <v>2494</v>
      </c>
      <c r="W307" t="s">
        <v>950</v>
      </c>
      <c r="X307">
        <v>21451</v>
      </c>
      <c r="Y307">
        <v>67</v>
      </c>
      <c r="Z307" t="s">
        <v>2495</v>
      </c>
      <c r="AA307" t="s">
        <v>2496</v>
      </c>
      <c r="AB307" t="s">
        <v>996</v>
      </c>
      <c r="AC307" t="s">
        <v>997</v>
      </c>
      <c r="AD307" t="s">
        <v>729</v>
      </c>
      <c r="AE307" t="s">
        <v>729</v>
      </c>
      <c r="AF307" t="s">
        <v>2497</v>
      </c>
      <c r="AI307" t="s">
        <v>1452</v>
      </c>
      <c r="AK307">
        <v>2</v>
      </c>
      <c r="AL307" t="s">
        <v>1052</v>
      </c>
      <c r="AM307">
        <v>1000</v>
      </c>
      <c r="AN307" t="s">
        <v>5082</v>
      </c>
    </row>
    <row r="308" spans="1:40">
      <c r="A308">
        <v>330</v>
      </c>
      <c r="B308" t="s">
        <v>2498</v>
      </c>
      <c r="C308">
        <v>599</v>
      </c>
      <c r="D308" t="s">
        <v>2396</v>
      </c>
      <c r="E308" t="s">
        <v>2397</v>
      </c>
      <c r="F308" t="s">
        <v>1195</v>
      </c>
      <c r="G308" t="s">
        <v>80</v>
      </c>
      <c r="H308" t="s">
        <v>1051</v>
      </c>
      <c r="I308" t="s">
        <v>1923</v>
      </c>
      <c r="J308" t="s">
        <v>2474</v>
      </c>
      <c r="N308" t="s">
        <v>1115</v>
      </c>
      <c r="T308" t="s">
        <v>1015</v>
      </c>
      <c r="U308" t="s">
        <v>670</v>
      </c>
      <c r="V308" t="s">
        <v>2499</v>
      </c>
      <c r="W308" t="s">
        <v>950</v>
      </c>
      <c r="X308">
        <v>21228</v>
      </c>
      <c r="Y308">
        <v>67</v>
      </c>
      <c r="Z308" t="s">
        <v>2500</v>
      </c>
      <c r="AA308" t="s">
        <v>2501</v>
      </c>
      <c r="AB308" t="s">
        <v>996</v>
      </c>
      <c r="AC308" t="s">
        <v>997</v>
      </c>
      <c r="AD308" t="s">
        <v>729</v>
      </c>
      <c r="AE308" t="s">
        <v>729</v>
      </c>
      <c r="AF308" t="s">
        <v>2502</v>
      </c>
      <c r="AI308" t="s">
        <v>1566</v>
      </c>
      <c r="AK308">
        <v>-1</v>
      </c>
      <c r="AL308" t="s">
        <v>1052</v>
      </c>
      <c r="AM308">
        <v>3150</v>
      </c>
      <c r="AN308" t="s">
        <v>5082</v>
      </c>
    </row>
    <row r="309" spans="1:40">
      <c r="A309">
        <v>319</v>
      </c>
      <c r="B309" t="s">
        <v>2503</v>
      </c>
      <c r="C309">
        <v>601</v>
      </c>
      <c r="D309" t="s">
        <v>2396</v>
      </c>
      <c r="E309" t="s">
        <v>2397</v>
      </c>
      <c r="F309" t="s">
        <v>1195</v>
      </c>
      <c r="G309" t="s">
        <v>80</v>
      </c>
      <c r="H309" t="s">
        <v>1051</v>
      </c>
      <c r="I309" t="s">
        <v>1923</v>
      </c>
      <c r="J309" t="s">
        <v>2474</v>
      </c>
      <c r="N309" t="s">
        <v>1115</v>
      </c>
      <c r="T309" t="s">
        <v>1015</v>
      </c>
      <c r="U309" t="s">
        <v>524</v>
      </c>
      <c r="V309" t="s">
        <v>2504</v>
      </c>
      <c r="W309" t="s">
        <v>950</v>
      </c>
      <c r="X309">
        <v>20806</v>
      </c>
      <c r="Y309">
        <v>69</v>
      </c>
      <c r="Z309" t="s">
        <v>2505</v>
      </c>
      <c r="AA309" t="s">
        <v>2506</v>
      </c>
      <c r="AB309" t="s">
        <v>996</v>
      </c>
      <c r="AC309" t="s">
        <v>997</v>
      </c>
      <c r="AD309" t="s">
        <v>729</v>
      </c>
      <c r="AE309" t="s">
        <v>729</v>
      </c>
      <c r="AF309" t="s">
        <v>2507</v>
      </c>
      <c r="AI309" t="s">
        <v>1318</v>
      </c>
      <c r="AK309">
        <v>1</v>
      </c>
      <c r="AL309" t="s">
        <v>1052</v>
      </c>
      <c r="AM309">
        <v>4500</v>
      </c>
      <c r="AN309" t="s">
        <v>5082</v>
      </c>
    </row>
    <row r="310" spans="1:40">
      <c r="A310">
        <v>324</v>
      </c>
      <c r="B310" t="s">
        <v>2508</v>
      </c>
      <c r="C310">
        <v>603</v>
      </c>
      <c r="D310" t="s">
        <v>2396</v>
      </c>
      <c r="E310" t="s">
        <v>2397</v>
      </c>
      <c r="F310" t="s">
        <v>1195</v>
      </c>
      <c r="G310" t="s">
        <v>80</v>
      </c>
      <c r="H310" t="s">
        <v>1051</v>
      </c>
      <c r="I310" t="s">
        <v>1923</v>
      </c>
      <c r="J310" t="s">
        <v>2474</v>
      </c>
      <c r="N310" t="s">
        <v>1115</v>
      </c>
      <c r="T310" t="s">
        <v>1015</v>
      </c>
      <c r="U310" t="s">
        <v>614</v>
      </c>
      <c r="V310" t="s">
        <v>2509</v>
      </c>
      <c r="W310" t="s">
        <v>950</v>
      </c>
      <c r="X310">
        <v>21286</v>
      </c>
      <c r="Y310">
        <v>67</v>
      </c>
      <c r="Z310" t="s">
        <v>2510</v>
      </c>
      <c r="AA310" t="s">
        <v>2511</v>
      </c>
      <c r="AB310" t="s">
        <v>996</v>
      </c>
      <c r="AC310" t="s">
        <v>997</v>
      </c>
      <c r="AD310" t="s">
        <v>729</v>
      </c>
      <c r="AE310" t="s">
        <v>729</v>
      </c>
      <c r="AF310" t="s">
        <v>2512</v>
      </c>
      <c r="AI310" t="s">
        <v>1107</v>
      </c>
      <c r="AK310">
        <v>2</v>
      </c>
      <c r="AL310" t="s">
        <v>1052</v>
      </c>
      <c r="AM310">
        <v>3000</v>
      </c>
      <c r="AN310" t="s">
        <v>5082</v>
      </c>
    </row>
    <row r="311" spans="1:40">
      <c r="A311">
        <v>42</v>
      </c>
      <c r="B311" t="s">
        <v>2513</v>
      </c>
      <c r="C311">
        <v>605</v>
      </c>
      <c r="D311" t="s">
        <v>2396</v>
      </c>
      <c r="E311" t="s">
        <v>2397</v>
      </c>
      <c r="F311" t="s">
        <v>1195</v>
      </c>
      <c r="G311" t="s">
        <v>80</v>
      </c>
      <c r="H311" t="s">
        <v>1051</v>
      </c>
      <c r="I311" t="s">
        <v>1923</v>
      </c>
      <c r="J311" t="s">
        <v>2474</v>
      </c>
      <c r="N311" t="s">
        <v>1115</v>
      </c>
      <c r="T311" t="s">
        <v>1015</v>
      </c>
      <c r="U311" t="s">
        <v>86</v>
      </c>
      <c r="V311" t="s">
        <v>2514</v>
      </c>
      <c r="W311" t="s">
        <v>950</v>
      </c>
      <c r="X311">
        <v>22122</v>
      </c>
      <c r="Y311">
        <v>65</v>
      </c>
      <c r="Z311" t="s">
        <v>1806</v>
      </c>
      <c r="AB311" t="s">
        <v>996</v>
      </c>
      <c r="AC311" t="s">
        <v>997</v>
      </c>
      <c r="AD311" t="s">
        <v>729</v>
      </c>
      <c r="AE311" t="s">
        <v>729</v>
      </c>
      <c r="AF311" t="s">
        <v>2512</v>
      </c>
      <c r="AI311" t="s">
        <v>1359</v>
      </c>
      <c r="AK311">
        <v>2</v>
      </c>
      <c r="AM311">
        <v>0</v>
      </c>
      <c r="AN311" t="s">
        <v>5082</v>
      </c>
    </row>
    <row r="312" spans="1:40">
      <c r="A312">
        <v>43</v>
      </c>
      <c r="B312" t="s">
        <v>2515</v>
      </c>
      <c r="C312">
        <v>607</v>
      </c>
      <c r="D312" t="s">
        <v>2396</v>
      </c>
      <c r="E312" t="s">
        <v>2397</v>
      </c>
      <c r="F312" t="s">
        <v>1195</v>
      </c>
      <c r="G312" t="s">
        <v>80</v>
      </c>
      <c r="H312" t="s">
        <v>1051</v>
      </c>
      <c r="I312" t="s">
        <v>1923</v>
      </c>
      <c r="J312" t="s">
        <v>2474</v>
      </c>
      <c r="N312" t="s">
        <v>1115</v>
      </c>
      <c r="T312" t="s">
        <v>1015</v>
      </c>
      <c r="U312" t="s">
        <v>96</v>
      </c>
      <c r="V312" t="s">
        <v>2516</v>
      </c>
      <c r="W312" t="s">
        <v>950</v>
      </c>
      <c r="X312">
        <v>23214</v>
      </c>
      <c r="Y312">
        <v>62</v>
      </c>
      <c r="Z312" t="s">
        <v>2517</v>
      </c>
      <c r="AB312" t="s">
        <v>996</v>
      </c>
      <c r="AC312" t="s">
        <v>997</v>
      </c>
      <c r="AD312" t="s">
        <v>729</v>
      </c>
      <c r="AE312" t="s">
        <v>729</v>
      </c>
      <c r="AF312" t="s">
        <v>2512</v>
      </c>
      <c r="AI312" t="s">
        <v>1359</v>
      </c>
      <c r="AK312">
        <v>2</v>
      </c>
      <c r="AM312">
        <v>2100</v>
      </c>
      <c r="AN312" t="s">
        <v>5082</v>
      </c>
    </row>
    <row r="313" spans="1:40">
      <c r="A313">
        <v>44</v>
      </c>
      <c r="B313" t="s">
        <v>2518</v>
      </c>
      <c r="C313">
        <v>609</v>
      </c>
      <c r="D313" t="s">
        <v>2396</v>
      </c>
      <c r="E313" t="s">
        <v>2397</v>
      </c>
      <c r="F313" t="s">
        <v>1195</v>
      </c>
      <c r="G313" t="s">
        <v>80</v>
      </c>
      <c r="H313" t="s">
        <v>1051</v>
      </c>
      <c r="I313" t="s">
        <v>1923</v>
      </c>
      <c r="J313" t="s">
        <v>2474</v>
      </c>
      <c r="N313" t="s">
        <v>1115</v>
      </c>
      <c r="T313" t="s">
        <v>1015</v>
      </c>
      <c r="U313" t="s">
        <v>106</v>
      </c>
      <c r="V313" t="s">
        <v>2519</v>
      </c>
      <c r="W313" t="s">
        <v>950</v>
      </c>
      <c r="X313">
        <v>24232</v>
      </c>
      <c r="Y313">
        <v>59</v>
      </c>
      <c r="Z313" t="s">
        <v>2520</v>
      </c>
      <c r="AB313" t="s">
        <v>996</v>
      </c>
      <c r="AC313" t="s">
        <v>997</v>
      </c>
      <c r="AD313" t="s">
        <v>729</v>
      </c>
      <c r="AE313" t="s">
        <v>729</v>
      </c>
      <c r="AF313" t="s">
        <v>2463</v>
      </c>
      <c r="AI313" t="s">
        <v>1359</v>
      </c>
      <c r="AK313">
        <v>-2</v>
      </c>
      <c r="AM313">
        <v>0</v>
      </c>
      <c r="AN313" t="s">
        <v>5082</v>
      </c>
    </row>
    <row r="314" spans="1:40">
      <c r="A314">
        <v>339</v>
      </c>
      <c r="B314" t="s">
        <v>2521</v>
      </c>
      <c r="C314">
        <v>611</v>
      </c>
      <c r="D314" t="s">
        <v>2396</v>
      </c>
      <c r="E314" t="s">
        <v>2397</v>
      </c>
      <c r="F314" t="s">
        <v>1195</v>
      </c>
      <c r="G314" t="s">
        <v>80</v>
      </c>
      <c r="H314" t="s">
        <v>1051</v>
      </c>
      <c r="I314" t="s">
        <v>2521</v>
      </c>
      <c r="J314" t="s">
        <v>959</v>
      </c>
      <c r="N314" t="s">
        <v>1127</v>
      </c>
      <c r="P314" t="s">
        <v>1455</v>
      </c>
      <c r="Q314" t="s">
        <v>562</v>
      </c>
      <c r="S314">
        <v>1</v>
      </c>
      <c r="T314" t="s">
        <v>1015</v>
      </c>
      <c r="U314" t="s">
        <v>611</v>
      </c>
      <c r="V314" t="s">
        <v>2522</v>
      </c>
      <c r="W314" t="s">
        <v>950</v>
      </c>
      <c r="X314">
        <v>30933</v>
      </c>
      <c r="Y314">
        <v>41</v>
      </c>
      <c r="Z314" t="s">
        <v>2523</v>
      </c>
      <c r="AA314" t="s">
        <v>2524</v>
      </c>
      <c r="AB314" t="s">
        <v>996</v>
      </c>
      <c r="AC314" t="s">
        <v>997</v>
      </c>
      <c r="AD314" t="s">
        <v>729</v>
      </c>
      <c r="AE314" t="s">
        <v>729</v>
      </c>
      <c r="AF314" t="s">
        <v>2525</v>
      </c>
      <c r="AI314" t="s">
        <v>1025</v>
      </c>
      <c r="AK314" t="s">
        <v>2526</v>
      </c>
      <c r="AL314" t="s">
        <v>1052</v>
      </c>
      <c r="AM314">
        <v>0</v>
      </c>
      <c r="AN314" t="s">
        <v>5082</v>
      </c>
    </row>
    <row r="315" spans="1:40">
      <c r="A315">
        <v>313</v>
      </c>
      <c r="B315" t="s">
        <v>2527</v>
      </c>
      <c r="C315">
        <v>613</v>
      </c>
      <c r="D315" t="s">
        <v>2396</v>
      </c>
      <c r="E315" t="s">
        <v>2397</v>
      </c>
      <c r="F315" t="s">
        <v>1195</v>
      </c>
      <c r="G315" t="s">
        <v>80</v>
      </c>
      <c r="H315" t="s">
        <v>1051</v>
      </c>
      <c r="I315" t="s">
        <v>2521</v>
      </c>
      <c r="J315" t="s">
        <v>959</v>
      </c>
      <c r="N315" t="s">
        <v>1127</v>
      </c>
      <c r="T315" t="s">
        <v>1015</v>
      </c>
      <c r="U315" t="s">
        <v>2528</v>
      </c>
      <c r="V315" t="s">
        <v>2529</v>
      </c>
      <c r="W315" t="s">
        <v>950</v>
      </c>
      <c r="X315" t="s">
        <v>2530</v>
      </c>
      <c r="AA315" t="s">
        <v>1011</v>
      </c>
      <c r="AC315" t="s">
        <v>997</v>
      </c>
      <c r="AD315" t="s">
        <v>729</v>
      </c>
      <c r="AE315" t="s">
        <v>729</v>
      </c>
      <c r="AF315" t="s">
        <v>2530</v>
      </c>
      <c r="AM315">
        <v>0</v>
      </c>
      <c r="AN315" t="s">
        <v>5082</v>
      </c>
    </row>
    <row r="316" spans="1:40">
      <c r="A316">
        <v>326</v>
      </c>
      <c r="B316" t="s">
        <v>2531</v>
      </c>
      <c r="C316">
        <v>615</v>
      </c>
      <c r="D316" t="s">
        <v>2396</v>
      </c>
      <c r="E316" t="s">
        <v>2397</v>
      </c>
      <c r="F316" t="s">
        <v>1195</v>
      </c>
      <c r="G316" t="s">
        <v>80</v>
      </c>
      <c r="H316" t="s">
        <v>1051</v>
      </c>
      <c r="I316" t="s">
        <v>2521</v>
      </c>
      <c r="J316" t="s">
        <v>959</v>
      </c>
      <c r="N316" t="s">
        <v>1127</v>
      </c>
      <c r="T316" t="s">
        <v>1015</v>
      </c>
      <c r="U316" t="s">
        <v>651</v>
      </c>
      <c r="V316" t="s">
        <v>2532</v>
      </c>
      <c r="W316" t="s">
        <v>950</v>
      </c>
      <c r="X316">
        <v>26525</v>
      </c>
      <c r="Y316">
        <v>53</v>
      </c>
      <c r="Z316" t="s">
        <v>2533</v>
      </c>
      <c r="AA316" t="s">
        <v>2534</v>
      </c>
      <c r="AB316" t="s">
        <v>996</v>
      </c>
      <c r="AC316" t="s">
        <v>997</v>
      </c>
      <c r="AD316" t="s">
        <v>729</v>
      </c>
      <c r="AE316" t="s">
        <v>729</v>
      </c>
      <c r="AF316" t="s">
        <v>2535</v>
      </c>
      <c r="AI316" t="s">
        <v>1107</v>
      </c>
      <c r="AK316">
        <v>-1</v>
      </c>
      <c r="AL316" t="s">
        <v>1052</v>
      </c>
      <c r="AM316">
        <v>0</v>
      </c>
      <c r="AN316" t="s">
        <v>5082</v>
      </c>
    </row>
    <row r="317" spans="1:40">
      <c r="A317">
        <v>327</v>
      </c>
      <c r="B317" t="s">
        <v>2536</v>
      </c>
      <c r="C317">
        <v>617</v>
      </c>
      <c r="D317" t="s">
        <v>2396</v>
      </c>
      <c r="E317" t="s">
        <v>2397</v>
      </c>
      <c r="F317" t="s">
        <v>1195</v>
      </c>
      <c r="G317" t="s">
        <v>80</v>
      </c>
      <c r="H317" t="s">
        <v>1051</v>
      </c>
      <c r="I317" t="s">
        <v>2521</v>
      </c>
      <c r="J317" t="s">
        <v>959</v>
      </c>
      <c r="N317" t="s">
        <v>1127</v>
      </c>
      <c r="T317" t="s">
        <v>1015</v>
      </c>
      <c r="U317" t="s">
        <v>623</v>
      </c>
      <c r="V317" t="s">
        <v>2537</v>
      </c>
      <c r="W317" t="s">
        <v>950</v>
      </c>
      <c r="X317">
        <v>22993</v>
      </c>
      <c r="Y317">
        <v>63</v>
      </c>
      <c r="Z317" t="s">
        <v>2538</v>
      </c>
      <c r="AA317" t="s">
        <v>2539</v>
      </c>
      <c r="AB317" t="s">
        <v>996</v>
      </c>
      <c r="AC317" t="s">
        <v>997</v>
      </c>
      <c r="AD317" t="s">
        <v>729</v>
      </c>
      <c r="AE317" t="s">
        <v>729</v>
      </c>
      <c r="AF317" t="s">
        <v>2463</v>
      </c>
      <c r="AI317" t="s">
        <v>1513</v>
      </c>
      <c r="AK317">
        <v>-2</v>
      </c>
      <c r="AL317" t="s">
        <v>1052</v>
      </c>
      <c r="AM317">
        <v>0</v>
      </c>
      <c r="AN317" t="s">
        <v>5082</v>
      </c>
    </row>
    <row r="318" spans="1:40">
      <c r="A318">
        <v>328</v>
      </c>
      <c r="B318" t="s">
        <v>2540</v>
      </c>
      <c r="C318">
        <v>619</v>
      </c>
      <c r="D318" t="s">
        <v>2396</v>
      </c>
      <c r="E318" t="s">
        <v>2397</v>
      </c>
      <c r="F318" t="s">
        <v>1195</v>
      </c>
      <c r="G318" t="s">
        <v>80</v>
      </c>
      <c r="H318" t="s">
        <v>1051</v>
      </c>
      <c r="I318" t="s">
        <v>2521</v>
      </c>
      <c r="J318" t="s">
        <v>959</v>
      </c>
      <c r="N318" t="s">
        <v>1127</v>
      </c>
      <c r="T318" t="s">
        <v>1015</v>
      </c>
      <c r="U318" t="s">
        <v>678</v>
      </c>
      <c r="V318" t="s">
        <v>2541</v>
      </c>
      <c r="W318" t="s">
        <v>950</v>
      </c>
      <c r="X318">
        <v>26306</v>
      </c>
      <c r="Y318">
        <v>54</v>
      </c>
      <c r="Z318" t="s">
        <v>2542</v>
      </c>
      <c r="AA318" t="s">
        <v>2543</v>
      </c>
      <c r="AB318" t="s">
        <v>996</v>
      </c>
      <c r="AC318" t="s">
        <v>997</v>
      </c>
      <c r="AD318" t="s">
        <v>729</v>
      </c>
      <c r="AE318" t="s">
        <v>729</v>
      </c>
      <c r="AF318" t="s">
        <v>2544</v>
      </c>
      <c r="AI318" t="s">
        <v>1513</v>
      </c>
      <c r="AK318">
        <v>-1</v>
      </c>
      <c r="AL318" t="s">
        <v>1052</v>
      </c>
      <c r="AM318">
        <v>0</v>
      </c>
      <c r="AN318" t="s">
        <v>5082</v>
      </c>
    </row>
    <row r="319" spans="1:40">
      <c r="A319">
        <v>329</v>
      </c>
      <c r="B319" t="s">
        <v>2545</v>
      </c>
      <c r="C319">
        <v>621</v>
      </c>
      <c r="D319" t="s">
        <v>2396</v>
      </c>
      <c r="E319" t="s">
        <v>2397</v>
      </c>
      <c r="F319" t="s">
        <v>1195</v>
      </c>
      <c r="G319" t="s">
        <v>80</v>
      </c>
      <c r="H319" t="s">
        <v>1051</v>
      </c>
      <c r="I319" t="s">
        <v>2521</v>
      </c>
      <c r="J319" t="s">
        <v>959</v>
      </c>
      <c r="N319" t="s">
        <v>1127</v>
      </c>
      <c r="T319" t="s">
        <v>1015</v>
      </c>
      <c r="U319" t="s">
        <v>694</v>
      </c>
      <c r="V319" t="s">
        <v>2546</v>
      </c>
      <c r="W319" t="s">
        <v>950</v>
      </c>
      <c r="X319">
        <v>28381</v>
      </c>
      <c r="Y319">
        <v>48</v>
      </c>
      <c r="Z319" t="s">
        <v>2547</v>
      </c>
      <c r="AA319" t="s">
        <v>2548</v>
      </c>
      <c r="AB319" t="s">
        <v>996</v>
      </c>
      <c r="AC319" t="s">
        <v>997</v>
      </c>
      <c r="AD319" t="s">
        <v>729</v>
      </c>
      <c r="AE319" t="s">
        <v>729</v>
      </c>
      <c r="AF319" t="s">
        <v>2549</v>
      </c>
      <c r="AI319" t="s">
        <v>1513</v>
      </c>
      <c r="AK319">
        <v>-2</v>
      </c>
      <c r="AL319" t="s">
        <v>1052</v>
      </c>
      <c r="AM319">
        <v>1200</v>
      </c>
      <c r="AN319" t="s">
        <v>5082</v>
      </c>
    </row>
    <row r="320" spans="1:40">
      <c r="A320">
        <v>315</v>
      </c>
      <c r="B320" t="s">
        <v>2550</v>
      </c>
      <c r="C320">
        <v>623</v>
      </c>
      <c r="D320" t="s">
        <v>2396</v>
      </c>
      <c r="E320" t="s">
        <v>2397</v>
      </c>
      <c r="F320" t="s">
        <v>1195</v>
      </c>
      <c r="G320" t="s">
        <v>80</v>
      </c>
      <c r="H320" t="s">
        <v>1051</v>
      </c>
      <c r="I320" t="s">
        <v>2521</v>
      </c>
      <c r="J320" t="s">
        <v>959</v>
      </c>
      <c r="N320" t="s">
        <v>1127</v>
      </c>
      <c r="T320" t="s">
        <v>1015</v>
      </c>
      <c r="U320" t="s">
        <v>689</v>
      </c>
      <c r="V320" t="s">
        <v>2551</v>
      </c>
      <c r="W320" t="s">
        <v>950</v>
      </c>
      <c r="X320">
        <v>25299</v>
      </c>
      <c r="Y320">
        <v>56</v>
      </c>
      <c r="Z320" t="s">
        <v>2552</v>
      </c>
      <c r="AA320" t="s">
        <v>2553</v>
      </c>
      <c r="AB320" t="s">
        <v>996</v>
      </c>
      <c r="AC320" t="s">
        <v>997</v>
      </c>
      <c r="AD320" t="s">
        <v>729</v>
      </c>
      <c r="AE320" t="s">
        <v>729</v>
      </c>
      <c r="AF320" t="s">
        <v>2554</v>
      </c>
      <c r="AI320" t="s">
        <v>1452</v>
      </c>
      <c r="AK320">
        <v>5</v>
      </c>
      <c r="AL320" t="s">
        <v>1052</v>
      </c>
      <c r="AM320">
        <v>0</v>
      </c>
      <c r="AN320" t="s">
        <v>5082</v>
      </c>
    </row>
    <row r="321" spans="1:40">
      <c r="A321">
        <v>331</v>
      </c>
      <c r="B321" t="s">
        <v>2555</v>
      </c>
      <c r="C321">
        <v>625</v>
      </c>
      <c r="D321" t="s">
        <v>2396</v>
      </c>
      <c r="E321" t="s">
        <v>2397</v>
      </c>
      <c r="F321" t="s">
        <v>1195</v>
      </c>
      <c r="G321" t="s">
        <v>80</v>
      </c>
      <c r="H321" t="s">
        <v>1051</v>
      </c>
      <c r="I321" t="s">
        <v>2521</v>
      </c>
      <c r="J321" t="s">
        <v>959</v>
      </c>
      <c r="N321" t="s">
        <v>1127</v>
      </c>
      <c r="T321" t="s">
        <v>1015</v>
      </c>
      <c r="U321" t="s">
        <v>702</v>
      </c>
      <c r="V321" t="s">
        <v>2556</v>
      </c>
      <c r="W321" t="s">
        <v>950</v>
      </c>
      <c r="X321">
        <v>23843</v>
      </c>
      <c r="Y321">
        <v>60</v>
      </c>
      <c r="Z321" t="s">
        <v>2557</v>
      </c>
      <c r="AA321" t="s">
        <v>2558</v>
      </c>
      <c r="AB321" t="s">
        <v>996</v>
      </c>
      <c r="AC321" t="s">
        <v>1018</v>
      </c>
      <c r="AD321" t="s">
        <v>729</v>
      </c>
      <c r="AE321" t="s">
        <v>729</v>
      </c>
      <c r="AF321" t="s">
        <v>2559</v>
      </c>
      <c r="AI321" t="s">
        <v>1566</v>
      </c>
      <c r="AK321">
        <v>-2</v>
      </c>
      <c r="AL321" t="s">
        <v>1052</v>
      </c>
      <c r="AM321">
        <v>1700</v>
      </c>
      <c r="AN321" t="s">
        <v>5082</v>
      </c>
    </row>
    <row r="322" spans="1:40">
      <c r="A322">
        <v>325</v>
      </c>
      <c r="B322" t="s">
        <v>2560</v>
      </c>
      <c r="C322">
        <v>627</v>
      </c>
      <c r="D322" t="s">
        <v>2396</v>
      </c>
      <c r="E322" t="s">
        <v>2397</v>
      </c>
      <c r="F322" t="s">
        <v>1195</v>
      </c>
      <c r="G322" t="s">
        <v>80</v>
      </c>
      <c r="H322" t="s">
        <v>1051</v>
      </c>
      <c r="I322" t="s">
        <v>2521</v>
      </c>
      <c r="J322" t="s">
        <v>959</v>
      </c>
      <c r="N322" t="s">
        <v>1127</v>
      </c>
      <c r="T322" t="s">
        <v>1015</v>
      </c>
      <c r="U322" t="s">
        <v>632</v>
      </c>
      <c r="V322" t="s">
        <v>2561</v>
      </c>
      <c r="W322" t="s">
        <v>950</v>
      </c>
      <c r="X322">
        <v>26046</v>
      </c>
      <c r="Y322">
        <v>54</v>
      </c>
      <c r="Z322" t="s">
        <v>2562</v>
      </c>
      <c r="AB322" t="s">
        <v>996</v>
      </c>
      <c r="AC322" t="s">
        <v>997</v>
      </c>
      <c r="AD322" t="s">
        <v>729</v>
      </c>
      <c r="AE322" t="s">
        <v>729</v>
      </c>
      <c r="AF322" t="s">
        <v>2563</v>
      </c>
      <c r="AI322" t="s">
        <v>1107</v>
      </c>
      <c r="AK322">
        <v>-2</v>
      </c>
      <c r="AL322" t="s">
        <v>1052</v>
      </c>
      <c r="AM322">
        <v>0</v>
      </c>
      <c r="AN322" t="s">
        <v>5082</v>
      </c>
    </row>
    <row r="323" spans="1:40">
      <c r="A323">
        <v>318</v>
      </c>
      <c r="B323" t="s">
        <v>2564</v>
      </c>
      <c r="C323">
        <v>629</v>
      </c>
      <c r="D323" t="s">
        <v>2396</v>
      </c>
      <c r="E323" t="s">
        <v>2397</v>
      </c>
      <c r="F323" t="s">
        <v>1195</v>
      </c>
      <c r="G323" t="s">
        <v>80</v>
      </c>
      <c r="H323" t="s">
        <v>1051</v>
      </c>
      <c r="I323" t="s">
        <v>2521</v>
      </c>
      <c r="J323" t="s">
        <v>959</v>
      </c>
      <c r="N323" t="s">
        <v>1127</v>
      </c>
      <c r="T323" t="s">
        <v>1015</v>
      </c>
      <c r="U323" t="s">
        <v>2565</v>
      </c>
      <c r="V323" t="s">
        <v>2566</v>
      </c>
      <c r="W323" t="s">
        <v>950</v>
      </c>
      <c r="X323">
        <v>27473</v>
      </c>
      <c r="Y323">
        <v>50</v>
      </c>
      <c r="Z323" t="s">
        <v>2567</v>
      </c>
      <c r="AA323" t="s">
        <v>2568</v>
      </c>
      <c r="AB323" t="s">
        <v>996</v>
      </c>
      <c r="AC323" t="s">
        <v>997</v>
      </c>
      <c r="AD323" t="s">
        <v>729</v>
      </c>
      <c r="AE323" t="s">
        <v>729</v>
      </c>
      <c r="AF323" t="s">
        <v>2569</v>
      </c>
      <c r="AI323" t="s">
        <v>1125</v>
      </c>
      <c r="AL323" t="s">
        <v>1052</v>
      </c>
      <c r="AM323">
        <v>0</v>
      </c>
      <c r="AN323" t="s">
        <v>5082</v>
      </c>
    </row>
    <row r="324" spans="1:40">
      <c r="A324">
        <v>345</v>
      </c>
      <c r="B324" t="s">
        <v>986</v>
      </c>
      <c r="C324">
        <v>630</v>
      </c>
      <c r="E324" t="s">
        <v>2570</v>
      </c>
      <c r="F324" t="s">
        <v>956</v>
      </c>
      <c r="G324" t="s">
        <v>64</v>
      </c>
      <c r="H324" t="s">
        <v>956</v>
      </c>
      <c r="I324" t="s">
        <v>956</v>
      </c>
      <c r="N324" t="s">
        <v>1157</v>
      </c>
      <c r="P324" t="s">
        <v>173</v>
      </c>
      <c r="Q324" t="s">
        <v>178</v>
      </c>
      <c r="U324" t="s">
        <v>78</v>
      </c>
      <c r="V324" t="s">
        <v>987</v>
      </c>
      <c r="W324" t="s">
        <v>963</v>
      </c>
      <c r="X324">
        <v>33031</v>
      </c>
      <c r="Y324">
        <v>35</v>
      </c>
      <c r="Z324" t="s">
        <v>988</v>
      </c>
      <c r="AA324" t="s">
        <v>2571</v>
      </c>
      <c r="AB324" t="s">
        <v>966</v>
      </c>
      <c r="AC324" t="s">
        <v>953</v>
      </c>
      <c r="AG324" t="s">
        <v>955</v>
      </c>
    </row>
    <row r="325" spans="1:40">
      <c r="A325">
        <v>350</v>
      </c>
      <c r="B325" t="s">
        <v>2572</v>
      </c>
      <c r="C325">
        <v>632</v>
      </c>
      <c r="D325" t="s">
        <v>2396</v>
      </c>
      <c r="E325" t="s">
        <v>2570</v>
      </c>
      <c r="F325" t="s">
        <v>1195</v>
      </c>
      <c r="G325" t="s">
        <v>78</v>
      </c>
      <c r="H325" t="s">
        <v>986</v>
      </c>
      <c r="I325" t="s">
        <v>986</v>
      </c>
      <c r="J325" t="s">
        <v>2572</v>
      </c>
      <c r="N325" t="s">
        <v>1157</v>
      </c>
      <c r="P325" t="s">
        <v>69</v>
      </c>
      <c r="R325" t="s">
        <v>1286</v>
      </c>
      <c r="S325">
        <v>0</v>
      </c>
      <c r="T325" t="s">
        <v>962</v>
      </c>
      <c r="U325" t="s">
        <v>714</v>
      </c>
      <c r="V325" t="s">
        <v>2573</v>
      </c>
      <c r="W325" t="s">
        <v>963</v>
      </c>
      <c r="X325">
        <v>26765</v>
      </c>
      <c r="Y325">
        <v>52</v>
      </c>
      <c r="Z325" t="s">
        <v>2574</v>
      </c>
      <c r="AA325" t="s">
        <v>2575</v>
      </c>
      <c r="AB325" t="s">
        <v>996</v>
      </c>
      <c r="AC325" t="s">
        <v>1018</v>
      </c>
      <c r="AD325" t="s">
        <v>729</v>
      </c>
      <c r="AE325" t="s">
        <v>729</v>
      </c>
      <c r="AF325" t="s">
        <v>2576</v>
      </c>
      <c r="AI325" t="s">
        <v>1566</v>
      </c>
      <c r="AK325">
        <v>-2</v>
      </c>
      <c r="AL325" t="s">
        <v>1052</v>
      </c>
      <c r="AM325">
        <v>4450</v>
      </c>
      <c r="AN325" t="s">
        <v>5082</v>
      </c>
    </row>
    <row r="326" spans="1:40">
      <c r="A326">
        <v>347</v>
      </c>
      <c r="B326" t="s">
        <v>2577</v>
      </c>
      <c r="C326">
        <v>634</v>
      </c>
      <c r="D326" t="s">
        <v>2396</v>
      </c>
      <c r="E326" t="s">
        <v>2570</v>
      </c>
      <c r="F326" t="s">
        <v>1195</v>
      </c>
      <c r="G326" t="s">
        <v>78</v>
      </c>
      <c r="H326" t="s">
        <v>986</v>
      </c>
      <c r="I326" t="s">
        <v>986</v>
      </c>
      <c r="J326" t="s">
        <v>959</v>
      </c>
      <c r="N326" t="s">
        <v>1157</v>
      </c>
      <c r="T326" t="s">
        <v>962</v>
      </c>
      <c r="U326" t="s">
        <v>657</v>
      </c>
      <c r="V326" t="s">
        <v>2578</v>
      </c>
      <c r="W326" t="s">
        <v>963</v>
      </c>
      <c r="X326">
        <v>35402</v>
      </c>
      <c r="Y326">
        <v>29</v>
      </c>
      <c r="Z326" t="s">
        <v>2579</v>
      </c>
      <c r="AB326" t="s">
        <v>996</v>
      </c>
      <c r="AC326" t="s">
        <v>997</v>
      </c>
      <c r="AD326" t="s">
        <v>729</v>
      </c>
      <c r="AE326" t="s">
        <v>729</v>
      </c>
      <c r="AF326" t="s">
        <v>2580</v>
      </c>
      <c r="AI326" t="s">
        <v>1452</v>
      </c>
      <c r="AK326">
        <v>0</v>
      </c>
      <c r="AL326" t="s">
        <v>1052</v>
      </c>
      <c r="AM326">
        <v>0</v>
      </c>
      <c r="AN326" t="s">
        <v>5082</v>
      </c>
    </row>
    <row r="327" spans="1:40">
      <c r="A327">
        <v>348</v>
      </c>
      <c r="B327" t="s">
        <v>2581</v>
      </c>
      <c r="C327">
        <v>636</v>
      </c>
      <c r="D327" t="s">
        <v>2396</v>
      </c>
      <c r="E327" t="s">
        <v>2570</v>
      </c>
      <c r="F327" t="s">
        <v>1195</v>
      </c>
      <c r="G327" t="s">
        <v>78</v>
      </c>
      <c r="H327" t="s">
        <v>986</v>
      </c>
      <c r="I327" t="s">
        <v>986</v>
      </c>
      <c r="J327" t="s">
        <v>959</v>
      </c>
      <c r="N327" t="s">
        <v>1157</v>
      </c>
      <c r="T327" t="s">
        <v>962</v>
      </c>
      <c r="U327" t="s">
        <v>676</v>
      </c>
      <c r="V327" t="s">
        <v>2582</v>
      </c>
      <c r="W327" t="s">
        <v>963</v>
      </c>
      <c r="X327">
        <v>35555</v>
      </c>
      <c r="Y327">
        <v>28</v>
      </c>
      <c r="Z327" t="s">
        <v>2583</v>
      </c>
      <c r="AA327" t="s">
        <v>2584</v>
      </c>
      <c r="AB327" t="s">
        <v>996</v>
      </c>
      <c r="AC327" t="s">
        <v>997</v>
      </c>
      <c r="AD327" t="s">
        <v>729</v>
      </c>
      <c r="AE327" t="s">
        <v>729</v>
      </c>
      <c r="AF327" t="s">
        <v>2580</v>
      </c>
      <c r="AI327" t="s">
        <v>1452</v>
      </c>
      <c r="AK327">
        <v>0</v>
      </c>
      <c r="AL327" t="s">
        <v>1052</v>
      </c>
      <c r="AM327">
        <v>0</v>
      </c>
      <c r="AN327" t="s">
        <v>5082</v>
      </c>
    </row>
    <row r="328" spans="1:40">
      <c r="A328">
        <v>349</v>
      </c>
      <c r="B328" t="s">
        <v>2585</v>
      </c>
      <c r="C328">
        <v>638</v>
      </c>
      <c r="D328" t="s">
        <v>2396</v>
      </c>
      <c r="E328" t="s">
        <v>2570</v>
      </c>
      <c r="F328" t="s">
        <v>1195</v>
      </c>
      <c r="G328" t="s">
        <v>78</v>
      </c>
      <c r="H328" t="s">
        <v>986</v>
      </c>
      <c r="I328" t="s">
        <v>986</v>
      </c>
      <c r="J328" t="s">
        <v>959</v>
      </c>
      <c r="N328" t="s">
        <v>1157</v>
      </c>
      <c r="T328" t="s">
        <v>962</v>
      </c>
      <c r="U328" t="s">
        <v>2586</v>
      </c>
      <c r="V328" t="s">
        <v>2587</v>
      </c>
      <c r="W328" t="s">
        <v>963</v>
      </c>
      <c r="X328">
        <v>27770</v>
      </c>
      <c r="Y328">
        <v>50</v>
      </c>
      <c r="Z328" t="s">
        <v>2588</v>
      </c>
      <c r="AB328" t="s">
        <v>966</v>
      </c>
      <c r="AC328" t="s">
        <v>953</v>
      </c>
      <c r="AD328" t="s">
        <v>729</v>
      </c>
      <c r="AE328" t="s">
        <v>729</v>
      </c>
      <c r="AF328" t="s">
        <v>2589</v>
      </c>
      <c r="AI328" t="s">
        <v>1125</v>
      </c>
      <c r="AK328">
        <v>-1</v>
      </c>
      <c r="AL328" t="s">
        <v>1052</v>
      </c>
      <c r="AM328">
        <v>0</v>
      </c>
      <c r="AN328" t="s">
        <v>5082</v>
      </c>
    </row>
    <row r="329" spans="1:40">
      <c r="A329">
        <v>346</v>
      </c>
      <c r="B329" t="s">
        <v>2590</v>
      </c>
      <c r="C329">
        <v>640</v>
      </c>
      <c r="D329" t="s">
        <v>2396</v>
      </c>
      <c r="E329" t="s">
        <v>2570</v>
      </c>
      <c r="F329" t="s">
        <v>1195</v>
      </c>
      <c r="G329" t="s">
        <v>78</v>
      </c>
      <c r="H329" t="s">
        <v>986</v>
      </c>
      <c r="I329" t="s">
        <v>986</v>
      </c>
      <c r="J329" t="s">
        <v>959</v>
      </c>
      <c r="N329" t="s">
        <v>1157</v>
      </c>
      <c r="T329" t="s">
        <v>962</v>
      </c>
      <c r="U329" t="s">
        <v>288</v>
      </c>
      <c r="V329" t="s">
        <v>2591</v>
      </c>
      <c r="W329" t="s">
        <v>963</v>
      </c>
      <c r="X329">
        <v>33040</v>
      </c>
      <c r="Y329">
        <v>35</v>
      </c>
      <c r="Z329" t="s">
        <v>2592</v>
      </c>
      <c r="AA329" t="s">
        <v>2593</v>
      </c>
      <c r="AB329" t="s">
        <v>996</v>
      </c>
      <c r="AC329" t="s">
        <v>997</v>
      </c>
      <c r="AD329" t="s">
        <v>729</v>
      </c>
      <c r="AE329" t="s">
        <v>729</v>
      </c>
      <c r="AF329" t="s">
        <v>2594</v>
      </c>
      <c r="AI329" t="s">
        <v>1349</v>
      </c>
      <c r="AK329">
        <v>-2</v>
      </c>
      <c r="AL329" t="s">
        <v>1052</v>
      </c>
      <c r="AM329">
        <v>0</v>
      </c>
      <c r="AN329" t="s">
        <v>5082</v>
      </c>
    </row>
    <row r="330" spans="1:40">
      <c r="B330" t="s">
        <v>2595</v>
      </c>
      <c r="C330">
        <v>642</v>
      </c>
      <c r="D330" t="s">
        <v>2396</v>
      </c>
      <c r="E330" t="s">
        <v>2570</v>
      </c>
      <c r="F330" t="s">
        <v>1195</v>
      </c>
      <c r="G330" t="s">
        <v>78</v>
      </c>
      <c r="H330" t="s">
        <v>986</v>
      </c>
      <c r="I330" t="s">
        <v>986</v>
      </c>
      <c r="N330" t="s">
        <v>1157</v>
      </c>
      <c r="T330" t="s">
        <v>962</v>
      </c>
      <c r="U330" t="s">
        <v>2596</v>
      </c>
      <c r="V330" t="s">
        <v>2597</v>
      </c>
      <c r="W330" t="s">
        <v>963</v>
      </c>
      <c r="X330">
        <v>19791216</v>
      </c>
      <c r="Y330">
        <v>46</v>
      </c>
      <c r="Z330" t="s">
        <v>2598</v>
      </c>
      <c r="AB330" t="s">
        <v>996</v>
      </c>
      <c r="AC330" t="s">
        <v>1018</v>
      </c>
      <c r="AD330" t="s">
        <v>729</v>
      </c>
      <c r="AE330" t="s">
        <v>729</v>
      </c>
      <c r="AF330" t="s">
        <v>2599</v>
      </c>
      <c r="AI330" t="s">
        <v>1586</v>
      </c>
      <c r="AM330">
        <v>1000</v>
      </c>
      <c r="AN330" t="s">
        <v>5082</v>
      </c>
    </row>
    <row r="331" spans="1:40">
      <c r="A331">
        <v>332</v>
      </c>
      <c r="B331" t="s">
        <v>2600</v>
      </c>
      <c r="C331">
        <v>644</v>
      </c>
      <c r="D331" t="s">
        <v>2396</v>
      </c>
      <c r="E331" t="s">
        <v>2397</v>
      </c>
      <c r="F331" t="s">
        <v>1195</v>
      </c>
      <c r="G331" t="s">
        <v>80</v>
      </c>
      <c r="H331" t="s">
        <v>1051</v>
      </c>
      <c r="I331" t="s">
        <v>2600</v>
      </c>
      <c r="J331" t="s">
        <v>959</v>
      </c>
      <c r="N331" t="s">
        <v>1480</v>
      </c>
      <c r="P331" t="s">
        <v>173</v>
      </c>
      <c r="Q331" t="s">
        <v>55</v>
      </c>
      <c r="S331">
        <v>1</v>
      </c>
      <c r="T331" t="s">
        <v>1015</v>
      </c>
      <c r="U331" t="s">
        <v>610</v>
      </c>
      <c r="V331" t="s">
        <v>2601</v>
      </c>
      <c r="W331" t="s">
        <v>950</v>
      </c>
      <c r="X331">
        <v>33100</v>
      </c>
      <c r="Y331">
        <v>35</v>
      </c>
      <c r="Z331" t="s">
        <v>2602</v>
      </c>
      <c r="AA331" t="s">
        <v>2603</v>
      </c>
      <c r="AB331" t="s">
        <v>996</v>
      </c>
      <c r="AC331" t="s">
        <v>997</v>
      </c>
      <c r="AD331" t="s">
        <v>729</v>
      </c>
      <c r="AE331" t="s">
        <v>729</v>
      </c>
      <c r="AF331" t="s">
        <v>2424</v>
      </c>
      <c r="AI331" t="s">
        <v>1125</v>
      </c>
      <c r="AK331">
        <v>0</v>
      </c>
      <c r="AL331" t="s">
        <v>1052</v>
      </c>
      <c r="AM331">
        <v>5000</v>
      </c>
      <c r="AN331" t="s">
        <v>5082</v>
      </c>
    </row>
    <row r="332" spans="1:40">
      <c r="A332">
        <v>304</v>
      </c>
      <c r="B332" t="s">
        <v>2604</v>
      </c>
      <c r="C332">
        <v>646</v>
      </c>
      <c r="D332" t="s">
        <v>2396</v>
      </c>
      <c r="E332" t="s">
        <v>2605</v>
      </c>
      <c r="F332" t="s">
        <v>1195</v>
      </c>
      <c r="G332" t="s">
        <v>80</v>
      </c>
      <c r="H332" t="s">
        <v>1051</v>
      </c>
      <c r="I332" t="s">
        <v>2600</v>
      </c>
      <c r="J332" t="s">
        <v>959</v>
      </c>
      <c r="N332" t="s">
        <v>1480</v>
      </c>
      <c r="T332" t="s">
        <v>1705</v>
      </c>
      <c r="U332" t="s">
        <v>441</v>
      </c>
      <c r="V332" t="s">
        <v>2606</v>
      </c>
      <c r="W332" t="s">
        <v>950</v>
      </c>
      <c r="X332">
        <v>40254</v>
      </c>
      <c r="Y332">
        <v>15</v>
      </c>
      <c r="Z332" t="s">
        <v>2607</v>
      </c>
      <c r="AA332" t="s">
        <v>2608</v>
      </c>
      <c r="AB332" t="s">
        <v>996</v>
      </c>
      <c r="AC332" t="s">
        <v>997</v>
      </c>
      <c r="AD332" t="s">
        <v>729</v>
      </c>
      <c r="AE332" t="s">
        <v>729</v>
      </c>
      <c r="AF332" t="s">
        <v>2418</v>
      </c>
      <c r="AI332" t="s">
        <v>1566</v>
      </c>
      <c r="AK332">
        <v>-2</v>
      </c>
      <c r="AM332">
        <v>0</v>
      </c>
      <c r="AN332" t="s">
        <v>5082</v>
      </c>
    </row>
    <row r="333" spans="1:40">
      <c r="A333">
        <v>305</v>
      </c>
      <c r="B333" t="s">
        <v>2609</v>
      </c>
      <c r="C333">
        <v>648</v>
      </c>
      <c r="D333" t="s">
        <v>2396</v>
      </c>
      <c r="E333" t="s">
        <v>2605</v>
      </c>
      <c r="F333" t="s">
        <v>1195</v>
      </c>
      <c r="G333" t="s">
        <v>80</v>
      </c>
      <c r="H333" t="s">
        <v>1051</v>
      </c>
      <c r="I333" t="s">
        <v>2600</v>
      </c>
      <c r="J333" t="s">
        <v>959</v>
      </c>
      <c r="N333" t="s">
        <v>1480</v>
      </c>
      <c r="T333" t="s">
        <v>1705</v>
      </c>
      <c r="U333" t="s">
        <v>830</v>
      </c>
      <c r="V333" t="s">
        <v>2610</v>
      </c>
      <c r="W333" t="s">
        <v>963</v>
      </c>
      <c r="X333">
        <v>39891</v>
      </c>
      <c r="Y333">
        <v>16</v>
      </c>
      <c r="Z333" t="s">
        <v>2611</v>
      </c>
      <c r="AB333" t="s">
        <v>996</v>
      </c>
      <c r="AC333" t="s">
        <v>1018</v>
      </c>
      <c r="AD333" t="s">
        <v>729</v>
      </c>
      <c r="AE333" t="s">
        <v>729</v>
      </c>
      <c r="AF333" t="s">
        <v>2441</v>
      </c>
      <c r="AI333" t="s">
        <v>1575</v>
      </c>
      <c r="AK333">
        <v>-2</v>
      </c>
      <c r="AM333">
        <v>0</v>
      </c>
      <c r="AN333" t="s">
        <v>5082</v>
      </c>
    </row>
    <row r="334" spans="1:40">
      <c r="A334">
        <v>306</v>
      </c>
      <c r="B334" t="s">
        <v>2612</v>
      </c>
      <c r="C334">
        <v>650</v>
      </c>
      <c r="D334" t="s">
        <v>2396</v>
      </c>
      <c r="E334" t="s">
        <v>2605</v>
      </c>
      <c r="F334" t="s">
        <v>1195</v>
      </c>
      <c r="G334" t="s">
        <v>80</v>
      </c>
      <c r="H334" t="s">
        <v>1051</v>
      </c>
      <c r="I334" t="s">
        <v>2600</v>
      </c>
      <c r="J334" t="s">
        <v>959</v>
      </c>
      <c r="N334" t="s">
        <v>1480</v>
      </c>
      <c r="T334" t="s">
        <v>1705</v>
      </c>
      <c r="U334" t="s">
        <v>403</v>
      </c>
      <c r="V334" t="s">
        <v>2613</v>
      </c>
      <c r="W334" t="s">
        <v>963</v>
      </c>
      <c r="X334">
        <v>39236</v>
      </c>
      <c r="Y334">
        <v>18</v>
      </c>
      <c r="Z334" t="s">
        <v>2614</v>
      </c>
      <c r="AA334" t="s">
        <v>2615</v>
      </c>
      <c r="AB334" t="s">
        <v>996</v>
      </c>
      <c r="AC334" t="s">
        <v>953</v>
      </c>
      <c r="AD334" t="s">
        <v>729</v>
      </c>
      <c r="AE334" t="s">
        <v>729</v>
      </c>
      <c r="AF334" t="s">
        <v>2616</v>
      </c>
      <c r="AI334" t="s">
        <v>1025</v>
      </c>
      <c r="AM334">
        <v>0</v>
      </c>
      <c r="AN334" t="s">
        <v>5082</v>
      </c>
    </row>
    <row r="335" spans="1:40">
      <c r="B335" t="s">
        <v>2617</v>
      </c>
      <c r="C335">
        <v>652</v>
      </c>
      <c r="D335" t="s">
        <v>2396</v>
      </c>
      <c r="E335" t="s">
        <v>2605</v>
      </c>
      <c r="F335" t="s">
        <v>1195</v>
      </c>
      <c r="G335" t="s">
        <v>80</v>
      </c>
      <c r="H335" t="s">
        <v>1051</v>
      </c>
      <c r="I335" t="s">
        <v>2600</v>
      </c>
      <c r="J335" t="s">
        <v>959</v>
      </c>
      <c r="N335" t="s">
        <v>1480</v>
      </c>
      <c r="T335" t="s">
        <v>1705</v>
      </c>
      <c r="U335" t="s">
        <v>2618</v>
      </c>
      <c r="V335" t="s">
        <v>2619</v>
      </c>
      <c r="W335" t="s">
        <v>950</v>
      </c>
      <c r="X335">
        <v>20100325</v>
      </c>
      <c r="Y335">
        <v>15</v>
      </c>
      <c r="Z335" t="s">
        <v>2620</v>
      </c>
      <c r="AB335" t="s">
        <v>996</v>
      </c>
      <c r="AC335" t="s">
        <v>1018</v>
      </c>
      <c r="AD335" t="s">
        <v>2621</v>
      </c>
      <c r="AE335" t="s">
        <v>729</v>
      </c>
      <c r="AF335" t="s">
        <v>2622</v>
      </c>
      <c r="AM335">
        <v>0</v>
      </c>
      <c r="AN335" t="s">
        <v>5082</v>
      </c>
    </row>
    <row r="336" spans="1:40">
      <c r="A336">
        <v>355</v>
      </c>
      <c r="B336" t="s">
        <v>2623</v>
      </c>
      <c r="C336">
        <v>654</v>
      </c>
      <c r="D336" t="s">
        <v>1798</v>
      </c>
      <c r="E336" t="s">
        <v>2624</v>
      </c>
      <c r="F336" t="s">
        <v>1225</v>
      </c>
      <c r="G336" t="s">
        <v>185</v>
      </c>
      <c r="H336" t="s">
        <v>2623</v>
      </c>
      <c r="I336" t="s">
        <v>2623</v>
      </c>
      <c r="J336" t="s">
        <v>959</v>
      </c>
      <c r="N336" t="s">
        <v>2625</v>
      </c>
      <c r="P336" t="s">
        <v>173</v>
      </c>
      <c r="Q336" t="s">
        <v>2626</v>
      </c>
      <c r="S336" t="s">
        <v>55</v>
      </c>
      <c r="T336" t="s">
        <v>962</v>
      </c>
      <c r="U336" t="s">
        <v>185</v>
      </c>
      <c r="V336" t="s">
        <v>2627</v>
      </c>
      <c r="W336" t="s">
        <v>963</v>
      </c>
      <c r="X336">
        <v>24646</v>
      </c>
      <c r="Y336">
        <v>58</v>
      </c>
      <c r="Z336" t="s">
        <v>2628</v>
      </c>
      <c r="AA336" t="s">
        <v>2629</v>
      </c>
      <c r="AB336" t="s">
        <v>966</v>
      </c>
      <c r="AC336" t="s">
        <v>953</v>
      </c>
      <c r="AD336" t="s">
        <v>1041</v>
      </c>
      <c r="AE336" t="s">
        <v>1041</v>
      </c>
      <c r="AF336" t="s">
        <v>2630</v>
      </c>
      <c r="AI336" t="s">
        <v>1349</v>
      </c>
    </row>
    <row r="337" spans="1:35">
      <c r="A337">
        <v>356</v>
      </c>
      <c r="B337" t="s">
        <v>2631</v>
      </c>
      <c r="C337">
        <v>656</v>
      </c>
      <c r="D337" t="s">
        <v>1798</v>
      </c>
      <c r="E337" t="s">
        <v>2624</v>
      </c>
      <c r="F337" t="s">
        <v>1225</v>
      </c>
      <c r="G337" t="s">
        <v>185</v>
      </c>
      <c r="H337" t="s">
        <v>2623</v>
      </c>
      <c r="I337" t="s">
        <v>2623</v>
      </c>
      <c r="J337" t="s">
        <v>959</v>
      </c>
      <c r="N337" t="s">
        <v>2625</v>
      </c>
      <c r="S337" t="s">
        <v>2632</v>
      </c>
      <c r="T337" t="s">
        <v>962</v>
      </c>
      <c r="U337" t="s">
        <v>226</v>
      </c>
      <c r="V337" t="s">
        <v>2633</v>
      </c>
      <c r="W337" t="s">
        <v>963</v>
      </c>
      <c r="X337">
        <v>28064</v>
      </c>
      <c r="Y337">
        <v>49</v>
      </c>
      <c r="Z337" t="s">
        <v>2634</v>
      </c>
      <c r="AB337" t="s">
        <v>996</v>
      </c>
      <c r="AC337" t="s">
        <v>997</v>
      </c>
      <c r="AD337" t="s">
        <v>1041</v>
      </c>
      <c r="AE337" t="s">
        <v>1041</v>
      </c>
      <c r="AF337" t="s">
        <v>2635</v>
      </c>
      <c r="AI337" t="s">
        <v>1452</v>
      </c>
    </row>
    <row r="338" spans="1:35">
      <c r="A338">
        <v>357</v>
      </c>
      <c r="B338" t="s">
        <v>2636</v>
      </c>
      <c r="C338">
        <v>658</v>
      </c>
      <c r="D338" t="s">
        <v>1798</v>
      </c>
      <c r="E338" t="s">
        <v>2624</v>
      </c>
      <c r="F338" t="s">
        <v>1225</v>
      </c>
      <c r="G338" t="s">
        <v>185</v>
      </c>
      <c r="H338" t="s">
        <v>2623</v>
      </c>
      <c r="I338" t="s">
        <v>2623</v>
      </c>
      <c r="J338" t="s">
        <v>959</v>
      </c>
      <c r="N338" t="s">
        <v>2625</v>
      </c>
      <c r="T338" t="s">
        <v>962</v>
      </c>
      <c r="U338" t="s">
        <v>2637</v>
      </c>
      <c r="V338" t="s">
        <v>2638</v>
      </c>
      <c r="W338" t="s">
        <v>963</v>
      </c>
      <c r="X338">
        <v>28563</v>
      </c>
      <c r="Y338">
        <v>47</v>
      </c>
      <c r="Z338" t="s">
        <v>2639</v>
      </c>
      <c r="AA338" t="s">
        <v>2640</v>
      </c>
      <c r="AB338" t="s">
        <v>996</v>
      </c>
      <c r="AC338" t="s">
        <v>997</v>
      </c>
      <c r="AD338" t="s">
        <v>2069</v>
      </c>
      <c r="AE338" t="s">
        <v>2069</v>
      </c>
      <c r="AF338" t="s">
        <v>2641</v>
      </c>
      <c r="AI338" t="s">
        <v>1318</v>
      </c>
    </row>
    <row r="339" spans="1:35">
      <c r="A339">
        <v>358</v>
      </c>
      <c r="B339" t="s">
        <v>2642</v>
      </c>
      <c r="C339">
        <v>660</v>
      </c>
      <c r="D339" t="s">
        <v>1798</v>
      </c>
      <c r="E339" t="s">
        <v>2624</v>
      </c>
      <c r="F339" t="s">
        <v>1225</v>
      </c>
      <c r="G339" t="s">
        <v>185</v>
      </c>
      <c r="H339" t="s">
        <v>2623</v>
      </c>
      <c r="I339" t="s">
        <v>2623</v>
      </c>
      <c r="J339" t="s">
        <v>959</v>
      </c>
      <c r="N339" t="s">
        <v>2625</v>
      </c>
      <c r="T339" t="s">
        <v>962</v>
      </c>
      <c r="U339" t="s">
        <v>292</v>
      </c>
      <c r="V339" t="s">
        <v>2643</v>
      </c>
      <c r="W339" t="s">
        <v>963</v>
      </c>
      <c r="X339">
        <v>29749</v>
      </c>
      <c r="Y339">
        <v>44</v>
      </c>
      <c r="Z339" t="s">
        <v>2644</v>
      </c>
      <c r="AB339" t="s">
        <v>996</v>
      </c>
      <c r="AC339" t="s">
        <v>997</v>
      </c>
      <c r="AD339" t="s">
        <v>1041</v>
      </c>
      <c r="AE339" t="s">
        <v>1041</v>
      </c>
      <c r="AF339" t="s">
        <v>2645</v>
      </c>
      <c r="AI339" t="s">
        <v>1318</v>
      </c>
    </row>
    <row r="340" spans="1:35">
      <c r="A340">
        <v>359</v>
      </c>
      <c r="B340" t="s">
        <v>2646</v>
      </c>
      <c r="C340">
        <v>662</v>
      </c>
      <c r="D340" t="s">
        <v>1798</v>
      </c>
      <c r="E340" t="s">
        <v>2624</v>
      </c>
      <c r="F340" t="s">
        <v>1225</v>
      </c>
      <c r="G340" t="s">
        <v>185</v>
      </c>
      <c r="H340" t="s">
        <v>2623</v>
      </c>
      <c r="I340" t="s">
        <v>2623</v>
      </c>
      <c r="J340" t="s">
        <v>959</v>
      </c>
      <c r="N340" t="s">
        <v>2625</v>
      </c>
      <c r="T340" t="s">
        <v>1090</v>
      </c>
      <c r="U340" t="s">
        <v>306</v>
      </c>
      <c r="V340" t="s">
        <v>2647</v>
      </c>
      <c r="W340" t="s">
        <v>963</v>
      </c>
      <c r="X340">
        <v>18451</v>
      </c>
      <c r="Y340">
        <v>75</v>
      </c>
      <c r="Z340" t="s">
        <v>2648</v>
      </c>
      <c r="AB340" t="s">
        <v>996</v>
      </c>
      <c r="AC340" t="s">
        <v>997</v>
      </c>
      <c r="AD340" t="s">
        <v>1041</v>
      </c>
      <c r="AE340" t="s">
        <v>1041</v>
      </c>
      <c r="AF340" t="s">
        <v>2649</v>
      </c>
      <c r="AI340" t="s">
        <v>1359</v>
      </c>
    </row>
    <row r="341" spans="1:35">
      <c r="A341">
        <v>360</v>
      </c>
      <c r="B341" t="s">
        <v>2650</v>
      </c>
      <c r="C341">
        <v>664</v>
      </c>
      <c r="D341" t="s">
        <v>1798</v>
      </c>
      <c r="E341" t="s">
        <v>2624</v>
      </c>
      <c r="F341" t="s">
        <v>1225</v>
      </c>
      <c r="G341" t="s">
        <v>185</v>
      </c>
      <c r="H341" t="s">
        <v>2623</v>
      </c>
      <c r="I341" t="s">
        <v>2623</v>
      </c>
      <c r="J341" t="s">
        <v>959</v>
      </c>
      <c r="N341" t="s">
        <v>2625</v>
      </c>
      <c r="T341" t="s">
        <v>962</v>
      </c>
      <c r="U341" t="s">
        <v>311</v>
      </c>
      <c r="V341" t="s">
        <v>2651</v>
      </c>
      <c r="W341" t="s">
        <v>963</v>
      </c>
      <c r="X341">
        <v>25791</v>
      </c>
      <c r="Y341">
        <v>55</v>
      </c>
      <c r="Z341" t="s">
        <v>2652</v>
      </c>
      <c r="AA341" t="s">
        <v>2653</v>
      </c>
      <c r="AB341" t="s">
        <v>996</v>
      </c>
      <c r="AC341" t="s">
        <v>997</v>
      </c>
      <c r="AD341" t="s">
        <v>1041</v>
      </c>
      <c r="AE341" t="s">
        <v>1041</v>
      </c>
      <c r="AF341" t="s">
        <v>2654</v>
      </c>
      <c r="AI341" t="s">
        <v>1359</v>
      </c>
    </row>
    <row r="342" spans="1:35">
      <c r="A342">
        <v>5</v>
      </c>
      <c r="B342" t="s">
        <v>2655</v>
      </c>
      <c r="C342">
        <v>666</v>
      </c>
      <c r="D342" t="s">
        <v>1798</v>
      </c>
      <c r="E342" t="s">
        <v>2624</v>
      </c>
      <c r="F342" t="s">
        <v>1225</v>
      </c>
      <c r="G342" t="s">
        <v>185</v>
      </c>
      <c r="H342" t="s">
        <v>2623</v>
      </c>
      <c r="I342" t="s">
        <v>2623</v>
      </c>
      <c r="J342" t="s">
        <v>959</v>
      </c>
      <c r="N342" t="s">
        <v>2625</v>
      </c>
      <c r="T342" t="s">
        <v>962</v>
      </c>
      <c r="U342" t="s">
        <v>108</v>
      </c>
      <c r="V342" t="s">
        <v>2656</v>
      </c>
      <c r="W342" t="s">
        <v>963</v>
      </c>
      <c r="X342">
        <v>29900</v>
      </c>
      <c r="Y342">
        <v>44</v>
      </c>
      <c r="Z342" t="s">
        <v>2657</v>
      </c>
      <c r="AA342" t="s">
        <v>2658</v>
      </c>
      <c r="AB342" t="s">
        <v>966</v>
      </c>
      <c r="AC342" t="s">
        <v>953</v>
      </c>
      <c r="AD342" t="s">
        <v>1041</v>
      </c>
      <c r="AE342" t="s">
        <v>2659</v>
      </c>
      <c r="AF342" t="s">
        <v>2660</v>
      </c>
    </row>
    <row r="343" spans="1:35">
      <c r="A343">
        <v>362</v>
      </c>
      <c r="B343" t="s">
        <v>2661</v>
      </c>
      <c r="C343">
        <v>668</v>
      </c>
      <c r="D343" t="s">
        <v>1798</v>
      </c>
      <c r="E343" t="s">
        <v>2624</v>
      </c>
      <c r="F343" t="s">
        <v>1225</v>
      </c>
      <c r="G343" t="s">
        <v>185</v>
      </c>
      <c r="H343" t="s">
        <v>2623</v>
      </c>
      <c r="I343" t="s">
        <v>2623</v>
      </c>
      <c r="J343" t="s">
        <v>959</v>
      </c>
      <c r="N343" t="s">
        <v>2625</v>
      </c>
      <c r="T343" t="s">
        <v>992</v>
      </c>
      <c r="U343" t="s">
        <v>2662</v>
      </c>
      <c r="V343" t="s">
        <v>2663</v>
      </c>
      <c r="W343" t="s">
        <v>963</v>
      </c>
      <c r="X343">
        <v>35416</v>
      </c>
      <c r="Y343">
        <v>29</v>
      </c>
      <c r="AA343" t="s">
        <v>2664</v>
      </c>
      <c r="AB343" t="s">
        <v>996</v>
      </c>
      <c r="AC343" t="s">
        <v>997</v>
      </c>
      <c r="AD343" t="s">
        <v>1041</v>
      </c>
      <c r="AE343" t="s">
        <v>1041</v>
      </c>
      <c r="AF343" t="s">
        <v>2665</v>
      </c>
      <c r="AG343" t="s">
        <v>1775</v>
      </c>
      <c r="AH343" t="s">
        <v>2666</v>
      </c>
    </row>
    <row r="344" spans="1:35">
      <c r="A344">
        <v>363</v>
      </c>
      <c r="B344" t="s">
        <v>2623</v>
      </c>
      <c r="C344">
        <v>669</v>
      </c>
      <c r="E344" t="s">
        <v>2624</v>
      </c>
      <c r="F344" t="s">
        <v>1225</v>
      </c>
      <c r="G344" t="s">
        <v>185</v>
      </c>
      <c r="H344" t="s">
        <v>2623</v>
      </c>
      <c r="I344" t="s">
        <v>2623</v>
      </c>
      <c r="J344" t="s">
        <v>2667</v>
      </c>
      <c r="N344" t="s">
        <v>2668</v>
      </c>
      <c r="P344" t="s">
        <v>173</v>
      </c>
      <c r="S344" t="s">
        <v>55</v>
      </c>
      <c r="U344" t="s">
        <v>185</v>
      </c>
      <c r="AG344" t="s">
        <v>955</v>
      </c>
    </row>
    <row r="345" spans="1:35">
      <c r="A345">
        <v>364</v>
      </c>
      <c r="B345" t="s">
        <v>2667</v>
      </c>
      <c r="C345">
        <v>671</v>
      </c>
      <c r="D345" t="s">
        <v>1798</v>
      </c>
      <c r="E345" t="s">
        <v>2624</v>
      </c>
      <c r="F345" t="s">
        <v>1225</v>
      </c>
      <c r="G345" t="s">
        <v>185</v>
      </c>
      <c r="H345" t="s">
        <v>2623</v>
      </c>
      <c r="I345" t="s">
        <v>2623</v>
      </c>
      <c r="J345" t="s">
        <v>2667</v>
      </c>
      <c r="N345" t="s">
        <v>2668</v>
      </c>
      <c r="P345" t="s">
        <v>69</v>
      </c>
      <c r="Q345" t="s">
        <v>562</v>
      </c>
      <c r="S345">
        <v>0</v>
      </c>
      <c r="T345" t="s">
        <v>962</v>
      </c>
      <c r="U345" t="s">
        <v>265</v>
      </c>
      <c r="V345" t="s">
        <v>2669</v>
      </c>
      <c r="W345" t="s">
        <v>963</v>
      </c>
      <c r="X345">
        <v>27502</v>
      </c>
      <c r="Y345">
        <v>50</v>
      </c>
      <c r="Z345" t="s">
        <v>2670</v>
      </c>
      <c r="AA345" t="s">
        <v>2671</v>
      </c>
      <c r="AB345" t="s">
        <v>996</v>
      </c>
      <c r="AC345" t="s">
        <v>997</v>
      </c>
      <c r="AD345" t="s">
        <v>1041</v>
      </c>
      <c r="AE345" t="s">
        <v>1041</v>
      </c>
      <c r="AF345" t="s">
        <v>2672</v>
      </c>
      <c r="AI345" t="s">
        <v>1318</v>
      </c>
    </row>
    <row r="346" spans="1:35">
      <c r="A346">
        <v>365</v>
      </c>
      <c r="B346" t="s">
        <v>2673</v>
      </c>
      <c r="C346">
        <v>673</v>
      </c>
      <c r="D346" t="s">
        <v>1798</v>
      </c>
      <c r="E346" t="s">
        <v>2624</v>
      </c>
      <c r="F346" t="s">
        <v>1225</v>
      </c>
      <c r="G346" t="s">
        <v>185</v>
      </c>
      <c r="H346" t="s">
        <v>2623</v>
      </c>
      <c r="I346" t="s">
        <v>2623</v>
      </c>
      <c r="J346" t="s">
        <v>2667</v>
      </c>
      <c r="N346" t="s">
        <v>2668</v>
      </c>
      <c r="P346" t="s">
        <v>69</v>
      </c>
      <c r="Q346" t="s">
        <v>562</v>
      </c>
      <c r="S346" t="s">
        <v>2674</v>
      </c>
      <c r="T346" t="s">
        <v>962</v>
      </c>
      <c r="U346" t="s">
        <v>206</v>
      </c>
      <c r="V346" t="s">
        <v>2675</v>
      </c>
      <c r="W346" t="s">
        <v>963</v>
      </c>
      <c r="X346">
        <v>24767</v>
      </c>
      <c r="Y346">
        <v>58</v>
      </c>
      <c r="Z346" t="s">
        <v>2676</v>
      </c>
      <c r="AA346" t="s">
        <v>2677</v>
      </c>
      <c r="AB346" t="s">
        <v>996</v>
      </c>
      <c r="AC346" t="s">
        <v>997</v>
      </c>
      <c r="AD346" t="s">
        <v>1041</v>
      </c>
      <c r="AE346" t="s">
        <v>1041</v>
      </c>
      <c r="AF346" t="s">
        <v>2678</v>
      </c>
      <c r="AI346" t="s">
        <v>1452</v>
      </c>
    </row>
    <row r="347" spans="1:35">
      <c r="A347">
        <v>366</v>
      </c>
      <c r="B347" t="s">
        <v>2679</v>
      </c>
      <c r="C347">
        <v>675</v>
      </c>
      <c r="D347" t="s">
        <v>1798</v>
      </c>
      <c r="E347" t="s">
        <v>2624</v>
      </c>
      <c r="F347" t="s">
        <v>1225</v>
      </c>
      <c r="G347" t="s">
        <v>185</v>
      </c>
      <c r="H347" t="s">
        <v>2623</v>
      </c>
      <c r="I347" t="s">
        <v>2623</v>
      </c>
      <c r="J347" t="s">
        <v>2667</v>
      </c>
      <c r="N347" t="s">
        <v>2668</v>
      </c>
      <c r="T347" t="s">
        <v>962</v>
      </c>
      <c r="U347" t="s">
        <v>301</v>
      </c>
      <c r="V347" t="s">
        <v>2680</v>
      </c>
      <c r="W347" t="s">
        <v>963</v>
      </c>
      <c r="X347">
        <v>30427</v>
      </c>
      <c r="Y347">
        <v>42</v>
      </c>
      <c r="Z347" t="s">
        <v>2681</v>
      </c>
      <c r="AA347" t="s">
        <v>2682</v>
      </c>
      <c r="AB347" t="s">
        <v>996</v>
      </c>
      <c r="AC347" t="s">
        <v>997</v>
      </c>
      <c r="AD347" t="s">
        <v>1041</v>
      </c>
      <c r="AE347" t="s">
        <v>1041</v>
      </c>
      <c r="AF347" t="s">
        <v>2683</v>
      </c>
      <c r="AI347" t="s">
        <v>1318</v>
      </c>
    </row>
    <row r="348" spans="1:35">
      <c r="A348">
        <v>647</v>
      </c>
      <c r="B348" t="s">
        <v>2684</v>
      </c>
      <c r="C348">
        <v>677</v>
      </c>
      <c r="D348" t="s">
        <v>1798</v>
      </c>
      <c r="E348" t="s">
        <v>2624</v>
      </c>
      <c r="F348" t="s">
        <v>1225</v>
      </c>
      <c r="G348" t="s">
        <v>185</v>
      </c>
      <c r="H348" t="s">
        <v>2623</v>
      </c>
      <c r="I348" t="s">
        <v>2623</v>
      </c>
      <c r="J348" t="s">
        <v>2667</v>
      </c>
      <c r="N348" t="s">
        <v>2668</v>
      </c>
      <c r="T348" t="s">
        <v>962</v>
      </c>
      <c r="U348" t="s">
        <v>567</v>
      </c>
      <c r="V348" t="s">
        <v>2685</v>
      </c>
      <c r="W348" t="s">
        <v>963</v>
      </c>
      <c r="X348">
        <v>20455</v>
      </c>
      <c r="Y348">
        <v>70</v>
      </c>
      <c r="Z348" t="s">
        <v>2686</v>
      </c>
      <c r="AB348" t="s">
        <v>996</v>
      </c>
      <c r="AC348" t="s">
        <v>997</v>
      </c>
      <c r="AD348" t="s">
        <v>1041</v>
      </c>
      <c r="AE348" t="s">
        <v>1041</v>
      </c>
      <c r="AF348" t="s">
        <v>2687</v>
      </c>
      <c r="AI348" t="s">
        <v>1318</v>
      </c>
    </row>
    <row r="349" spans="1:35">
      <c r="B349" t="s">
        <v>2688</v>
      </c>
      <c r="C349">
        <v>679</v>
      </c>
      <c r="D349" t="s">
        <v>1798</v>
      </c>
      <c r="E349" t="s">
        <v>2624</v>
      </c>
      <c r="F349" t="s">
        <v>1225</v>
      </c>
      <c r="G349" t="s">
        <v>185</v>
      </c>
      <c r="H349" t="s">
        <v>2623</v>
      </c>
      <c r="I349" t="s">
        <v>2623</v>
      </c>
      <c r="J349" t="s">
        <v>2667</v>
      </c>
      <c r="N349" t="s">
        <v>2668</v>
      </c>
      <c r="T349" t="s">
        <v>1090</v>
      </c>
      <c r="U349" t="s">
        <v>2689</v>
      </c>
      <c r="V349" t="s">
        <v>2690</v>
      </c>
      <c r="W349" t="s">
        <v>963</v>
      </c>
      <c r="X349">
        <v>19400919</v>
      </c>
      <c r="Y349">
        <v>85</v>
      </c>
      <c r="Z349" t="s">
        <v>2691</v>
      </c>
      <c r="AE349" t="s">
        <v>1041</v>
      </c>
      <c r="AF349" t="s">
        <v>2692</v>
      </c>
    </row>
    <row r="350" spans="1:35">
      <c r="A350">
        <v>367</v>
      </c>
      <c r="B350" t="s">
        <v>2693</v>
      </c>
      <c r="C350">
        <v>681</v>
      </c>
      <c r="D350" t="s">
        <v>1798</v>
      </c>
      <c r="E350" t="s">
        <v>2624</v>
      </c>
      <c r="F350" t="s">
        <v>1225</v>
      </c>
      <c r="G350" t="s">
        <v>185</v>
      </c>
      <c r="H350" t="s">
        <v>2623</v>
      </c>
      <c r="I350" t="s">
        <v>2623</v>
      </c>
      <c r="J350" t="s">
        <v>2667</v>
      </c>
      <c r="N350" t="s">
        <v>2668</v>
      </c>
      <c r="T350" t="s">
        <v>962</v>
      </c>
      <c r="U350" t="s">
        <v>245</v>
      </c>
      <c r="V350" t="s">
        <v>2694</v>
      </c>
      <c r="W350" t="s">
        <v>963</v>
      </c>
      <c r="X350">
        <v>29343</v>
      </c>
      <c r="Y350">
        <v>45</v>
      </c>
      <c r="Z350" t="s">
        <v>2695</v>
      </c>
      <c r="AA350" t="s">
        <v>2696</v>
      </c>
      <c r="AB350" t="s">
        <v>996</v>
      </c>
      <c r="AC350" t="s">
        <v>1018</v>
      </c>
      <c r="AD350" t="s">
        <v>729</v>
      </c>
      <c r="AE350" t="s">
        <v>1041</v>
      </c>
      <c r="AF350" t="s">
        <v>2697</v>
      </c>
      <c r="AG350" t="s">
        <v>1775</v>
      </c>
      <c r="AH350" t="s">
        <v>2698</v>
      </c>
      <c r="AI350" t="s">
        <v>1452</v>
      </c>
    </row>
    <row r="351" spans="1:35">
      <c r="A351">
        <v>368</v>
      </c>
      <c r="B351" t="s">
        <v>2699</v>
      </c>
      <c r="C351">
        <v>683</v>
      </c>
      <c r="D351" t="s">
        <v>1798</v>
      </c>
      <c r="E351" t="s">
        <v>2624</v>
      </c>
      <c r="F351" t="s">
        <v>1225</v>
      </c>
      <c r="G351" t="s">
        <v>185</v>
      </c>
      <c r="H351" t="s">
        <v>2623</v>
      </c>
      <c r="I351" t="s">
        <v>2699</v>
      </c>
      <c r="J351" t="s">
        <v>2700</v>
      </c>
      <c r="N351" t="s">
        <v>1074</v>
      </c>
      <c r="P351" t="s">
        <v>55</v>
      </c>
      <c r="Q351" t="s">
        <v>178</v>
      </c>
      <c r="T351" t="s">
        <v>962</v>
      </c>
      <c r="U351" t="s">
        <v>2701</v>
      </c>
      <c r="V351" t="s">
        <v>2702</v>
      </c>
      <c r="W351" t="s">
        <v>963</v>
      </c>
      <c r="X351">
        <v>26171</v>
      </c>
      <c r="Y351">
        <v>54</v>
      </c>
      <c r="Z351" t="s">
        <v>2703</v>
      </c>
      <c r="AA351" t="s">
        <v>2704</v>
      </c>
      <c r="AB351" t="s">
        <v>966</v>
      </c>
      <c r="AC351" t="s">
        <v>953</v>
      </c>
      <c r="AD351" t="s">
        <v>1041</v>
      </c>
      <c r="AE351" t="s">
        <v>1041</v>
      </c>
      <c r="AF351" t="s">
        <v>2665</v>
      </c>
    </row>
    <row r="352" spans="1:35">
      <c r="A352">
        <v>369</v>
      </c>
      <c r="B352" t="s">
        <v>2700</v>
      </c>
      <c r="C352">
        <v>685</v>
      </c>
      <c r="D352" t="s">
        <v>1798</v>
      </c>
      <c r="E352" t="s">
        <v>2624</v>
      </c>
      <c r="F352" t="s">
        <v>1225</v>
      </c>
      <c r="G352" t="s">
        <v>185</v>
      </c>
      <c r="H352" t="s">
        <v>2623</v>
      </c>
      <c r="I352" t="s">
        <v>2699</v>
      </c>
      <c r="J352" t="s">
        <v>2700</v>
      </c>
      <c r="N352" t="s">
        <v>1074</v>
      </c>
      <c r="P352" t="s">
        <v>69</v>
      </c>
      <c r="Q352" t="s">
        <v>562</v>
      </c>
      <c r="T352" t="s">
        <v>962</v>
      </c>
      <c r="U352" t="s">
        <v>2705</v>
      </c>
      <c r="V352" t="s">
        <v>2706</v>
      </c>
      <c r="W352" t="s">
        <v>963</v>
      </c>
      <c r="X352">
        <v>27634</v>
      </c>
      <c r="Y352">
        <v>50</v>
      </c>
      <c r="Z352" t="s">
        <v>2707</v>
      </c>
      <c r="AA352" t="s">
        <v>2708</v>
      </c>
      <c r="AB352" t="s">
        <v>966</v>
      </c>
      <c r="AC352" t="s">
        <v>953</v>
      </c>
      <c r="AD352" t="s">
        <v>1041</v>
      </c>
      <c r="AE352" t="s">
        <v>1041</v>
      </c>
      <c r="AF352" t="s">
        <v>2672</v>
      </c>
      <c r="AI352" t="s">
        <v>1125</v>
      </c>
    </row>
    <row r="353" spans="1:35">
      <c r="A353">
        <v>370</v>
      </c>
      <c r="B353" t="s">
        <v>2709</v>
      </c>
      <c r="C353">
        <v>687</v>
      </c>
      <c r="D353" t="s">
        <v>1798</v>
      </c>
      <c r="E353" t="s">
        <v>2624</v>
      </c>
      <c r="F353" t="s">
        <v>1225</v>
      </c>
      <c r="G353" t="s">
        <v>185</v>
      </c>
      <c r="H353" t="s">
        <v>2623</v>
      </c>
      <c r="I353" t="s">
        <v>2699</v>
      </c>
      <c r="J353" t="s">
        <v>2700</v>
      </c>
      <c r="N353" t="s">
        <v>1074</v>
      </c>
      <c r="T353" t="s">
        <v>962</v>
      </c>
      <c r="U353" t="s">
        <v>302</v>
      </c>
      <c r="V353" t="s">
        <v>2710</v>
      </c>
      <c r="W353" t="s">
        <v>963</v>
      </c>
      <c r="X353">
        <v>26832</v>
      </c>
      <c r="Y353">
        <v>52</v>
      </c>
      <c r="Z353" t="s">
        <v>2711</v>
      </c>
      <c r="AA353" t="s">
        <v>2712</v>
      </c>
      <c r="AB353" t="s">
        <v>996</v>
      </c>
      <c r="AC353" t="s">
        <v>997</v>
      </c>
      <c r="AD353" t="s">
        <v>1041</v>
      </c>
      <c r="AE353" t="s">
        <v>1041</v>
      </c>
      <c r="AF353" t="s">
        <v>2713</v>
      </c>
      <c r="AI353" t="s">
        <v>1025</v>
      </c>
    </row>
    <row r="354" spans="1:35">
      <c r="A354">
        <v>372</v>
      </c>
      <c r="B354" t="s">
        <v>2714</v>
      </c>
      <c r="C354">
        <v>689</v>
      </c>
      <c r="D354" t="s">
        <v>1798</v>
      </c>
      <c r="E354" t="s">
        <v>2624</v>
      </c>
      <c r="F354" t="s">
        <v>1225</v>
      </c>
      <c r="G354" t="s">
        <v>185</v>
      </c>
      <c r="H354" t="s">
        <v>2623</v>
      </c>
      <c r="I354" t="s">
        <v>2699</v>
      </c>
      <c r="J354" t="s">
        <v>2700</v>
      </c>
      <c r="N354" t="s">
        <v>1074</v>
      </c>
      <c r="T354" t="s">
        <v>962</v>
      </c>
      <c r="U354" t="s">
        <v>2715</v>
      </c>
      <c r="V354" t="s">
        <v>2716</v>
      </c>
      <c r="W354" t="s">
        <v>963</v>
      </c>
      <c r="X354">
        <v>30794</v>
      </c>
      <c r="Y354">
        <v>41</v>
      </c>
      <c r="Z354" t="s">
        <v>2717</v>
      </c>
      <c r="AA354" t="s">
        <v>2718</v>
      </c>
      <c r="AB354" t="s">
        <v>996</v>
      </c>
      <c r="AC354" t="s">
        <v>997</v>
      </c>
      <c r="AD354" t="s">
        <v>1041</v>
      </c>
      <c r="AE354" t="s">
        <v>1041</v>
      </c>
      <c r="AF354" t="s">
        <v>2672</v>
      </c>
      <c r="AI354" t="s">
        <v>1107</v>
      </c>
    </row>
    <row r="355" spans="1:35">
      <c r="A355">
        <v>373</v>
      </c>
      <c r="B355" t="s">
        <v>2719</v>
      </c>
      <c r="C355">
        <v>691</v>
      </c>
      <c r="D355" t="s">
        <v>1798</v>
      </c>
      <c r="E355" t="s">
        <v>2624</v>
      </c>
      <c r="F355" t="s">
        <v>1225</v>
      </c>
      <c r="G355" t="s">
        <v>185</v>
      </c>
      <c r="H355" t="s">
        <v>2623</v>
      </c>
      <c r="I355" t="s">
        <v>2699</v>
      </c>
      <c r="J355" t="s">
        <v>2700</v>
      </c>
      <c r="N355" t="s">
        <v>1074</v>
      </c>
      <c r="T355" t="s">
        <v>962</v>
      </c>
      <c r="U355" t="s">
        <v>307</v>
      </c>
      <c r="V355" t="s">
        <v>2720</v>
      </c>
      <c r="W355" t="s">
        <v>963</v>
      </c>
      <c r="X355">
        <v>32505</v>
      </c>
      <c r="Y355">
        <v>37</v>
      </c>
      <c r="Z355" t="s">
        <v>2721</v>
      </c>
      <c r="AA355" t="s">
        <v>2722</v>
      </c>
      <c r="AB355" t="s">
        <v>996</v>
      </c>
      <c r="AC355" t="s">
        <v>997</v>
      </c>
      <c r="AD355" t="s">
        <v>1041</v>
      </c>
      <c r="AE355" t="s">
        <v>1041</v>
      </c>
      <c r="AF355" t="s">
        <v>2672</v>
      </c>
      <c r="AI355" t="s">
        <v>1513</v>
      </c>
    </row>
    <row r="356" spans="1:35">
      <c r="A356">
        <v>374</v>
      </c>
      <c r="B356" t="s">
        <v>2723</v>
      </c>
      <c r="C356">
        <v>693</v>
      </c>
      <c r="D356" t="s">
        <v>1798</v>
      </c>
      <c r="E356" t="s">
        <v>2624</v>
      </c>
      <c r="F356" t="s">
        <v>1225</v>
      </c>
      <c r="G356" t="s">
        <v>185</v>
      </c>
      <c r="H356" t="s">
        <v>2623</v>
      </c>
      <c r="I356" t="s">
        <v>2699</v>
      </c>
      <c r="J356" t="s">
        <v>2700</v>
      </c>
      <c r="N356" t="s">
        <v>1074</v>
      </c>
      <c r="T356" t="s">
        <v>962</v>
      </c>
      <c r="U356" t="s">
        <v>787</v>
      </c>
      <c r="V356" t="s">
        <v>2724</v>
      </c>
      <c r="W356" t="s">
        <v>963</v>
      </c>
      <c r="X356">
        <v>31410</v>
      </c>
      <c r="Y356">
        <v>40</v>
      </c>
      <c r="Z356" t="s">
        <v>2725</v>
      </c>
      <c r="AB356" t="s">
        <v>996</v>
      </c>
      <c r="AC356" t="s">
        <v>1018</v>
      </c>
      <c r="AD356" t="s">
        <v>1041</v>
      </c>
      <c r="AE356" t="s">
        <v>1250</v>
      </c>
      <c r="AF356" t="s">
        <v>2726</v>
      </c>
      <c r="AI356" t="s">
        <v>1575</v>
      </c>
    </row>
    <row r="357" spans="1:35">
      <c r="A357">
        <v>375</v>
      </c>
      <c r="B357" t="s">
        <v>2727</v>
      </c>
      <c r="C357">
        <v>695</v>
      </c>
      <c r="D357" t="s">
        <v>1798</v>
      </c>
      <c r="E357" t="s">
        <v>2624</v>
      </c>
      <c r="F357" t="s">
        <v>1225</v>
      </c>
      <c r="G357" t="s">
        <v>185</v>
      </c>
      <c r="H357" t="s">
        <v>2623</v>
      </c>
      <c r="I357" t="s">
        <v>2699</v>
      </c>
      <c r="J357" t="s">
        <v>2700</v>
      </c>
      <c r="N357" t="s">
        <v>1074</v>
      </c>
      <c r="T357" t="s">
        <v>962</v>
      </c>
      <c r="U357" t="s">
        <v>2728</v>
      </c>
      <c r="V357" t="s">
        <v>2729</v>
      </c>
      <c r="W357" t="s">
        <v>963</v>
      </c>
      <c r="X357">
        <v>30717</v>
      </c>
      <c r="Y357">
        <v>41</v>
      </c>
      <c r="Z357" t="s">
        <v>2730</v>
      </c>
      <c r="AB357" t="s">
        <v>996</v>
      </c>
      <c r="AC357" t="s">
        <v>1018</v>
      </c>
      <c r="AD357" t="s">
        <v>1041</v>
      </c>
      <c r="AE357" t="s">
        <v>1041</v>
      </c>
      <c r="AF357" t="s">
        <v>2672</v>
      </c>
      <c r="AG357" t="s">
        <v>1775</v>
      </c>
      <c r="AH357" t="s">
        <v>2731</v>
      </c>
      <c r="AI357" t="s">
        <v>1107</v>
      </c>
    </row>
    <row r="358" spans="1:35">
      <c r="A358">
        <v>99</v>
      </c>
      <c r="B358" t="s">
        <v>2732</v>
      </c>
      <c r="C358">
        <v>697</v>
      </c>
      <c r="D358" t="s">
        <v>1351</v>
      </c>
      <c r="E358" t="s">
        <v>2624</v>
      </c>
      <c r="F358" t="s">
        <v>1225</v>
      </c>
      <c r="G358" t="s">
        <v>185</v>
      </c>
      <c r="H358" t="s">
        <v>2623</v>
      </c>
      <c r="I358" t="s">
        <v>2699</v>
      </c>
      <c r="J358" t="s">
        <v>2700</v>
      </c>
      <c r="N358" t="s">
        <v>1074</v>
      </c>
      <c r="T358" t="s">
        <v>1090</v>
      </c>
      <c r="U358" t="s">
        <v>2733</v>
      </c>
      <c r="V358" t="s">
        <v>2734</v>
      </c>
      <c r="W358" t="s">
        <v>963</v>
      </c>
      <c r="X358">
        <v>18796</v>
      </c>
      <c r="Y358">
        <v>74</v>
      </c>
      <c r="Z358" t="s">
        <v>2735</v>
      </c>
      <c r="AA358" t="s">
        <v>2736</v>
      </c>
      <c r="AB358" t="s">
        <v>996</v>
      </c>
      <c r="AC358" t="s">
        <v>997</v>
      </c>
      <c r="AD358" t="s">
        <v>1041</v>
      </c>
      <c r="AE358" t="s">
        <v>2737</v>
      </c>
      <c r="AF358" t="s">
        <v>2738</v>
      </c>
      <c r="AI358" t="s">
        <v>1318</v>
      </c>
    </row>
    <row r="359" spans="1:35">
      <c r="A359">
        <v>101</v>
      </c>
      <c r="B359" t="s">
        <v>2739</v>
      </c>
      <c r="C359">
        <v>699</v>
      </c>
      <c r="D359" t="s">
        <v>1351</v>
      </c>
      <c r="E359" t="s">
        <v>2624</v>
      </c>
      <c r="F359" t="s">
        <v>1225</v>
      </c>
      <c r="G359" t="s">
        <v>185</v>
      </c>
      <c r="H359" t="s">
        <v>2623</v>
      </c>
      <c r="I359" t="s">
        <v>2699</v>
      </c>
      <c r="J359" t="s">
        <v>2700</v>
      </c>
      <c r="N359" t="s">
        <v>1074</v>
      </c>
      <c r="Q359" t="s">
        <v>1002</v>
      </c>
      <c r="T359" t="s">
        <v>962</v>
      </c>
      <c r="U359" t="s">
        <v>2740</v>
      </c>
      <c r="V359" t="s">
        <v>2741</v>
      </c>
      <c r="W359" t="s">
        <v>963</v>
      </c>
      <c r="X359">
        <v>22220</v>
      </c>
      <c r="Y359">
        <v>65</v>
      </c>
      <c r="Z359" t="s">
        <v>2742</v>
      </c>
      <c r="AA359" t="s">
        <v>2743</v>
      </c>
      <c r="AB359" t="s">
        <v>996</v>
      </c>
      <c r="AC359" t="s">
        <v>997</v>
      </c>
      <c r="AD359" t="s">
        <v>729</v>
      </c>
      <c r="AE359" t="s">
        <v>2737</v>
      </c>
      <c r="AF359" t="s">
        <v>2744</v>
      </c>
      <c r="AI359" t="s">
        <v>1107</v>
      </c>
    </row>
    <row r="360" spans="1:35">
      <c r="A360">
        <v>376</v>
      </c>
      <c r="B360" t="s">
        <v>2745</v>
      </c>
      <c r="C360">
        <v>701</v>
      </c>
      <c r="D360" t="s">
        <v>1798</v>
      </c>
      <c r="E360" t="s">
        <v>2746</v>
      </c>
      <c r="F360" t="s">
        <v>1225</v>
      </c>
      <c r="G360" t="s">
        <v>2747</v>
      </c>
      <c r="H360" t="s">
        <v>2745</v>
      </c>
      <c r="I360" t="s">
        <v>2745</v>
      </c>
      <c r="J360" t="s">
        <v>2748</v>
      </c>
      <c r="N360" t="s">
        <v>1044</v>
      </c>
      <c r="P360" t="s">
        <v>173</v>
      </c>
      <c r="Q360" t="s">
        <v>514</v>
      </c>
      <c r="S360" t="s">
        <v>55</v>
      </c>
      <c r="T360" t="s">
        <v>1015</v>
      </c>
      <c r="U360" t="s">
        <v>2747</v>
      </c>
      <c r="V360" t="s">
        <v>2749</v>
      </c>
      <c r="W360" t="s">
        <v>950</v>
      </c>
      <c r="X360">
        <v>25905</v>
      </c>
      <c r="Y360">
        <v>55</v>
      </c>
      <c r="Z360" t="s">
        <v>2750</v>
      </c>
      <c r="AA360" t="s">
        <v>2751</v>
      </c>
      <c r="AB360" t="s">
        <v>966</v>
      </c>
      <c r="AC360" t="s">
        <v>953</v>
      </c>
      <c r="AD360" t="s">
        <v>1041</v>
      </c>
      <c r="AE360" t="s">
        <v>1041</v>
      </c>
      <c r="AF360" t="s">
        <v>2630</v>
      </c>
      <c r="AI360" t="s">
        <v>1440</v>
      </c>
    </row>
    <row r="361" spans="1:35">
      <c r="A361">
        <v>438</v>
      </c>
      <c r="B361" t="s">
        <v>2748</v>
      </c>
      <c r="C361">
        <v>703</v>
      </c>
      <c r="D361" t="s">
        <v>1798</v>
      </c>
      <c r="E361" t="s">
        <v>2746</v>
      </c>
      <c r="F361" t="s">
        <v>1225</v>
      </c>
      <c r="G361" t="s">
        <v>2747</v>
      </c>
      <c r="H361" t="s">
        <v>2745</v>
      </c>
      <c r="I361" t="s">
        <v>2745</v>
      </c>
      <c r="J361" t="s">
        <v>2748</v>
      </c>
      <c r="N361" t="s">
        <v>1044</v>
      </c>
      <c r="P361" t="s">
        <v>69</v>
      </c>
      <c r="Q361" t="s">
        <v>562</v>
      </c>
      <c r="S361">
        <v>3</v>
      </c>
      <c r="T361" t="s">
        <v>1015</v>
      </c>
      <c r="U361" t="s">
        <v>313</v>
      </c>
      <c r="V361" t="s">
        <v>2752</v>
      </c>
      <c r="W361" t="s">
        <v>950</v>
      </c>
      <c r="X361">
        <v>31483</v>
      </c>
      <c r="Y361">
        <v>39</v>
      </c>
      <c r="Z361" t="s">
        <v>2753</v>
      </c>
      <c r="AA361" t="s">
        <v>2754</v>
      </c>
      <c r="AB361" t="s">
        <v>996</v>
      </c>
      <c r="AC361" t="s">
        <v>997</v>
      </c>
      <c r="AD361" t="s">
        <v>1041</v>
      </c>
      <c r="AE361" t="s">
        <v>1041</v>
      </c>
      <c r="AF361" t="s">
        <v>2649</v>
      </c>
      <c r="AI361" t="s">
        <v>1359</v>
      </c>
    </row>
    <row r="362" spans="1:35">
      <c r="A362">
        <v>388</v>
      </c>
      <c r="B362" t="s">
        <v>2755</v>
      </c>
      <c r="C362">
        <v>705</v>
      </c>
      <c r="D362" t="s">
        <v>1798</v>
      </c>
      <c r="E362" t="s">
        <v>2746</v>
      </c>
      <c r="F362" t="s">
        <v>1225</v>
      </c>
      <c r="G362" t="s">
        <v>2747</v>
      </c>
      <c r="H362" t="s">
        <v>2745</v>
      </c>
      <c r="I362" t="s">
        <v>2745</v>
      </c>
      <c r="J362" t="s">
        <v>2748</v>
      </c>
      <c r="K362" t="s">
        <v>2755</v>
      </c>
      <c r="N362" t="s">
        <v>1044</v>
      </c>
      <c r="P362" t="s">
        <v>69</v>
      </c>
      <c r="R362" t="s">
        <v>1286</v>
      </c>
      <c r="S362">
        <v>0</v>
      </c>
      <c r="T362" t="s">
        <v>1090</v>
      </c>
      <c r="U362" t="s">
        <v>789</v>
      </c>
      <c r="V362" t="s">
        <v>2756</v>
      </c>
      <c r="W362" t="s">
        <v>950</v>
      </c>
      <c r="X362">
        <v>17823</v>
      </c>
      <c r="Y362">
        <v>77</v>
      </c>
      <c r="Z362" t="s">
        <v>2757</v>
      </c>
      <c r="AB362" t="s">
        <v>996</v>
      </c>
      <c r="AC362" t="s">
        <v>1018</v>
      </c>
      <c r="AD362" t="s">
        <v>1041</v>
      </c>
      <c r="AE362" t="s">
        <v>1041</v>
      </c>
      <c r="AF362" t="s">
        <v>2665</v>
      </c>
      <c r="AI362" t="s">
        <v>1575</v>
      </c>
    </row>
    <row r="363" spans="1:35">
      <c r="A363">
        <v>380</v>
      </c>
      <c r="B363" t="s">
        <v>2758</v>
      </c>
      <c r="C363">
        <v>707</v>
      </c>
      <c r="D363" t="s">
        <v>1798</v>
      </c>
      <c r="E363" t="s">
        <v>2746</v>
      </c>
      <c r="F363" t="s">
        <v>1225</v>
      </c>
      <c r="G363" t="s">
        <v>2747</v>
      </c>
      <c r="H363" t="s">
        <v>2745</v>
      </c>
      <c r="I363" t="s">
        <v>2745</v>
      </c>
      <c r="J363" t="s">
        <v>2748</v>
      </c>
      <c r="N363" t="s">
        <v>1044</v>
      </c>
      <c r="T363" t="s">
        <v>1090</v>
      </c>
      <c r="U363" t="s">
        <v>247</v>
      </c>
      <c r="V363" t="s">
        <v>2759</v>
      </c>
      <c r="W363" t="s">
        <v>950</v>
      </c>
      <c r="X363">
        <v>15634</v>
      </c>
      <c r="Y363">
        <v>83</v>
      </c>
      <c r="Z363" t="s">
        <v>2760</v>
      </c>
      <c r="AB363" t="s">
        <v>996</v>
      </c>
      <c r="AC363" t="s">
        <v>997</v>
      </c>
      <c r="AD363" t="s">
        <v>1041</v>
      </c>
      <c r="AE363" t="s">
        <v>1041</v>
      </c>
      <c r="AF363" t="s">
        <v>2761</v>
      </c>
      <c r="AI363" t="s">
        <v>1612</v>
      </c>
    </row>
    <row r="364" spans="1:35">
      <c r="A364">
        <v>382</v>
      </c>
      <c r="B364" t="s">
        <v>2762</v>
      </c>
      <c r="C364">
        <v>709</v>
      </c>
      <c r="D364" t="s">
        <v>1798</v>
      </c>
      <c r="E364" t="s">
        <v>2746</v>
      </c>
      <c r="F364" t="s">
        <v>1225</v>
      </c>
      <c r="G364" t="s">
        <v>2747</v>
      </c>
      <c r="H364" t="s">
        <v>2745</v>
      </c>
      <c r="I364" t="s">
        <v>2745</v>
      </c>
      <c r="J364" t="s">
        <v>2748</v>
      </c>
      <c r="N364" t="s">
        <v>1044</v>
      </c>
      <c r="T364" t="s">
        <v>1015</v>
      </c>
      <c r="U364" t="s">
        <v>283</v>
      </c>
      <c r="V364" t="s">
        <v>2763</v>
      </c>
      <c r="W364" t="s">
        <v>950</v>
      </c>
      <c r="X364">
        <v>25188</v>
      </c>
      <c r="Y364">
        <v>57</v>
      </c>
      <c r="Z364" t="s">
        <v>2764</v>
      </c>
      <c r="AB364" t="s">
        <v>996</v>
      </c>
      <c r="AC364" t="s">
        <v>997</v>
      </c>
      <c r="AD364" t="s">
        <v>1041</v>
      </c>
      <c r="AE364" t="s">
        <v>1041</v>
      </c>
      <c r="AF364" t="s">
        <v>2761</v>
      </c>
      <c r="AI364" t="s">
        <v>1612</v>
      </c>
    </row>
    <row r="365" spans="1:35">
      <c r="A365">
        <v>383</v>
      </c>
      <c r="B365" t="s">
        <v>2765</v>
      </c>
      <c r="C365">
        <v>711</v>
      </c>
      <c r="D365" t="s">
        <v>1798</v>
      </c>
      <c r="E365" t="s">
        <v>2746</v>
      </c>
      <c r="F365" t="s">
        <v>1225</v>
      </c>
      <c r="G365" t="s">
        <v>2747</v>
      </c>
      <c r="H365" t="s">
        <v>2745</v>
      </c>
      <c r="I365" t="s">
        <v>2745</v>
      </c>
      <c r="J365" t="s">
        <v>2748</v>
      </c>
      <c r="N365" t="s">
        <v>1044</v>
      </c>
      <c r="T365" t="s">
        <v>1015</v>
      </c>
      <c r="U365" t="s">
        <v>294</v>
      </c>
      <c r="V365" t="s">
        <v>2766</v>
      </c>
      <c r="W365" t="s">
        <v>950</v>
      </c>
      <c r="X365">
        <v>26792</v>
      </c>
      <c r="Y365">
        <v>52</v>
      </c>
      <c r="Z365" t="s">
        <v>2767</v>
      </c>
      <c r="AA365" t="s">
        <v>2768</v>
      </c>
      <c r="AB365" t="s">
        <v>996</v>
      </c>
      <c r="AC365" t="s">
        <v>997</v>
      </c>
      <c r="AD365" t="s">
        <v>1041</v>
      </c>
      <c r="AE365" t="s">
        <v>1041</v>
      </c>
      <c r="AF365" t="s">
        <v>2769</v>
      </c>
      <c r="AI365" t="s">
        <v>1612</v>
      </c>
    </row>
    <row r="366" spans="1:35">
      <c r="A366">
        <v>386</v>
      </c>
      <c r="B366" t="s">
        <v>2770</v>
      </c>
      <c r="C366">
        <v>713</v>
      </c>
      <c r="D366" t="s">
        <v>1798</v>
      </c>
      <c r="E366" t="s">
        <v>2746</v>
      </c>
      <c r="F366" t="s">
        <v>1225</v>
      </c>
      <c r="G366" t="s">
        <v>2747</v>
      </c>
      <c r="H366" t="s">
        <v>2745</v>
      </c>
      <c r="I366" t="s">
        <v>2745</v>
      </c>
      <c r="J366" t="s">
        <v>2748</v>
      </c>
      <c r="N366" t="s">
        <v>1044</v>
      </c>
      <c r="T366" t="s">
        <v>1015</v>
      </c>
      <c r="U366" t="s">
        <v>312</v>
      </c>
      <c r="V366" t="s">
        <v>2771</v>
      </c>
      <c r="W366" t="s">
        <v>950</v>
      </c>
      <c r="X366">
        <v>23216</v>
      </c>
      <c r="Y366">
        <v>62</v>
      </c>
      <c r="Z366" t="s">
        <v>2772</v>
      </c>
      <c r="AA366" t="s">
        <v>2773</v>
      </c>
      <c r="AB366" t="s">
        <v>996</v>
      </c>
      <c r="AC366" t="s">
        <v>997</v>
      </c>
      <c r="AD366" t="s">
        <v>1041</v>
      </c>
      <c r="AE366" t="s">
        <v>1041</v>
      </c>
      <c r="AF366" t="s">
        <v>2774</v>
      </c>
      <c r="AI366" t="s">
        <v>1566</v>
      </c>
    </row>
    <row r="367" spans="1:35">
      <c r="A367">
        <v>378</v>
      </c>
      <c r="B367" t="s">
        <v>2775</v>
      </c>
      <c r="C367">
        <v>715</v>
      </c>
      <c r="D367" t="s">
        <v>1798</v>
      </c>
      <c r="E367" t="s">
        <v>2746</v>
      </c>
      <c r="F367" t="s">
        <v>1225</v>
      </c>
      <c r="G367" t="s">
        <v>2747</v>
      </c>
      <c r="H367" t="s">
        <v>2745</v>
      </c>
      <c r="I367" t="s">
        <v>2775</v>
      </c>
      <c r="J367" t="s">
        <v>959</v>
      </c>
      <c r="N367" t="s">
        <v>1074</v>
      </c>
      <c r="P367" t="s">
        <v>55</v>
      </c>
      <c r="Q367" t="s">
        <v>178</v>
      </c>
      <c r="T367" t="s">
        <v>1015</v>
      </c>
      <c r="U367" t="s">
        <v>207</v>
      </c>
      <c r="V367" t="s">
        <v>2776</v>
      </c>
      <c r="W367" t="s">
        <v>950</v>
      </c>
      <c r="X367">
        <v>28739</v>
      </c>
      <c r="Y367">
        <v>47</v>
      </c>
      <c r="Z367" t="s">
        <v>2777</v>
      </c>
      <c r="AA367" t="s">
        <v>2778</v>
      </c>
      <c r="AB367" t="s">
        <v>966</v>
      </c>
      <c r="AC367" t="s">
        <v>953</v>
      </c>
      <c r="AD367" t="s">
        <v>2737</v>
      </c>
      <c r="AE367" t="s">
        <v>2737</v>
      </c>
      <c r="AF367" t="s">
        <v>2779</v>
      </c>
      <c r="AI367" t="s">
        <v>1440</v>
      </c>
    </row>
    <row r="368" spans="1:35">
      <c r="A368">
        <v>384</v>
      </c>
      <c r="B368" t="s">
        <v>2780</v>
      </c>
      <c r="C368">
        <v>717</v>
      </c>
      <c r="D368" t="s">
        <v>1798</v>
      </c>
      <c r="E368" t="s">
        <v>2746</v>
      </c>
      <c r="F368" t="s">
        <v>1225</v>
      </c>
      <c r="G368" t="s">
        <v>2747</v>
      </c>
      <c r="H368" t="s">
        <v>2745</v>
      </c>
      <c r="I368" t="s">
        <v>2775</v>
      </c>
      <c r="J368" t="s">
        <v>2780</v>
      </c>
      <c r="N368" t="s">
        <v>1074</v>
      </c>
      <c r="P368" t="s">
        <v>69</v>
      </c>
      <c r="R368" t="s">
        <v>1286</v>
      </c>
      <c r="S368">
        <v>0</v>
      </c>
      <c r="T368" t="s">
        <v>1015</v>
      </c>
      <c r="U368" t="s">
        <v>303</v>
      </c>
      <c r="V368" t="s">
        <v>2781</v>
      </c>
      <c r="W368" t="s">
        <v>950</v>
      </c>
      <c r="X368">
        <v>22076</v>
      </c>
      <c r="Y368">
        <v>65</v>
      </c>
      <c r="Z368" t="s">
        <v>2782</v>
      </c>
      <c r="AA368" t="s">
        <v>2783</v>
      </c>
      <c r="AB368" t="s">
        <v>996</v>
      </c>
      <c r="AC368" t="s">
        <v>997</v>
      </c>
      <c r="AD368" t="s">
        <v>1041</v>
      </c>
      <c r="AE368" t="s">
        <v>1041</v>
      </c>
      <c r="AF368" t="s">
        <v>2784</v>
      </c>
      <c r="AI368" t="s">
        <v>1612</v>
      </c>
    </row>
    <row r="369" spans="1:38">
      <c r="A369">
        <v>377</v>
      </c>
      <c r="B369" t="s">
        <v>2785</v>
      </c>
      <c r="C369">
        <v>719</v>
      </c>
      <c r="D369" t="s">
        <v>1798</v>
      </c>
      <c r="E369" t="s">
        <v>2746</v>
      </c>
      <c r="F369" t="s">
        <v>1225</v>
      </c>
      <c r="G369" t="s">
        <v>2747</v>
      </c>
      <c r="H369" t="s">
        <v>2745</v>
      </c>
      <c r="I369" t="s">
        <v>2775</v>
      </c>
      <c r="J369" t="s">
        <v>959</v>
      </c>
      <c r="N369" t="s">
        <v>1074</v>
      </c>
      <c r="T369" t="s">
        <v>1015</v>
      </c>
      <c r="U369" t="s">
        <v>227</v>
      </c>
      <c r="V369" t="s">
        <v>2786</v>
      </c>
      <c r="W369" t="s">
        <v>950</v>
      </c>
      <c r="X369">
        <v>23437</v>
      </c>
      <c r="Y369">
        <v>61</v>
      </c>
      <c r="Z369" t="s">
        <v>2787</v>
      </c>
      <c r="AA369" t="s">
        <v>2788</v>
      </c>
      <c r="AB369" t="s">
        <v>966</v>
      </c>
      <c r="AC369" t="s">
        <v>953</v>
      </c>
      <c r="AD369" t="s">
        <v>1041</v>
      </c>
      <c r="AE369" t="s">
        <v>1041</v>
      </c>
      <c r="AF369" t="s">
        <v>2789</v>
      </c>
    </row>
    <row r="370" spans="1:38">
      <c r="A370">
        <v>379</v>
      </c>
      <c r="B370" t="s">
        <v>2790</v>
      </c>
      <c r="C370">
        <v>721</v>
      </c>
      <c r="D370" t="s">
        <v>1798</v>
      </c>
      <c r="E370" t="s">
        <v>2746</v>
      </c>
      <c r="F370" t="s">
        <v>1225</v>
      </c>
      <c r="G370" t="s">
        <v>2747</v>
      </c>
      <c r="H370" t="s">
        <v>2745</v>
      </c>
      <c r="I370" t="s">
        <v>2775</v>
      </c>
      <c r="J370" t="s">
        <v>959</v>
      </c>
      <c r="N370" t="s">
        <v>1074</v>
      </c>
      <c r="T370" t="s">
        <v>1090</v>
      </c>
      <c r="U370" t="s">
        <v>2791</v>
      </c>
      <c r="V370" t="s">
        <v>2792</v>
      </c>
      <c r="W370" t="s">
        <v>950</v>
      </c>
      <c r="X370">
        <v>20092</v>
      </c>
      <c r="Y370">
        <v>71</v>
      </c>
      <c r="Z370" t="s">
        <v>2793</v>
      </c>
      <c r="AA370" t="s">
        <v>2794</v>
      </c>
      <c r="AB370" t="s">
        <v>996</v>
      </c>
      <c r="AC370" t="s">
        <v>997</v>
      </c>
      <c r="AD370" t="s">
        <v>2737</v>
      </c>
      <c r="AE370" t="s">
        <v>2737</v>
      </c>
      <c r="AF370" t="s">
        <v>2795</v>
      </c>
      <c r="AI370" t="s">
        <v>1107</v>
      </c>
      <c r="AL370" t="s">
        <v>1252</v>
      </c>
    </row>
    <row r="371" spans="1:38">
      <c r="A371">
        <v>389</v>
      </c>
      <c r="B371" t="s">
        <v>2796</v>
      </c>
      <c r="C371">
        <v>723</v>
      </c>
      <c r="D371" t="s">
        <v>957</v>
      </c>
      <c r="E371" t="s">
        <v>2746</v>
      </c>
      <c r="F371" t="s">
        <v>1225</v>
      </c>
      <c r="G371" t="s">
        <v>2747</v>
      </c>
      <c r="H371" t="s">
        <v>2745</v>
      </c>
      <c r="I371" t="s">
        <v>2775</v>
      </c>
      <c r="J371" t="s">
        <v>959</v>
      </c>
      <c r="N371" t="s">
        <v>1074</v>
      </c>
      <c r="T371" t="s">
        <v>1015</v>
      </c>
      <c r="U371" t="s">
        <v>903</v>
      </c>
      <c r="V371" t="s">
        <v>2797</v>
      </c>
      <c r="W371" t="s">
        <v>950</v>
      </c>
      <c r="X371">
        <v>31496</v>
      </c>
      <c r="Y371">
        <v>39</v>
      </c>
      <c r="AB371" t="s">
        <v>966</v>
      </c>
      <c r="AC371" t="s">
        <v>953</v>
      </c>
      <c r="AD371" t="s">
        <v>1041</v>
      </c>
      <c r="AE371" t="s">
        <v>2659</v>
      </c>
      <c r="AF371" t="s">
        <v>2660</v>
      </c>
      <c r="AG371" t="s">
        <v>1775</v>
      </c>
      <c r="AH371" t="s">
        <v>2798</v>
      </c>
      <c r="AJ371" t="s">
        <v>1020</v>
      </c>
    </row>
    <row r="372" spans="1:38">
      <c r="A372">
        <v>381</v>
      </c>
      <c r="B372" t="s">
        <v>2799</v>
      </c>
      <c r="C372">
        <v>725</v>
      </c>
      <c r="D372" t="s">
        <v>1798</v>
      </c>
      <c r="E372" t="s">
        <v>2746</v>
      </c>
      <c r="F372" t="s">
        <v>1225</v>
      </c>
      <c r="G372" t="s">
        <v>2747</v>
      </c>
      <c r="H372" t="s">
        <v>2745</v>
      </c>
      <c r="I372" t="s">
        <v>2775</v>
      </c>
      <c r="J372" t="s">
        <v>959</v>
      </c>
      <c r="N372" t="s">
        <v>1074</v>
      </c>
      <c r="T372" t="s">
        <v>1090</v>
      </c>
      <c r="U372" t="s">
        <v>266</v>
      </c>
      <c r="V372" t="s">
        <v>2800</v>
      </c>
      <c r="W372" t="s">
        <v>950</v>
      </c>
      <c r="X372">
        <v>18124</v>
      </c>
      <c r="Y372">
        <v>76</v>
      </c>
      <c r="Z372" t="s">
        <v>2801</v>
      </c>
      <c r="AA372" t="s">
        <v>2802</v>
      </c>
      <c r="AB372" t="s">
        <v>996</v>
      </c>
      <c r="AC372" t="s">
        <v>997</v>
      </c>
      <c r="AD372" t="s">
        <v>1041</v>
      </c>
      <c r="AE372" t="s">
        <v>1041</v>
      </c>
      <c r="AF372" t="s">
        <v>2803</v>
      </c>
      <c r="AI372" t="s">
        <v>1612</v>
      </c>
    </row>
    <row r="373" spans="1:38">
      <c r="A373">
        <v>390</v>
      </c>
      <c r="B373" t="s">
        <v>2804</v>
      </c>
      <c r="C373">
        <v>727</v>
      </c>
      <c r="D373" t="s">
        <v>1798</v>
      </c>
      <c r="E373" t="s">
        <v>2746</v>
      </c>
      <c r="F373" t="s">
        <v>1225</v>
      </c>
      <c r="G373" t="s">
        <v>2747</v>
      </c>
      <c r="H373" t="s">
        <v>2745</v>
      </c>
      <c r="I373" t="s">
        <v>2804</v>
      </c>
      <c r="J373" t="s">
        <v>959</v>
      </c>
      <c r="N373" t="s">
        <v>1115</v>
      </c>
      <c r="P373" t="s">
        <v>55</v>
      </c>
      <c r="Q373" t="s">
        <v>55</v>
      </c>
      <c r="T373" t="s">
        <v>1015</v>
      </c>
      <c r="U373" t="s">
        <v>187</v>
      </c>
      <c r="V373" t="s">
        <v>2805</v>
      </c>
      <c r="W373" t="s">
        <v>950</v>
      </c>
      <c r="X373">
        <v>27506</v>
      </c>
      <c r="Y373">
        <v>50</v>
      </c>
      <c r="Z373" t="s">
        <v>2806</v>
      </c>
      <c r="AA373" t="s">
        <v>2807</v>
      </c>
      <c r="AB373" t="s">
        <v>966</v>
      </c>
      <c r="AC373" t="s">
        <v>953</v>
      </c>
      <c r="AD373" t="s">
        <v>1041</v>
      </c>
      <c r="AE373" t="s">
        <v>2069</v>
      </c>
      <c r="AF373" t="s">
        <v>2808</v>
      </c>
      <c r="AI373" t="s">
        <v>1025</v>
      </c>
    </row>
    <row r="374" spans="1:38">
      <c r="A374">
        <v>391</v>
      </c>
      <c r="B374" t="s">
        <v>2809</v>
      </c>
      <c r="C374">
        <v>729</v>
      </c>
      <c r="D374" t="s">
        <v>1798</v>
      </c>
      <c r="E374" t="s">
        <v>2746</v>
      </c>
      <c r="F374" t="s">
        <v>1225</v>
      </c>
      <c r="G374" t="s">
        <v>2747</v>
      </c>
      <c r="H374" t="s">
        <v>2745</v>
      </c>
      <c r="I374" t="s">
        <v>2804</v>
      </c>
      <c r="J374" t="s">
        <v>959</v>
      </c>
      <c r="N374" t="s">
        <v>1115</v>
      </c>
      <c r="T374" t="s">
        <v>1015</v>
      </c>
      <c r="U374" t="s">
        <v>208</v>
      </c>
      <c r="V374" t="s">
        <v>2810</v>
      </c>
      <c r="W374" t="s">
        <v>950</v>
      </c>
      <c r="X374">
        <v>21782</v>
      </c>
      <c r="Y374">
        <v>66</v>
      </c>
      <c r="Z374" t="s">
        <v>2811</v>
      </c>
      <c r="AA374" t="s">
        <v>2812</v>
      </c>
      <c r="AB374" t="s">
        <v>996</v>
      </c>
      <c r="AC374" t="s">
        <v>997</v>
      </c>
      <c r="AD374" t="s">
        <v>2069</v>
      </c>
      <c r="AE374" t="s">
        <v>2069</v>
      </c>
      <c r="AF374" t="s">
        <v>2641</v>
      </c>
      <c r="AI374" t="s">
        <v>1025</v>
      </c>
    </row>
    <row r="375" spans="1:38">
      <c r="A375">
        <v>392</v>
      </c>
      <c r="B375" t="s">
        <v>2813</v>
      </c>
      <c r="C375">
        <v>731</v>
      </c>
      <c r="D375" t="s">
        <v>1798</v>
      </c>
      <c r="E375" t="s">
        <v>2746</v>
      </c>
      <c r="F375" t="s">
        <v>1225</v>
      </c>
      <c r="G375" t="s">
        <v>2747</v>
      </c>
      <c r="H375" t="s">
        <v>2745</v>
      </c>
      <c r="I375" t="s">
        <v>2804</v>
      </c>
      <c r="J375" t="s">
        <v>959</v>
      </c>
      <c r="N375" t="s">
        <v>1115</v>
      </c>
      <c r="T375" t="s">
        <v>1015</v>
      </c>
      <c r="U375" t="s">
        <v>2814</v>
      </c>
      <c r="V375" t="s">
        <v>2815</v>
      </c>
      <c r="W375" t="s">
        <v>950</v>
      </c>
      <c r="X375">
        <v>30200</v>
      </c>
      <c r="Y375">
        <v>43</v>
      </c>
      <c r="Z375" t="s">
        <v>2816</v>
      </c>
      <c r="AA375" t="s">
        <v>2817</v>
      </c>
      <c r="AB375" t="s">
        <v>996</v>
      </c>
      <c r="AC375" t="s">
        <v>997</v>
      </c>
      <c r="AD375" t="s">
        <v>1041</v>
      </c>
      <c r="AE375" t="s">
        <v>1041</v>
      </c>
      <c r="AF375" t="s">
        <v>2672</v>
      </c>
      <c r="AI375" t="s">
        <v>1125</v>
      </c>
    </row>
    <row r="376" spans="1:38">
      <c r="A376">
        <v>393</v>
      </c>
      <c r="B376" t="s">
        <v>2818</v>
      </c>
      <c r="C376">
        <v>733</v>
      </c>
      <c r="D376" t="s">
        <v>1798</v>
      </c>
      <c r="E376" t="s">
        <v>2746</v>
      </c>
      <c r="F376" t="s">
        <v>1225</v>
      </c>
      <c r="G376" t="s">
        <v>2747</v>
      </c>
      <c r="H376" t="s">
        <v>2745</v>
      </c>
      <c r="I376" t="s">
        <v>2804</v>
      </c>
      <c r="J376" t="s">
        <v>959</v>
      </c>
      <c r="N376" t="s">
        <v>1115</v>
      </c>
      <c r="T376" t="s">
        <v>1015</v>
      </c>
      <c r="U376" t="s">
        <v>228</v>
      </c>
      <c r="V376" t="s">
        <v>2819</v>
      </c>
      <c r="W376" t="s">
        <v>950</v>
      </c>
      <c r="X376">
        <v>22092</v>
      </c>
      <c r="Y376">
        <v>65</v>
      </c>
      <c r="Z376" t="s">
        <v>2820</v>
      </c>
      <c r="AA376" t="s">
        <v>2821</v>
      </c>
      <c r="AB376" t="s">
        <v>996</v>
      </c>
      <c r="AC376" t="s">
        <v>997</v>
      </c>
      <c r="AD376" t="s">
        <v>1041</v>
      </c>
      <c r="AE376" t="s">
        <v>1041</v>
      </c>
      <c r="AF376" t="s">
        <v>2822</v>
      </c>
      <c r="AI376" t="s">
        <v>1114</v>
      </c>
    </row>
    <row r="377" spans="1:38">
      <c r="A377">
        <v>394</v>
      </c>
      <c r="B377" t="s">
        <v>2823</v>
      </c>
      <c r="C377">
        <v>735</v>
      </c>
      <c r="D377" t="s">
        <v>1798</v>
      </c>
      <c r="E377" t="s">
        <v>2746</v>
      </c>
      <c r="F377" t="s">
        <v>1225</v>
      </c>
      <c r="G377" t="s">
        <v>2747</v>
      </c>
      <c r="H377" t="s">
        <v>2745</v>
      </c>
      <c r="I377" t="s">
        <v>2804</v>
      </c>
      <c r="J377" t="s">
        <v>959</v>
      </c>
      <c r="N377" t="s">
        <v>1115</v>
      </c>
      <c r="T377" t="s">
        <v>1015</v>
      </c>
      <c r="U377" t="s">
        <v>782</v>
      </c>
      <c r="V377" t="s">
        <v>2824</v>
      </c>
      <c r="W377" t="s">
        <v>950</v>
      </c>
      <c r="X377">
        <v>25138</v>
      </c>
      <c r="Y377">
        <v>57</v>
      </c>
      <c r="Z377" t="s">
        <v>2825</v>
      </c>
      <c r="AB377" t="s">
        <v>996</v>
      </c>
      <c r="AC377" t="s">
        <v>1018</v>
      </c>
      <c r="AD377" t="s">
        <v>1041</v>
      </c>
      <c r="AE377" t="s">
        <v>2737</v>
      </c>
      <c r="AF377" t="s">
        <v>2826</v>
      </c>
      <c r="AI377" t="s">
        <v>1575</v>
      </c>
    </row>
    <row r="378" spans="1:38">
      <c r="A378">
        <v>395</v>
      </c>
      <c r="B378" t="s">
        <v>2827</v>
      </c>
      <c r="C378">
        <v>737</v>
      </c>
      <c r="D378" t="s">
        <v>1798</v>
      </c>
      <c r="E378" t="s">
        <v>2746</v>
      </c>
      <c r="F378" t="s">
        <v>1225</v>
      </c>
      <c r="G378" t="s">
        <v>2747</v>
      </c>
      <c r="H378" t="s">
        <v>2745</v>
      </c>
      <c r="I378" t="s">
        <v>2804</v>
      </c>
      <c r="J378" t="s">
        <v>959</v>
      </c>
      <c r="N378" t="s">
        <v>1115</v>
      </c>
      <c r="T378" t="s">
        <v>1015</v>
      </c>
      <c r="U378" t="s">
        <v>776</v>
      </c>
      <c r="V378" t="s">
        <v>2828</v>
      </c>
      <c r="W378" t="s">
        <v>950</v>
      </c>
      <c r="X378">
        <v>28032</v>
      </c>
      <c r="Y378">
        <v>49</v>
      </c>
      <c r="Z378" t="s">
        <v>2829</v>
      </c>
      <c r="AB378" t="s">
        <v>996</v>
      </c>
      <c r="AC378" t="s">
        <v>1018</v>
      </c>
      <c r="AD378" t="s">
        <v>1041</v>
      </c>
      <c r="AE378" t="s">
        <v>2830</v>
      </c>
      <c r="AF378" t="s">
        <v>2831</v>
      </c>
      <c r="AI378" t="s">
        <v>1575</v>
      </c>
    </row>
    <row r="379" spans="1:38">
      <c r="A379">
        <v>397</v>
      </c>
      <c r="B379" t="s">
        <v>2832</v>
      </c>
      <c r="C379">
        <v>739</v>
      </c>
      <c r="D379" t="s">
        <v>1798</v>
      </c>
      <c r="E379" t="s">
        <v>2746</v>
      </c>
      <c r="F379" t="s">
        <v>1225</v>
      </c>
      <c r="G379" t="s">
        <v>2747</v>
      </c>
      <c r="H379" t="s">
        <v>2745</v>
      </c>
      <c r="I379" t="s">
        <v>2804</v>
      </c>
      <c r="J379" t="s">
        <v>959</v>
      </c>
      <c r="N379" t="s">
        <v>1115</v>
      </c>
      <c r="T379" t="s">
        <v>1015</v>
      </c>
      <c r="U379" t="s">
        <v>2833</v>
      </c>
      <c r="V379" t="s">
        <v>2834</v>
      </c>
      <c r="W379" t="s">
        <v>950</v>
      </c>
      <c r="X379">
        <v>30979</v>
      </c>
      <c r="Y379">
        <v>41</v>
      </c>
      <c r="Z379" t="s">
        <v>2835</v>
      </c>
      <c r="AA379" t="s">
        <v>2836</v>
      </c>
      <c r="AB379" t="s">
        <v>996</v>
      </c>
      <c r="AC379" t="s">
        <v>1018</v>
      </c>
      <c r="AD379" t="s">
        <v>1041</v>
      </c>
      <c r="AE379" t="s">
        <v>1041</v>
      </c>
      <c r="AF379" t="s">
        <v>2713</v>
      </c>
      <c r="AH379" t="s">
        <v>2837</v>
      </c>
      <c r="AI379" t="s">
        <v>1349</v>
      </c>
    </row>
    <row r="380" spans="1:38">
      <c r="A380">
        <v>108</v>
      </c>
      <c r="B380" t="s">
        <v>2838</v>
      </c>
      <c r="C380">
        <v>741</v>
      </c>
      <c r="D380" t="s">
        <v>1798</v>
      </c>
      <c r="E380" t="s">
        <v>2746</v>
      </c>
      <c r="F380" t="s">
        <v>1225</v>
      </c>
      <c r="G380" t="s">
        <v>2747</v>
      </c>
      <c r="H380" t="s">
        <v>2745</v>
      </c>
      <c r="I380" t="s">
        <v>2804</v>
      </c>
      <c r="J380" t="s">
        <v>959</v>
      </c>
      <c r="N380" t="s">
        <v>1115</v>
      </c>
      <c r="P380" t="s">
        <v>69</v>
      </c>
      <c r="Q380" t="s">
        <v>1002</v>
      </c>
      <c r="S380">
        <v>0</v>
      </c>
      <c r="T380" t="s">
        <v>1015</v>
      </c>
      <c r="U380" t="s">
        <v>215</v>
      </c>
      <c r="V380" t="s">
        <v>2839</v>
      </c>
      <c r="W380" t="s">
        <v>950</v>
      </c>
      <c r="X380">
        <v>27696</v>
      </c>
      <c r="Y380">
        <v>50</v>
      </c>
      <c r="Z380" t="s">
        <v>2840</v>
      </c>
      <c r="AA380" t="s">
        <v>2841</v>
      </c>
      <c r="AB380" t="s">
        <v>996</v>
      </c>
      <c r="AC380" t="s">
        <v>997</v>
      </c>
      <c r="AD380" t="s">
        <v>1041</v>
      </c>
      <c r="AE380" t="s">
        <v>2069</v>
      </c>
      <c r="AF380" t="s">
        <v>2842</v>
      </c>
      <c r="AI380" t="s">
        <v>1107</v>
      </c>
    </row>
    <row r="381" spans="1:38">
      <c r="A381">
        <v>398</v>
      </c>
      <c r="B381" t="s">
        <v>2843</v>
      </c>
      <c r="C381">
        <v>743</v>
      </c>
      <c r="D381" t="s">
        <v>1798</v>
      </c>
      <c r="E381" t="s">
        <v>2746</v>
      </c>
      <c r="F381" t="s">
        <v>1225</v>
      </c>
      <c r="G381" t="s">
        <v>2747</v>
      </c>
      <c r="H381" t="s">
        <v>2745</v>
      </c>
      <c r="I381" t="s">
        <v>2843</v>
      </c>
      <c r="J381" t="s">
        <v>959</v>
      </c>
      <c r="N381" t="s">
        <v>1127</v>
      </c>
      <c r="P381" t="s">
        <v>55</v>
      </c>
      <c r="Q381" t="s">
        <v>55</v>
      </c>
      <c r="S381">
        <v>2</v>
      </c>
      <c r="T381" t="s">
        <v>992</v>
      </c>
      <c r="U381" t="s">
        <v>188</v>
      </c>
      <c r="V381" t="s">
        <v>2844</v>
      </c>
      <c r="W381" t="s">
        <v>950</v>
      </c>
      <c r="X381">
        <v>32694</v>
      </c>
      <c r="Y381">
        <v>36</v>
      </c>
      <c r="Z381" t="s">
        <v>2845</v>
      </c>
      <c r="AA381" t="s">
        <v>2846</v>
      </c>
      <c r="AB381" t="s">
        <v>996</v>
      </c>
      <c r="AC381" t="s">
        <v>997</v>
      </c>
      <c r="AD381" t="s">
        <v>1041</v>
      </c>
      <c r="AE381" t="s">
        <v>1909</v>
      </c>
      <c r="AF381" t="s">
        <v>2847</v>
      </c>
      <c r="AI381" t="s">
        <v>1025</v>
      </c>
    </row>
    <row r="382" spans="1:38">
      <c r="A382">
        <v>399</v>
      </c>
      <c r="B382" t="s">
        <v>2848</v>
      </c>
      <c r="C382">
        <v>745</v>
      </c>
      <c r="D382" t="s">
        <v>1798</v>
      </c>
      <c r="E382" t="s">
        <v>2746</v>
      </c>
      <c r="F382" t="s">
        <v>1225</v>
      </c>
      <c r="G382" t="s">
        <v>2747</v>
      </c>
      <c r="H382" t="s">
        <v>2745</v>
      </c>
      <c r="I382" t="s">
        <v>2843</v>
      </c>
      <c r="J382" t="s">
        <v>959</v>
      </c>
      <c r="N382" t="s">
        <v>1127</v>
      </c>
      <c r="T382" t="s">
        <v>1090</v>
      </c>
      <c r="U382" t="s">
        <v>2849</v>
      </c>
      <c r="V382" t="s">
        <v>2850</v>
      </c>
      <c r="W382" t="s">
        <v>950</v>
      </c>
      <c r="X382">
        <v>19460</v>
      </c>
      <c r="Y382">
        <v>72</v>
      </c>
      <c r="AA382" t="s">
        <v>2851</v>
      </c>
      <c r="AB382" t="s">
        <v>996</v>
      </c>
      <c r="AC382" t="s">
        <v>953</v>
      </c>
      <c r="AD382" t="s">
        <v>1041</v>
      </c>
      <c r="AE382" t="s">
        <v>1041</v>
      </c>
      <c r="AF382" t="s">
        <v>2852</v>
      </c>
      <c r="AI382" t="s">
        <v>1440</v>
      </c>
    </row>
    <row r="383" spans="1:38">
      <c r="A383">
        <v>400</v>
      </c>
      <c r="B383" t="s">
        <v>2853</v>
      </c>
      <c r="C383">
        <v>747</v>
      </c>
      <c r="D383" t="s">
        <v>1798</v>
      </c>
      <c r="E383" t="s">
        <v>2746</v>
      </c>
      <c r="F383" t="s">
        <v>1225</v>
      </c>
      <c r="G383" t="s">
        <v>2747</v>
      </c>
      <c r="H383" t="s">
        <v>2745</v>
      </c>
      <c r="I383" t="s">
        <v>2843</v>
      </c>
      <c r="J383" t="s">
        <v>959</v>
      </c>
      <c r="N383" t="s">
        <v>1127</v>
      </c>
      <c r="T383" t="s">
        <v>1090</v>
      </c>
      <c r="U383" t="s">
        <v>229</v>
      </c>
      <c r="V383" t="s">
        <v>2854</v>
      </c>
      <c r="W383" t="s">
        <v>950</v>
      </c>
      <c r="X383">
        <v>17662</v>
      </c>
      <c r="Y383">
        <v>77</v>
      </c>
      <c r="Z383" t="s">
        <v>2855</v>
      </c>
      <c r="AA383" t="s">
        <v>2856</v>
      </c>
      <c r="AB383" t="s">
        <v>966</v>
      </c>
      <c r="AC383" t="s">
        <v>953</v>
      </c>
      <c r="AD383" t="s">
        <v>1041</v>
      </c>
      <c r="AE383" t="s">
        <v>1041</v>
      </c>
      <c r="AF383" t="s">
        <v>2857</v>
      </c>
      <c r="AI383" t="s">
        <v>1025</v>
      </c>
    </row>
    <row r="384" spans="1:38">
      <c r="A384">
        <v>401</v>
      </c>
      <c r="B384" t="s">
        <v>2858</v>
      </c>
      <c r="C384">
        <v>749</v>
      </c>
      <c r="D384" t="s">
        <v>1798</v>
      </c>
      <c r="E384" t="s">
        <v>2746</v>
      </c>
      <c r="F384" t="s">
        <v>1225</v>
      </c>
      <c r="G384" t="s">
        <v>2747</v>
      </c>
      <c r="H384" t="s">
        <v>2745</v>
      </c>
      <c r="I384" t="s">
        <v>2843</v>
      </c>
      <c r="J384" t="s">
        <v>959</v>
      </c>
      <c r="N384" t="s">
        <v>1127</v>
      </c>
      <c r="T384" t="s">
        <v>1090</v>
      </c>
      <c r="U384" t="s">
        <v>2859</v>
      </c>
      <c r="V384" t="s">
        <v>2860</v>
      </c>
      <c r="W384" t="s">
        <v>950</v>
      </c>
      <c r="X384">
        <v>18484</v>
      </c>
      <c r="Y384">
        <v>75</v>
      </c>
      <c r="Z384" t="s">
        <v>2861</v>
      </c>
      <c r="AA384" t="s">
        <v>2862</v>
      </c>
      <c r="AB384" t="s">
        <v>966</v>
      </c>
      <c r="AC384" t="s">
        <v>953</v>
      </c>
      <c r="AD384" t="s">
        <v>1041</v>
      </c>
      <c r="AE384" t="s">
        <v>1250</v>
      </c>
      <c r="AF384" t="s">
        <v>2863</v>
      </c>
      <c r="AI384" t="s">
        <v>1125</v>
      </c>
    </row>
    <row r="385" spans="1:35">
      <c r="A385">
        <v>402</v>
      </c>
      <c r="B385" t="s">
        <v>2864</v>
      </c>
      <c r="C385">
        <v>751</v>
      </c>
      <c r="D385" t="s">
        <v>1798</v>
      </c>
      <c r="E385" t="s">
        <v>2746</v>
      </c>
      <c r="F385" t="s">
        <v>1225</v>
      </c>
      <c r="G385" t="s">
        <v>2747</v>
      </c>
      <c r="H385" t="s">
        <v>2745</v>
      </c>
      <c r="I385" t="s">
        <v>2843</v>
      </c>
      <c r="J385" t="s">
        <v>959</v>
      </c>
      <c r="N385" t="s">
        <v>1127</v>
      </c>
      <c r="T385" t="s">
        <v>1015</v>
      </c>
      <c r="U385" t="s">
        <v>250</v>
      </c>
      <c r="V385" t="s">
        <v>2865</v>
      </c>
      <c r="W385" t="s">
        <v>950</v>
      </c>
      <c r="X385">
        <v>29101</v>
      </c>
      <c r="Y385">
        <v>46</v>
      </c>
      <c r="Z385" t="s">
        <v>2866</v>
      </c>
      <c r="AA385" t="s">
        <v>2867</v>
      </c>
      <c r="AB385" t="s">
        <v>966</v>
      </c>
      <c r="AC385" t="s">
        <v>953</v>
      </c>
      <c r="AD385" t="s">
        <v>1041</v>
      </c>
      <c r="AE385" t="s">
        <v>2147</v>
      </c>
      <c r="AF385" t="s">
        <v>2868</v>
      </c>
      <c r="AI385" t="s">
        <v>1025</v>
      </c>
    </row>
    <row r="386" spans="1:35">
      <c r="A386">
        <v>403</v>
      </c>
      <c r="B386" t="s">
        <v>2869</v>
      </c>
      <c r="C386">
        <v>753</v>
      </c>
      <c r="D386" t="s">
        <v>1798</v>
      </c>
      <c r="E386" t="s">
        <v>2746</v>
      </c>
      <c r="F386" t="s">
        <v>1225</v>
      </c>
      <c r="G386" t="s">
        <v>2747</v>
      </c>
      <c r="H386" t="s">
        <v>2745</v>
      </c>
      <c r="I386" t="s">
        <v>2843</v>
      </c>
      <c r="J386" t="s">
        <v>959</v>
      </c>
      <c r="N386" t="s">
        <v>1127</v>
      </c>
      <c r="T386" t="s">
        <v>1015</v>
      </c>
      <c r="U386" t="s">
        <v>2870</v>
      </c>
      <c r="V386" t="s">
        <v>2871</v>
      </c>
      <c r="W386" t="s">
        <v>950</v>
      </c>
      <c r="X386">
        <v>22162</v>
      </c>
      <c r="Y386">
        <v>65</v>
      </c>
      <c r="Z386" t="s">
        <v>2872</v>
      </c>
      <c r="AA386" t="s">
        <v>2873</v>
      </c>
      <c r="AB386" t="s">
        <v>966</v>
      </c>
      <c r="AC386" t="s">
        <v>953</v>
      </c>
      <c r="AD386" t="s">
        <v>1041</v>
      </c>
      <c r="AE386" t="s">
        <v>1041</v>
      </c>
      <c r="AF386" t="s">
        <v>1382</v>
      </c>
      <c r="AI386" t="s">
        <v>1125</v>
      </c>
    </row>
    <row r="387" spans="1:35">
      <c r="A387">
        <v>404</v>
      </c>
      <c r="B387" t="s">
        <v>2874</v>
      </c>
      <c r="C387">
        <v>755</v>
      </c>
      <c r="D387" t="s">
        <v>1798</v>
      </c>
      <c r="E387" t="s">
        <v>2746</v>
      </c>
      <c r="F387" t="s">
        <v>1225</v>
      </c>
      <c r="G387" t="s">
        <v>2747</v>
      </c>
      <c r="H387" t="s">
        <v>2745</v>
      </c>
      <c r="I387" t="s">
        <v>2843</v>
      </c>
      <c r="J387" t="s">
        <v>959</v>
      </c>
      <c r="N387" t="s">
        <v>1127</v>
      </c>
      <c r="T387" t="s">
        <v>1015</v>
      </c>
      <c r="U387" t="s">
        <v>2875</v>
      </c>
      <c r="V387" t="s">
        <v>2876</v>
      </c>
      <c r="W387" t="s">
        <v>950</v>
      </c>
      <c r="X387">
        <v>23624</v>
      </c>
      <c r="Y387">
        <v>61</v>
      </c>
      <c r="Z387" t="s">
        <v>2877</v>
      </c>
      <c r="AA387" t="s">
        <v>2878</v>
      </c>
      <c r="AB387" t="s">
        <v>996</v>
      </c>
      <c r="AC387" t="s">
        <v>997</v>
      </c>
      <c r="AD387" t="s">
        <v>1041</v>
      </c>
      <c r="AE387" t="s">
        <v>1041</v>
      </c>
      <c r="AF387" t="s">
        <v>2789</v>
      </c>
      <c r="AI387" t="s">
        <v>1125</v>
      </c>
    </row>
    <row r="388" spans="1:35">
      <c r="A388">
        <v>405</v>
      </c>
      <c r="B388" t="s">
        <v>2879</v>
      </c>
      <c r="C388">
        <v>757</v>
      </c>
      <c r="D388" t="s">
        <v>1798</v>
      </c>
      <c r="E388" t="s">
        <v>2746</v>
      </c>
      <c r="F388" t="s">
        <v>1225</v>
      </c>
      <c r="G388" t="s">
        <v>2747</v>
      </c>
      <c r="H388" t="s">
        <v>2745</v>
      </c>
      <c r="I388" t="s">
        <v>2843</v>
      </c>
      <c r="J388" t="s">
        <v>2879</v>
      </c>
      <c r="N388" t="s">
        <v>1127</v>
      </c>
      <c r="P388" t="s">
        <v>69</v>
      </c>
      <c r="R388" t="s">
        <v>1286</v>
      </c>
      <c r="T388" t="s">
        <v>1015</v>
      </c>
      <c r="U388" t="s">
        <v>2880</v>
      </c>
      <c r="V388" t="s">
        <v>2881</v>
      </c>
      <c r="W388" t="s">
        <v>950</v>
      </c>
      <c r="X388">
        <v>30956</v>
      </c>
      <c r="Y388">
        <v>41</v>
      </c>
      <c r="Z388" t="s">
        <v>2882</v>
      </c>
      <c r="AA388" t="s">
        <v>2883</v>
      </c>
      <c r="AB388" t="s">
        <v>996</v>
      </c>
      <c r="AC388" t="s">
        <v>997</v>
      </c>
      <c r="AD388" t="s">
        <v>1041</v>
      </c>
      <c r="AE388" t="s">
        <v>1041</v>
      </c>
      <c r="AF388" t="s">
        <v>2884</v>
      </c>
      <c r="AI388" t="s">
        <v>1125</v>
      </c>
    </row>
    <row r="389" spans="1:35">
      <c r="A389">
        <v>406</v>
      </c>
      <c r="B389" t="s">
        <v>2885</v>
      </c>
      <c r="C389">
        <v>759</v>
      </c>
      <c r="D389" t="s">
        <v>1798</v>
      </c>
      <c r="E389" t="s">
        <v>2746</v>
      </c>
      <c r="F389" t="s">
        <v>1225</v>
      </c>
      <c r="G389" t="s">
        <v>2747</v>
      </c>
      <c r="H389" t="s">
        <v>2745</v>
      </c>
      <c r="I389" t="s">
        <v>2885</v>
      </c>
      <c r="J389" t="s">
        <v>2886</v>
      </c>
      <c r="N389" t="s">
        <v>1157</v>
      </c>
      <c r="P389" t="s">
        <v>55</v>
      </c>
      <c r="Q389" t="s">
        <v>178</v>
      </c>
      <c r="T389" t="s">
        <v>1015</v>
      </c>
      <c r="U389" t="s">
        <v>189</v>
      </c>
      <c r="V389" t="s">
        <v>2887</v>
      </c>
      <c r="W389" t="s">
        <v>950</v>
      </c>
      <c r="X389">
        <v>23890</v>
      </c>
      <c r="Y389">
        <v>60</v>
      </c>
      <c r="Z389" t="s">
        <v>2888</v>
      </c>
      <c r="AA389" t="s">
        <v>2889</v>
      </c>
      <c r="AB389" t="s">
        <v>966</v>
      </c>
      <c r="AC389" t="s">
        <v>953</v>
      </c>
      <c r="AD389" t="s">
        <v>729</v>
      </c>
      <c r="AE389" t="s">
        <v>1041</v>
      </c>
      <c r="AF389" t="s">
        <v>2713</v>
      </c>
      <c r="AI389" t="s">
        <v>1440</v>
      </c>
    </row>
    <row r="390" spans="1:35">
      <c r="A390">
        <v>407</v>
      </c>
      <c r="B390" t="s">
        <v>2886</v>
      </c>
      <c r="C390">
        <v>761</v>
      </c>
      <c r="D390" t="s">
        <v>1798</v>
      </c>
      <c r="E390" t="s">
        <v>2746</v>
      </c>
      <c r="F390" t="s">
        <v>1225</v>
      </c>
      <c r="G390" t="s">
        <v>2747</v>
      </c>
      <c r="H390" t="s">
        <v>2745</v>
      </c>
      <c r="I390" t="s">
        <v>2885</v>
      </c>
      <c r="J390" t="s">
        <v>2886</v>
      </c>
      <c r="N390" t="s">
        <v>1157</v>
      </c>
      <c r="P390" t="s">
        <v>69</v>
      </c>
      <c r="Q390" t="s">
        <v>562</v>
      </c>
      <c r="T390" t="s">
        <v>1015</v>
      </c>
      <c r="U390" t="s">
        <v>209</v>
      </c>
      <c r="V390" t="s">
        <v>2890</v>
      </c>
      <c r="W390" t="s">
        <v>950</v>
      </c>
      <c r="X390">
        <v>21150</v>
      </c>
      <c r="Y390">
        <v>68</v>
      </c>
      <c r="Z390" t="s">
        <v>2891</v>
      </c>
      <c r="AA390" t="s">
        <v>2892</v>
      </c>
      <c r="AB390" t="s">
        <v>996</v>
      </c>
      <c r="AC390" t="s">
        <v>997</v>
      </c>
      <c r="AD390" t="s">
        <v>1041</v>
      </c>
      <c r="AE390" t="s">
        <v>1041</v>
      </c>
      <c r="AF390" t="s">
        <v>1382</v>
      </c>
      <c r="AI390" t="s">
        <v>1452</v>
      </c>
    </row>
    <row r="391" spans="1:35">
      <c r="A391">
        <v>408</v>
      </c>
      <c r="B391" t="s">
        <v>2893</v>
      </c>
      <c r="C391">
        <v>763</v>
      </c>
      <c r="D391" t="s">
        <v>1798</v>
      </c>
      <c r="E391" t="s">
        <v>2746</v>
      </c>
      <c r="F391" t="s">
        <v>1225</v>
      </c>
      <c r="G391" t="s">
        <v>2747</v>
      </c>
      <c r="H391" t="s">
        <v>2745</v>
      </c>
      <c r="I391" t="s">
        <v>2885</v>
      </c>
      <c r="J391" t="s">
        <v>2886</v>
      </c>
      <c r="N391" t="s">
        <v>1157</v>
      </c>
      <c r="T391" t="s">
        <v>1015</v>
      </c>
      <c r="U391" t="s">
        <v>2894</v>
      </c>
      <c r="V391" t="s">
        <v>2895</v>
      </c>
      <c r="W391" t="s">
        <v>950</v>
      </c>
      <c r="X391">
        <v>27553</v>
      </c>
      <c r="Y391">
        <v>50</v>
      </c>
      <c r="Z391" t="s">
        <v>2896</v>
      </c>
      <c r="AA391" t="s">
        <v>2897</v>
      </c>
      <c r="AB391" t="s">
        <v>996</v>
      </c>
      <c r="AC391" t="s">
        <v>997</v>
      </c>
      <c r="AD391" t="s">
        <v>1041</v>
      </c>
      <c r="AE391" t="s">
        <v>1041</v>
      </c>
      <c r="AF391" t="s">
        <v>2898</v>
      </c>
      <c r="AI391" t="s">
        <v>1125</v>
      </c>
    </row>
    <row r="392" spans="1:35">
      <c r="A392">
        <v>409</v>
      </c>
      <c r="B392" t="s">
        <v>2899</v>
      </c>
      <c r="C392">
        <v>765</v>
      </c>
      <c r="D392" t="s">
        <v>1798</v>
      </c>
      <c r="E392" t="s">
        <v>2746</v>
      </c>
      <c r="F392" t="s">
        <v>1225</v>
      </c>
      <c r="G392" t="s">
        <v>2747</v>
      </c>
      <c r="H392" t="s">
        <v>2745</v>
      </c>
      <c r="I392" t="s">
        <v>2885</v>
      </c>
      <c r="J392" t="s">
        <v>2886</v>
      </c>
      <c r="N392" t="s">
        <v>1157</v>
      </c>
      <c r="T392" t="s">
        <v>1015</v>
      </c>
      <c r="U392" t="s">
        <v>230</v>
      </c>
      <c r="V392" t="s">
        <v>2900</v>
      </c>
      <c r="W392" t="s">
        <v>950</v>
      </c>
      <c r="X392">
        <v>21259</v>
      </c>
      <c r="Y392">
        <v>67</v>
      </c>
      <c r="Z392" t="s">
        <v>2901</v>
      </c>
      <c r="AA392" t="s">
        <v>2902</v>
      </c>
      <c r="AB392" t="s">
        <v>996</v>
      </c>
      <c r="AC392" t="s">
        <v>997</v>
      </c>
      <c r="AD392" t="s">
        <v>1041</v>
      </c>
      <c r="AE392" t="s">
        <v>1041</v>
      </c>
      <c r="AF392" t="s">
        <v>2903</v>
      </c>
      <c r="AI392" t="s">
        <v>1452</v>
      </c>
    </row>
    <row r="393" spans="1:35">
      <c r="A393">
        <v>410</v>
      </c>
      <c r="B393" t="s">
        <v>2904</v>
      </c>
      <c r="C393">
        <v>767</v>
      </c>
      <c r="D393" t="s">
        <v>1798</v>
      </c>
      <c r="E393" t="s">
        <v>2746</v>
      </c>
      <c r="F393" t="s">
        <v>1225</v>
      </c>
      <c r="G393" t="s">
        <v>2747</v>
      </c>
      <c r="H393" t="s">
        <v>2745</v>
      </c>
      <c r="I393" t="s">
        <v>2885</v>
      </c>
      <c r="J393" t="s">
        <v>2886</v>
      </c>
      <c r="N393" t="s">
        <v>1157</v>
      </c>
      <c r="T393" t="s">
        <v>1015</v>
      </c>
      <c r="U393" t="s">
        <v>251</v>
      </c>
      <c r="V393" t="s">
        <v>2905</v>
      </c>
      <c r="W393" t="s">
        <v>950</v>
      </c>
      <c r="X393">
        <v>21707</v>
      </c>
      <c r="Y393">
        <v>66</v>
      </c>
      <c r="Z393" t="s">
        <v>2906</v>
      </c>
      <c r="AA393" t="s">
        <v>2907</v>
      </c>
      <c r="AB393" t="s">
        <v>996</v>
      </c>
      <c r="AC393" t="s">
        <v>997</v>
      </c>
      <c r="AD393" t="s">
        <v>1041</v>
      </c>
      <c r="AE393" t="s">
        <v>729</v>
      </c>
      <c r="AF393" t="s">
        <v>2908</v>
      </c>
      <c r="AI393" t="s">
        <v>1452</v>
      </c>
    </row>
    <row r="394" spans="1:35">
      <c r="A394">
        <v>411</v>
      </c>
      <c r="B394" t="s">
        <v>2909</v>
      </c>
      <c r="C394">
        <v>769</v>
      </c>
      <c r="D394" t="s">
        <v>1798</v>
      </c>
      <c r="E394" t="s">
        <v>2746</v>
      </c>
      <c r="F394" t="s">
        <v>1225</v>
      </c>
      <c r="G394" t="s">
        <v>2747</v>
      </c>
      <c r="H394" t="s">
        <v>2745</v>
      </c>
      <c r="I394" t="s">
        <v>2885</v>
      </c>
      <c r="J394" t="s">
        <v>2886</v>
      </c>
      <c r="N394" t="s">
        <v>1157</v>
      </c>
      <c r="T394" t="s">
        <v>1015</v>
      </c>
      <c r="U394" t="s">
        <v>295</v>
      </c>
      <c r="V394" t="s">
        <v>2910</v>
      </c>
      <c r="W394" t="s">
        <v>950</v>
      </c>
      <c r="X394">
        <v>31673</v>
      </c>
      <c r="Y394">
        <v>39</v>
      </c>
      <c r="Z394" t="s">
        <v>2911</v>
      </c>
      <c r="AA394" t="s">
        <v>2912</v>
      </c>
      <c r="AB394" t="s">
        <v>996</v>
      </c>
      <c r="AC394" t="s">
        <v>997</v>
      </c>
      <c r="AD394" t="s">
        <v>1041</v>
      </c>
      <c r="AE394" t="s">
        <v>1041</v>
      </c>
      <c r="AF394" t="s">
        <v>2683</v>
      </c>
      <c r="AI394" t="s">
        <v>1452</v>
      </c>
    </row>
    <row r="395" spans="1:35">
      <c r="A395">
        <v>648</v>
      </c>
      <c r="B395" t="s">
        <v>2913</v>
      </c>
      <c r="C395">
        <v>771</v>
      </c>
      <c r="D395" t="s">
        <v>1798</v>
      </c>
      <c r="E395" t="s">
        <v>2746</v>
      </c>
      <c r="F395" t="s">
        <v>1225</v>
      </c>
      <c r="G395" t="s">
        <v>2747</v>
      </c>
      <c r="H395" t="s">
        <v>2745</v>
      </c>
      <c r="I395" t="s">
        <v>2885</v>
      </c>
      <c r="J395" t="s">
        <v>2886</v>
      </c>
      <c r="N395" t="s">
        <v>1157</v>
      </c>
      <c r="T395" t="s">
        <v>1015</v>
      </c>
      <c r="U395" t="s">
        <v>571</v>
      </c>
      <c r="V395" t="s">
        <v>2914</v>
      </c>
      <c r="W395" t="s">
        <v>950</v>
      </c>
      <c r="X395">
        <v>21731</v>
      </c>
      <c r="Y395">
        <v>66</v>
      </c>
      <c r="Z395" t="s">
        <v>2686</v>
      </c>
      <c r="AA395" t="s">
        <v>2915</v>
      </c>
      <c r="AB395" t="s">
        <v>996</v>
      </c>
      <c r="AC395" t="s">
        <v>997</v>
      </c>
      <c r="AD395" t="s">
        <v>1041</v>
      </c>
      <c r="AE395" t="s">
        <v>1041</v>
      </c>
      <c r="AF395" t="s">
        <v>2687</v>
      </c>
      <c r="AI395" t="s">
        <v>1318</v>
      </c>
    </row>
    <row r="396" spans="1:35">
      <c r="A396">
        <v>420</v>
      </c>
      <c r="B396" t="s">
        <v>2916</v>
      </c>
      <c r="C396">
        <v>773</v>
      </c>
      <c r="D396" t="s">
        <v>1798</v>
      </c>
      <c r="E396" t="s">
        <v>2746</v>
      </c>
      <c r="F396" t="s">
        <v>1225</v>
      </c>
      <c r="G396" t="s">
        <v>2747</v>
      </c>
      <c r="H396" t="s">
        <v>2745</v>
      </c>
      <c r="I396" t="s">
        <v>2885</v>
      </c>
      <c r="J396" t="s">
        <v>2886</v>
      </c>
      <c r="N396" t="s">
        <v>1157</v>
      </c>
      <c r="T396" t="s">
        <v>1015</v>
      </c>
      <c r="U396" t="s">
        <v>2917</v>
      </c>
      <c r="V396" t="s">
        <v>2918</v>
      </c>
      <c r="W396" t="s">
        <v>950</v>
      </c>
      <c r="X396">
        <v>26163</v>
      </c>
      <c r="Y396">
        <v>54</v>
      </c>
      <c r="Z396" t="s">
        <v>2919</v>
      </c>
      <c r="AB396" t="s">
        <v>996</v>
      </c>
      <c r="AC396" t="s">
        <v>997</v>
      </c>
      <c r="AD396" t="s">
        <v>1041</v>
      </c>
      <c r="AE396" t="s">
        <v>1041</v>
      </c>
      <c r="AF396" t="s">
        <v>1382</v>
      </c>
      <c r="AI396" t="s">
        <v>1125</v>
      </c>
    </row>
    <row r="397" spans="1:35">
      <c r="A397">
        <v>412</v>
      </c>
      <c r="B397" t="s">
        <v>2920</v>
      </c>
      <c r="C397">
        <v>775</v>
      </c>
      <c r="D397" t="s">
        <v>1798</v>
      </c>
      <c r="E397" t="s">
        <v>2746</v>
      </c>
      <c r="F397" t="s">
        <v>1225</v>
      </c>
      <c r="G397" t="s">
        <v>2747</v>
      </c>
      <c r="H397" t="s">
        <v>2745</v>
      </c>
      <c r="I397" t="s">
        <v>2885</v>
      </c>
      <c r="J397" t="s">
        <v>2886</v>
      </c>
      <c r="N397" t="s">
        <v>1157</v>
      </c>
      <c r="T397" t="s">
        <v>1015</v>
      </c>
      <c r="U397" t="s">
        <v>2921</v>
      </c>
      <c r="V397" t="s">
        <v>2922</v>
      </c>
      <c r="W397" t="s">
        <v>950</v>
      </c>
      <c r="X397">
        <v>29815</v>
      </c>
      <c r="Y397">
        <v>44</v>
      </c>
      <c r="Z397" t="s">
        <v>2923</v>
      </c>
      <c r="AB397" t="s">
        <v>996</v>
      </c>
      <c r="AC397" t="s">
        <v>953</v>
      </c>
      <c r="AD397" t="s">
        <v>1041</v>
      </c>
      <c r="AE397" t="s">
        <v>1041</v>
      </c>
      <c r="AF397" t="s">
        <v>2924</v>
      </c>
      <c r="AH397" t="s">
        <v>2925</v>
      </c>
    </row>
    <row r="398" spans="1:35">
      <c r="A398">
        <v>415</v>
      </c>
      <c r="B398" t="s">
        <v>2926</v>
      </c>
      <c r="C398">
        <v>777</v>
      </c>
      <c r="D398" t="s">
        <v>1798</v>
      </c>
      <c r="E398" t="s">
        <v>2746</v>
      </c>
      <c r="F398" t="s">
        <v>1225</v>
      </c>
      <c r="G398" t="s">
        <v>2747</v>
      </c>
      <c r="H398" t="s">
        <v>2745</v>
      </c>
      <c r="I398" t="s">
        <v>2926</v>
      </c>
      <c r="J398" t="s">
        <v>2927</v>
      </c>
      <c r="N398" t="s">
        <v>1480</v>
      </c>
      <c r="P398" t="s">
        <v>55</v>
      </c>
      <c r="Q398" t="s">
        <v>178</v>
      </c>
      <c r="T398" t="s">
        <v>1015</v>
      </c>
      <c r="U398" t="s">
        <v>190</v>
      </c>
      <c r="V398" t="s">
        <v>2928</v>
      </c>
      <c r="W398" t="s">
        <v>950</v>
      </c>
      <c r="X398">
        <v>25699</v>
      </c>
      <c r="Y398">
        <v>55</v>
      </c>
      <c r="Z398" t="s">
        <v>2929</v>
      </c>
      <c r="AA398" t="s">
        <v>2930</v>
      </c>
      <c r="AB398" t="s">
        <v>966</v>
      </c>
      <c r="AC398" t="s">
        <v>953</v>
      </c>
      <c r="AD398" t="s">
        <v>1041</v>
      </c>
      <c r="AE398" t="s">
        <v>1041</v>
      </c>
      <c r="AF398" t="s">
        <v>2784</v>
      </c>
      <c r="AI398" t="s">
        <v>1125</v>
      </c>
    </row>
    <row r="399" spans="1:35">
      <c r="A399">
        <v>416</v>
      </c>
      <c r="B399" t="s">
        <v>2927</v>
      </c>
      <c r="C399">
        <v>779</v>
      </c>
      <c r="D399" t="s">
        <v>1798</v>
      </c>
      <c r="E399" t="s">
        <v>2746</v>
      </c>
      <c r="F399" t="s">
        <v>1225</v>
      </c>
      <c r="G399" t="s">
        <v>2747</v>
      </c>
      <c r="H399" t="s">
        <v>2745</v>
      </c>
      <c r="I399" t="s">
        <v>2926</v>
      </c>
      <c r="J399" t="s">
        <v>2927</v>
      </c>
      <c r="N399" t="s">
        <v>1480</v>
      </c>
      <c r="P399" t="s">
        <v>69</v>
      </c>
      <c r="Q399" t="s">
        <v>562</v>
      </c>
      <c r="T399" t="s">
        <v>1015</v>
      </c>
      <c r="U399" t="s">
        <v>252</v>
      </c>
      <c r="V399" t="s">
        <v>2931</v>
      </c>
      <c r="W399" t="s">
        <v>950</v>
      </c>
      <c r="X399">
        <v>23880</v>
      </c>
      <c r="Y399">
        <v>60</v>
      </c>
      <c r="Z399" t="s">
        <v>2932</v>
      </c>
      <c r="AA399" t="s">
        <v>2933</v>
      </c>
      <c r="AB399" t="s">
        <v>996</v>
      </c>
      <c r="AC399" t="s">
        <v>997</v>
      </c>
      <c r="AD399" t="s">
        <v>1041</v>
      </c>
      <c r="AE399" t="s">
        <v>2934</v>
      </c>
      <c r="AF399" t="s">
        <v>2935</v>
      </c>
      <c r="AI399" t="s">
        <v>1318</v>
      </c>
    </row>
    <row r="400" spans="1:35">
      <c r="A400">
        <v>418</v>
      </c>
      <c r="B400" t="s">
        <v>2936</v>
      </c>
      <c r="C400">
        <v>781</v>
      </c>
      <c r="D400" t="s">
        <v>1798</v>
      </c>
      <c r="E400" t="s">
        <v>2746</v>
      </c>
      <c r="F400" t="s">
        <v>1225</v>
      </c>
      <c r="G400" t="s">
        <v>2747</v>
      </c>
      <c r="H400" t="s">
        <v>2745</v>
      </c>
      <c r="I400" t="s">
        <v>2926</v>
      </c>
      <c r="J400" t="s">
        <v>2927</v>
      </c>
      <c r="N400" t="s">
        <v>1480</v>
      </c>
      <c r="T400" t="s">
        <v>1090</v>
      </c>
      <c r="U400" t="s">
        <v>231</v>
      </c>
      <c r="V400" t="s">
        <v>2937</v>
      </c>
      <c r="W400" t="s">
        <v>950</v>
      </c>
      <c r="X400">
        <v>19809</v>
      </c>
      <c r="Y400">
        <v>71</v>
      </c>
      <c r="Z400" t="s">
        <v>2938</v>
      </c>
      <c r="AA400" t="s">
        <v>2939</v>
      </c>
      <c r="AB400" t="s">
        <v>996</v>
      </c>
      <c r="AC400" t="s">
        <v>997</v>
      </c>
      <c r="AD400" t="s">
        <v>1041</v>
      </c>
      <c r="AE400" t="s">
        <v>1041</v>
      </c>
      <c r="AF400" t="s">
        <v>1382</v>
      </c>
      <c r="AI400" t="s">
        <v>1318</v>
      </c>
    </row>
    <row r="401" spans="1:38">
      <c r="A401">
        <v>421</v>
      </c>
      <c r="B401" t="s">
        <v>2940</v>
      </c>
      <c r="C401">
        <v>783</v>
      </c>
      <c r="D401" t="s">
        <v>1798</v>
      </c>
      <c r="E401" t="s">
        <v>2746</v>
      </c>
      <c r="F401" t="s">
        <v>1225</v>
      </c>
      <c r="G401" t="s">
        <v>2747</v>
      </c>
      <c r="H401" t="s">
        <v>2745</v>
      </c>
      <c r="I401" t="s">
        <v>2926</v>
      </c>
      <c r="J401" t="s">
        <v>2927</v>
      </c>
      <c r="N401" t="s">
        <v>1480</v>
      </c>
      <c r="T401" t="s">
        <v>1015</v>
      </c>
      <c r="U401" t="s">
        <v>2941</v>
      </c>
      <c r="V401" t="s">
        <v>2942</v>
      </c>
      <c r="W401" t="s">
        <v>950</v>
      </c>
      <c r="X401">
        <v>29041</v>
      </c>
      <c r="Y401">
        <v>46</v>
      </c>
      <c r="Z401" t="s">
        <v>2943</v>
      </c>
      <c r="AA401" t="s">
        <v>2944</v>
      </c>
      <c r="AB401" t="s">
        <v>996</v>
      </c>
      <c r="AC401" t="s">
        <v>997</v>
      </c>
      <c r="AD401" t="s">
        <v>1041</v>
      </c>
      <c r="AE401" t="s">
        <v>2325</v>
      </c>
      <c r="AF401" t="s">
        <v>2945</v>
      </c>
      <c r="AI401" t="s">
        <v>1125</v>
      </c>
    </row>
    <row r="402" spans="1:38">
      <c r="A402">
        <v>422</v>
      </c>
      <c r="B402" t="s">
        <v>2946</v>
      </c>
      <c r="C402">
        <v>785</v>
      </c>
      <c r="D402" t="s">
        <v>1798</v>
      </c>
      <c r="E402" t="s">
        <v>2746</v>
      </c>
      <c r="F402" t="s">
        <v>1225</v>
      </c>
      <c r="G402" t="s">
        <v>2747</v>
      </c>
      <c r="H402" t="s">
        <v>2745</v>
      </c>
      <c r="I402" t="s">
        <v>2926</v>
      </c>
      <c r="J402" t="s">
        <v>2927</v>
      </c>
      <c r="N402" t="s">
        <v>1480</v>
      </c>
      <c r="T402" t="s">
        <v>1015</v>
      </c>
      <c r="U402" t="s">
        <v>269</v>
      </c>
      <c r="V402" t="s">
        <v>2947</v>
      </c>
      <c r="W402" t="s">
        <v>950</v>
      </c>
      <c r="X402">
        <v>26431</v>
      </c>
      <c r="Y402">
        <v>53</v>
      </c>
      <c r="Z402" t="s">
        <v>2948</v>
      </c>
      <c r="AA402" t="s">
        <v>2949</v>
      </c>
      <c r="AB402" t="s">
        <v>996</v>
      </c>
      <c r="AC402" t="s">
        <v>997</v>
      </c>
      <c r="AD402" t="s">
        <v>1041</v>
      </c>
      <c r="AE402" t="s">
        <v>1041</v>
      </c>
      <c r="AF402" t="s">
        <v>2683</v>
      </c>
      <c r="AI402" t="s">
        <v>1318</v>
      </c>
    </row>
    <row r="403" spans="1:38">
      <c r="A403">
        <v>423</v>
      </c>
      <c r="B403" t="s">
        <v>2950</v>
      </c>
      <c r="C403">
        <v>787</v>
      </c>
      <c r="D403" t="s">
        <v>1798</v>
      </c>
      <c r="E403" t="s">
        <v>2746</v>
      </c>
      <c r="F403" t="s">
        <v>1225</v>
      </c>
      <c r="G403" t="s">
        <v>2747</v>
      </c>
      <c r="H403" t="s">
        <v>2745</v>
      </c>
      <c r="I403" t="s">
        <v>2926</v>
      </c>
      <c r="J403" t="s">
        <v>2927</v>
      </c>
      <c r="N403" t="s">
        <v>1480</v>
      </c>
      <c r="T403" t="s">
        <v>1015</v>
      </c>
      <c r="U403" t="s">
        <v>2951</v>
      </c>
      <c r="V403" t="s">
        <v>2952</v>
      </c>
      <c r="W403" t="s">
        <v>950</v>
      </c>
      <c r="X403">
        <v>20919</v>
      </c>
      <c r="Y403">
        <v>68</v>
      </c>
      <c r="Z403" t="s">
        <v>2953</v>
      </c>
      <c r="AA403" t="s">
        <v>2954</v>
      </c>
      <c r="AB403" t="s">
        <v>996</v>
      </c>
      <c r="AC403" t="s">
        <v>997</v>
      </c>
      <c r="AD403" t="s">
        <v>1041</v>
      </c>
      <c r="AE403" t="s">
        <v>1250</v>
      </c>
      <c r="AF403" t="s">
        <v>1684</v>
      </c>
      <c r="AI403" t="s">
        <v>1513</v>
      </c>
    </row>
    <row r="404" spans="1:38">
      <c r="A404">
        <v>424</v>
      </c>
      <c r="B404" t="s">
        <v>2955</v>
      </c>
      <c r="C404">
        <v>789</v>
      </c>
      <c r="D404" t="s">
        <v>1798</v>
      </c>
      <c r="E404" t="s">
        <v>2746</v>
      </c>
      <c r="F404" t="s">
        <v>1225</v>
      </c>
      <c r="G404" t="s">
        <v>2747</v>
      </c>
      <c r="H404" t="s">
        <v>2745</v>
      </c>
      <c r="I404" t="s">
        <v>2926</v>
      </c>
      <c r="J404" t="s">
        <v>2927</v>
      </c>
      <c r="N404" t="s">
        <v>1480</v>
      </c>
      <c r="T404" t="s">
        <v>1015</v>
      </c>
      <c r="U404" t="s">
        <v>643</v>
      </c>
      <c r="V404" t="s">
        <v>2956</v>
      </c>
      <c r="W404" t="s">
        <v>950</v>
      </c>
      <c r="X404">
        <v>22040</v>
      </c>
      <c r="Y404">
        <v>65</v>
      </c>
      <c r="Z404" t="s">
        <v>2957</v>
      </c>
      <c r="AA404" t="s">
        <v>2958</v>
      </c>
      <c r="AB404" t="s">
        <v>996</v>
      </c>
      <c r="AC404" t="s">
        <v>997</v>
      </c>
      <c r="AD404" t="s">
        <v>1041</v>
      </c>
      <c r="AE404" t="s">
        <v>1041</v>
      </c>
      <c r="AF404" t="s">
        <v>2761</v>
      </c>
      <c r="AI404" t="s">
        <v>1513</v>
      </c>
    </row>
    <row r="405" spans="1:38">
      <c r="A405">
        <v>425</v>
      </c>
      <c r="B405" t="s">
        <v>2959</v>
      </c>
      <c r="C405">
        <v>791</v>
      </c>
      <c r="D405" t="s">
        <v>1798</v>
      </c>
      <c r="E405" t="s">
        <v>2746</v>
      </c>
      <c r="F405" t="s">
        <v>1225</v>
      </c>
      <c r="G405" t="s">
        <v>2747</v>
      </c>
      <c r="H405" t="s">
        <v>2745</v>
      </c>
      <c r="I405" t="s">
        <v>2926</v>
      </c>
      <c r="J405" t="s">
        <v>2927</v>
      </c>
      <c r="N405" t="s">
        <v>1480</v>
      </c>
      <c r="T405" t="s">
        <v>1015</v>
      </c>
      <c r="U405" t="s">
        <v>660</v>
      </c>
      <c r="V405" t="s">
        <v>2960</v>
      </c>
      <c r="W405" t="s">
        <v>950</v>
      </c>
      <c r="X405">
        <v>26478</v>
      </c>
      <c r="Y405">
        <v>53</v>
      </c>
      <c r="Z405" t="s">
        <v>2961</v>
      </c>
      <c r="AA405" t="s">
        <v>2962</v>
      </c>
      <c r="AB405" t="s">
        <v>996</v>
      </c>
      <c r="AC405" t="s">
        <v>997</v>
      </c>
      <c r="AD405" t="s">
        <v>1041</v>
      </c>
      <c r="AE405" t="s">
        <v>1041</v>
      </c>
      <c r="AF405" t="s">
        <v>2761</v>
      </c>
      <c r="AI405" t="s">
        <v>1513</v>
      </c>
    </row>
    <row r="406" spans="1:38">
      <c r="A406">
        <v>426</v>
      </c>
      <c r="B406" t="s">
        <v>2963</v>
      </c>
      <c r="C406">
        <v>793</v>
      </c>
      <c r="D406" t="s">
        <v>1798</v>
      </c>
      <c r="E406" t="s">
        <v>2746</v>
      </c>
      <c r="F406" t="s">
        <v>1225</v>
      </c>
      <c r="G406" t="s">
        <v>2747</v>
      </c>
      <c r="H406" t="s">
        <v>2745</v>
      </c>
      <c r="I406" t="s">
        <v>2926</v>
      </c>
      <c r="J406" t="s">
        <v>2927</v>
      </c>
      <c r="N406" t="s">
        <v>1480</v>
      </c>
      <c r="T406" t="s">
        <v>1015</v>
      </c>
      <c r="U406" t="s">
        <v>679</v>
      </c>
      <c r="V406" t="s">
        <v>2964</v>
      </c>
      <c r="W406" t="s">
        <v>950</v>
      </c>
      <c r="X406">
        <v>27186</v>
      </c>
      <c r="Y406">
        <v>51</v>
      </c>
      <c r="Z406" t="s">
        <v>2965</v>
      </c>
      <c r="AA406" t="s">
        <v>2966</v>
      </c>
      <c r="AB406" t="s">
        <v>996</v>
      </c>
      <c r="AC406" t="s">
        <v>997</v>
      </c>
      <c r="AD406" t="s">
        <v>1041</v>
      </c>
      <c r="AE406" t="s">
        <v>1041</v>
      </c>
      <c r="AF406" t="s">
        <v>1473</v>
      </c>
      <c r="AI406" t="s">
        <v>1513</v>
      </c>
    </row>
    <row r="407" spans="1:38">
      <c r="A407">
        <v>427</v>
      </c>
      <c r="B407" t="s">
        <v>2967</v>
      </c>
      <c r="C407">
        <v>795</v>
      </c>
      <c r="D407" t="s">
        <v>1798</v>
      </c>
      <c r="E407" t="s">
        <v>2746</v>
      </c>
      <c r="F407" t="s">
        <v>1225</v>
      </c>
      <c r="G407" t="s">
        <v>2747</v>
      </c>
      <c r="H407" t="s">
        <v>2745</v>
      </c>
      <c r="I407" t="s">
        <v>2926</v>
      </c>
      <c r="J407" t="s">
        <v>2927</v>
      </c>
      <c r="K407" t="s">
        <v>2967</v>
      </c>
      <c r="N407" t="s">
        <v>1480</v>
      </c>
      <c r="P407" t="s">
        <v>69</v>
      </c>
      <c r="R407" t="s">
        <v>1286</v>
      </c>
      <c r="T407" t="s">
        <v>1015</v>
      </c>
      <c r="U407" t="s">
        <v>695</v>
      </c>
      <c r="V407" t="s">
        <v>2968</v>
      </c>
      <c r="W407" t="s">
        <v>950</v>
      </c>
      <c r="X407">
        <v>28887</v>
      </c>
      <c r="Y407">
        <v>46</v>
      </c>
      <c r="Z407" t="s">
        <v>2969</v>
      </c>
      <c r="AA407" t="s">
        <v>2970</v>
      </c>
      <c r="AB407" t="s">
        <v>996</v>
      </c>
      <c r="AC407" t="s">
        <v>997</v>
      </c>
      <c r="AD407" t="s">
        <v>1041</v>
      </c>
      <c r="AE407" t="s">
        <v>1041</v>
      </c>
      <c r="AF407" t="s">
        <v>2774</v>
      </c>
      <c r="AI407" t="s">
        <v>1513</v>
      </c>
    </row>
    <row r="408" spans="1:38">
      <c r="A408">
        <v>430</v>
      </c>
      <c r="B408" t="s">
        <v>2971</v>
      </c>
      <c r="C408">
        <v>797</v>
      </c>
      <c r="D408" t="s">
        <v>1798</v>
      </c>
      <c r="E408" t="s">
        <v>2746</v>
      </c>
      <c r="F408" t="s">
        <v>1225</v>
      </c>
      <c r="G408" t="s">
        <v>2747</v>
      </c>
      <c r="H408" t="s">
        <v>2745</v>
      </c>
      <c r="I408" t="s">
        <v>2971</v>
      </c>
      <c r="J408" t="s">
        <v>2972</v>
      </c>
      <c r="N408" t="s">
        <v>1515</v>
      </c>
      <c r="P408" t="s">
        <v>1455</v>
      </c>
      <c r="Q408" t="s">
        <v>562</v>
      </c>
      <c r="T408" t="s">
        <v>1015</v>
      </c>
      <c r="U408" t="s">
        <v>613</v>
      </c>
      <c r="V408" t="s">
        <v>2973</v>
      </c>
      <c r="W408" t="s">
        <v>950</v>
      </c>
      <c r="X408">
        <v>27337</v>
      </c>
      <c r="Y408">
        <v>51</v>
      </c>
      <c r="Z408" t="s">
        <v>2974</v>
      </c>
      <c r="AA408" t="s">
        <v>2975</v>
      </c>
      <c r="AB408" t="s">
        <v>996</v>
      </c>
      <c r="AC408" t="s">
        <v>997</v>
      </c>
      <c r="AD408" t="s">
        <v>1041</v>
      </c>
      <c r="AE408" t="s">
        <v>1041</v>
      </c>
      <c r="AF408" t="s">
        <v>1473</v>
      </c>
      <c r="AI408" t="s">
        <v>1107</v>
      </c>
    </row>
    <row r="409" spans="1:38">
      <c r="A409">
        <v>429</v>
      </c>
      <c r="B409" t="s">
        <v>2972</v>
      </c>
      <c r="C409">
        <v>799</v>
      </c>
      <c r="D409" t="s">
        <v>1798</v>
      </c>
      <c r="E409" t="s">
        <v>2746</v>
      </c>
      <c r="F409" t="s">
        <v>1225</v>
      </c>
      <c r="G409" t="s">
        <v>2747</v>
      </c>
      <c r="H409" t="s">
        <v>2745</v>
      </c>
      <c r="I409" t="s">
        <v>2971</v>
      </c>
      <c r="J409" t="s">
        <v>2972</v>
      </c>
      <c r="N409" t="s">
        <v>1515</v>
      </c>
      <c r="P409" t="s">
        <v>69</v>
      </c>
      <c r="Q409" t="s">
        <v>69</v>
      </c>
      <c r="T409" t="s">
        <v>1015</v>
      </c>
      <c r="U409" t="s">
        <v>236</v>
      </c>
      <c r="V409" t="s">
        <v>2976</v>
      </c>
      <c r="W409" t="s">
        <v>950</v>
      </c>
      <c r="X409">
        <v>28476</v>
      </c>
      <c r="Y409">
        <v>48</v>
      </c>
      <c r="Z409" t="s">
        <v>2977</v>
      </c>
      <c r="AA409" t="s">
        <v>2978</v>
      </c>
      <c r="AB409" t="s">
        <v>966</v>
      </c>
      <c r="AC409" t="s">
        <v>953</v>
      </c>
      <c r="AD409" t="s">
        <v>1041</v>
      </c>
      <c r="AE409" t="s">
        <v>2979</v>
      </c>
      <c r="AF409" t="s">
        <v>2980</v>
      </c>
      <c r="AK409">
        <v>-3</v>
      </c>
      <c r="AL409" t="s">
        <v>1041</v>
      </c>
    </row>
    <row r="410" spans="1:38">
      <c r="A410">
        <v>428</v>
      </c>
      <c r="B410" t="s">
        <v>2981</v>
      </c>
      <c r="C410">
        <v>801</v>
      </c>
      <c r="D410" t="s">
        <v>1798</v>
      </c>
      <c r="E410" t="s">
        <v>2746</v>
      </c>
      <c r="F410" t="s">
        <v>1225</v>
      </c>
      <c r="G410" t="s">
        <v>2747</v>
      </c>
      <c r="H410" t="s">
        <v>2745</v>
      </c>
      <c r="I410" t="s">
        <v>2971</v>
      </c>
      <c r="J410" t="s">
        <v>2972</v>
      </c>
      <c r="N410" t="s">
        <v>1515</v>
      </c>
      <c r="P410" t="s">
        <v>69</v>
      </c>
      <c r="Q410" t="s">
        <v>55</v>
      </c>
      <c r="T410" t="s">
        <v>1015</v>
      </c>
      <c r="U410" t="s">
        <v>195</v>
      </c>
      <c r="V410" t="s">
        <v>2982</v>
      </c>
      <c r="W410" t="s">
        <v>950</v>
      </c>
      <c r="X410">
        <v>28476</v>
      </c>
      <c r="Y410">
        <v>48</v>
      </c>
      <c r="Z410" t="s">
        <v>2983</v>
      </c>
      <c r="AA410" t="s">
        <v>2984</v>
      </c>
      <c r="AB410" t="s">
        <v>966</v>
      </c>
      <c r="AC410" t="s">
        <v>953</v>
      </c>
      <c r="AD410" t="s">
        <v>1041</v>
      </c>
      <c r="AE410" t="s">
        <v>2985</v>
      </c>
      <c r="AF410" t="s">
        <v>2986</v>
      </c>
      <c r="AK410">
        <v>-3</v>
      </c>
      <c r="AL410" t="s">
        <v>1041</v>
      </c>
    </row>
    <row r="411" spans="1:38">
      <c r="A411">
        <v>431</v>
      </c>
      <c r="B411" t="s">
        <v>2987</v>
      </c>
      <c r="C411">
        <v>803</v>
      </c>
      <c r="D411" t="s">
        <v>1798</v>
      </c>
      <c r="E411" t="s">
        <v>2746</v>
      </c>
      <c r="F411" t="s">
        <v>1225</v>
      </c>
      <c r="G411" t="s">
        <v>2747</v>
      </c>
      <c r="H411" t="s">
        <v>2745</v>
      </c>
      <c r="I411" t="s">
        <v>2971</v>
      </c>
      <c r="J411" t="s">
        <v>2972</v>
      </c>
      <c r="N411" t="s">
        <v>1515</v>
      </c>
      <c r="T411" t="s">
        <v>1015</v>
      </c>
      <c r="U411" t="s">
        <v>650</v>
      </c>
      <c r="V411" t="s">
        <v>2988</v>
      </c>
      <c r="W411" t="s">
        <v>950</v>
      </c>
      <c r="X411">
        <v>26397</v>
      </c>
      <c r="Y411">
        <v>53</v>
      </c>
      <c r="Z411" t="s">
        <v>2989</v>
      </c>
      <c r="AA411" t="s">
        <v>2990</v>
      </c>
      <c r="AB411" t="s">
        <v>996</v>
      </c>
      <c r="AC411" t="s">
        <v>997</v>
      </c>
      <c r="AD411" t="s">
        <v>729</v>
      </c>
      <c r="AE411" t="s">
        <v>1041</v>
      </c>
      <c r="AF411" t="s">
        <v>2991</v>
      </c>
      <c r="AI411" t="s">
        <v>1107</v>
      </c>
    </row>
    <row r="412" spans="1:38">
      <c r="A412">
        <v>432</v>
      </c>
      <c r="B412" t="s">
        <v>2992</v>
      </c>
      <c r="C412">
        <v>805</v>
      </c>
      <c r="D412" t="s">
        <v>1798</v>
      </c>
      <c r="E412" t="s">
        <v>2746</v>
      </c>
      <c r="F412" t="s">
        <v>1225</v>
      </c>
      <c r="G412" t="s">
        <v>2747</v>
      </c>
      <c r="H412" t="s">
        <v>2745</v>
      </c>
      <c r="I412" t="s">
        <v>2971</v>
      </c>
      <c r="J412" t="s">
        <v>2972</v>
      </c>
      <c r="N412" t="s">
        <v>1515</v>
      </c>
      <c r="T412" t="s">
        <v>1015</v>
      </c>
      <c r="U412" t="s">
        <v>211</v>
      </c>
      <c r="V412" t="s">
        <v>2993</v>
      </c>
      <c r="W412" t="s">
        <v>950</v>
      </c>
      <c r="X412">
        <v>21961</v>
      </c>
      <c r="Y412">
        <v>65</v>
      </c>
      <c r="Z412" t="s">
        <v>2994</v>
      </c>
      <c r="AA412" t="s">
        <v>2995</v>
      </c>
      <c r="AB412" t="s">
        <v>996</v>
      </c>
      <c r="AC412" t="s">
        <v>997</v>
      </c>
      <c r="AD412" t="s">
        <v>1041</v>
      </c>
      <c r="AE412" t="s">
        <v>1041</v>
      </c>
      <c r="AF412" t="s">
        <v>1473</v>
      </c>
      <c r="AI412" t="s">
        <v>1359</v>
      </c>
    </row>
    <row r="413" spans="1:38">
      <c r="A413">
        <v>419</v>
      </c>
      <c r="B413" t="s">
        <v>2996</v>
      </c>
      <c r="C413">
        <v>807</v>
      </c>
      <c r="D413" t="s">
        <v>1798</v>
      </c>
      <c r="E413" t="s">
        <v>2746</v>
      </c>
      <c r="F413" t="s">
        <v>1225</v>
      </c>
      <c r="G413" t="s">
        <v>2747</v>
      </c>
      <c r="H413" t="s">
        <v>2745</v>
      </c>
      <c r="I413" t="s">
        <v>2971</v>
      </c>
      <c r="J413" t="s">
        <v>2972</v>
      </c>
      <c r="N413" t="s">
        <v>1515</v>
      </c>
      <c r="T413" t="s">
        <v>1015</v>
      </c>
      <c r="U413" t="s">
        <v>2997</v>
      </c>
      <c r="V413" t="s">
        <v>2998</v>
      </c>
      <c r="W413" t="s">
        <v>950</v>
      </c>
      <c r="X413">
        <v>24892</v>
      </c>
      <c r="Y413">
        <v>57</v>
      </c>
      <c r="Z413" t="s">
        <v>2999</v>
      </c>
      <c r="AA413" t="s">
        <v>3000</v>
      </c>
      <c r="AB413" t="s">
        <v>996</v>
      </c>
      <c r="AC413" t="s">
        <v>997</v>
      </c>
      <c r="AD413" t="s">
        <v>1041</v>
      </c>
      <c r="AE413" t="s">
        <v>1041</v>
      </c>
      <c r="AF413" t="s">
        <v>2784</v>
      </c>
      <c r="AI413" t="s">
        <v>1125</v>
      </c>
    </row>
    <row r="414" spans="1:38">
      <c r="A414">
        <v>435</v>
      </c>
      <c r="B414" t="s">
        <v>3001</v>
      </c>
      <c r="C414">
        <v>809</v>
      </c>
      <c r="D414" t="s">
        <v>1798</v>
      </c>
      <c r="E414" t="s">
        <v>2746</v>
      </c>
      <c r="F414" t="s">
        <v>1225</v>
      </c>
      <c r="G414" t="s">
        <v>2747</v>
      </c>
      <c r="H414" t="s">
        <v>2745</v>
      </c>
      <c r="I414" t="s">
        <v>3001</v>
      </c>
      <c r="J414" t="s">
        <v>3002</v>
      </c>
      <c r="N414" t="s">
        <v>1529</v>
      </c>
      <c r="P414" t="s">
        <v>69</v>
      </c>
      <c r="Q414" t="s">
        <v>55</v>
      </c>
      <c r="T414" t="s">
        <v>1015</v>
      </c>
      <c r="U414" t="s">
        <v>296</v>
      </c>
      <c r="V414" t="s">
        <v>3003</v>
      </c>
      <c r="W414" t="s">
        <v>950</v>
      </c>
      <c r="X414">
        <v>25965</v>
      </c>
      <c r="Y414">
        <v>54</v>
      </c>
      <c r="Z414" t="s">
        <v>3004</v>
      </c>
      <c r="AA414" t="s">
        <v>3005</v>
      </c>
      <c r="AB414" t="s">
        <v>996</v>
      </c>
      <c r="AC414" t="s">
        <v>997</v>
      </c>
      <c r="AD414" t="s">
        <v>1041</v>
      </c>
      <c r="AE414" t="s">
        <v>1041</v>
      </c>
      <c r="AF414" t="s">
        <v>2645</v>
      </c>
      <c r="AI414" t="s">
        <v>1359</v>
      </c>
    </row>
    <row r="415" spans="1:38">
      <c r="A415">
        <v>436</v>
      </c>
      <c r="B415" t="s">
        <v>3002</v>
      </c>
      <c r="C415">
        <v>811</v>
      </c>
      <c r="D415" t="s">
        <v>1798</v>
      </c>
      <c r="E415" t="s">
        <v>2746</v>
      </c>
      <c r="F415" t="s">
        <v>1225</v>
      </c>
      <c r="G415" t="s">
        <v>2747</v>
      </c>
      <c r="H415" t="s">
        <v>2745</v>
      </c>
      <c r="I415" t="s">
        <v>3001</v>
      </c>
      <c r="J415" t="s">
        <v>3002</v>
      </c>
      <c r="N415" t="s">
        <v>1529</v>
      </c>
      <c r="P415" t="s">
        <v>69</v>
      </c>
      <c r="Q415" t="s">
        <v>562</v>
      </c>
      <c r="T415" t="s">
        <v>1015</v>
      </c>
      <c r="U415" t="s">
        <v>253</v>
      </c>
      <c r="V415" t="s">
        <v>3006</v>
      </c>
      <c r="W415" t="s">
        <v>950</v>
      </c>
      <c r="X415">
        <v>25424</v>
      </c>
      <c r="Y415">
        <v>56</v>
      </c>
      <c r="Z415" t="s">
        <v>3007</v>
      </c>
      <c r="AA415" t="s">
        <v>3008</v>
      </c>
      <c r="AB415" t="s">
        <v>996</v>
      </c>
      <c r="AC415" t="s">
        <v>997</v>
      </c>
      <c r="AD415" t="s">
        <v>1041</v>
      </c>
      <c r="AE415" t="s">
        <v>1041</v>
      </c>
      <c r="AF415" t="s">
        <v>1473</v>
      </c>
      <c r="AI415" t="s">
        <v>1359</v>
      </c>
    </row>
    <row r="416" spans="1:38">
      <c r="A416">
        <v>437</v>
      </c>
      <c r="B416" t="s">
        <v>3009</v>
      </c>
      <c r="C416">
        <v>813</v>
      </c>
      <c r="D416" t="s">
        <v>1798</v>
      </c>
      <c r="E416" t="s">
        <v>2746</v>
      </c>
      <c r="F416" t="s">
        <v>1225</v>
      </c>
      <c r="G416" t="s">
        <v>2747</v>
      </c>
      <c r="H416" t="s">
        <v>2745</v>
      </c>
      <c r="I416" t="s">
        <v>3001</v>
      </c>
      <c r="J416" t="s">
        <v>3002</v>
      </c>
      <c r="N416" t="s">
        <v>1529</v>
      </c>
      <c r="P416" t="s">
        <v>69</v>
      </c>
      <c r="Q416" t="s">
        <v>562</v>
      </c>
      <c r="T416" t="s">
        <v>1015</v>
      </c>
      <c r="U416" t="s">
        <v>285</v>
      </c>
      <c r="V416" t="s">
        <v>3010</v>
      </c>
      <c r="W416" t="s">
        <v>950</v>
      </c>
      <c r="X416">
        <v>25925</v>
      </c>
      <c r="Y416">
        <v>55</v>
      </c>
      <c r="Z416" t="s">
        <v>3011</v>
      </c>
      <c r="AA416" t="s">
        <v>3012</v>
      </c>
      <c r="AB416" t="s">
        <v>996</v>
      </c>
      <c r="AC416" t="s">
        <v>997</v>
      </c>
      <c r="AD416" t="s">
        <v>1041</v>
      </c>
      <c r="AE416" t="s">
        <v>1041</v>
      </c>
      <c r="AF416" t="s">
        <v>2654</v>
      </c>
      <c r="AI416" t="s">
        <v>1359</v>
      </c>
    </row>
    <row r="417" spans="1:35">
      <c r="A417">
        <v>439</v>
      </c>
      <c r="B417" t="s">
        <v>3013</v>
      </c>
      <c r="C417">
        <v>815</v>
      </c>
      <c r="D417" t="s">
        <v>1798</v>
      </c>
      <c r="E417" t="s">
        <v>2746</v>
      </c>
      <c r="F417" t="s">
        <v>1225</v>
      </c>
      <c r="G417" t="s">
        <v>2747</v>
      </c>
      <c r="H417" t="s">
        <v>2745</v>
      </c>
      <c r="I417" t="s">
        <v>3001</v>
      </c>
      <c r="J417" t="s">
        <v>3002</v>
      </c>
      <c r="N417" t="s">
        <v>1529</v>
      </c>
      <c r="T417" t="s">
        <v>1015</v>
      </c>
      <c r="U417" t="s">
        <v>232</v>
      </c>
      <c r="V417" t="s">
        <v>3014</v>
      </c>
      <c r="W417" t="s">
        <v>950</v>
      </c>
      <c r="X417">
        <v>22297</v>
      </c>
      <c r="Y417">
        <v>65</v>
      </c>
      <c r="Z417" t="s">
        <v>3015</v>
      </c>
      <c r="AA417" t="s">
        <v>3016</v>
      </c>
      <c r="AB417" t="s">
        <v>996</v>
      </c>
      <c r="AC417" t="s">
        <v>997</v>
      </c>
      <c r="AD417" t="s">
        <v>1041</v>
      </c>
      <c r="AE417" t="s">
        <v>1041</v>
      </c>
      <c r="AF417" t="s">
        <v>3017</v>
      </c>
      <c r="AI417" t="s">
        <v>1359</v>
      </c>
    </row>
    <row r="418" spans="1:35">
      <c r="A418">
        <v>440</v>
      </c>
      <c r="B418" t="s">
        <v>3018</v>
      </c>
      <c r="C418">
        <v>817</v>
      </c>
      <c r="D418" t="s">
        <v>1798</v>
      </c>
      <c r="E418" t="s">
        <v>2746</v>
      </c>
      <c r="F418" t="s">
        <v>1225</v>
      </c>
      <c r="G418" t="s">
        <v>2747</v>
      </c>
      <c r="H418" t="s">
        <v>2745</v>
      </c>
      <c r="I418" t="s">
        <v>3001</v>
      </c>
      <c r="J418" t="s">
        <v>3002</v>
      </c>
      <c r="N418" t="s">
        <v>1529</v>
      </c>
      <c r="T418" t="s">
        <v>1015</v>
      </c>
      <c r="U418" t="s">
        <v>270</v>
      </c>
      <c r="V418" t="s">
        <v>3019</v>
      </c>
      <c r="W418" t="s">
        <v>950</v>
      </c>
      <c r="X418">
        <v>25568</v>
      </c>
      <c r="Y418">
        <v>56</v>
      </c>
      <c r="Z418" t="s">
        <v>3020</v>
      </c>
      <c r="AA418" t="s">
        <v>3021</v>
      </c>
      <c r="AB418" t="s">
        <v>996</v>
      </c>
      <c r="AC418" t="s">
        <v>997</v>
      </c>
      <c r="AD418" t="s">
        <v>1041</v>
      </c>
      <c r="AE418" t="s">
        <v>1041</v>
      </c>
      <c r="AF418" t="s">
        <v>2654</v>
      </c>
      <c r="AI418" t="s">
        <v>1359</v>
      </c>
    </row>
    <row r="419" spans="1:35">
      <c r="A419">
        <v>433</v>
      </c>
      <c r="B419" t="s">
        <v>3022</v>
      </c>
      <c r="C419">
        <v>819</v>
      </c>
      <c r="D419" t="s">
        <v>1798</v>
      </c>
      <c r="E419" t="s">
        <v>2746</v>
      </c>
      <c r="F419" t="s">
        <v>1225</v>
      </c>
      <c r="G419" t="s">
        <v>2747</v>
      </c>
      <c r="H419" t="s">
        <v>2745</v>
      </c>
      <c r="I419" t="s">
        <v>3001</v>
      </c>
      <c r="J419" t="s">
        <v>3002</v>
      </c>
      <c r="N419" t="s">
        <v>1529</v>
      </c>
      <c r="T419" t="s">
        <v>1015</v>
      </c>
      <c r="U419" t="s">
        <v>309</v>
      </c>
      <c r="V419" t="s">
        <v>3023</v>
      </c>
      <c r="W419" t="s">
        <v>950</v>
      </c>
      <c r="X419">
        <v>29212</v>
      </c>
      <c r="Y419">
        <v>46</v>
      </c>
      <c r="Z419" t="s">
        <v>3024</v>
      </c>
      <c r="AA419" t="s">
        <v>3025</v>
      </c>
      <c r="AB419" t="s">
        <v>996</v>
      </c>
      <c r="AC419" t="s">
        <v>997</v>
      </c>
      <c r="AD419" t="s">
        <v>1041</v>
      </c>
      <c r="AE419" t="s">
        <v>3026</v>
      </c>
      <c r="AF419" t="s">
        <v>3027</v>
      </c>
      <c r="AI419" t="s">
        <v>1359</v>
      </c>
    </row>
    <row r="420" spans="1:35">
      <c r="A420">
        <v>441</v>
      </c>
      <c r="B420" t="s">
        <v>3028</v>
      </c>
      <c r="C420">
        <v>821</v>
      </c>
      <c r="D420" t="s">
        <v>1798</v>
      </c>
      <c r="E420" t="s">
        <v>1226</v>
      </c>
      <c r="F420" t="s">
        <v>1225</v>
      </c>
      <c r="G420" t="s">
        <v>114</v>
      </c>
      <c r="H420" t="s">
        <v>1225</v>
      </c>
      <c r="I420" t="s">
        <v>3028</v>
      </c>
      <c r="J420" t="s">
        <v>3029</v>
      </c>
      <c r="N420" t="s">
        <v>2625</v>
      </c>
      <c r="P420" t="s">
        <v>55</v>
      </c>
      <c r="Q420" t="s">
        <v>178</v>
      </c>
      <c r="T420" t="s">
        <v>992</v>
      </c>
      <c r="U420" t="s">
        <v>340</v>
      </c>
      <c r="V420" t="s">
        <v>3030</v>
      </c>
      <c r="W420" t="s">
        <v>963</v>
      </c>
      <c r="X420">
        <v>37769</v>
      </c>
      <c r="Y420">
        <v>22</v>
      </c>
      <c r="Z420" t="s">
        <v>3031</v>
      </c>
      <c r="AA420" t="s">
        <v>3032</v>
      </c>
      <c r="AB420" t="s">
        <v>996</v>
      </c>
      <c r="AC420" t="s">
        <v>953</v>
      </c>
      <c r="AD420" t="s">
        <v>1041</v>
      </c>
      <c r="AE420" t="s">
        <v>1041</v>
      </c>
      <c r="AF420" t="s">
        <v>1473</v>
      </c>
      <c r="AI420" t="s">
        <v>1440</v>
      </c>
    </row>
    <row r="421" spans="1:35">
      <c r="A421">
        <v>442</v>
      </c>
      <c r="B421" t="s">
        <v>3029</v>
      </c>
      <c r="C421">
        <v>823</v>
      </c>
      <c r="D421" t="s">
        <v>1798</v>
      </c>
      <c r="E421" t="s">
        <v>1226</v>
      </c>
      <c r="F421" t="s">
        <v>1225</v>
      </c>
      <c r="G421" t="s">
        <v>114</v>
      </c>
      <c r="H421" t="s">
        <v>1225</v>
      </c>
      <c r="I421" t="s">
        <v>3028</v>
      </c>
      <c r="J421" t="s">
        <v>3029</v>
      </c>
      <c r="N421" t="s">
        <v>2625</v>
      </c>
      <c r="P421" t="s">
        <v>69</v>
      </c>
      <c r="Q421" t="s">
        <v>562</v>
      </c>
      <c r="T421" t="s">
        <v>992</v>
      </c>
      <c r="U421" t="s">
        <v>3033</v>
      </c>
      <c r="V421" t="s">
        <v>3034</v>
      </c>
      <c r="W421" t="s">
        <v>963</v>
      </c>
      <c r="X421">
        <v>38733</v>
      </c>
      <c r="Y421">
        <v>20</v>
      </c>
      <c r="Z421" t="s">
        <v>3035</v>
      </c>
      <c r="AA421" t="s">
        <v>3036</v>
      </c>
      <c r="AB421" t="s">
        <v>996</v>
      </c>
      <c r="AC421" t="s">
        <v>953</v>
      </c>
      <c r="AD421" t="s">
        <v>1041</v>
      </c>
      <c r="AE421" t="s">
        <v>1250</v>
      </c>
      <c r="AF421" t="s">
        <v>2654</v>
      </c>
      <c r="AI421" t="s">
        <v>1125</v>
      </c>
    </row>
    <row r="422" spans="1:35">
      <c r="A422">
        <v>443</v>
      </c>
      <c r="B422" t="s">
        <v>3037</v>
      </c>
      <c r="C422">
        <v>825</v>
      </c>
      <c r="D422" t="s">
        <v>1798</v>
      </c>
      <c r="E422" t="s">
        <v>1226</v>
      </c>
      <c r="F422" t="s">
        <v>1225</v>
      </c>
      <c r="G422" t="s">
        <v>114</v>
      </c>
      <c r="H422" t="s">
        <v>1225</v>
      </c>
      <c r="I422" t="s">
        <v>3028</v>
      </c>
      <c r="J422" t="s">
        <v>3029</v>
      </c>
      <c r="N422" t="s">
        <v>2625</v>
      </c>
      <c r="Q422" t="s">
        <v>1710</v>
      </c>
      <c r="T422" t="s">
        <v>1705</v>
      </c>
      <c r="U422" t="s">
        <v>414</v>
      </c>
      <c r="V422" t="s">
        <v>3038</v>
      </c>
      <c r="W422" t="s">
        <v>963</v>
      </c>
      <c r="X422">
        <v>39486</v>
      </c>
      <c r="Y422">
        <v>17</v>
      </c>
      <c r="Z422" t="s">
        <v>3039</v>
      </c>
      <c r="AA422" t="s">
        <v>3040</v>
      </c>
      <c r="AB422" t="s">
        <v>996</v>
      </c>
      <c r="AC422" t="s">
        <v>997</v>
      </c>
      <c r="AD422" t="s">
        <v>1041</v>
      </c>
      <c r="AE422" t="s">
        <v>3041</v>
      </c>
      <c r="AF422" t="s">
        <v>3042</v>
      </c>
      <c r="AI422" t="s">
        <v>1107</v>
      </c>
    </row>
    <row r="423" spans="1:35">
      <c r="A423">
        <v>444</v>
      </c>
      <c r="B423" t="s">
        <v>3043</v>
      </c>
      <c r="C423">
        <v>827</v>
      </c>
      <c r="D423" t="s">
        <v>1798</v>
      </c>
      <c r="E423" t="s">
        <v>1226</v>
      </c>
      <c r="F423" t="s">
        <v>1225</v>
      </c>
      <c r="G423" t="s">
        <v>114</v>
      </c>
      <c r="H423" t="s">
        <v>1225</v>
      </c>
      <c r="I423" t="s">
        <v>3028</v>
      </c>
      <c r="J423" t="s">
        <v>3029</v>
      </c>
      <c r="N423" t="s">
        <v>2625</v>
      </c>
      <c r="T423" t="s">
        <v>992</v>
      </c>
      <c r="U423" t="s">
        <v>381</v>
      </c>
      <c r="V423" t="s">
        <v>3044</v>
      </c>
      <c r="W423" t="s">
        <v>963</v>
      </c>
      <c r="X423">
        <v>36875</v>
      </c>
      <c r="Y423">
        <v>25</v>
      </c>
      <c r="Z423" t="s">
        <v>3045</v>
      </c>
      <c r="AA423" t="s">
        <v>3046</v>
      </c>
      <c r="AB423" t="s">
        <v>996</v>
      </c>
      <c r="AC423" t="s">
        <v>953</v>
      </c>
      <c r="AD423" t="s">
        <v>1041</v>
      </c>
      <c r="AE423" t="s">
        <v>1041</v>
      </c>
      <c r="AF423" t="s">
        <v>2665</v>
      </c>
    </row>
    <row r="424" spans="1:35">
      <c r="A424">
        <v>445</v>
      </c>
      <c r="B424" t="s">
        <v>3047</v>
      </c>
      <c r="C424">
        <v>829</v>
      </c>
      <c r="D424" t="s">
        <v>1798</v>
      </c>
      <c r="E424" t="s">
        <v>1226</v>
      </c>
      <c r="F424" t="s">
        <v>1225</v>
      </c>
      <c r="G424" t="s">
        <v>114</v>
      </c>
      <c r="H424" t="s">
        <v>1225</v>
      </c>
      <c r="I424" t="s">
        <v>3028</v>
      </c>
      <c r="J424" t="s">
        <v>3029</v>
      </c>
      <c r="N424" t="s">
        <v>2625</v>
      </c>
      <c r="T424" t="s">
        <v>992</v>
      </c>
      <c r="U424" t="s">
        <v>394</v>
      </c>
      <c r="V424" t="s">
        <v>3048</v>
      </c>
      <c r="W424" t="s">
        <v>963</v>
      </c>
      <c r="X424">
        <v>36083</v>
      </c>
      <c r="Y424">
        <v>27</v>
      </c>
      <c r="Z424" t="s">
        <v>3049</v>
      </c>
      <c r="AA424" t="s">
        <v>3050</v>
      </c>
      <c r="AB424" t="s">
        <v>1006</v>
      </c>
      <c r="AC424" t="s">
        <v>953</v>
      </c>
      <c r="AD424" t="s">
        <v>1041</v>
      </c>
      <c r="AE424" t="s">
        <v>2985</v>
      </c>
      <c r="AF424" t="s">
        <v>2986</v>
      </c>
      <c r="AI424" t="s">
        <v>1011</v>
      </c>
    </row>
    <row r="425" spans="1:35">
      <c r="A425">
        <v>446</v>
      </c>
      <c r="B425" t="s">
        <v>3051</v>
      </c>
      <c r="C425">
        <v>831</v>
      </c>
      <c r="D425" t="s">
        <v>1798</v>
      </c>
      <c r="E425" t="s">
        <v>1226</v>
      </c>
      <c r="F425" t="s">
        <v>1225</v>
      </c>
      <c r="G425" t="s">
        <v>114</v>
      </c>
      <c r="H425" t="s">
        <v>1225</v>
      </c>
      <c r="I425" t="s">
        <v>3028</v>
      </c>
      <c r="J425" t="s">
        <v>3029</v>
      </c>
      <c r="N425" t="s">
        <v>2625</v>
      </c>
      <c r="T425" t="s">
        <v>992</v>
      </c>
      <c r="U425" t="s">
        <v>434</v>
      </c>
      <c r="V425" t="s">
        <v>3052</v>
      </c>
      <c r="W425" t="s">
        <v>963</v>
      </c>
      <c r="X425">
        <v>38008</v>
      </c>
      <c r="Y425">
        <v>22</v>
      </c>
      <c r="Z425" t="s">
        <v>3053</v>
      </c>
      <c r="AA425" t="s">
        <v>3054</v>
      </c>
      <c r="AB425" t="s">
        <v>996</v>
      </c>
      <c r="AC425" t="s">
        <v>997</v>
      </c>
      <c r="AD425" t="s">
        <v>1041</v>
      </c>
      <c r="AE425" t="s">
        <v>1041</v>
      </c>
      <c r="AF425" t="s">
        <v>2803</v>
      </c>
      <c r="AI425" t="s">
        <v>1612</v>
      </c>
    </row>
    <row r="426" spans="1:35">
      <c r="A426">
        <v>447</v>
      </c>
      <c r="B426" t="s">
        <v>3055</v>
      </c>
      <c r="C426">
        <v>833</v>
      </c>
      <c r="D426" t="s">
        <v>1798</v>
      </c>
      <c r="E426" t="s">
        <v>1226</v>
      </c>
      <c r="F426" t="s">
        <v>1225</v>
      </c>
      <c r="G426" t="s">
        <v>114</v>
      </c>
      <c r="H426" t="s">
        <v>1225</v>
      </c>
      <c r="I426" t="s">
        <v>3028</v>
      </c>
      <c r="J426" t="s">
        <v>3029</v>
      </c>
      <c r="N426" t="s">
        <v>2625</v>
      </c>
      <c r="T426" t="s">
        <v>992</v>
      </c>
      <c r="U426" t="s">
        <v>442</v>
      </c>
      <c r="V426" t="s">
        <v>3056</v>
      </c>
      <c r="W426" t="s">
        <v>963</v>
      </c>
      <c r="X426">
        <v>37580</v>
      </c>
      <c r="Y426">
        <v>23</v>
      </c>
      <c r="Z426" t="s">
        <v>3057</v>
      </c>
      <c r="AA426" t="s">
        <v>3058</v>
      </c>
      <c r="AB426" t="s">
        <v>996</v>
      </c>
      <c r="AC426" t="s">
        <v>997</v>
      </c>
      <c r="AD426" t="s">
        <v>1041</v>
      </c>
      <c r="AE426" t="s">
        <v>1041</v>
      </c>
      <c r="AF426" t="s">
        <v>2803</v>
      </c>
      <c r="AI426" t="s">
        <v>1612</v>
      </c>
    </row>
    <row r="427" spans="1:35">
      <c r="A427">
        <v>448</v>
      </c>
      <c r="B427" t="s">
        <v>3059</v>
      </c>
      <c r="C427">
        <v>835</v>
      </c>
      <c r="D427" t="s">
        <v>1798</v>
      </c>
      <c r="E427" t="s">
        <v>1226</v>
      </c>
      <c r="F427" t="s">
        <v>1225</v>
      </c>
      <c r="G427" t="s">
        <v>114</v>
      </c>
      <c r="H427" t="s">
        <v>1225</v>
      </c>
      <c r="I427" t="s">
        <v>3028</v>
      </c>
      <c r="J427" t="s">
        <v>3029</v>
      </c>
      <c r="N427" t="s">
        <v>2625</v>
      </c>
      <c r="T427" t="s">
        <v>992</v>
      </c>
      <c r="U427" t="s">
        <v>446</v>
      </c>
      <c r="V427" t="s">
        <v>3060</v>
      </c>
      <c r="W427" t="s">
        <v>963</v>
      </c>
      <c r="X427">
        <v>37196</v>
      </c>
      <c r="Y427">
        <v>24</v>
      </c>
      <c r="Z427" t="s">
        <v>3061</v>
      </c>
      <c r="AB427" t="s">
        <v>996</v>
      </c>
      <c r="AC427" t="s">
        <v>997</v>
      </c>
      <c r="AD427" t="s">
        <v>1041</v>
      </c>
      <c r="AE427" t="s">
        <v>1041</v>
      </c>
      <c r="AF427" t="s">
        <v>2803</v>
      </c>
      <c r="AI427" t="s">
        <v>1612</v>
      </c>
    </row>
    <row r="428" spans="1:35">
      <c r="A428">
        <v>449</v>
      </c>
      <c r="B428" t="s">
        <v>3062</v>
      </c>
      <c r="C428">
        <v>837</v>
      </c>
      <c r="D428" t="s">
        <v>1798</v>
      </c>
      <c r="E428" t="s">
        <v>1226</v>
      </c>
      <c r="F428" t="s">
        <v>1225</v>
      </c>
      <c r="G428" t="s">
        <v>114</v>
      </c>
      <c r="H428" t="s">
        <v>1225</v>
      </c>
      <c r="I428" t="s">
        <v>3028</v>
      </c>
      <c r="J428" t="s">
        <v>3029</v>
      </c>
      <c r="N428" t="s">
        <v>2625</v>
      </c>
      <c r="T428" t="s">
        <v>1705</v>
      </c>
      <c r="U428" t="s">
        <v>3063</v>
      </c>
      <c r="V428" t="s">
        <v>3064</v>
      </c>
      <c r="W428" t="s">
        <v>963</v>
      </c>
      <c r="X428">
        <v>39172</v>
      </c>
      <c r="Y428">
        <v>18</v>
      </c>
      <c r="Z428" t="s">
        <v>3065</v>
      </c>
      <c r="AA428" t="s">
        <v>3066</v>
      </c>
      <c r="AB428" t="s">
        <v>996</v>
      </c>
      <c r="AC428" t="s">
        <v>997</v>
      </c>
      <c r="AD428" t="s">
        <v>1041</v>
      </c>
      <c r="AE428" t="s">
        <v>1041</v>
      </c>
      <c r="AF428" t="s">
        <v>3067</v>
      </c>
      <c r="AI428" t="s">
        <v>1125</v>
      </c>
    </row>
    <row r="429" spans="1:35">
      <c r="A429">
        <v>450</v>
      </c>
      <c r="B429" t="s">
        <v>3068</v>
      </c>
      <c r="C429">
        <v>839</v>
      </c>
      <c r="D429" t="s">
        <v>1351</v>
      </c>
      <c r="E429" t="s">
        <v>1226</v>
      </c>
      <c r="F429" t="s">
        <v>1225</v>
      </c>
      <c r="G429" t="s">
        <v>114</v>
      </c>
      <c r="H429" t="s">
        <v>1225</v>
      </c>
      <c r="I429" t="s">
        <v>3028</v>
      </c>
      <c r="J429" t="s">
        <v>3029</v>
      </c>
      <c r="N429" t="s">
        <v>2625</v>
      </c>
      <c r="T429" t="s">
        <v>992</v>
      </c>
      <c r="U429" t="s">
        <v>389</v>
      </c>
      <c r="V429" t="s">
        <v>3069</v>
      </c>
      <c r="W429" t="s">
        <v>963</v>
      </c>
      <c r="X429">
        <v>38811</v>
      </c>
      <c r="Y429">
        <v>19</v>
      </c>
      <c r="Z429" t="s">
        <v>3070</v>
      </c>
      <c r="AA429" t="s">
        <v>3071</v>
      </c>
      <c r="AB429" t="s">
        <v>996</v>
      </c>
      <c r="AC429" t="s">
        <v>953</v>
      </c>
      <c r="AD429" t="s">
        <v>1041</v>
      </c>
      <c r="AE429" t="s">
        <v>1041</v>
      </c>
      <c r="AF429" t="s">
        <v>3072</v>
      </c>
      <c r="AG429" t="s">
        <v>1775</v>
      </c>
      <c r="AH429" t="s">
        <v>3073</v>
      </c>
      <c r="AI429" t="s">
        <v>1025</v>
      </c>
    </row>
    <row r="430" spans="1:35">
      <c r="A430">
        <v>441</v>
      </c>
      <c r="B430" t="s">
        <v>3028</v>
      </c>
      <c r="C430">
        <v>840</v>
      </c>
      <c r="E430" t="s">
        <v>1226</v>
      </c>
      <c r="F430" t="s">
        <v>1225</v>
      </c>
      <c r="G430" t="s">
        <v>114</v>
      </c>
      <c r="H430" t="s">
        <v>1225</v>
      </c>
      <c r="I430" t="s">
        <v>3028</v>
      </c>
      <c r="J430" t="s">
        <v>3074</v>
      </c>
      <c r="N430" t="s">
        <v>2668</v>
      </c>
      <c r="P430" t="s">
        <v>55</v>
      </c>
      <c r="Q430" t="s">
        <v>178</v>
      </c>
      <c r="U430" t="s">
        <v>340</v>
      </c>
      <c r="V430" t="s">
        <v>3030</v>
      </c>
      <c r="W430" t="s">
        <v>963</v>
      </c>
      <c r="X430">
        <v>37769</v>
      </c>
      <c r="Y430">
        <v>22</v>
      </c>
      <c r="Z430" t="s">
        <v>3031</v>
      </c>
      <c r="AA430" t="s">
        <v>3032</v>
      </c>
      <c r="AB430" t="s">
        <v>996</v>
      </c>
      <c r="AC430" t="s">
        <v>953</v>
      </c>
      <c r="AD430" t="s">
        <v>1041</v>
      </c>
      <c r="AE430" t="s">
        <v>1041</v>
      </c>
      <c r="AF430" t="s">
        <v>1473</v>
      </c>
      <c r="AG430" t="s">
        <v>955</v>
      </c>
      <c r="AI430" t="s">
        <v>1440</v>
      </c>
    </row>
    <row r="431" spans="1:35">
      <c r="A431">
        <v>457</v>
      </c>
      <c r="B431" t="s">
        <v>3074</v>
      </c>
      <c r="C431">
        <v>842</v>
      </c>
      <c r="D431" t="s">
        <v>1798</v>
      </c>
      <c r="E431" t="s">
        <v>1226</v>
      </c>
      <c r="F431" t="s">
        <v>1225</v>
      </c>
      <c r="G431" t="s">
        <v>114</v>
      </c>
      <c r="H431" t="s">
        <v>1225</v>
      </c>
      <c r="I431" t="s">
        <v>3028</v>
      </c>
      <c r="J431" t="s">
        <v>3074</v>
      </c>
      <c r="N431" t="s">
        <v>2668</v>
      </c>
      <c r="P431" t="s">
        <v>69</v>
      </c>
      <c r="Q431" t="s">
        <v>55</v>
      </c>
      <c r="T431" t="s">
        <v>992</v>
      </c>
      <c r="U431" t="s">
        <v>354</v>
      </c>
      <c r="V431" t="s">
        <v>3075</v>
      </c>
      <c r="W431" t="s">
        <v>950</v>
      </c>
      <c r="X431">
        <v>37727</v>
      </c>
      <c r="Y431">
        <v>22</v>
      </c>
      <c r="Z431" t="s">
        <v>3076</v>
      </c>
      <c r="AA431" t="s">
        <v>3077</v>
      </c>
      <c r="AB431" t="s">
        <v>1006</v>
      </c>
      <c r="AC431" t="s">
        <v>953</v>
      </c>
      <c r="AD431" t="s">
        <v>1041</v>
      </c>
      <c r="AE431" t="s">
        <v>1041</v>
      </c>
      <c r="AF431" t="s">
        <v>2645</v>
      </c>
      <c r="AI431" t="s">
        <v>1025</v>
      </c>
    </row>
    <row r="432" spans="1:35">
      <c r="A432">
        <v>460</v>
      </c>
      <c r="B432" t="s">
        <v>3078</v>
      </c>
      <c r="C432">
        <v>844</v>
      </c>
      <c r="D432" t="s">
        <v>1798</v>
      </c>
      <c r="E432" t="s">
        <v>1226</v>
      </c>
      <c r="F432" t="s">
        <v>1225</v>
      </c>
      <c r="G432" t="s">
        <v>114</v>
      </c>
      <c r="H432" t="s">
        <v>1225</v>
      </c>
      <c r="I432" t="s">
        <v>3028</v>
      </c>
      <c r="J432" t="s">
        <v>3074</v>
      </c>
      <c r="N432" t="s">
        <v>2668</v>
      </c>
      <c r="T432" t="s">
        <v>992</v>
      </c>
      <c r="U432" t="s">
        <v>406</v>
      </c>
      <c r="V432" t="s">
        <v>3079</v>
      </c>
      <c r="W432" t="s">
        <v>950</v>
      </c>
      <c r="X432">
        <v>37305</v>
      </c>
      <c r="Y432">
        <v>23</v>
      </c>
      <c r="Z432" t="s">
        <v>3080</v>
      </c>
      <c r="AA432" t="s">
        <v>3081</v>
      </c>
      <c r="AB432" t="s">
        <v>1006</v>
      </c>
      <c r="AC432" t="s">
        <v>953</v>
      </c>
      <c r="AD432" t="s">
        <v>1041</v>
      </c>
      <c r="AE432" t="s">
        <v>2325</v>
      </c>
      <c r="AF432" t="s">
        <v>2945</v>
      </c>
      <c r="AI432" t="s">
        <v>1025</v>
      </c>
    </row>
    <row r="433" spans="1:37">
      <c r="A433">
        <v>461</v>
      </c>
      <c r="B433" t="s">
        <v>3082</v>
      </c>
      <c r="C433">
        <v>846</v>
      </c>
      <c r="D433" t="s">
        <v>1798</v>
      </c>
      <c r="E433" t="s">
        <v>1226</v>
      </c>
      <c r="F433" t="s">
        <v>1225</v>
      </c>
      <c r="G433" t="s">
        <v>114</v>
      </c>
      <c r="H433" t="s">
        <v>1225</v>
      </c>
      <c r="I433" t="s">
        <v>3028</v>
      </c>
      <c r="J433" t="s">
        <v>3074</v>
      </c>
      <c r="N433" t="s">
        <v>2668</v>
      </c>
      <c r="T433" t="s">
        <v>992</v>
      </c>
      <c r="U433" t="s">
        <v>418</v>
      </c>
      <c r="V433" t="s">
        <v>3083</v>
      </c>
      <c r="W433" t="s">
        <v>950</v>
      </c>
      <c r="X433">
        <v>37780</v>
      </c>
      <c r="Y433">
        <v>22</v>
      </c>
      <c r="Z433" t="s">
        <v>3084</v>
      </c>
      <c r="AA433" t="s">
        <v>3085</v>
      </c>
      <c r="AB433" t="s">
        <v>996</v>
      </c>
      <c r="AC433" t="s">
        <v>953</v>
      </c>
      <c r="AD433" t="s">
        <v>1041</v>
      </c>
      <c r="AE433" t="s">
        <v>1041</v>
      </c>
      <c r="AF433" t="s">
        <v>3086</v>
      </c>
      <c r="AI433" t="s">
        <v>1025</v>
      </c>
    </row>
    <row r="434" spans="1:37">
      <c r="A434">
        <v>469</v>
      </c>
      <c r="B434" t="s">
        <v>3087</v>
      </c>
      <c r="C434">
        <v>848</v>
      </c>
      <c r="D434" t="s">
        <v>1798</v>
      </c>
      <c r="E434" t="s">
        <v>1226</v>
      </c>
      <c r="F434" t="s">
        <v>1225</v>
      </c>
      <c r="G434" t="s">
        <v>114</v>
      </c>
      <c r="H434" t="s">
        <v>1225</v>
      </c>
      <c r="I434" t="s">
        <v>3028</v>
      </c>
      <c r="J434" t="s">
        <v>3074</v>
      </c>
      <c r="N434" t="s">
        <v>2668</v>
      </c>
      <c r="T434" t="s">
        <v>992</v>
      </c>
      <c r="U434" t="s">
        <v>3088</v>
      </c>
      <c r="V434" t="s">
        <v>3089</v>
      </c>
      <c r="W434" t="s">
        <v>950</v>
      </c>
      <c r="X434">
        <v>37583</v>
      </c>
      <c r="Y434">
        <v>23</v>
      </c>
      <c r="Z434" t="s">
        <v>3090</v>
      </c>
      <c r="AA434" t="s">
        <v>3091</v>
      </c>
      <c r="AB434" t="s">
        <v>996</v>
      </c>
      <c r="AC434" t="s">
        <v>997</v>
      </c>
      <c r="AD434" t="s">
        <v>1041</v>
      </c>
      <c r="AE434" t="s">
        <v>1041</v>
      </c>
      <c r="AF434" t="s">
        <v>2672</v>
      </c>
      <c r="AI434" t="s">
        <v>1125</v>
      </c>
    </row>
    <row r="435" spans="1:37">
      <c r="A435">
        <v>464</v>
      </c>
      <c r="B435" t="s">
        <v>3092</v>
      </c>
      <c r="C435">
        <v>850</v>
      </c>
      <c r="D435" t="s">
        <v>1798</v>
      </c>
      <c r="E435" t="s">
        <v>1226</v>
      </c>
      <c r="F435" t="s">
        <v>1225</v>
      </c>
      <c r="G435" t="s">
        <v>114</v>
      </c>
      <c r="H435" t="s">
        <v>1225</v>
      </c>
      <c r="I435" t="s">
        <v>3028</v>
      </c>
      <c r="J435" t="s">
        <v>3074</v>
      </c>
      <c r="N435" t="s">
        <v>2668</v>
      </c>
      <c r="T435" t="s">
        <v>992</v>
      </c>
      <c r="U435" t="s">
        <v>3093</v>
      </c>
      <c r="V435" t="s">
        <v>3094</v>
      </c>
      <c r="W435" t="s">
        <v>950</v>
      </c>
      <c r="X435">
        <v>35049</v>
      </c>
      <c r="Y435">
        <v>30</v>
      </c>
      <c r="AB435" t="s">
        <v>996</v>
      </c>
      <c r="AC435" t="s">
        <v>953</v>
      </c>
      <c r="AD435" t="s">
        <v>1041</v>
      </c>
      <c r="AE435" t="s">
        <v>1041</v>
      </c>
      <c r="AF435" t="s">
        <v>2665</v>
      </c>
      <c r="AH435" t="s">
        <v>2837</v>
      </c>
    </row>
    <row r="436" spans="1:37">
      <c r="A436">
        <v>483</v>
      </c>
      <c r="B436" t="s">
        <v>3095</v>
      </c>
      <c r="C436">
        <v>852</v>
      </c>
      <c r="D436" t="s">
        <v>1798</v>
      </c>
      <c r="E436" t="s">
        <v>1226</v>
      </c>
      <c r="F436" t="s">
        <v>1225</v>
      </c>
      <c r="G436" t="s">
        <v>114</v>
      </c>
      <c r="H436" t="s">
        <v>1225</v>
      </c>
      <c r="I436" t="s">
        <v>3028</v>
      </c>
      <c r="J436" t="s">
        <v>3074</v>
      </c>
      <c r="N436" t="s">
        <v>2668</v>
      </c>
      <c r="T436" t="s">
        <v>992</v>
      </c>
      <c r="U436" t="s">
        <v>3096</v>
      </c>
      <c r="V436" t="s">
        <v>3097</v>
      </c>
      <c r="W436" t="s">
        <v>950</v>
      </c>
      <c r="X436">
        <v>38225</v>
      </c>
      <c r="Y436">
        <v>21</v>
      </c>
      <c r="Z436" t="s">
        <v>3098</v>
      </c>
      <c r="AB436" t="s">
        <v>996</v>
      </c>
      <c r="AC436" t="s">
        <v>1018</v>
      </c>
      <c r="AD436" t="s">
        <v>1041</v>
      </c>
      <c r="AE436" t="s">
        <v>1041</v>
      </c>
      <c r="AF436" t="s">
        <v>3099</v>
      </c>
      <c r="AI436" t="s">
        <v>1125</v>
      </c>
    </row>
    <row r="437" spans="1:37">
      <c r="A437">
        <v>441</v>
      </c>
      <c r="B437" t="s">
        <v>3028</v>
      </c>
      <c r="C437">
        <v>853</v>
      </c>
      <c r="E437" t="s">
        <v>1226</v>
      </c>
      <c r="F437" t="s">
        <v>1225</v>
      </c>
      <c r="G437" t="s">
        <v>114</v>
      </c>
      <c r="H437" t="s">
        <v>1225</v>
      </c>
      <c r="I437" t="s">
        <v>3028</v>
      </c>
      <c r="J437" t="s">
        <v>3100</v>
      </c>
      <c r="N437" t="s">
        <v>3101</v>
      </c>
      <c r="P437" t="s">
        <v>55</v>
      </c>
      <c r="Q437" t="s">
        <v>178</v>
      </c>
      <c r="U437" t="s">
        <v>340</v>
      </c>
      <c r="V437" t="s">
        <v>3030</v>
      </c>
      <c r="W437" t="s">
        <v>963</v>
      </c>
      <c r="X437">
        <v>37769</v>
      </c>
      <c r="Y437">
        <v>22</v>
      </c>
      <c r="Z437" t="s">
        <v>3031</v>
      </c>
      <c r="AA437" t="s">
        <v>3032</v>
      </c>
      <c r="AB437" t="s">
        <v>996</v>
      </c>
      <c r="AC437" t="s">
        <v>953</v>
      </c>
      <c r="AD437" t="s">
        <v>1041</v>
      </c>
      <c r="AE437" t="s">
        <v>1041</v>
      </c>
      <c r="AF437" t="s">
        <v>1473</v>
      </c>
      <c r="AG437" t="s">
        <v>955</v>
      </c>
      <c r="AI437" t="s">
        <v>1440</v>
      </c>
    </row>
    <row r="438" spans="1:37">
      <c r="A438">
        <v>458</v>
      </c>
      <c r="B438" t="s">
        <v>3100</v>
      </c>
      <c r="C438">
        <v>855</v>
      </c>
      <c r="D438" t="s">
        <v>1798</v>
      </c>
      <c r="E438" t="s">
        <v>1226</v>
      </c>
      <c r="F438" t="s">
        <v>1225</v>
      </c>
      <c r="G438" t="s">
        <v>114</v>
      </c>
      <c r="H438" t="s">
        <v>1225</v>
      </c>
      <c r="I438" t="s">
        <v>3028</v>
      </c>
      <c r="J438" t="s">
        <v>3100</v>
      </c>
      <c r="N438" t="s">
        <v>3101</v>
      </c>
      <c r="Q438" t="s">
        <v>1710</v>
      </c>
      <c r="T438" t="s">
        <v>1705</v>
      </c>
      <c r="U438" t="s">
        <v>362</v>
      </c>
      <c r="V438" t="s">
        <v>3102</v>
      </c>
      <c r="W438" t="s">
        <v>950</v>
      </c>
      <c r="X438">
        <v>39342</v>
      </c>
      <c r="Y438">
        <v>18</v>
      </c>
      <c r="Z438" t="s">
        <v>3103</v>
      </c>
      <c r="AA438" t="s">
        <v>3104</v>
      </c>
      <c r="AB438" t="s">
        <v>996</v>
      </c>
      <c r="AC438" t="s">
        <v>997</v>
      </c>
      <c r="AD438" t="s">
        <v>1041</v>
      </c>
      <c r="AE438" t="s">
        <v>1041</v>
      </c>
      <c r="AF438" t="s">
        <v>3105</v>
      </c>
      <c r="AI438" t="s">
        <v>1107</v>
      </c>
    </row>
    <row r="439" spans="1:37">
      <c r="A439">
        <v>459</v>
      </c>
      <c r="B439" t="s">
        <v>3106</v>
      </c>
      <c r="C439">
        <v>857</v>
      </c>
      <c r="D439" t="s">
        <v>1798</v>
      </c>
      <c r="E439" t="s">
        <v>1226</v>
      </c>
      <c r="F439" t="s">
        <v>1225</v>
      </c>
      <c r="G439" t="s">
        <v>114</v>
      </c>
      <c r="H439" t="s">
        <v>1225</v>
      </c>
      <c r="I439" t="s">
        <v>3028</v>
      </c>
      <c r="J439" t="s">
        <v>3100</v>
      </c>
      <c r="N439" t="s">
        <v>3101</v>
      </c>
      <c r="Q439" t="s">
        <v>1710</v>
      </c>
      <c r="T439" t="s">
        <v>1705</v>
      </c>
      <c r="U439" t="s">
        <v>426</v>
      </c>
      <c r="V439" t="s">
        <v>3107</v>
      </c>
      <c r="W439" t="s">
        <v>950</v>
      </c>
      <c r="X439">
        <v>40060</v>
      </c>
      <c r="Y439">
        <v>16</v>
      </c>
      <c r="Z439" t="s">
        <v>3108</v>
      </c>
      <c r="AA439" t="s">
        <v>3109</v>
      </c>
      <c r="AB439" t="s">
        <v>996</v>
      </c>
      <c r="AC439" t="s">
        <v>997</v>
      </c>
      <c r="AD439" t="s">
        <v>1041</v>
      </c>
      <c r="AE439" t="s">
        <v>1041</v>
      </c>
      <c r="AF439" t="s">
        <v>2645</v>
      </c>
      <c r="AI439" t="s">
        <v>1107</v>
      </c>
    </row>
    <row r="440" spans="1:37">
      <c r="A440">
        <v>479</v>
      </c>
      <c r="B440" t="s">
        <v>3110</v>
      </c>
      <c r="C440">
        <v>859</v>
      </c>
      <c r="D440" t="s">
        <v>1798</v>
      </c>
      <c r="E440" t="s">
        <v>1226</v>
      </c>
      <c r="F440" t="s">
        <v>1225</v>
      </c>
      <c r="G440" t="s">
        <v>114</v>
      </c>
      <c r="H440" t="s">
        <v>1225</v>
      </c>
      <c r="I440" t="s">
        <v>3028</v>
      </c>
      <c r="J440" t="s">
        <v>3100</v>
      </c>
      <c r="N440" t="s">
        <v>3101</v>
      </c>
      <c r="Q440" t="s">
        <v>562</v>
      </c>
      <c r="T440" t="s">
        <v>1705</v>
      </c>
      <c r="U440" t="s">
        <v>3111</v>
      </c>
      <c r="V440" t="s">
        <v>3112</v>
      </c>
      <c r="W440" t="s">
        <v>950</v>
      </c>
      <c r="X440">
        <v>39645</v>
      </c>
      <c r="Y440">
        <v>17</v>
      </c>
      <c r="Z440" t="s">
        <v>3113</v>
      </c>
      <c r="AA440" t="s">
        <v>3114</v>
      </c>
      <c r="AB440" t="s">
        <v>996</v>
      </c>
      <c r="AC440" t="s">
        <v>953</v>
      </c>
      <c r="AD440" t="s">
        <v>1041</v>
      </c>
      <c r="AE440" t="s">
        <v>3115</v>
      </c>
      <c r="AF440" t="s">
        <v>3116</v>
      </c>
      <c r="AI440" t="s">
        <v>1125</v>
      </c>
    </row>
    <row r="441" spans="1:37">
      <c r="A441">
        <v>481</v>
      </c>
      <c r="B441" t="s">
        <v>3117</v>
      </c>
      <c r="C441">
        <v>861</v>
      </c>
      <c r="D441" t="s">
        <v>1798</v>
      </c>
      <c r="E441" t="s">
        <v>1226</v>
      </c>
      <c r="F441" t="s">
        <v>1225</v>
      </c>
      <c r="G441" t="s">
        <v>114</v>
      </c>
      <c r="H441" t="s">
        <v>1225</v>
      </c>
      <c r="I441" t="s">
        <v>3028</v>
      </c>
      <c r="J441" t="s">
        <v>3100</v>
      </c>
      <c r="N441" t="s">
        <v>3101</v>
      </c>
      <c r="T441" t="s">
        <v>1705</v>
      </c>
      <c r="U441" t="s">
        <v>443</v>
      </c>
      <c r="V441" t="s">
        <v>3118</v>
      </c>
      <c r="W441" t="s">
        <v>950</v>
      </c>
      <c r="X441">
        <v>39601</v>
      </c>
      <c r="Y441">
        <v>17</v>
      </c>
      <c r="Z441" t="s">
        <v>3119</v>
      </c>
      <c r="AA441" t="s">
        <v>3120</v>
      </c>
      <c r="AB441" t="s">
        <v>996</v>
      </c>
      <c r="AC441" t="s">
        <v>997</v>
      </c>
      <c r="AD441" t="s">
        <v>1041</v>
      </c>
      <c r="AE441" t="s">
        <v>1041</v>
      </c>
      <c r="AF441" t="s">
        <v>3121</v>
      </c>
      <c r="AI441" t="s">
        <v>1318</v>
      </c>
    </row>
    <row r="442" spans="1:37">
      <c r="A442">
        <v>462</v>
      </c>
      <c r="B442" t="s">
        <v>3122</v>
      </c>
      <c r="C442">
        <v>863</v>
      </c>
      <c r="D442" t="s">
        <v>1798</v>
      </c>
      <c r="E442" t="s">
        <v>1226</v>
      </c>
      <c r="F442" t="s">
        <v>1225</v>
      </c>
      <c r="G442" t="s">
        <v>114</v>
      </c>
      <c r="H442" t="s">
        <v>1225</v>
      </c>
      <c r="I442" t="s">
        <v>3028</v>
      </c>
      <c r="J442" t="s">
        <v>3100</v>
      </c>
      <c r="N442" t="s">
        <v>3101</v>
      </c>
      <c r="T442" t="s">
        <v>1705</v>
      </c>
      <c r="U442" t="s">
        <v>363</v>
      </c>
      <c r="V442" t="s">
        <v>3123</v>
      </c>
      <c r="W442" t="s">
        <v>950</v>
      </c>
      <c r="X442">
        <v>39425</v>
      </c>
      <c r="Y442">
        <v>18</v>
      </c>
      <c r="Z442" t="s">
        <v>3124</v>
      </c>
      <c r="AA442" t="s">
        <v>3125</v>
      </c>
      <c r="AB442" t="s">
        <v>996</v>
      </c>
      <c r="AC442" t="s">
        <v>997</v>
      </c>
      <c r="AD442" t="s">
        <v>2737</v>
      </c>
      <c r="AE442" t="s">
        <v>2737</v>
      </c>
      <c r="AF442" t="s">
        <v>3126</v>
      </c>
      <c r="AI442" t="s">
        <v>1452</v>
      </c>
    </row>
    <row r="443" spans="1:37">
      <c r="A443">
        <v>463</v>
      </c>
      <c r="B443" t="s">
        <v>3127</v>
      </c>
      <c r="C443">
        <v>865</v>
      </c>
      <c r="D443" t="s">
        <v>1798</v>
      </c>
      <c r="E443" t="s">
        <v>1226</v>
      </c>
      <c r="F443" t="s">
        <v>1225</v>
      </c>
      <c r="G443" t="s">
        <v>114</v>
      </c>
      <c r="H443" t="s">
        <v>1225</v>
      </c>
      <c r="I443" t="s">
        <v>3028</v>
      </c>
      <c r="J443" t="s">
        <v>3100</v>
      </c>
      <c r="N443" t="s">
        <v>3101</v>
      </c>
      <c r="T443" t="s">
        <v>1705</v>
      </c>
      <c r="U443" t="s">
        <v>390</v>
      </c>
      <c r="V443" t="s">
        <v>3128</v>
      </c>
      <c r="W443" t="s">
        <v>950</v>
      </c>
      <c r="X443">
        <v>40449</v>
      </c>
      <c r="Y443">
        <v>15</v>
      </c>
      <c r="Z443" t="s">
        <v>3129</v>
      </c>
      <c r="AA443" t="s">
        <v>3130</v>
      </c>
      <c r="AB443" t="s">
        <v>996</v>
      </c>
      <c r="AC443" t="s">
        <v>997</v>
      </c>
      <c r="AD443" t="s">
        <v>1041</v>
      </c>
      <c r="AE443" t="s">
        <v>2985</v>
      </c>
      <c r="AF443" t="s">
        <v>3131</v>
      </c>
      <c r="AI443" t="s">
        <v>1452</v>
      </c>
    </row>
    <row r="444" spans="1:37">
      <c r="A444">
        <v>466</v>
      </c>
      <c r="B444" t="s">
        <v>3132</v>
      </c>
      <c r="C444">
        <v>867</v>
      </c>
      <c r="D444" t="s">
        <v>1798</v>
      </c>
      <c r="E444" t="s">
        <v>1226</v>
      </c>
      <c r="F444" t="s">
        <v>1225</v>
      </c>
      <c r="G444" t="s">
        <v>114</v>
      </c>
      <c r="H444" t="s">
        <v>1225</v>
      </c>
      <c r="I444" t="s">
        <v>3132</v>
      </c>
      <c r="J444" t="s">
        <v>3133</v>
      </c>
      <c r="N444" t="s">
        <v>1074</v>
      </c>
      <c r="P444" t="s">
        <v>55</v>
      </c>
      <c r="Q444" t="s">
        <v>178</v>
      </c>
      <c r="T444" t="s">
        <v>992</v>
      </c>
      <c r="U444" t="s">
        <v>3134</v>
      </c>
      <c r="V444" t="s">
        <v>3135</v>
      </c>
      <c r="W444" t="s">
        <v>950</v>
      </c>
      <c r="X444">
        <v>37703</v>
      </c>
      <c r="Y444">
        <v>22</v>
      </c>
      <c r="Z444" t="s">
        <v>3136</v>
      </c>
      <c r="AA444" t="s">
        <v>3137</v>
      </c>
      <c r="AB444" t="s">
        <v>996</v>
      </c>
      <c r="AC444" t="s">
        <v>997</v>
      </c>
      <c r="AD444" t="s">
        <v>1041</v>
      </c>
      <c r="AE444" t="s">
        <v>1250</v>
      </c>
      <c r="AF444" t="s">
        <v>3138</v>
      </c>
      <c r="AI444" t="s">
        <v>1125</v>
      </c>
    </row>
    <row r="445" spans="1:37">
      <c r="A445">
        <v>478</v>
      </c>
      <c r="B445" t="s">
        <v>3133</v>
      </c>
      <c r="C445">
        <v>869</v>
      </c>
      <c r="D445" t="s">
        <v>1798</v>
      </c>
      <c r="E445" t="s">
        <v>1226</v>
      </c>
      <c r="F445" t="s">
        <v>1225</v>
      </c>
      <c r="G445" t="s">
        <v>114</v>
      </c>
      <c r="H445" t="s">
        <v>1225</v>
      </c>
      <c r="I445" t="s">
        <v>3132</v>
      </c>
      <c r="J445" t="s">
        <v>3133</v>
      </c>
      <c r="N445" t="s">
        <v>1074</v>
      </c>
      <c r="P445" t="s">
        <v>69</v>
      </c>
      <c r="Q445" t="s">
        <v>562</v>
      </c>
      <c r="T445" t="s">
        <v>992</v>
      </c>
      <c r="U445" t="s">
        <v>368</v>
      </c>
      <c r="V445" t="s">
        <v>3139</v>
      </c>
      <c r="W445" t="s">
        <v>950</v>
      </c>
      <c r="X445">
        <v>37883</v>
      </c>
      <c r="Y445">
        <v>22</v>
      </c>
      <c r="Z445" t="s">
        <v>3140</v>
      </c>
      <c r="AA445" t="s">
        <v>3141</v>
      </c>
      <c r="AB445" t="s">
        <v>996</v>
      </c>
      <c r="AC445" t="s">
        <v>997</v>
      </c>
      <c r="AD445" t="s">
        <v>729</v>
      </c>
      <c r="AE445" t="s">
        <v>2324</v>
      </c>
      <c r="AF445" t="s">
        <v>2683</v>
      </c>
      <c r="AI445" t="s">
        <v>1318</v>
      </c>
      <c r="AK445">
        <v>-5</v>
      </c>
    </row>
    <row r="446" spans="1:37">
      <c r="A446">
        <v>480</v>
      </c>
      <c r="B446" t="s">
        <v>3142</v>
      </c>
      <c r="C446">
        <v>871</v>
      </c>
      <c r="D446" t="s">
        <v>1798</v>
      </c>
      <c r="E446" t="s">
        <v>1226</v>
      </c>
      <c r="F446" t="s">
        <v>1225</v>
      </c>
      <c r="G446" t="s">
        <v>114</v>
      </c>
      <c r="H446" t="s">
        <v>1225</v>
      </c>
      <c r="I446" t="s">
        <v>3132</v>
      </c>
      <c r="J446" t="s">
        <v>3133</v>
      </c>
      <c r="N446" t="s">
        <v>1074</v>
      </c>
      <c r="T446" t="s">
        <v>992</v>
      </c>
      <c r="U446" t="s">
        <v>3143</v>
      </c>
      <c r="V446" t="s">
        <v>3144</v>
      </c>
      <c r="W446" t="s">
        <v>950</v>
      </c>
      <c r="X446">
        <v>37525</v>
      </c>
      <c r="Y446">
        <v>23</v>
      </c>
      <c r="Z446" t="s">
        <v>3145</v>
      </c>
      <c r="AA446" t="s">
        <v>3146</v>
      </c>
      <c r="AB446" t="s">
        <v>996</v>
      </c>
      <c r="AC446" t="s">
        <v>997</v>
      </c>
      <c r="AD446" t="s">
        <v>1041</v>
      </c>
      <c r="AE446" t="s">
        <v>1041</v>
      </c>
      <c r="AF446" t="s">
        <v>2672</v>
      </c>
      <c r="AI446" t="s">
        <v>1125</v>
      </c>
    </row>
    <row r="447" spans="1:37">
      <c r="A447">
        <v>467</v>
      </c>
      <c r="B447" t="s">
        <v>2209</v>
      </c>
      <c r="C447">
        <v>873</v>
      </c>
      <c r="D447" t="s">
        <v>1798</v>
      </c>
      <c r="E447" t="s">
        <v>1226</v>
      </c>
      <c r="F447" t="s">
        <v>1225</v>
      </c>
      <c r="G447" t="s">
        <v>114</v>
      </c>
      <c r="H447" t="s">
        <v>1225</v>
      </c>
      <c r="I447" t="s">
        <v>3132</v>
      </c>
      <c r="J447" t="s">
        <v>3133</v>
      </c>
      <c r="N447" t="s">
        <v>1074</v>
      </c>
      <c r="T447" t="s">
        <v>992</v>
      </c>
      <c r="U447" t="s">
        <v>3147</v>
      </c>
      <c r="V447" t="s">
        <v>3148</v>
      </c>
      <c r="W447" t="s">
        <v>950</v>
      </c>
      <c r="X447">
        <v>36932</v>
      </c>
      <c r="Y447">
        <v>24</v>
      </c>
      <c r="AA447" t="s">
        <v>3149</v>
      </c>
      <c r="AB447" t="s">
        <v>996</v>
      </c>
      <c r="AC447" t="s">
        <v>997</v>
      </c>
      <c r="AD447" t="s">
        <v>1041</v>
      </c>
      <c r="AE447" t="s">
        <v>3150</v>
      </c>
      <c r="AF447" t="s">
        <v>3151</v>
      </c>
      <c r="AI447" t="s">
        <v>1011</v>
      </c>
    </row>
    <row r="448" spans="1:37">
      <c r="A448">
        <v>471</v>
      </c>
      <c r="B448" t="s">
        <v>3152</v>
      </c>
      <c r="C448">
        <v>875</v>
      </c>
      <c r="D448" t="s">
        <v>1798</v>
      </c>
      <c r="E448" t="s">
        <v>1226</v>
      </c>
      <c r="F448" t="s">
        <v>1225</v>
      </c>
      <c r="G448" t="s">
        <v>114</v>
      </c>
      <c r="H448" t="s">
        <v>1225</v>
      </c>
      <c r="I448" t="s">
        <v>3132</v>
      </c>
      <c r="J448" t="s">
        <v>3133</v>
      </c>
      <c r="N448" t="s">
        <v>1074</v>
      </c>
      <c r="T448" t="s">
        <v>992</v>
      </c>
      <c r="U448" t="s">
        <v>435</v>
      </c>
      <c r="V448" t="s">
        <v>3153</v>
      </c>
      <c r="W448" t="s">
        <v>950</v>
      </c>
      <c r="X448">
        <v>37194</v>
      </c>
      <c r="Y448">
        <v>24</v>
      </c>
      <c r="Z448" t="s">
        <v>3154</v>
      </c>
      <c r="AA448" t="s">
        <v>3155</v>
      </c>
      <c r="AB448" t="s">
        <v>996</v>
      </c>
      <c r="AC448" t="s">
        <v>997</v>
      </c>
      <c r="AD448" t="s">
        <v>1041</v>
      </c>
      <c r="AE448" t="s">
        <v>1041</v>
      </c>
      <c r="AF448" t="s">
        <v>3099</v>
      </c>
      <c r="AI448" t="s">
        <v>1318</v>
      </c>
    </row>
    <row r="449" spans="1:36">
      <c r="A449">
        <v>468</v>
      </c>
      <c r="B449" t="s">
        <v>3156</v>
      </c>
      <c r="C449">
        <v>877</v>
      </c>
      <c r="D449" t="s">
        <v>1798</v>
      </c>
      <c r="E449" t="s">
        <v>1226</v>
      </c>
      <c r="F449" t="s">
        <v>1225</v>
      </c>
      <c r="G449" t="s">
        <v>114</v>
      </c>
      <c r="H449" t="s">
        <v>1225</v>
      </c>
      <c r="I449" t="s">
        <v>3132</v>
      </c>
      <c r="J449" t="s">
        <v>3133</v>
      </c>
      <c r="N449" t="s">
        <v>1074</v>
      </c>
      <c r="T449" t="s">
        <v>992</v>
      </c>
      <c r="U449" t="s">
        <v>3157</v>
      </c>
      <c r="V449" t="s">
        <v>3158</v>
      </c>
      <c r="W449" t="s">
        <v>950</v>
      </c>
      <c r="X449">
        <v>36693</v>
      </c>
      <c r="Y449">
        <v>25</v>
      </c>
      <c r="Z449" t="s">
        <v>3159</v>
      </c>
      <c r="AA449" t="s">
        <v>3160</v>
      </c>
      <c r="AB449" t="s">
        <v>996</v>
      </c>
      <c r="AC449" t="s">
        <v>1018</v>
      </c>
      <c r="AD449" t="s">
        <v>1041</v>
      </c>
      <c r="AE449" t="s">
        <v>1250</v>
      </c>
      <c r="AF449" t="s">
        <v>3161</v>
      </c>
      <c r="AI449" t="s">
        <v>1125</v>
      </c>
    </row>
    <row r="450" spans="1:36">
      <c r="A450">
        <v>470</v>
      </c>
      <c r="B450" t="s">
        <v>3162</v>
      </c>
      <c r="C450">
        <v>879</v>
      </c>
      <c r="D450" t="s">
        <v>1798</v>
      </c>
      <c r="E450" t="s">
        <v>1226</v>
      </c>
      <c r="F450" t="s">
        <v>1225</v>
      </c>
      <c r="G450" t="s">
        <v>114</v>
      </c>
      <c r="H450" t="s">
        <v>1225</v>
      </c>
      <c r="I450" t="s">
        <v>3132</v>
      </c>
      <c r="J450" t="s">
        <v>3133</v>
      </c>
      <c r="N450" t="s">
        <v>1074</v>
      </c>
      <c r="T450" t="s">
        <v>992</v>
      </c>
      <c r="U450" t="s">
        <v>3163</v>
      </c>
      <c r="V450" t="s">
        <v>3164</v>
      </c>
      <c r="W450" t="s">
        <v>950</v>
      </c>
      <c r="X450">
        <v>38675</v>
      </c>
      <c r="Y450">
        <v>20</v>
      </c>
      <c r="Z450" t="s">
        <v>3165</v>
      </c>
      <c r="AA450" t="s">
        <v>3166</v>
      </c>
      <c r="AB450" t="s">
        <v>996</v>
      </c>
      <c r="AC450" t="s">
        <v>1018</v>
      </c>
      <c r="AD450" t="s">
        <v>1041</v>
      </c>
      <c r="AE450" t="s">
        <v>1041</v>
      </c>
      <c r="AF450" t="s">
        <v>2784</v>
      </c>
      <c r="AI450" t="s">
        <v>1125</v>
      </c>
    </row>
    <row r="451" spans="1:36">
      <c r="A451">
        <v>472</v>
      </c>
      <c r="B451" t="s">
        <v>3167</v>
      </c>
      <c r="C451">
        <v>881</v>
      </c>
      <c r="D451" t="s">
        <v>1798</v>
      </c>
      <c r="E451" t="s">
        <v>1226</v>
      </c>
      <c r="F451" t="s">
        <v>1225</v>
      </c>
      <c r="G451" t="s">
        <v>114</v>
      </c>
      <c r="H451" t="s">
        <v>1225</v>
      </c>
      <c r="I451" t="s">
        <v>3132</v>
      </c>
      <c r="J451" t="s">
        <v>3133</v>
      </c>
      <c r="N451" t="s">
        <v>1074</v>
      </c>
      <c r="T451" t="s">
        <v>992</v>
      </c>
      <c r="U451" t="s">
        <v>3168</v>
      </c>
      <c r="V451" t="s">
        <v>3169</v>
      </c>
      <c r="W451" t="s">
        <v>950</v>
      </c>
      <c r="X451">
        <v>37308</v>
      </c>
      <c r="Y451">
        <v>23</v>
      </c>
      <c r="Z451" t="s">
        <v>3170</v>
      </c>
      <c r="AA451" t="s">
        <v>3171</v>
      </c>
      <c r="AB451" t="s">
        <v>996</v>
      </c>
      <c r="AC451" t="s">
        <v>1018</v>
      </c>
      <c r="AD451" t="s">
        <v>1041</v>
      </c>
      <c r="AE451" t="s">
        <v>1791</v>
      </c>
      <c r="AF451" t="s">
        <v>3172</v>
      </c>
      <c r="AH451" t="s">
        <v>3173</v>
      </c>
      <c r="AI451" t="s">
        <v>1125</v>
      </c>
      <c r="AJ451" t="s">
        <v>1020</v>
      </c>
    </row>
    <row r="452" spans="1:36">
      <c r="A452">
        <v>473</v>
      </c>
      <c r="B452" t="s">
        <v>3174</v>
      </c>
      <c r="C452">
        <v>883</v>
      </c>
      <c r="D452" t="s">
        <v>1798</v>
      </c>
      <c r="E452" t="s">
        <v>1226</v>
      </c>
      <c r="F452" t="s">
        <v>1225</v>
      </c>
      <c r="G452" t="s">
        <v>114</v>
      </c>
      <c r="H452" t="s">
        <v>1225</v>
      </c>
      <c r="I452" t="s">
        <v>3132</v>
      </c>
      <c r="J452" t="s">
        <v>3133</v>
      </c>
      <c r="N452" t="s">
        <v>1074</v>
      </c>
      <c r="T452" t="s">
        <v>992</v>
      </c>
      <c r="U452" t="s">
        <v>3175</v>
      </c>
      <c r="V452" t="s">
        <v>3176</v>
      </c>
      <c r="W452" t="s">
        <v>950</v>
      </c>
      <c r="X452">
        <v>37265</v>
      </c>
      <c r="Y452">
        <v>24</v>
      </c>
      <c r="Z452" t="s">
        <v>3177</v>
      </c>
      <c r="AA452" t="s">
        <v>3178</v>
      </c>
      <c r="AB452" t="s">
        <v>996</v>
      </c>
      <c r="AC452" t="s">
        <v>1018</v>
      </c>
      <c r="AD452" t="s">
        <v>1041</v>
      </c>
      <c r="AE452" t="s">
        <v>3179</v>
      </c>
      <c r="AF452" t="s">
        <v>3179</v>
      </c>
      <c r="AH452" t="s">
        <v>3180</v>
      </c>
      <c r="AI452" t="s">
        <v>1125</v>
      </c>
    </row>
    <row r="453" spans="1:36">
      <c r="A453">
        <v>484</v>
      </c>
      <c r="B453" t="s">
        <v>3181</v>
      </c>
      <c r="C453">
        <v>885</v>
      </c>
      <c r="D453" t="s">
        <v>1798</v>
      </c>
      <c r="E453" t="s">
        <v>1226</v>
      </c>
      <c r="F453" t="s">
        <v>1225</v>
      </c>
      <c r="G453" t="s">
        <v>114</v>
      </c>
      <c r="H453" t="s">
        <v>1225</v>
      </c>
      <c r="I453" t="s">
        <v>3181</v>
      </c>
      <c r="J453" t="s">
        <v>3182</v>
      </c>
      <c r="N453" t="s">
        <v>1115</v>
      </c>
      <c r="P453" t="s">
        <v>55</v>
      </c>
      <c r="Q453" t="s">
        <v>178</v>
      </c>
      <c r="T453" t="s">
        <v>1015</v>
      </c>
      <c r="U453" t="s">
        <v>341</v>
      </c>
      <c r="V453" t="s">
        <v>3183</v>
      </c>
      <c r="W453" t="s">
        <v>950</v>
      </c>
      <c r="X453">
        <v>36536</v>
      </c>
      <c r="Y453">
        <v>26</v>
      </c>
      <c r="Z453" t="s">
        <v>3184</v>
      </c>
      <c r="AA453" t="s">
        <v>3185</v>
      </c>
      <c r="AB453" t="s">
        <v>996</v>
      </c>
      <c r="AC453" t="s">
        <v>997</v>
      </c>
      <c r="AD453" t="s">
        <v>1041</v>
      </c>
      <c r="AE453" t="s">
        <v>2985</v>
      </c>
      <c r="AF453" t="s">
        <v>2986</v>
      </c>
      <c r="AI453" t="s">
        <v>1011</v>
      </c>
    </row>
    <row r="454" spans="1:36">
      <c r="A454">
        <v>485</v>
      </c>
      <c r="B454" t="s">
        <v>3182</v>
      </c>
      <c r="C454">
        <v>887</v>
      </c>
      <c r="D454" t="s">
        <v>1798</v>
      </c>
      <c r="E454" t="s">
        <v>1226</v>
      </c>
      <c r="F454" t="s">
        <v>1225</v>
      </c>
      <c r="G454" t="s">
        <v>114</v>
      </c>
      <c r="H454" t="s">
        <v>1225</v>
      </c>
      <c r="I454" t="s">
        <v>3181</v>
      </c>
      <c r="J454" t="s">
        <v>3182</v>
      </c>
      <c r="N454" t="s">
        <v>1115</v>
      </c>
      <c r="P454" t="s">
        <v>69</v>
      </c>
      <c r="Q454" t="s">
        <v>562</v>
      </c>
      <c r="T454" t="s">
        <v>1015</v>
      </c>
      <c r="U454" t="s">
        <v>355</v>
      </c>
      <c r="V454" t="s">
        <v>3186</v>
      </c>
      <c r="W454" t="s">
        <v>950</v>
      </c>
      <c r="X454">
        <v>35989</v>
      </c>
      <c r="Y454">
        <v>27</v>
      </c>
      <c r="Z454" t="s">
        <v>3187</v>
      </c>
      <c r="AA454" t="s">
        <v>3188</v>
      </c>
      <c r="AB454" t="s">
        <v>996</v>
      </c>
      <c r="AC454" t="s">
        <v>997</v>
      </c>
      <c r="AD454" t="s">
        <v>1041</v>
      </c>
      <c r="AE454" t="s">
        <v>1041</v>
      </c>
      <c r="AF454" t="s">
        <v>2784</v>
      </c>
      <c r="AI454" t="s">
        <v>1114</v>
      </c>
    </row>
    <row r="455" spans="1:36">
      <c r="A455">
        <v>486</v>
      </c>
      <c r="B455" t="s">
        <v>3189</v>
      </c>
      <c r="C455">
        <v>889</v>
      </c>
      <c r="D455" t="s">
        <v>1798</v>
      </c>
      <c r="E455" t="s">
        <v>1226</v>
      </c>
      <c r="F455" t="s">
        <v>1225</v>
      </c>
      <c r="G455" t="s">
        <v>114</v>
      </c>
      <c r="H455" t="s">
        <v>1225</v>
      </c>
      <c r="I455" t="s">
        <v>3181</v>
      </c>
      <c r="J455" t="s">
        <v>3182</v>
      </c>
      <c r="N455" t="s">
        <v>1115</v>
      </c>
      <c r="T455" t="s">
        <v>1015</v>
      </c>
      <c r="U455" t="s">
        <v>3190</v>
      </c>
      <c r="V455" t="s">
        <v>3191</v>
      </c>
      <c r="W455" t="s">
        <v>950</v>
      </c>
      <c r="X455">
        <v>31694</v>
      </c>
      <c r="Y455">
        <v>39</v>
      </c>
      <c r="Z455" t="s">
        <v>3192</v>
      </c>
      <c r="AA455" t="s">
        <v>3193</v>
      </c>
      <c r="AB455" t="s">
        <v>996</v>
      </c>
      <c r="AC455" t="s">
        <v>997</v>
      </c>
      <c r="AD455" t="s">
        <v>1041</v>
      </c>
      <c r="AE455" t="s">
        <v>3194</v>
      </c>
      <c r="AF455" t="s">
        <v>3195</v>
      </c>
      <c r="AI455" t="s">
        <v>1114</v>
      </c>
    </row>
    <row r="456" spans="1:36">
      <c r="A456">
        <v>487</v>
      </c>
      <c r="B456" t="s">
        <v>3196</v>
      </c>
      <c r="C456">
        <v>891</v>
      </c>
      <c r="D456" t="s">
        <v>1798</v>
      </c>
      <c r="E456" t="s">
        <v>1226</v>
      </c>
      <c r="F456" t="s">
        <v>1225</v>
      </c>
      <c r="G456" t="s">
        <v>114</v>
      </c>
      <c r="H456" t="s">
        <v>1225</v>
      </c>
      <c r="I456" t="s">
        <v>3181</v>
      </c>
      <c r="J456" t="s">
        <v>3182</v>
      </c>
      <c r="N456" t="s">
        <v>1115</v>
      </c>
      <c r="T456" t="s">
        <v>1015</v>
      </c>
      <c r="U456" t="s">
        <v>382</v>
      </c>
      <c r="V456" t="s">
        <v>3197</v>
      </c>
      <c r="W456" t="s">
        <v>950</v>
      </c>
      <c r="X456">
        <v>33359</v>
      </c>
      <c r="Y456">
        <v>34</v>
      </c>
      <c r="Z456" t="s">
        <v>3198</v>
      </c>
      <c r="AB456" t="s">
        <v>996</v>
      </c>
      <c r="AC456" t="s">
        <v>1018</v>
      </c>
      <c r="AD456" t="s">
        <v>1041</v>
      </c>
      <c r="AE456" t="s">
        <v>1041</v>
      </c>
      <c r="AF456" t="s">
        <v>2784</v>
      </c>
      <c r="AI456" t="s">
        <v>1114</v>
      </c>
    </row>
    <row r="457" spans="1:36">
      <c r="A457">
        <v>488</v>
      </c>
      <c r="B457" t="s">
        <v>3199</v>
      </c>
      <c r="C457">
        <v>893</v>
      </c>
      <c r="D457" t="s">
        <v>1798</v>
      </c>
      <c r="E457" t="s">
        <v>1226</v>
      </c>
      <c r="F457" t="s">
        <v>1225</v>
      </c>
      <c r="G457" t="s">
        <v>114</v>
      </c>
      <c r="H457" t="s">
        <v>1225</v>
      </c>
      <c r="I457" t="s">
        <v>3181</v>
      </c>
      <c r="J457" t="s">
        <v>3182</v>
      </c>
      <c r="N457" t="s">
        <v>1115</v>
      </c>
      <c r="T457" t="s">
        <v>1015</v>
      </c>
      <c r="U457" t="s">
        <v>395</v>
      </c>
      <c r="V457" t="s">
        <v>3200</v>
      </c>
      <c r="W457" t="s">
        <v>950</v>
      </c>
      <c r="X457">
        <v>34616</v>
      </c>
      <c r="Y457">
        <v>31</v>
      </c>
      <c r="Z457" t="s">
        <v>3201</v>
      </c>
      <c r="AA457" t="s">
        <v>3202</v>
      </c>
      <c r="AB457" t="s">
        <v>996</v>
      </c>
      <c r="AC457" t="s">
        <v>997</v>
      </c>
      <c r="AD457" t="s">
        <v>1041</v>
      </c>
      <c r="AE457" t="s">
        <v>1041</v>
      </c>
      <c r="AF457" t="s">
        <v>2784</v>
      </c>
      <c r="AI457" t="s">
        <v>1114</v>
      </c>
    </row>
    <row r="458" spans="1:36">
      <c r="A458">
        <v>489</v>
      </c>
      <c r="B458" t="s">
        <v>3203</v>
      </c>
      <c r="C458">
        <v>895</v>
      </c>
      <c r="D458" t="s">
        <v>1798</v>
      </c>
      <c r="E458" t="s">
        <v>1226</v>
      </c>
      <c r="F458" t="s">
        <v>1225</v>
      </c>
      <c r="G458" t="s">
        <v>114</v>
      </c>
      <c r="H458" t="s">
        <v>1225</v>
      </c>
      <c r="I458" t="s">
        <v>3181</v>
      </c>
      <c r="J458" t="s">
        <v>3182</v>
      </c>
      <c r="N458" t="s">
        <v>1115</v>
      </c>
      <c r="T458" t="s">
        <v>992</v>
      </c>
      <c r="U458" t="s">
        <v>407</v>
      </c>
      <c r="V458" t="s">
        <v>3204</v>
      </c>
      <c r="W458" t="s">
        <v>950</v>
      </c>
      <c r="X458">
        <v>35621</v>
      </c>
      <c r="Y458">
        <v>28</v>
      </c>
      <c r="Z458" t="s">
        <v>3205</v>
      </c>
      <c r="AA458" t="s">
        <v>3206</v>
      </c>
      <c r="AB458" t="s">
        <v>996</v>
      </c>
      <c r="AC458" t="s">
        <v>997</v>
      </c>
      <c r="AD458" t="s">
        <v>1041</v>
      </c>
      <c r="AE458" t="s">
        <v>3207</v>
      </c>
      <c r="AF458" t="s">
        <v>3208</v>
      </c>
      <c r="AI458" t="s">
        <v>1114</v>
      </c>
    </row>
    <row r="459" spans="1:36">
      <c r="A459">
        <v>490</v>
      </c>
      <c r="B459" t="s">
        <v>3209</v>
      </c>
      <c r="C459">
        <v>897</v>
      </c>
      <c r="D459" t="s">
        <v>1798</v>
      </c>
      <c r="E459" t="s">
        <v>1226</v>
      </c>
      <c r="F459" t="s">
        <v>1225</v>
      </c>
      <c r="G459" t="s">
        <v>114</v>
      </c>
      <c r="H459" t="s">
        <v>1225</v>
      </c>
      <c r="I459" t="s">
        <v>3181</v>
      </c>
      <c r="J459" t="s">
        <v>3182</v>
      </c>
      <c r="N459" t="s">
        <v>1115</v>
      </c>
      <c r="T459" t="s">
        <v>992</v>
      </c>
      <c r="U459" t="s">
        <v>419</v>
      </c>
      <c r="V459" t="s">
        <v>3210</v>
      </c>
      <c r="W459" t="s">
        <v>950</v>
      </c>
      <c r="X459" t="s">
        <v>3211</v>
      </c>
      <c r="Y459">
        <v>24</v>
      </c>
      <c r="Z459" t="s">
        <v>3212</v>
      </c>
      <c r="AA459" t="s">
        <v>3213</v>
      </c>
      <c r="AB459" t="s">
        <v>996</v>
      </c>
      <c r="AC459" t="s">
        <v>997</v>
      </c>
      <c r="AD459" t="s">
        <v>1041</v>
      </c>
      <c r="AE459" t="s">
        <v>1041</v>
      </c>
      <c r="AF459" t="s">
        <v>3214</v>
      </c>
      <c r="AI459" t="s">
        <v>1114</v>
      </c>
    </row>
    <row r="460" spans="1:36">
      <c r="A460">
        <v>491</v>
      </c>
      <c r="B460" t="s">
        <v>3215</v>
      </c>
      <c r="C460">
        <v>899</v>
      </c>
      <c r="D460" t="s">
        <v>1798</v>
      </c>
      <c r="E460" t="s">
        <v>1226</v>
      </c>
      <c r="F460" t="s">
        <v>1225</v>
      </c>
      <c r="G460" t="s">
        <v>114</v>
      </c>
      <c r="H460" t="s">
        <v>1225</v>
      </c>
      <c r="I460" t="s">
        <v>3181</v>
      </c>
      <c r="J460" t="s">
        <v>3182</v>
      </c>
      <c r="N460" t="s">
        <v>1115</v>
      </c>
      <c r="T460" t="s">
        <v>992</v>
      </c>
      <c r="U460" t="s">
        <v>428</v>
      </c>
      <c r="V460" t="s">
        <v>3216</v>
      </c>
      <c r="W460" t="s">
        <v>950</v>
      </c>
      <c r="X460" t="s">
        <v>3217</v>
      </c>
      <c r="Y460">
        <v>19</v>
      </c>
      <c r="Z460" t="s">
        <v>3218</v>
      </c>
      <c r="AA460" t="s">
        <v>3219</v>
      </c>
      <c r="AB460" t="s">
        <v>996</v>
      </c>
      <c r="AC460" t="s">
        <v>1018</v>
      </c>
      <c r="AD460" t="s">
        <v>1041</v>
      </c>
      <c r="AE460" t="s">
        <v>1041</v>
      </c>
      <c r="AF460" t="s">
        <v>3220</v>
      </c>
      <c r="AI460" t="s">
        <v>1114</v>
      </c>
    </row>
    <row r="461" spans="1:36">
      <c r="A461">
        <v>492</v>
      </c>
      <c r="B461" t="s">
        <v>3221</v>
      </c>
      <c r="C461">
        <v>901</v>
      </c>
      <c r="D461" t="s">
        <v>1798</v>
      </c>
      <c r="E461" t="s">
        <v>1226</v>
      </c>
      <c r="F461" t="s">
        <v>1225</v>
      </c>
      <c r="G461" t="s">
        <v>114</v>
      </c>
      <c r="H461" t="s">
        <v>1225</v>
      </c>
      <c r="I461" t="s">
        <v>3181</v>
      </c>
      <c r="J461" t="s">
        <v>3182</v>
      </c>
      <c r="N461" t="s">
        <v>1115</v>
      </c>
      <c r="T461" t="s">
        <v>1015</v>
      </c>
      <c r="U461" t="s">
        <v>3222</v>
      </c>
      <c r="V461" t="s">
        <v>3223</v>
      </c>
      <c r="W461" t="s">
        <v>950</v>
      </c>
      <c r="X461">
        <v>35825</v>
      </c>
      <c r="Y461">
        <v>28</v>
      </c>
      <c r="Z461" t="s">
        <v>3224</v>
      </c>
      <c r="AB461" t="s">
        <v>996</v>
      </c>
      <c r="AC461" t="s">
        <v>997</v>
      </c>
      <c r="AD461" t="s">
        <v>1041</v>
      </c>
      <c r="AE461" t="s">
        <v>1041</v>
      </c>
      <c r="AF461" t="s">
        <v>1473</v>
      </c>
      <c r="AI461" t="s">
        <v>1107</v>
      </c>
    </row>
    <row r="462" spans="1:36">
      <c r="A462">
        <v>493</v>
      </c>
      <c r="B462" t="s">
        <v>3225</v>
      </c>
      <c r="C462">
        <v>903</v>
      </c>
      <c r="D462" t="s">
        <v>1798</v>
      </c>
      <c r="E462" t="s">
        <v>1226</v>
      </c>
      <c r="F462" t="s">
        <v>1225</v>
      </c>
      <c r="G462" t="s">
        <v>114</v>
      </c>
      <c r="H462" t="s">
        <v>1225</v>
      </c>
      <c r="I462" t="s">
        <v>3225</v>
      </c>
      <c r="J462" t="s">
        <v>3226</v>
      </c>
      <c r="K462" t="s">
        <v>3227</v>
      </c>
      <c r="N462" t="s">
        <v>3228</v>
      </c>
      <c r="P462" t="s">
        <v>55</v>
      </c>
      <c r="Q462" t="s">
        <v>178</v>
      </c>
      <c r="T462" t="s">
        <v>992</v>
      </c>
      <c r="U462" t="s">
        <v>343</v>
      </c>
      <c r="V462" t="s">
        <v>3229</v>
      </c>
      <c r="W462" t="s">
        <v>950</v>
      </c>
      <c r="X462">
        <v>32520</v>
      </c>
      <c r="Y462">
        <v>37</v>
      </c>
      <c r="Z462" t="s">
        <v>3230</v>
      </c>
      <c r="AA462" t="s">
        <v>3231</v>
      </c>
      <c r="AB462" t="s">
        <v>1006</v>
      </c>
      <c r="AC462" t="s">
        <v>953</v>
      </c>
      <c r="AD462" t="s">
        <v>1041</v>
      </c>
      <c r="AE462" t="s">
        <v>3194</v>
      </c>
      <c r="AF462" t="s">
        <v>3232</v>
      </c>
      <c r="AI462" t="s">
        <v>1349</v>
      </c>
    </row>
    <row r="463" spans="1:36">
      <c r="A463">
        <v>494</v>
      </c>
      <c r="B463" t="s">
        <v>3226</v>
      </c>
      <c r="C463">
        <v>905</v>
      </c>
      <c r="D463" t="s">
        <v>1798</v>
      </c>
      <c r="E463" t="s">
        <v>1226</v>
      </c>
      <c r="F463" t="s">
        <v>1225</v>
      </c>
      <c r="G463" t="s">
        <v>114</v>
      </c>
      <c r="H463" t="s">
        <v>1225</v>
      </c>
      <c r="I463" t="s">
        <v>3225</v>
      </c>
      <c r="J463" t="s">
        <v>3226</v>
      </c>
      <c r="K463" t="s">
        <v>3227</v>
      </c>
      <c r="N463" t="s">
        <v>3228</v>
      </c>
      <c r="P463" t="s">
        <v>69</v>
      </c>
      <c r="Q463" t="s">
        <v>562</v>
      </c>
      <c r="T463" t="s">
        <v>1015</v>
      </c>
      <c r="U463" t="s">
        <v>356</v>
      </c>
      <c r="V463" t="s">
        <v>3233</v>
      </c>
      <c r="W463" t="s">
        <v>950</v>
      </c>
      <c r="X463">
        <v>35366</v>
      </c>
      <c r="Y463">
        <v>29</v>
      </c>
      <c r="Z463" t="s">
        <v>3234</v>
      </c>
      <c r="AA463" t="s">
        <v>3235</v>
      </c>
      <c r="AB463" t="s">
        <v>996</v>
      </c>
      <c r="AC463" t="s">
        <v>997</v>
      </c>
      <c r="AD463" t="s">
        <v>1041</v>
      </c>
      <c r="AE463" t="s">
        <v>1041</v>
      </c>
      <c r="AF463" t="s">
        <v>3236</v>
      </c>
      <c r="AI463" t="s">
        <v>1452</v>
      </c>
    </row>
    <row r="464" spans="1:36">
      <c r="A464">
        <v>495</v>
      </c>
      <c r="B464" t="s">
        <v>3227</v>
      </c>
      <c r="C464">
        <v>907</v>
      </c>
      <c r="D464" t="s">
        <v>1798</v>
      </c>
      <c r="E464" t="s">
        <v>1226</v>
      </c>
      <c r="F464" t="s">
        <v>1225</v>
      </c>
      <c r="G464" t="s">
        <v>114</v>
      </c>
      <c r="H464" t="s">
        <v>1225</v>
      </c>
      <c r="I464" t="s">
        <v>3225</v>
      </c>
      <c r="J464" t="s">
        <v>3226</v>
      </c>
      <c r="K464" t="s">
        <v>3227</v>
      </c>
      <c r="N464" t="s">
        <v>3228</v>
      </c>
      <c r="P464" t="s">
        <v>69</v>
      </c>
      <c r="Q464" t="s">
        <v>562</v>
      </c>
      <c r="T464" t="s">
        <v>992</v>
      </c>
      <c r="U464" t="s">
        <v>437</v>
      </c>
      <c r="V464" t="s">
        <v>3237</v>
      </c>
      <c r="W464" t="s">
        <v>950</v>
      </c>
      <c r="X464">
        <v>38451</v>
      </c>
      <c r="Y464">
        <v>20</v>
      </c>
      <c r="Z464" t="s">
        <v>3238</v>
      </c>
      <c r="AA464" t="s">
        <v>3239</v>
      </c>
      <c r="AB464" t="s">
        <v>996</v>
      </c>
      <c r="AC464" t="s">
        <v>997</v>
      </c>
      <c r="AD464" t="s">
        <v>1041</v>
      </c>
      <c r="AE464" t="s">
        <v>1250</v>
      </c>
      <c r="AF464" t="s">
        <v>3240</v>
      </c>
      <c r="AI464" t="s">
        <v>1452</v>
      </c>
    </row>
    <row r="465" spans="1:35">
      <c r="A465">
        <v>496</v>
      </c>
      <c r="B465" t="s">
        <v>3241</v>
      </c>
      <c r="C465">
        <v>909</v>
      </c>
      <c r="D465" t="s">
        <v>1798</v>
      </c>
      <c r="E465" t="s">
        <v>1226</v>
      </c>
      <c r="F465" t="s">
        <v>1225</v>
      </c>
      <c r="G465" t="s">
        <v>114</v>
      </c>
      <c r="H465" t="s">
        <v>1225</v>
      </c>
      <c r="I465" t="s">
        <v>3225</v>
      </c>
      <c r="J465" t="s">
        <v>3226</v>
      </c>
      <c r="K465" t="s">
        <v>3227</v>
      </c>
      <c r="N465" t="s">
        <v>3228</v>
      </c>
      <c r="T465" t="s">
        <v>1015</v>
      </c>
      <c r="U465" t="s">
        <v>370</v>
      </c>
      <c r="V465" t="s">
        <v>3242</v>
      </c>
      <c r="W465" t="s">
        <v>950</v>
      </c>
      <c r="X465">
        <v>33267</v>
      </c>
      <c r="Y465">
        <v>35</v>
      </c>
      <c r="Z465" t="s">
        <v>3243</v>
      </c>
      <c r="AA465" t="s">
        <v>3244</v>
      </c>
      <c r="AB465" t="s">
        <v>996</v>
      </c>
      <c r="AC465" t="s">
        <v>997</v>
      </c>
      <c r="AD465" t="s">
        <v>1041</v>
      </c>
      <c r="AE465" t="s">
        <v>1041</v>
      </c>
      <c r="AF465" t="s">
        <v>3245</v>
      </c>
      <c r="AI465" t="s">
        <v>1452</v>
      </c>
    </row>
    <row r="466" spans="1:35">
      <c r="A466">
        <v>497</v>
      </c>
      <c r="B466" t="s">
        <v>3246</v>
      </c>
      <c r="C466">
        <v>911</v>
      </c>
      <c r="D466" t="s">
        <v>1798</v>
      </c>
      <c r="E466" t="s">
        <v>1226</v>
      </c>
      <c r="F466" t="s">
        <v>1225</v>
      </c>
      <c r="G466" t="s">
        <v>114</v>
      </c>
      <c r="H466" t="s">
        <v>1225</v>
      </c>
      <c r="I466" t="s">
        <v>3225</v>
      </c>
      <c r="J466" t="s">
        <v>3226</v>
      </c>
      <c r="K466" t="s">
        <v>3227</v>
      </c>
      <c r="N466" t="s">
        <v>3228</v>
      </c>
      <c r="T466" t="s">
        <v>1015</v>
      </c>
      <c r="U466" t="s">
        <v>383</v>
      </c>
      <c r="V466" t="s">
        <v>3247</v>
      </c>
      <c r="W466" t="s">
        <v>950</v>
      </c>
      <c r="X466">
        <v>33415</v>
      </c>
      <c r="Y466">
        <v>34</v>
      </c>
      <c r="Z466" t="s">
        <v>3248</v>
      </c>
      <c r="AA466" t="s">
        <v>3249</v>
      </c>
      <c r="AB466" t="s">
        <v>996</v>
      </c>
      <c r="AC466" t="s">
        <v>997</v>
      </c>
      <c r="AD466" t="s">
        <v>1041</v>
      </c>
      <c r="AE466" t="s">
        <v>1041</v>
      </c>
      <c r="AF466" t="s">
        <v>3250</v>
      </c>
      <c r="AH466" t="s">
        <v>3251</v>
      </c>
      <c r="AI466" t="s">
        <v>1452</v>
      </c>
    </row>
    <row r="467" spans="1:35">
      <c r="A467">
        <v>498</v>
      </c>
      <c r="B467" t="s">
        <v>3252</v>
      </c>
      <c r="C467">
        <v>913</v>
      </c>
      <c r="D467" t="s">
        <v>1798</v>
      </c>
      <c r="E467" t="s">
        <v>1226</v>
      </c>
      <c r="F467" t="s">
        <v>1225</v>
      </c>
      <c r="G467" t="s">
        <v>114</v>
      </c>
      <c r="H467" t="s">
        <v>1225</v>
      </c>
      <c r="I467" t="s">
        <v>3225</v>
      </c>
      <c r="J467" t="s">
        <v>3226</v>
      </c>
      <c r="K467" t="s">
        <v>3227</v>
      </c>
      <c r="N467" t="s">
        <v>3228</v>
      </c>
      <c r="T467" t="s">
        <v>1015</v>
      </c>
      <c r="U467" t="s">
        <v>396</v>
      </c>
      <c r="V467" t="s">
        <v>3253</v>
      </c>
      <c r="W467" t="s">
        <v>950</v>
      </c>
      <c r="X467">
        <v>35523</v>
      </c>
      <c r="Y467">
        <v>28</v>
      </c>
      <c r="Z467" t="s">
        <v>3254</v>
      </c>
      <c r="AA467" t="s">
        <v>3255</v>
      </c>
      <c r="AB467" t="s">
        <v>996</v>
      </c>
      <c r="AC467" t="s">
        <v>997</v>
      </c>
      <c r="AD467" t="s">
        <v>1041</v>
      </c>
      <c r="AE467" t="s">
        <v>3256</v>
      </c>
      <c r="AF467" t="s">
        <v>3257</v>
      </c>
      <c r="AI467" t="s">
        <v>1452</v>
      </c>
    </row>
    <row r="468" spans="1:35">
      <c r="A468">
        <v>499</v>
      </c>
      <c r="B468" t="s">
        <v>3258</v>
      </c>
      <c r="C468">
        <v>915</v>
      </c>
      <c r="D468" t="s">
        <v>1798</v>
      </c>
      <c r="E468" t="s">
        <v>1226</v>
      </c>
      <c r="F468" t="s">
        <v>1225</v>
      </c>
      <c r="G468" t="s">
        <v>114</v>
      </c>
      <c r="H468" t="s">
        <v>1225</v>
      </c>
      <c r="I468" t="s">
        <v>3225</v>
      </c>
      <c r="J468" t="s">
        <v>3226</v>
      </c>
      <c r="K468" t="s">
        <v>3227</v>
      </c>
      <c r="N468" t="s">
        <v>3228</v>
      </c>
      <c r="T468" t="s">
        <v>1015</v>
      </c>
      <c r="U468" t="s">
        <v>408</v>
      </c>
      <c r="V468" t="s">
        <v>3259</v>
      </c>
      <c r="W468" t="s">
        <v>950</v>
      </c>
      <c r="X468">
        <v>35944</v>
      </c>
      <c r="Y468">
        <v>27</v>
      </c>
      <c r="Z468" t="s">
        <v>3260</v>
      </c>
      <c r="AA468" t="s">
        <v>3261</v>
      </c>
      <c r="AB468" t="s">
        <v>996</v>
      </c>
      <c r="AC468" t="s">
        <v>997</v>
      </c>
      <c r="AD468" t="s">
        <v>1041</v>
      </c>
      <c r="AE468" t="s">
        <v>1250</v>
      </c>
      <c r="AF468" t="s">
        <v>3262</v>
      </c>
      <c r="AI468" t="s">
        <v>1452</v>
      </c>
    </row>
    <row r="469" spans="1:35">
      <c r="A469">
        <v>500</v>
      </c>
      <c r="B469" t="s">
        <v>3263</v>
      </c>
      <c r="C469">
        <v>917</v>
      </c>
      <c r="D469" t="s">
        <v>1798</v>
      </c>
      <c r="E469" t="s">
        <v>1226</v>
      </c>
      <c r="F469" t="s">
        <v>1225</v>
      </c>
      <c r="G469" t="s">
        <v>114</v>
      </c>
      <c r="H469" t="s">
        <v>1225</v>
      </c>
      <c r="I469" t="s">
        <v>3225</v>
      </c>
      <c r="J469" t="s">
        <v>3226</v>
      </c>
      <c r="K469" t="s">
        <v>3227</v>
      </c>
      <c r="N469" t="s">
        <v>3228</v>
      </c>
      <c r="T469" t="s">
        <v>1015</v>
      </c>
      <c r="U469" t="s">
        <v>3264</v>
      </c>
      <c r="V469" t="s">
        <v>3265</v>
      </c>
      <c r="W469" t="s">
        <v>950</v>
      </c>
      <c r="X469">
        <v>36800</v>
      </c>
      <c r="Y469">
        <v>25</v>
      </c>
      <c r="Z469" t="s">
        <v>3266</v>
      </c>
      <c r="AA469" t="s">
        <v>3267</v>
      </c>
      <c r="AB469" t="s">
        <v>996</v>
      </c>
      <c r="AC469" t="s">
        <v>997</v>
      </c>
      <c r="AD469" t="s">
        <v>1041</v>
      </c>
      <c r="AE469" t="s">
        <v>1791</v>
      </c>
      <c r="AF469" t="s">
        <v>3268</v>
      </c>
      <c r="AI469" t="s">
        <v>1452</v>
      </c>
    </row>
    <row r="470" spans="1:35">
      <c r="A470">
        <v>501</v>
      </c>
      <c r="B470" t="s">
        <v>3269</v>
      </c>
      <c r="C470">
        <v>919</v>
      </c>
      <c r="D470" t="s">
        <v>1798</v>
      </c>
      <c r="E470" t="s">
        <v>1226</v>
      </c>
      <c r="F470" t="s">
        <v>1225</v>
      </c>
      <c r="G470" t="s">
        <v>114</v>
      </c>
      <c r="H470" t="s">
        <v>1225</v>
      </c>
      <c r="I470" t="s">
        <v>3225</v>
      </c>
      <c r="J470" t="s">
        <v>3226</v>
      </c>
      <c r="K470" t="s">
        <v>3227</v>
      </c>
      <c r="N470" t="s">
        <v>3228</v>
      </c>
      <c r="T470" t="s">
        <v>992</v>
      </c>
      <c r="U470" t="s">
        <v>429</v>
      </c>
      <c r="V470" t="s">
        <v>3270</v>
      </c>
      <c r="W470" t="s">
        <v>950</v>
      </c>
      <c r="X470">
        <v>37404</v>
      </c>
      <c r="Y470">
        <v>23</v>
      </c>
      <c r="Z470" t="s">
        <v>3271</v>
      </c>
      <c r="AA470" t="s">
        <v>3272</v>
      </c>
      <c r="AB470" t="s">
        <v>996</v>
      </c>
      <c r="AC470" t="s">
        <v>997</v>
      </c>
      <c r="AD470" t="s">
        <v>1041</v>
      </c>
      <c r="AE470" t="s">
        <v>1250</v>
      </c>
      <c r="AF470" t="s">
        <v>3273</v>
      </c>
      <c r="AI470" t="s">
        <v>1452</v>
      </c>
    </row>
    <row r="471" spans="1:35">
      <c r="A471">
        <v>502</v>
      </c>
      <c r="B471" t="s">
        <v>3225</v>
      </c>
      <c r="C471">
        <v>920</v>
      </c>
      <c r="E471" t="s">
        <v>1226</v>
      </c>
      <c r="F471" t="s">
        <v>1225</v>
      </c>
      <c r="G471" t="s">
        <v>114</v>
      </c>
      <c r="H471" t="s">
        <v>1225</v>
      </c>
      <c r="I471" t="s">
        <v>3225</v>
      </c>
      <c r="J471" t="s">
        <v>3274</v>
      </c>
      <c r="N471" t="s">
        <v>3275</v>
      </c>
      <c r="P471" t="s">
        <v>55</v>
      </c>
      <c r="Q471" t="s">
        <v>178</v>
      </c>
      <c r="U471" t="s">
        <v>343</v>
      </c>
      <c r="V471" t="s">
        <v>3229</v>
      </c>
      <c r="W471" t="s">
        <v>950</v>
      </c>
      <c r="X471">
        <v>32520</v>
      </c>
      <c r="Y471">
        <v>37</v>
      </c>
      <c r="AB471" t="s">
        <v>1006</v>
      </c>
      <c r="AC471" t="s">
        <v>953</v>
      </c>
      <c r="AD471" t="s">
        <v>1041</v>
      </c>
      <c r="AE471" t="s">
        <v>3194</v>
      </c>
      <c r="AF471" t="s">
        <v>3232</v>
      </c>
      <c r="AG471" t="s">
        <v>955</v>
      </c>
    </row>
    <row r="472" spans="1:35">
      <c r="A472">
        <v>503</v>
      </c>
      <c r="B472" t="s">
        <v>3274</v>
      </c>
      <c r="C472">
        <v>922</v>
      </c>
      <c r="D472" t="s">
        <v>1798</v>
      </c>
      <c r="E472" t="s">
        <v>1226</v>
      </c>
      <c r="F472" t="s">
        <v>1225</v>
      </c>
      <c r="G472" t="s">
        <v>114</v>
      </c>
      <c r="H472" t="s">
        <v>1225</v>
      </c>
      <c r="I472" t="s">
        <v>3225</v>
      </c>
      <c r="J472" t="s">
        <v>3274</v>
      </c>
      <c r="N472" t="s">
        <v>3275</v>
      </c>
      <c r="P472" t="s">
        <v>69</v>
      </c>
      <c r="Q472" t="s">
        <v>562</v>
      </c>
      <c r="T472" t="s">
        <v>1015</v>
      </c>
      <c r="U472" t="s">
        <v>357</v>
      </c>
      <c r="V472" t="s">
        <v>3276</v>
      </c>
      <c r="W472" t="s">
        <v>950</v>
      </c>
      <c r="X472">
        <v>33996</v>
      </c>
      <c r="Y472">
        <v>33</v>
      </c>
      <c r="Z472" t="s">
        <v>3277</v>
      </c>
      <c r="AA472" t="s">
        <v>3278</v>
      </c>
      <c r="AB472" t="s">
        <v>996</v>
      </c>
      <c r="AC472" t="s">
        <v>997</v>
      </c>
      <c r="AD472" t="s">
        <v>1041</v>
      </c>
      <c r="AE472" t="s">
        <v>1041</v>
      </c>
      <c r="AF472" t="s">
        <v>3279</v>
      </c>
      <c r="AI472" t="s">
        <v>1318</v>
      </c>
    </row>
    <row r="473" spans="1:35">
      <c r="A473">
        <v>504</v>
      </c>
      <c r="B473" t="s">
        <v>3280</v>
      </c>
      <c r="C473">
        <v>924</v>
      </c>
      <c r="D473" t="s">
        <v>1798</v>
      </c>
      <c r="E473" t="s">
        <v>1226</v>
      </c>
      <c r="F473" t="s">
        <v>1225</v>
      </c>
      <c r="G473" t="s">
        <v>114</v>
      </c>
      <c r="H473" t="s">
        <v>1225</v>
      </c>
      <c r="I473" t="s">
        <v>3225</v>
      </c>
      <c r="J473" t="s">
        <v>3274</v>
      </c>
      <c r="K473" t="s">
        <v>3280</v>
      </c>
      <c r="N473" t="s">
        <v>3275</v>
      </c>
      <c r="P473" t="s">
        <v>69</v>
      </c>
      <c r="R473" t="s">
        <v>1286</v>
      </c>
      <c r="T473" t="s">
        <v>992</v>
      </c>
      <c r="U473" t="s">
        <v>371</v>
      </c>
      <c r="V473" t="s">
        <v>3281</v>
      </c>
      <c r="W473" t="s">
        <v>950</v>
      </c>
      <c r="X473">
        <v>35880</v>
      </c>
      <c r="Y473">
        <v>27</v>
      </c>
      <c r="Z473" t="s">
        <v>3282</v>
      </c>
      <c r="AA473" t="s">
        <v>3283</v>
      </c>
      <c r="AB473" t="s">
        <v>996</v>
      </c>
      <c r="AC473" t="s">
        <v>997</v>
      </c>
      <c r="AD473" t="s">
        <v>973</v>
      </c>
      <c r="AE473" t="s">
        <v>1250</v>
      </c>
      <c r="AF473" t="s">
        <v>3284</v>
      </c>
      <c r="AI473" t="s">
        <v>1318</v>
      </c>
    </row>
    <row r="474" spans="1:35">
      <c r="A474">
        <v>505</v>
      </c>
      <c r="B474" t="s">
        <v>3285</v>
      </c>
      <c r="C474">
        <v>926</v>
      </c>
      <c r="D474" t="s">
        <v>1798</v>
      </c>
      <c r="E474" t="s">
        <v>1226</v>
      </c>
      <c r="F474" t="s">
        <v>1225</v>
      </c>
      <c r="G474" t="s">
        <v>114</v>
      </c>
      <c r="H474" t="s">
        <v>1225</v>
      </c>
      <c r="I474" t="s">
        <v>3225</v>
      </c>
      <c r="J474" t="s">
        <v>3274</v>
      </c>
      <c r="N474" t="s">
        <v>3275</v>
      </c>
      <c r="T474" t="s">
        <v>992</v>
      </c>
      <c r="U474" t="s">
        <v>384</v>
      </c>
      <c r="V474" t="s">
        <v>3286</v>
      </c>
      <c r="W474" t="s">
        <v>950</v>
      </c>
      <c r="X474">
        <v>36847</v>
      </c>
      <c r="Y474">
        <v>25</v>
      </c>
      <c r="Z474" t="s">
        <v>3287</v>
      </c>
      <c r="AA474" t="s">
        <v>3288</v>
      </c>
      <c r="AB474" t="s">
        <v>996</v>
      </c>
      <c r="AC474" t="s">
        <v>997</v>
      </c>
      <c r="AD474" t="s">
        <v>1041</v>
      </c>
      <c r="AE474" t="s">
        <v>1250</v>
      </c>
      <c r="AF474" t="s">
        <v>1684</v>
      </c>
      <c r="AI474" t="s">
        <v>1318</v>
      </c>
    </row>
    <row r="475" spans="1:35">
      <c r="A475">
        <v>506</v>
      </c>
      <c r="B475" t="s">
        <v>3289</v>
      </c>
      <c r="C475">
        <v>928</v>
      </c>
      <c r="D475" t="s">
        <v>1798</v>
      </c>
      <c r="E475" t="s">
        <v>1226</v>
      </c>
      <c r="F475" t="s">
        <v>1225</v>
      </c>
      <c r="G475" t="s">
        <v>114</v>
      </c>
      <c r="H475" t="s">
        <v>1225</v>
      </c>
      <c r="I475" t="s">
        <v>3225</v>
      </c>
      <c r="J475" t="s">
        <v>3274</v>
      </c>
      <c r="N475" t="s">
        <v>3275</v>
      </c>
      <c r="T475" t="s">
        <v>992</v>
      </c>
      <c r="U475" t="s">
        <v>397</v>
      </c>
      <c r="V475" t="s">
        <v>3290</v>
      </c>
      <c r="W475" t="s">
        <v>950</v>
      </c>
      <c r="X475">
        <v>36970</v>
      </c>
      <c r="Y475">
        <v>24</v>
      </c>
      <c r="Z475" t="s">
        <v>3291</v>
      </c>
      <c r="AA475" t="s">
        <v>3292</v>
      </c>
      <c r="AB475" t="s">
        <v>996</v>
      </c>
      <c r="AC475" t="s">
        <v>997</v>
      </c>
      <c r="AD475" t="s">
        <v>1041</v>
      </c>
      <c r="AE475" t="s">
        <v>1041</v>
      </c>
      <c r="AF475" t="s">
        <v>2980</v>
      </c>
      <c r="AI475" t="s">
        <v>1513</v>
      </c>
    </row>
    <row r="476" spans="1:35">
      <c r="A476">
        <v>507</v>
      </c>
      <c r="B476" t="s">
        <v>3293</v>
      </c>
      <c r="C476">
        <v>930</v>
      </c>
      <c r="D476" t="s">
        <v>1798</v>
      </c>
      <c r="E476" t="s">
        <v>1226</v>
      </c>
      <c r="F476" t="s">
        <v>1225</v>
      </c>
      <c r="G476" t="s">
        <v>114</v>
      </c>
      <c r="H476" t="s">
        <v>1225</v>
      </c>
      <c r="I476" t="s">
        <v>3225</v>
      </c>
      <c r="J476" t="s">
        <v>3274</v>
      </c>
      <c r="N476" t="s">
        <v>3275</v>
      </c>
      <c r="T476" t="s">
        <v>992</v>
      </c>
      <c r="U476" t="s">
        <v>409</v>
      </c>
      <c r="V476" t="s">
        <v>3294</v>
      </c>
      <c r="W476" t="s">
        <v>950</v>
      </c>
      <c r="X476">
        <v>37663</v>
      </c>
      <c r="Y476">
        <v>22</v>
      </c>
      <c r="Z476" t="s">
        <v>3295</v>
      </c>
      <c r="AA476" t="s">
        <v>3296</v>
      </c>
      <c r="AB476" t="s">
        <v>996</v>
      </c>
      <c r="AC476" t="s">
        <v>997</v>
      </c>
      <c r="AD476" t="s">
        <v>1041</v>
      </c>
      <c r="AE476" t="s">
        <v>1041</v>
      </c>
      <c r="AF476" t="s">
        <v>3297</v>
      </c>
      <c r="AI476" t="s">
        <v>1513</v>
      </c>
    </row>
    <row r="477" spans="1:35">
      <c r="A477">
        <v>508</v>
      </c>
      <c r="B477" t="s">
        <v>3298</v>
      </c>
      <c r="C477">
        <v>932</v>
      </c>
      <c r="D477" t="s">
        <v>1798</v>
      </c>
      <c r="E477" t="s">
        <v>1226</v>
      </c>
      <c r="F477" t="s">
        <v>1225</v>
      </c>
      <c r="G477" t="s">
        <v>114</v>
      </c>
      <c r="H477" t="s">
        <v>1225</v>
      </c>
      <c r="I477" t="s">
        <v>3225</v>
      </c>
      <c r="J477" t="s">
        <v>3274</v>
      </c>
      <c r="N477" t="s">
        <v>3275</v>
      </c>
      <c r="T477" t="s">
        <v>992</v>
      </c>
      <c r="U477" t="s">
        <v>421</v>
      </c>
      <c r="V477" t="s">
        <v>3299</v>
      </c>
      <c r="W477" t="s">
        <v>950</v>
      </c>
      <c r="X477">
        <v>36875</v>
      </c>
      <c r="Y477">
        <v>25</v>
      </c>
      <c r="Z477" t="s">
        <v>2923</v>
      </c>
      <c r="AA477" t="s">
        <v>3300</v>
      </c>
      <c r="AB477" t="s">
        <v>996</v>
      </c>
      <c r="AC477" t="s">
        <v>953</v>
      </c>
      <c r="AD477" t="s">
        <v>1041</v>
      </c>
      <c r="AE477" t="s">
        <v>3301</v>
      </c>
      <c r="AF477" t="s">
        <v>3302</v>
      </c>
    </row>
    <row r="478" spans="1:35">
      <c r="A478">
        <v>509</v>
      </c>
      <c r="B478" t="s">
        <v>3303</v>
      </c>
      <c r="C478">
        <v>934</v>
      </c>
      <c r="D478" t="s">
        <v>1798</v>
      </c>
      <c r="E478" t="s">
        <v>1226</v>
      </c>
      <c r="F478" t="s">
        <v>1225</v>
      </c>
      <c r="G478" t="s">
        <v>114</v>
      </c>
      <c r="H478" t="s">
        <v>1225</v>
      </c>
      <c r="I478" t="s">
        <v>3225</v>
      </c>
      <c r="J478" t="s">
        <v>3274</v>
      </c>
      <c r="N478" t="s">
        <v>3275</v>
      </c>
      <c r="T478" t="s">
        <v>992</v>
      </c>
      <c r="U478" t="s">
        <v>3304</v>
      </c>
      <c r="V478" t="s">
        <v>3305</v>
      </c>
      <c r="W478" t="s">
        <v>950</v>
      </c>
      <c r="X478">
        <v>35773</v>
      </c>
      <c r="Y478">
        <v>28</v>
      </c>
      <c r="AA478" t="s">
        <v>3306</v>
      </c>
      <c r="AB478" t="s">
        <v>996</v>
      </c>
      <c r="AC478" t="s">
        <v>997</v>
      </c>
      <c r="AD478" t="s">
        <v>1041</v>
      </c>
      <c r="AE478" t="s">
        <v>1041</v>
      </c>
      <c r="AF478" t="s">
        <v>3307</v>
      </c>
      <c r="AI478" t="s">
        <v>1349</v>
      </c>
    </row>
    <row r="479" spans="1:35">
      <c r="A479">
        <v>353</v>
      </c>
      <c r="B479" t="s">
        <v>3308</v>
      </c>
      <c r="C479">
        <v>936</v>
      </c>
      <c r="D479" t="s">
        <v>1798</v>
      </c>
      <c r="E479" t="s">
        <v>2624</v>
      </c>
      <c r="F479" t="s">
        <v>1225</v>
      </c>
      <c r="G479" t="s">
        <v>114</v>
      </c>
      <c r="H479" t="s">
        <v>1225</v>
      </c>
      <c r="I479" t="s">
        <v>3225</v>
      </c>
      <c r="J479" t="s">
        <v>3274</v>
      </c>
      <c r="P479" t="s">
        <v>1227</v>
      </c>
      <c r="T479" t="s">
        <v>3309</v>
      </c>
      <c r="U479" t="s">
        <v>71</v>
      </c>
      <c r="V479" t="s">
        <v>3310</v>
      </c>
      <c r="W479" t="s">
        <v>963</v>
      </c>
      <c r="AB479" t="s">
        <v>60</v>
      </c>
      <c r="AC479" t="s">
        <v>953</v>
      </c>
      <c r="AD479" t="s">
        <v>954</v>
      </c>
      <c r="AE479" t="s">
        <v>954</v>
      </c>
      <c r="AF479" t="s">
        <v>974</v>
      </c>
    </row>
    <row r="480" spans="1:35">
      <c r="A480">
        <v>363</v>
      </c>
      <c r="B480" t="s">
        <v>2623</v>
      </c>
      <c r="C480">
        <v>937</v>
      </c>
      <c r="E480" t="s">
        <v>2624</v>
      </c>
      <c r="F480" t="s">
        <v>1225</v>
      </c>
      <c r="G480" t="s">
        <v>185</v>
      </c>
      <c r="H480" t="s">
        <v>2623</v>
      </c>
      <c r="I480" t="s">
        <v>2623</v>
      </c>
      <c r="J480" t="s">
        <v>2667</v>
      </c>
      <c r="N480" t="s">
        <v>1552</v>
      </c>
      <c r="P480" t="s">
        <v>173</v>
      </c>
      <c r="S480" t="s">
        <v>55</v>
      </c>
      <c r="U480" t="s">
        <v>185</v>
      </c>
      <c r="AG480" t="s">
        <v>955</v>
      </c>
    </row>
    <row r="481" spans="1:35">
      <c r="B481" t="s">
        <v>3311</v>
      </c>
      <c r="C481">
        <v>939</v>
      </c>
      <c r="D481" t="s">
        <v>1798</v>
      </c>
      <c r="E481" t="s">
        <v>3312</v>
      </c>
      <c r="F481" t="s">
        <v>1225</v>
      </c>
      <c r="G481" t="s">
        <v>3134</v>
      </c>
      <c r="H481" t="s">
        <v>3132</v>
      </c>
      <c r="I481" t="s">
        <v>2623</v>
      </c>
      <c r="N481" t="s">
        <v>1552</v>
      </c>
      <c r="T481" t="s">
        <v>962</v>
      </c>
      <c r="U481" t="s">
        <v>3313</v>
      </c>
      <c r="V481" t="s">
        <v>3314</v>
      </c>
      <c r="W481" t="s">
        <v>963</v>
      </c>
      <c r="X481">
        <v>19770827</v>
      </c>
      <c r="Y481">
        <v>48</v>
      </c>
      <c r="Z481" t="s">
        <v>3315</v>
      </c>
      <c r="AB481" t="s">
        <v>996</v>
      </c>
      <c r="AC481" t="s">
        <v>1018</v>
      </c>
      <c r="AD481" t="s">
        <v>1041</v>
      </c>
      <c r="AE481" t="s">
        <v>1041</v>
      </c>
      <c r="AF481" t="s">
        <v>3316</v>
      </c>
      <c r="AI481" t="s">
        <v>3317</v>
      </c>
    </row>
    <row r="482" spans="1:35">
      <c r="B482" t="s">
        <v>3318</v>
      </c>
      <c r="C482">
        <v>941</v>
      </c>
      <c r="D482" t="s">
        <v>1798</v>
      </c>
      <c r="E482" t="s">
        <v>3312</v>
      </c>
      <c r="F482" t="s">
        <v>1225</v>
      </c>
      <c r="G482" t="s">
        <v>3134</v>
      </c>
      <c r="H482" t="s">
        <v>3132</v>
      </c>
      <c r="I482" t="s">
        <v>2623</v>
      </c>
      <c r="N482" t="s">
        <v>1552</v>
      </c>
      <c r="T482" t="s">
        <v>962</v>
      </c>
      <c r="U482" t="s">
        <v>3319</v>
      </c>
      <c r="V482" t="s">
        <v>3320</v>
      </c>
      <c r="W482" t="s">
        <v>963</v>
      </c>
      <c r="X482">
        <v>19630824</v>
      </c>
      <c r="Y482">
        <v>62</v>
      </c>
      <c r="Z482" t="s">
        <v>3321</v>
      </c>
      <c r="AB482" t="s">
        <v>996</v>
      </c>
      <c r="AC482" t="s">
        <v>1018</v>
      </c>
      <c r="AD482" t="s">
        <v>1041</v>
      </c>
      <c r="AE482" t="s">
        <v>1041</v>
      </c>
      <c r="AF482" t="s">
        <v>3322</v>
      </c>
      <c r="AI482" t="s">
        <v>3317</v>
      </c>
    </row>
    <row r="483" spans="1:35">
      <c r="B483" t="s">
        <v>3323</v>
      </c>
      <c r="C483">
        <v>943</v>
      </c>
      <c r="D483" t="s">
        <v>1798</v>
      </c>
      <c r="E483" t="s">
        <v>3312</v>
      </c>
      <c r="F483" t="s">
        <v>1225</v>
      </c>
      <c r="G483" t="s">
        <v>3134</v>
      </c>
      <c r="H483" t="s">
        <v>3132</v>
      </c>
      <c r="I483" t="s">
        <v>2623</v>
      </c>
      <c r="N483" t="s">
        <v>1552</v>
      </c>
      <c r="T483" t="s">
        <v>962</v>
      </c>
      <c r="U483" t="s">
        <v>3324</v>
      </c>
      <c r="V483" t="s">
        <v>3325</v>
      </c>
      <c r="W483" t="s">
        <v>963</v>
      </c>
      <c r="X483">
        <v>19911227</v>
      </c>
      <c r="Y483">
        <v>33</v>
      </c>
      <c r="Z483" t="s">
        <v>3326</v>
      </c>
      <c r="AB483" t="s">
        <v>996</v>
      </c>
      <c r="AC483" t="s">
        <v>1018</v>
      </c>
      <c r="AD483" t="s">
        <v>1041</v>
      </c>
      <c r="AE483" t="s">
        <v>1041</v>
      </c>
      <c r="AF483" t="s">
        <v>2692</v>
      </c>
    </row>
    <row r="484" spans="1:35">
      <c r="B484" t="s">
        <v>3327</v>
      </c>
      <c r="C484">
        <v>945</v>
      </c>
      <c r="D484" t="s">
        <v>1798</v>
      </c>
      <c r="E484" t="s">
        <v>3312</v>
      </c>
      <c r="F484" t="s">
        <v>1225</v>
      </c>
      <c r="G484" t="s">
        <v>3134</v>
      </c>
      <c r="H484" t="s">
        <v>3132</v>
      </c>
      <c r="I484" t="s">
        <v>2623</v>
      </c>
      <c r="N484" t="s">
        <v>1552</v>
      </c>
      <c r="T484" t="s">
        <v>962</v>
      </c>
      <c r="U484" t="s">
        <v>3328</v>
      </c>
      <c r="V484" t="s">
        <v>3329</v>
      </c>
      <c r="W484" t="s">
        <v>963</v>
      </c>
      <c r="X484">
        <v>19761028</v>
      </c>
      <c r="Y484">
        <v>48</v>
      </c>
      <c r="Z484" t="s">
        <v>3330</v>
      </c>
      <c r="AB484" t="s">
        <v>996</v>
      </c>
      <c r="AC484" t="s">
        <v>1018</v>
      </c>
      <c r="AD484" t="s">
        <v>1041</v>
      </c>
      <c r="AE484" t="s">
        <v>1041</v>
      </c>
      <c r="AF484" t="s">
        <v>3331</v>
      </c>
    </row>
    <row r="485" spans="1:35">
      <c r="B485" t="s">
        <v>3332</v>
      </c>
      <c r="C485">
        <v>947</v>
      </c>
      <c r="D485" t="s">
        <v>1798</v>
      </c>
      <c r="E485" t="s">
        <v>3312</v>
      </c>
      <c r="F485" t="s">
        <v>1225</v>
      </c>
      <c r="G485" t="s">
        <v>3134</v>
      </c>
      <c r="H485" t="s">
        <v>3132</v>
      </c>
      <c r="I485" t="s">
        <v>2623</v>
      </c>
      <c r="N485" t="s">
        <v>1552</v>
      </c>
      <c r="T485" t="s">
        <v>992</v>
      </c>
      <c r="U485" t="s">
        <v>3333</v>
      </c>
      <c r="V485" t="s">
        <v>3334</v>
      </c>
      <c r="W485" t="s">
        <v>963</v>
      </c>
      <c r="X485">
        <v>19970818</v>
      </c>
      <c r="Y485">
        <v>28</v>
      </c>
      <c r="Z485" t="s">
        <v>3335</v>
      </c>
      <c r="AB485" t="s">
        <v>996</v>
      </c>
      <c r="AC485" t="s">
        <v>1018</v>
      </c>
      <c r="AD485" t="s">
        <v>1041</v>
      </c>
      <c r="AE485" t="s">
        <v>1041</v>
      </c>
      <c r="AF485" t="s">
        <v>3336</v>
      </c>
    </row>
    <row r="486" spans="1:35">
      <c r="B486" t="s">
        <v>3337</v>
      </c>
      <c r="C486">
        <v>949</v>
      </c>
      <c r="D486" t="s">
        <v>1798</v>
      </c>
      <c r="E486" t="s">
        <v>3312</v>
      </c>
      <c r="F486" t="s">
        <v>1225</v>
      </c>
      <c r="G486" t="s">
        <v>3134</v>
      </c>
      <c r="H486" t="s">
        <v>3132</v>
      </c>
      <c r="I486" t="s">
        <v>2623</v>
      </c>
      <c r="N486" t="s">
        <v>1552</v>
      </c>
      <c r="T486" t="s">
        <v>962</v>
      </c>
      <c r="U486" t="s">
        <v>3338</v>
      </c>
      <c r="V486" t="s">
        <v>3339</v>
      </c>
      <c r="W486" t="s">
        <v>963</v>
      </c>
      <c r="X486">
        <v>19851024</v>
      </c>
      <c r="Y486">
        <v>39</v>
      </c>
      <c r="Z486" t="s">
        <v>3340</v>
      </c>
      <c r="AB486" t="s">
        <v>996</v>
      </c>
      <c r="AC486" t="s">
        <v>1018</v>
      </c>
      <c r="AD486" t="s">
        <v>1041</v>
      </c>
      <c r="AE486" t="s">
        <v>1041</v>
      </c>
      <c r="AF486" t="s">
        <v>3341</v>
      </c>
    </row>
    <row r="487" spans="1:35">
      <c r="B487" t="s">
        <v>3342</v>
      </c>
      <c r="C487">
        <v>951</v>
      </c>
      <c r="D487" t="s">
        <v>1798</v>
      </c>
      <c r="E487" t="s">
        <v>3312</v>
      </c>
      <c r="F487" t="s">
        <v>1225</v>
      </c>
      <c r="G487" t="s">
        <v>3134</v>
      </c>
      <c r="H487" t="s">
        <v>3132</v>
      </c>
      <c r="I487" t="s">
        <v>2623</v>
      </c>
      <c r="N487" t="s">
        <v>1552</v>
      </c>
      <c r="T487" t="s">
        <v>962</v>
      </c>
      <c r="U487" t="s">
        <v>3343</v>
      </c>
      <c r="V487" t="s">
        <v>3344</v>
      </c>
      <c r="W487" t="s">
        <v>963</v>
      </c>
      <c r="X487">
        <v>32380</v>
      </c>
      <c r="Y487">
        <v>37</v>
      </c>
      <c r="Z487" t="s">
        <v>3345</v>
      </c>
      <c r="AB487" t="s">
        <v>996</v>
      </c>
      <c r="AC487" t="s">
        <v>1018</v>
      </c>
      <c r="AD487" t="s">
        <v>1041</v>
      </c>
      <c r="AE487" t="s">
        <v>1791</v>
      </c>
      <c r="AF487" t="s">
        <v>3346</v>
      </c>
    </row>
    <row r="488" spans="1:35">
      <c r="B488" t="s">
        <v>3347</v>
      </c>
      <c r="C488">
        <v>953</v>
      </c>
      <c r="D488" t="s">
        <v>1798</v>
      </c>
      <c r="E488" t="s">
        <v>3312</v>
      </c>
      <c r="F488" t="s">
        <v>1225</v>
      </c>
      <c r="G488" t="s">
        <v>3134</v>
      </c>
      <c r="H488" t="s">
        <v>3132</v>
      </c>
      <c r="I488" t="s">
        <v>2623</v>
      </c>
      <c r="N488" t="s">
        <v>1552</v>
      </c>
      <c r="T488" t="s">
        <v>1090</v>
      </c>
      <c r="U488" t="s">
        <v>3348</v>
      </c>
      <c r="V488" t="s">
        <v>3349</v>
      </c>
      <c r="W488" t="s">
        <v>963</v>
      </c>
      <c r="X488">
        <v>19520524</v>
      </c>
      <c r="Y488">
        <v>73</v>
      </c>
      <c r="Z488" t="s">
        <v>3350</v>
      </c>
      <c r="AB488" t="s">
        <v>996</v>
      </c>
      <c r="AC488" t="s">
        <v>1018</v>
      </c>
      <c r="AD488" t="s">
        <v>1041</v>
      </c>
      <c r="AE488" t="s">
        <v>1041</v>
      </c>
      <c r="AF488" t="s">
        <v>3297</v>
      </c>
      <c r="AI488" t="s">
        <v>1586</v>
      </c>
    </row>
    <row r="489" spans="1:35">
      <c r="B489" t="s">
        <v>3351</v>
      </c>
      <c r="C489">
        <v>955</v>
      </c>
      <c r="D489" t="s">
        <v>1798</v>
      </c>
      <c r="E489" t="s">
        <v>3312</v>
      </c>
      <c r="F489" t="s">
        <v>1225</v>
      </c>
      <c r="G489" t="s">
        <v>3134</v>
      </c>
      <c r="H489" t="s">
        <v>3132</v>
      </c>
      <c r="I489" t="s">
        <v>2623</v>
      </c>
      <c r="N489" t="s">
        <v>1552</v>
      </c>
      <c r="T489" t="s">
        <v>992</v>
      </c>
      <c r="U489" t="s">
        <v>3352</v>
      </c>
      <c r="V489" t="s">
        <v>3352</v>
      </c>
      <c r="W489" t="s">
        <v>963</v>
      </c>
      <c r="X489">
        <v>19880622</v>
      </c>
      <c r="Y489">
        <v>37</v>
      </c>
      <c r="Z489" t="s">
        <v>3353</v>
      </c>
      <c r="AB489" t="s">
        <v>996</v>
      </c>
      <c r="AC489" t="s">
        <v>1018</v>
      </c>
      <c r="AD489" t="s">
        <v>1041</v>
      </c>
      <c r="AE489" t="s">
        <v>1041</v>
      </c>
      <c r="AF489" t="s">
        <v>2713</v>
      </c>
      <c r="AI489" t="s">
        <v>1586</v>
      </c>
    </row>
    <row r="490" spans="1:35">
      <c r="A490">
        <v>376</v>
      </c>
      <c r="B490" t="s">
        <v>2745</v>
      </c>
      <c r="C490">
        <v>956</v>
      </c>
      <c r="E490" t="s">
        <v>2746</v>
      </c>
      <c r="F490" t="s">
        <v>1225</v>
      </c>
      <c r="G490" t="s">
        <v>2747</v>
      </c>
      <c r="H490" t="s">
        <v>2745</v>
      </c>
      <c r="I490" t="s">
        <v>2745</v>
      </c>
      <c r="J490" t="s">
        <v>2748</v>
      </c>
      <c r="N490" t="s">
        <v>3354</v>
      </c>
      <c r="P490" t="s">
        <v>173</v>
      </c>
      <c r="Q490" t="s">
        <v>514</v>
      </c>
      <c r="S490" t="s">
        <v>55</v>
      </c>
      <c r="U490" t="s">
        <v>2747</v>
      </c>
      <c r="V490" t="s">
        <v>2749</v>
      </c>
      <c r="W490" t="s">
        <v>950</v>
      </c>
      <c r="X490">
        <v>25905</v>
      </c>
      <c r="Y490">
        <v>55</v>
      </c>
      <c r="Z490" t="s">
        <v>2750</v>
      </c>
      <c r="AA490" t="s">
        <v>2751</v>
      </c>
      <c r="AB490" t="s">
        <v>966</v>
      </c>
      <c r="AC490" t="s">
        <v>953</v>
      </c>
      <c r="AD490" t="s">
        <v>1041</v>
      </c>
      <c r="AE490" t="s">
        <v>1041</v>
      </c>
      <c r="AF490" t="s">
        <v>2630</v>
      </c>
      <c r="AG490" t="s">
        <v>955</v>
      </c>
      <c r="AI490" t="s">
        <v>1440</v>
      </c>
    </row>
    <row r="491" spans="1:35">
      <c r="B491" t="s">
        <v>3355</v>
      </c>
      <c r="C491">
        <v>958</v>
      </c>
      <c r="D491" t="s">
        <v>1798</v>
      </c>
      <c r="E491" t="s">
        <v>3312</v>
      </c>
      <c r="F491" t="s">
        <v>1225</v>
      </c>
      <c r="G491" t="s">
        <v>3134</v>
      </c>
      <c r="H491" t="s">
        <v>3132</v>
      </c>
      <c r="I491" t="s">
        <v>2745</v>
      </c>
      <c r="N491" t="s">
        <v>3354</v>
      </c>
      <c r="T491" t="s">
        <v>1015</v>
      </c>
      <c r="U491" t="s">
        <v>3356</v>
      </c>
      <c r="V491" t="s">
        <v>3357</v>
      </c>
      <c r="W491" t="s">
        <v>950</v>
      </c>
      <c r="X491">
        <v>19800521</v>
      </c>
      <c r="Y491">
        <v>45</v>
      </c>
      <c r="Z491" t="s">
        <v>3358</v>
      </c>
      <c r="AB491" t="s">
        <v>996</v>
      </c>
      <c r="AC491" t="s">
        <v>1018</v>
      </c>
      <c r="AD491" t="s">
        <v>1041</v>
      </c>
      <c r="AE491" t="s">
        <v>1041</v>
      </c>
      <c r="AF491" t="s">
        <v>3359</v>
      </c>
    </row>
    <row r="492" spans="1:35">
      <c r="B492" t="s">
        <v>3360</v>
      </c>
      <c r="C492">
        <v>960</v>
      </c>
      <c r="D492" t="s">
        <v>1798</v>
      </c>
      <c r="E492" t="s">
        <v>3312</v>
      </c>
      <c r="F492" t="s">
        <v>1225</v>
      </c>
      <c r="G492" t="s">
        <v>3134</v>
      </c>
      <c r="H492" t="s">
        <v>3132</v>
      </c>
      <c r="I492" t="s">
        <v>2745</v>
      </c>
      <c r="N492" t="s">
        <v>3354</v>
      </c>
      <c r="T492" t="s">
        <v>1015</v>
      </c>
      <c r="U492" t="s">
        <v>3361</v>
      </c>
      <c r="V492" t="s">
        <v>3362</v>
      </c>
      <c r="W492" t="s">
        <v>950</v>
      </c>
      <c r="X492">
        <v>19811020</v>
      </c>
      <c r="Y492">
        <v>43</v>
      </c>
      <c r="Z492" t="s">
        <v>3363</v>
      </c>
      <c r="AB492" t="s">
        <v>996</v>
      </c>
      <c r="AC492" t="s">
        <v>1018</v>
      </c>
      <c r="AD492" t="s">
        <v>1041</v>
      </c>
      <c r="AE492" t="s">
        <v>1041</v>
      </c>
      <c r="AF492" t="s">
        <v>3364</v>
      </c>
    </row>
    <row r="493" spans="1:35">
      <c r="B493" t="s">
        <v>3365</v>
      </c>
      <c r="C493">
        <v>962</v>
      </c>
      <c r="D493" t="s">
        <v>1798</v>
      </c>
      <c r="E493" t="s">
        <v>3312</v>
      </c>
      <c r="F493" t="s">
        <v>1225</v>
      </c>
      <c r="G493" t="s">
        <v>3134</v>
      </c>
      <c r="H493" t="s">
        <v>3132</v>
      </c>
      <c r="I493" t="s">
        <v>2745</v>
      </c>
      <c r="N493" t="s">
        <v>3354</v>
      </c>
      <c r="T493" t="s">
        <v>1015</v>
      </c>
      <c r="U493" t="s">
        <v>3366</v>
      </c>
      <c r="V493" t="s">
        <v>3367</v>
      </c>
      <c r="W493" t="s">
        <v>950</v>
      </c>
      <c r="X493">
        <v>19670316</v>
      </c>
      <c r="Y493">
        <v>58</v>
      </c>
      <c r="Z493" t="s">
        <v>3368</v>
      </c>
      <c r="AB493" t="s">
        <v>996</v>
      </c>
      <c r="AC493" t="s">
        <v>1018</v>
      </c>
      <c r="AD493" t="s">
        <v>1041</v>
      </c>
      <c r="AE493" t="s">
        <v>1041</v>
      </c>
      <c r="AF493" t="s">
        <v>3369</v>
      </c>
    </row>
    <row r="494" spans="1:35">
      <c r="B494" t="s">
        <v>3370</v>
      </c>
      <c r="C494">
        <v>964</v>
      </c>
      <c r="D494" t="s">
        <v>1798</v>
      </c>
      <c r="E494" t="s">
        <v>3312</v>
      </c>
      <c r="F494" t="s">
        <v>1225</v>
      </c>
      <c r="G494" t="s">
        <v>3134</v>
      </c>
      <c r="H494" t="s">
        <v>3132</v>
      </c>
      <c r="I494" t="s">
        <v>2745</v>
      </c>
      <c r="N494" t="s">
        <v>3354</v>
      </c>
      <c r="T494" t="s">
        <v>1015</v>
      </c>
      <c r="U494" t="s">
        <v>3371</v>
      </c>
      <c r="V494" t="s">
        <v>3372</v>
      </c>
      <c r="W494" t="s">
        <v>950</v>
      </c>
      <c r="X494">
        <v>19820228</v>
      </c>
      <c r="Y494">
        <v>43</v>
      </c>
      <c r="Z494" t="s">
        <v>3373</v>
      </c>
      <c r="AB494" t="s">
        <v>996</v>
      </c>
      <c r="AC494" t="s">
        <v>1018</v>
      </c>
      <c r="AD494" t="s">
        <v>1041</v>
      </c>
      <c r="AE494" t="s">
        <v>1041</v>
      </c>
      <c r="AF494" t="s">
        <v>3374</v>
      </c>
    </row>
    <row r="495" spans="1:35">
      <c r="B495" t="s">
        <v>3375</v>
      </c>
      <c r="C495">
        <v>966</v>
      </c>
      <c r="D495" t="s">
        <v>1798</v>
      </c>
      <c r="E495" t="s">
        <v>3312</v>
      </c>
      <c r="F495" t="s">
        <v>1225</v>
      </c>
      <c r="G495" t="s">
        <v>3134</v>
      </c>
      <c r="H495" t="s">
        <v>3132</v>
      </c>
      <c r="I495" t="s">
        <v>2745</v>
      </c>
      <c r="N495" t="s">
        <v>3354</v>
      </c>
      <c r="T495" t="s">
        <v>1015</v>
      </c>
      <c r="U495" t="s">
        <v>3376</v>
      </c>
      <c r="V495" t="s">
        <v>3377</v>
      </c>
      <c r="W495" t="s">
        <v>950</v>
      </c>
      <c r="X495">
        <v>19770308</v>
      </c>
      <c r="Y495">
        <v>48</v>
      </c>
      <c r="Z495" t="s">
        <v>3378</v>
      </c>
      <c r="AB495" t="s">
        <v>996</v>
      </c>
      <c r="AC495" t="s">
        <v>1018</v>
      </c>
      <c r="AD495" t="s">
        <v>1041</v>
      </c>
      <c r="AE495" t="s">
        <v>1250</v>
      </c>
      <c r="AF495" t="s">
        <v>3379</v>
      </c>
    </row>
    <row r="496" spans="1:35">
      <c r="B496" t="s">
        <v>3380</v>
      </c>
      <c r="C496">
        <v>968</v>
      </c>
      <c r="D496" t="s">
        <v>1798</v>
      </c>
      <c r="E496" t="s">
        <v>3312</v>
      </c>
      <c r="F496" t="s">
        <v>1225</v>
      </c>
      <c r="G496" t="s">
        <v>3134</v>
      </c>
      <c r="H496" t="s">
        <v>3132</v>
      </c>
      <c r="I496" t="s">
        <v>2745</v>
      </c>
      <c r="N496" t="s">
        <v>3354</v>
      </c>
      <c r="T496" t="s">
        <v>1015</v>
      </c>
      <c r="U496" t="s">
        <v>3381</v>
      </c>
      <c r="V496" t="s">
        <v>3382</v>
      </c>
      <c r="W496" t="s">
        <v>950</v>
      </c>
      <c r="X496">
        <v>19851230</v>
      </c>
      <c r="Y496">
        <v>39</v>
      </c>
      <c r="Z496" t="s">
        <v>3383</v>
      </c>
      <c r="AB496" t="s">
        <v>996</v>
      </c>
      <c r="AC496" t="s">
        <v>1018</v>
      </c>
      <c r="AD496" t="s">
        <v>1041</v>
      </c>
      <c r="AE496" t="s">
        <v>1041</v>
      </c>
      <c r="AF496" t="s">
        <v>3384</v>
      </c>
    </row>
    <row r="497" spans="1:35">
      <c r="B497" t="s">
        <v>3385</v>
      </c>
      <c r="C497">
        <v>970</v>
      </c>
      <c r="D497" t="s">
        <v>1798</v>
      </c>
      <c r="E497" t="s">
        <v>3312</v>
      </c>
      <c r="F497" t="s">
        <v>1225</v>
      </c>
      <c r="G497" t="s">
        <v>3134</v>
      </c>
      <c r="H497" t="s">
        <v>3132</v>
      </c>
      <c r="I497" t="s">
        <v>2745</v>
      </c>
      <c r="N497" t="s">
        <v>3354</v>
      </c>
      <c r="T497" t="s">
        <v>1015</v>
      </c>
      <c r="U497" t="s">
        <v>3386</v>
      </c>
      <c r="V497" t="s">
        <v>3387</v>
      </c>
      <c r="W497" t="s">
        <v>950</v>
      </c>
      <c r="X497">
        <v>19860105</v>
      </c>
      <c r="Y497">
        <v>39</v>
      </c>
      <c r="Z497" t="s">
        <v>3388</v>
      </c>
      <c r="AB497" t="s">
        <v>996</v>
      </c>
      <c r="AC497" t="s">
        <v>1018</v>
      </c>
      <c r="AD497" t="s">
        <v>1041</v>
      </c>
      <c r="AE497" t="s">
        <v>1791</v>
      </c>
      <c r="AF497" t="s">
        <v>3389</v>
      </c>
    </row>
    <row r="498" spans="1:35">
      <c r="B498" t="s">
        <v>3390</v>
      </c>
      <c r="C498">
        <v>972</v>
      </c>
      <c r="D498" t="s">
        <v>1798</v>
      </c>
      <c r="E498" t="s">
        <v>3312</v>
      </c>
      <c r="F498" t="s">
        <v>1225</v>
      </c>
      <c r="G498" t="s">
        <v>3134</v>
      </c>
      <c r="H498" t="s">
        <v>3132</v>
      </c>
      <c r="I498" t="s">
        <v>2745</v>
      </c>
      <c r="N498" t="s">
        <v>3354</v>
      </c>
      <c r="T498" t="s">
        <v>1015</v>
      </c>
      <c r="U498" t="s">
        <v>3391</v>
      </c>
      <c r="V498" t="s">
        <v>3392</v>
      </c>
      <c r="W498" t="s">
        <v>950</v>
      </c>
      <c r="X498">
        <v>19670522</v>
      </c>
      <c r="Y498">
        <v>58</v>
      </c>
      <c r="Z498" t="s">
        <v>3393</v>
      </c>
      <c r="AB498" t="s">
        <v>996</v>
      </c>
      <c r="AC498" t="s">
        <v>1018</v>
      </c>
      <c r="AD498" t="s">
        <v>1041</v>
      </c>
      <c r="AE498" t="s">
        <v>1041</v>
      </c>
      <c r="AF498" t="s">
        <v>3394</v>
      </c>
    </row>
    <row r="499" spans="1:35">
      <c r="B499" t="s">
        <v>3395</v>
      </c>
      <c r="C499">
        <v>974</v>
      </c>
      <c r="D499" t="s">
        <v>1798</v>
      </c>
      <c r="E499" t="s">
        <v>3312</v>
      </c>
      <c r="F499" t="s">
        <v>1225</v>
      </c>
      <c r="G499" t="s">
        <v>3134</v>
      </c>
      <c r="H499" t="s">
        <v>3132</v>
      </c>
      <c r="I499" t="s">
        <v>2745</v>
      </c>
      <c r="N499" t="s">
        <v>3354</v>
      </c>
      <c r="T499" t="s">
        <v>1015</v>
      </c>
      <c r="U499" t="s">
        <v>3396</v>
      </c>
      <c r="V499" t="s">
        <v>3397</v>
      </c>
      <c r="W499" t="s">
        <v>950</v>
      </c>
      <c r="X499">
        <v>19650223</v>
      </c>
      <c r="Y499">
        <v>60</v>
      </c>
      <c r="Z499" t="s">
        <v>3398</v>
      </c>
      <c r="AB499" t="s">
        <v>996</v>
      </c>
      <c r="AC499" t="s">
        <v>1018</v>
      </c>
      <c r="AD499" t="s">
        <v>1041</v>
      </c>
      <c r="AE499" t="s">
        <v>1041</v>
      </c>
      <c r="AF499" t="s">
        <v>3399</v>
      </c>
      <c r="AI499" t="s">
        <v>1586</v>
      </c>
    </row>
    <row r="500" spans="1:35">
      <c r="B500" t="s">
        <v>3400</v>
      </c>
      <c r="C500">
        <v>976</v>
      </c>
      <c r="D500" t="s">
        <v>1798</v>
      </c>
      <c r="E500" t="s">
        <v>3312</v>
      </c>
      <c r="F500" t="s">
        <v>1225</v>
      </c>
      <c r="G500" t="s">
        <v>3134</v>
      </c>
      <c r="H500" t="s">
        <v>3132</v>
      </c>
      <c r="I500" t="s">
        <v>2745</v>
      </c>
      <c r="N500" t="s">
        <v>3354</v>
      </c>
      <c r="T500" t="s">
        <v>1015</v>
      </c>
      <c r="U500" t="s">
        <v>3401</v>
      </c>
      <c r="V500" t="s">
        <v>3402</v>
      </c>
      <c r="W500" t="s">
        <v>950</v>
      </c>
      <c r="X500">
        <v>19850217</v>
      </c>
      <c r="Y500">
        <v>40</v>
      </c>
      <c r="Z500" t="s">
        <v>3403</v>
      </c>
      <c r="AB500" t="s">
        <v>996</v>
      </c>
      <c r="AC500" t="s">
        <v>1018</v>
      </c>
      <c r="AD500" t="s">
        <v>1041</v>
      </c>
      <c r="AE500" t="s">
        <v>1041</v>
      </c>
      <c r="AF500" t="s">
        <v>3404</v>
      </c>
      <c r="AI500" t="s">
        <v>1586</v>
      </c>
    </row>
    <row r="501" spans="1:35">
      <c r="A501">
        <v>387</v>
      </c>
      <c r="B501" t="s">
        <v>3405</v>
      </c>
      <c r="C501">
        <v>978</v>
      </c>
      <c r="D501" t="s">
        <v>1798</v>
      </c>
      <c r="E501" t="s">
        <v>2746</v>
      </c>
      <c r="F501" t="s">
        <v>1225</v>
      </c>
      <c r="G501" t="s">
        <v>3134</v>
      </c>
      <c r="H501" t="s">
        <v>3132</v>
      </c>
      <c r="I501" t="s">
        <v>3405</v>
      </c>
      <c r="N501" t="s">
        <v>3406</v>
      </c>
      <c r="P501" t="s">
        <v>69</v>
      </c>
      <c r="R501" t="s">
        <v>1286</v>
      </c>
      <c r="S501">
        <v>0</v>
      </c>
      <c r="T501" t="s">
        <v>1015</v>
      </c>
      <c r="U501" t="s">
        <v>315</v>
      </c>
      <c r="V501" t="s">
        <v>3407</v>
      </c>
      <c r="W501" t="s">
        <v>950</v>
      </c>
      <c r="X501">
        <v>24814</v>
      </c>
      <c r="Y501">
        <v>58</v>
      </c>
      <c r="Z501" t="s">
        <v>3408</v>
      </c>
      <c r="AA501" t="s">
        <v>3409</v>
      </c>
      <c r="AB501" t="s">
        <v>996</v>
      </c>
      <c r="AC501" t="s">
        <v>997</v>
      </c>
      <c r="AD501" t="s">
        <v>1041</v>
      </c>
      <c r="AE501" t="s">
        <v>1041</v>
      </c>
      <c r="AF501" t="s">
        <v>3410</v>
      </c>
      <c r="AI501" t="s">
        <v>1566</v>
      </c>
    </row>
    <row r="502" spans="1:35">
      <c r="B502" t="s">
        <v>3411</v>
      </c>
      <c r="C502">
        <v>980</v>
      </c>
      <c r="D502" t="s">
        <v>1798</v>
      </c>
      <c r="E502" t="s">
        <v>3312</v>
      </c>
      <c r="F502" t="s">
        <v>1225</v>
      </c>
      <c r="G502" t="s">
        <v>3134</v>
      </c>
      <c r="H502" t="s">
        <v>3132</v>
      </c>
      <c r="I502" t="s">
        <v>3405</v>
      </c>
      <c r="N502" t="s">
        <v>3406</v>
      </c>
      <c r="T502" t="s">
        <v>1090</v>
      </c>
      <c r="U502" t="s">
        <v>3412</v>
      </c>
      <c r="V502" t="s">
        <v>3413</v>
      </c>
      <c r="W502" t="s">
        <v>950</v>
      </c>
      <c r="X502">
        <v>19551015</v>
      </c>
      <c r="Y502">
        <v>70</v>
      </c>
      <c r="Z502" t="s">
        <v>3414</v>
      </c>
      <c r="AB502" t="s">
        <v>996</v>
      </c>
      <c r="AC502" t="s">
        <v>1018</v>
      </c>
      <c r="AD502" t="s">
        <v>1041</v>
      </c>
      <c r="AE502" t="s">
        <v>3115</v>
      </c>
      <c r="AF502" t="s">
        <v>3415</v>
      </c>
    </row>
    <row r="503" spans="1:35">
      <c r="B503" t="s">
        <v>3416</v>
      </c>
      <c r="C503">
        <v>982</v>
      </c>
      <c r="D503" t="s">
        <v>1798</v>
      </c>
      <c r="E503" t="s">
        <v>3312</v>
      </c>
      <c r="F503" t="s">
        <v>1225</v>
      </c>
      <c r="G503" t="s">
        <v>3134</v>
      </c>
      <c r="H503" t="s">
        <v>3132</v>
      </c>
      <c r="I503" t="s">
        <v>3405</v>
      </c>
      <c r="N503" t="s">
        <v>3406</v>
      </c>
      <c r="T503" t="s">
        <v>1015</v>
      </c>
      <c r="U503" t="s">
        <v>3417</v>
      </c>
      <c r="V503" t="s">
        <v>3418</v>
      </c>
      <c r="W503" t="s">
        <v>950</v>
      </c>
      <c r="X503">
        <v>19731001</v>
      </c>
      <c r="Y503">
        <v>52</v>
      </c>
      <c r="Z503" t="s">
        <v>3419</v>
      </c>
      <c r="AB503" t="s">
        <v>996</v>
      </c>
      <c r="AC503" t="s">
        <v>1018</v>
      </c>
      <c r="AD503" t="s">
        <v>1041</v>
      </c>
      <c r="AE503" t="s">
        <v>3420</v>
      </c>
      <c r="AF503" t="s">
        <v>3421</v>
      </c>
    </row>
    <row r="504" spans="1:35">
      <c r="B504" t="s">
        <v>3422</v>
      </c>
      <c r="C504">
        <v>984</v>
      </c>
      <c r="D504" t="s">
        <v>1798</v>
      </c>
      <c r="E504" t="s">
        <v>3312</v>
      </c>
      <c r="F504" t="s">
        <v>1225</v>
      </c>
      <c r="G504" t="s">
        <v>3134</v>
      </c>
      <c r="H504" t="s">
        <v>3132</v>
      </c>
      <c r="I504" t="s">
        <v>3405</v>
      </c>
      <c r="N504" t="s">
        <v>3406</v>
      </c>
      <c r="T504" t="s">
        <v>1015</v>
      </c>
      <c r="U504" t="s">
        <v>3423</v>
      </c>
      <c r="V504" t="s">
        <v>3424</v>
      </c>
      <c r="W504" t="s">
        <v>950</v>
      </c>
      <c r="X504">
        <v>19650902</v>
      </c>
      <c r="Y504">
        <v>60</v>
      </c>
      <c r="Z504" t="s">
        <v>3425</v>
      </c>
      <c r="AB504" t="s">
        <v>996</v>
      </c>
      <c r="AC504" t="s">
        <v>1018</v>
      </c>
      <c r="AD504" t="s">
        <v>1041</v>
      </c>
      <c r="AE504" t="s">
        <v>1041</v>
      </c>
      <c r="AF504" t="s">
        <v>3426</v>
      </c>
    </row>
    <row r="505" spans="1:35">
      <c r="B505" t="s">
        <v>3427</v>
      </c>
      <c r="C505">
        <v>986</v>
      </c>
      <c r="D505" t="s">
        <v>1798</v>
      </c>
      <c r="E505" t="s">
        <v>3312</v>
      </c>
      <c r="F505" t="s">
        <v>1225</v>
      </c>
      <c r="G505" t="s">
        <v>3134</v>
      </c>
      <c r="H505" t="s">
        <v>3132</v>
      </c>
      <c r="I505" t="s">
        <v>3405</v>
      </c>
      <c r="N505" t="s">
        <v>3406</v>
      </c>
      <c r="T505" t="s">
        <v>1015</v>
      </c>
      <c r="U505" t="s">
        <v>3428</v>
      </c>
      <c r="V505" t="s">
        <v>3429</v>
      </c>
      <c r="W505" t="s">
        <v>950</v>
      </c>
      <c r="X505">
        <v>19710821</v>
      </c>
      <c r="Y505">
        <v>54</v>
      </c>
      <c r="Z505" t="s">
        <v>3430</v>
      </c>
      <c r="AB505" t="s">
        <v>996</v>
      </c>
      <c r="AC505" t="s">
        <v>1018</v>
      </c>
      <c r="AD505" t="s">
        <v>3431</v>
      </c>
      <c r="AE505" t="s">
        <v>1041</v>
      </c>
      <c r="AF505" t="s">
        <v>3432</v>
      </c>
    </row>
    <row r="506" spans="1:35">
      <c r="B506" t="s">
        <v>3433</v>
      </c>
      <c r="C506">
        <v>988</v>
      </c>
      <c r="D506" t="s">
        <v>1798</v>
      </c>
      <c r="E506" t="s">
        <v>3312</v>
      </c>
      <c r="F506" t="s">
        <v>1225</v>
      </c>
      <c r="G506" t="s">
        <v>3134</v>
      </c>
      <c r="H506" t="s">
        <v>3132</v>
      </c>
      <c r="I506" t="s">
        <v>3405</v>
      </c>
      <c r="N506" t="s">
        <v>3406</v>
      </c>
      <c r="T506" t="s">
        <v>1015</v>
      </c>
      <c r="U506" t="s">
        <v>3434</v>
      </c>
      <c r="V506" t="s">
        <v>3435</v>
      </c>
      <c r="W506" t="s">
        <v>950</v>
      </c>
      <c r="X506">
        <v>19731212</v>
      </c>
      <c r="Y506">
        <v>51</v>
      </c>
      <c r="Z506" t="s">
        <v>3436</v>
      </c>
      <c r="AB506" t="s">
        <v>996</v>
      </c>
      <c r="AC506" t="s">
        <v>1018</v>
      </c>
      <c r="AD506" t="s">
        <v>1041</v>
      </c>
      <c r="AE506" t="s">
        <v>1041</v>
      </c>
      <c r="AF506" t="s">
        <v>2692</v>
      </c>
    </row>
    <row r="507" spans="1:35">
      <c r="B507" t="s">
        <v>3437</v>
      </c>
      <c r="C507">
        <v>990</v>
      </c>
      <c r="D507" t="s">
        <v>1798</v>
      </c>
      <c r="E507" t="s">
        <v>3312</v>
      </c>
      <c r="F507" t="s">
        <v>1225</v>
      </c>
      <c r="G507" t="s">
        <v>3134</v>
      </c>
      <c r="H507" t="s">
        <v>3132</v>
      </c>
      <c r="I507" t="s">
        <v>3405</v>
      </c>
      <c r="N507" t="s">
        <v>3406</v>
      </c>
      <c r="T507" t="s">
        <v>1015</v>
      </c>
      <c r="U507" t="s">
        <v>3438</v>
      </c>
      <c r="V507" t="s">
        <v>3439</v>
      </c>
      <c r="W507" t="s">
        <v>950</v>
      </c>
      <c r="X507">
        <v>32595</v>
      </c>
      <c r="Y507">
        <v>36</v>
      </c>
      <c r="Z507" t="s">
        <v>3345</v>
      </c>
      <c r="AB507" t="s">
        <v>996</v>
      </c>
      <c r="AC507" t="s">
        <v>1018</v>
      </c>
      <c r="AD507" t="s">
        <v>1041</v>
      </c>
      <c r="AE507" t="s">
        <v>1791</v>
      </c>
      <c r="AF507" t="s">
        <v>3346</v>
      </c>
    </row>
    <row r="508" spans="1:35">
      <c r="B508" t="s">
        <v>3440</v>
      </c>
      <c r="C508">
        <v>992</v>
      </c>
      <c r="D508" t="s">
        <v>1798</v>
      </c>
      <c r="E508" t="s">
        <v>3312</v>
      </c>
      <c r="F508" t="s">
        <v>1225</v>
      </c>
      <c r="G508" t="s">
        <v>3134</v>
      </c>
      <c r="H508" t="s">
        <v>3132</v>
      </c>
      <c r="I508" t="s">
        <v>3405</v>
      </c>
      <c r="N508" t="s">
        <v>3406</v>
      </c>
      <c r="T508" t="s">
        <v>1015</v>
      </c>
      <c r="U508" t="s">
        <v>3441</v>
      </c>
      <c r="V508" t="s">
        <v>3442</v>
      </c>
      <c r="W508" t="s">
        <v>950</v>
      </c>
      <c r="X508">
        <v>19930311</v>
      </c>
      <c r="Y508">
        <v>32</v>
      </c>
      <c r="Z508" t="s">
        <v>3443</v>
      </c>
      <c r="AB508" t="s">
        <v>996</v>
      </c>
      <c r="AC508" t="s">
        <v>1018</v>
      </c>
      <c r="AD508" t="s">
        <v>1041</v>
      </c>
      <c r="AE508" t="s">
        <v>1041</v>
      </c>
      <c r="AF508" t="s">
        <v>3297</v>
      </c>
      <c r="AI508" t="s">
        <v>1586</v>
      </c>
    </row>
    <row r="509" spans="1:35">
      <c r="B509" t="s">
        <v>3444</v>
      </c>
      <c r="C509">
        <v>994</v>
      </c>
      <c r="D509" t="s">
        <v>1798</v>
      </c>
      <c r="E509" t="s">
        <v>3312</v>
      </c>
      <c r="F509" t="s">
        <v>1225</v>
      </c>
      <c r="G509" t="s">
        <v>3134</v>
      </c>
      <c r="H509" t="s">
        <v>3132</v>
      </c>
      <c r="I509" t="s">
        <v>3405</v>
      </c>
      <c r="N509" t="s">
        <v>3406</v>
      </c>
      <c r="T509" t="s">
        <v>1015</v>
      </c>
      <c r="U509" t="s">
        <v>3445</v>
      </c>
      <c r="V509" t="s">
        <v>3446</v>
      </c>
      <c r="W509" t="s">
        <v>950</v>
      </c>
      <c r="X509">
        <v>19880402</v>
      </c>
      <c r="Y509">
        <v>37</v>
      </c>
      <c r="Z509" t="s">
        <v>3447</v>
      </c>
      <c r="AB509" t="s">
        <v>996</v>
      </c>
      <c r="AC509" t="s">
        <v>1018</v>
      </c>
      <c r="AD509" t="s">
        <v>2737</v>
      </c>
      <c r="AE509" t="s">
        <v>2737</v>
      </c>
      <c r="AF509" t="s">
        <v>3448</v>
      </c>
      <c r="AI509" t="s">
        <v>1586</v>
      </c>
    </row>
    <row r="510" spans="1:35">
      <c r="A510">
        <v>466</v>
      </c>
      <c r="B510" t="s">
        <v>3132</v>
      </c>
      <c r="C510">
        <v>995</v>
      </c>
      <c r="E510" t="s">
        <v>3312</v>
      </c>
      <c r="F510" t="s">
        <v>1225</v>
      </c>
      <c r="G510" t="s">
        <v>3134</v>
      </c>
      <c r="H510" t="s">
        <v>3132</v>
      </c>
      <c r="I510" t="s">
        <v>3132</v>
      </c>
      <c r="N510" t="s">
        <v>1638</v>
      </c>
      <c r="P510" t="s">
        <v>3449</v>
      </c>
      <c r="Q510" t="s">
        <v>178</v>
      </c>
      <c r="U510" t="s">
        <v>3134</v>
      </c>
      <c r="V510" t="s">
        <v>3135</v>
      </c>
      <c r="W510" t="s">
        <v>950</v>
      </c>
      <c r="X510">
        <v>37703</v>
      </c>
      <c r="Y510">
        <v>22</v>
      </c>
      <c r="Z510" t="s">
        <v>3136</v>
      </c>
      <c r="AA510" t="s">
        <v>3137</v>
      </c>
      <c r="AB510" t="s">
        <v>996</v>
      </c>
      <c r="AC510" t="s">
        <v>997</v>
      </c>
      <c r="AD510" t="s">
        <v>1041</v>
      </c>
      <c r="AE510" t="s">
        <v>1250</v>
      </c>
      <c r="AF510" t="s">
        <v>3138</v>
      </c>
      <c r="AG510" t="s">
        <v>955</v>
      </c>
      <c r="AI510" t="s">
        <v>1125</v>
      </c>
    </row>
    <row r="511" spans="1:35">
      <c r="B511" t="s">
        <v>3450</v>
      </c>
      <c r="C511">
        <v>997</v>
      </c>
      <c r="D511" t="s">
        <v>1798</v>
      </c>
      <c r="E511" t="s">
        <v>3312</v>
      </c>
      <c r="F511" t="s">
        <v>1225</v>
      </c>
      <c r="G511" t="s">
        <v>3134</v>
      </c>
      <c r="H511" t="s">
        <v>3132</v>
      </c>
      <c r="I511" t="s">
        <v>3132</v>
      </c>
      <c r="N511" t="s">
        <v>1638</v>
      </c>
      <c r="T511" t="s">
        <v>1015</v>
      </c>
      <c r="U511" t="s">
        <v>3451</v>
      </c>
      <c r="V511" t="s">
        <v>3452</v>
      </c>
      <c r="W511" t="s">
        <v>950</v>
      </c>
      <c r="X511">
        <v>20010420</v>
      </c>
      <c r="Y511">
        <v>24</v>
      </c>
      <c r="Z511" t="s">
        <v>3453</v>
      </c>
      <c r="AB511" t="s">
        <v>996</v>
      </c>
      <c r="AC511" t="s">
        <v>1018</v>
      </c>
      <c r="AD511" t="s">
        <v>1041</v>
      </c>
      <c r="AE511" t="s">
        <v>1041</v>
      </c>
      <c r="AF511" t="s">
        <v>3454</v>
      </c>
    </row>
    <row r="512" spans="1:35">
      <c r="B512" t="s">
        <v>3455</v>
      </c>
      <c r="C512">
        <v>999</v>
      </c>
      <c r="D512" t="s">
        <v>1798</v>
      </c>
      <c r="E512" t="s">
        <v>3312</v>
      </c>
      <c r="F512" t="s">
        <v>1225</v>
      </c>
      <c r="G512" t="s">
        <v>3134</v>
      </c>
      <c r="H512" t="s">
        <v>3132</v>
      </c>
      <c r="I512" t="s">
        <v>3132</v>
      </c>
      <c r="N512" t="s">
        <v>1638</v>
      </c>
      <c r="T512" t="s">
        <v>1015</v>
      </c>
      <c r="U512" t="s">
        <v>3456</v>
      </c>
      <c r="V512" t="s">
        <v>3457</v>
      </c>
      <c r="W512" t="s">
        <v>950</v>
      </c>
      <c r="X512">
        <v>19900420</v>
      </c>
      <c r="Y512">
        <v>35</v>
      </c>
      <c r="Z512" t="s">
        <v>3458</v>
      </c>
      <c r="AB512" t="s">
        <v>996</v>
      </c>
      <c r="AC512" t="s">
        <v>1018</v>
      </c>
      <c r="AD512" t="s">
        <v>1041</v>
      </c>
      <c r="AE512" t="s">
        <v>2934</v>
      </c>
      <c r="AF512" t="s">
        <v>3459</v>
      </c>
    </row>
    <row r="513" spans="1:37">
      <c r="B513" t="s">
        <v>3460</v>
      </c>
      <c r="C513">
        <v>1001</v>
      </c>
      <c r="D513" t="s">
        <v>1798</v>
      </c>
      <c r="E513" t="s">
        <v>3312</v>
      </c>
      <c r="F513" t="s">
        <v>1225</v>
      </c>
      <c r="G513" t="s">
        <v>3134</v>
      </c>
      <c r="H513" t="s">
        <v>3132</v>
      </c>
      <c r="I513" t="s">
        <v>3132</v>
      </c>
      <c r="N513" t="s">
        <v>1638</v>
      </c>
      <c r="T513" t="s">
        <v>992</v>
      </c>
      <c r="U513" t="s">
        <v>3461</v>
      </c>
      <c r="V513" t="s">
        <v>3462</v>
      </c>
      <c r="W513" t="s">
        <v>950</v>
      </c>
      <c r="X513">
        <v>20060827</v>
      </c>
      <c r="Y513">
        <v>19</v>
      </c>
      <c r="Z513" t="s">
        <v>3463</v>
      </c>
      <c r="AB513" t="s">
        <v>996</v>
      </c>
      <c r="AC513" t="s">
        <v>1018</v>
      </c>
      <c r="AD513" t="s">
        <v>1041</v>
      </c>
      <c r="AE513" t="s">
        <v>1041</v>
      </c>
      <c r="AF513" t="s">
        <v>3464</v>
      </c>
    </row>
    <row r="514" spans="1:37">
      <c r="B514" t="s">
        <v>3465</v>
      </c>
      <c r="C514">
        <v>1003</v>
      </c>
      <c r="D514" t="s">
        <v>1798</v>
      </c>
      <c r="E514" t="s">
        <v>3312</v>
      </c>
      <c r="F514" t="s">
        <v>1225</v>
      </c>
      <c r="G514" t="s">
        <v>3134</v>
      </c>
      <c r="H514" t="s">
        <v>3132</v>
      </c>
      <c r="I514" t="s">
        <v>3132</v>
      </c>
      <c r="N514" t="s">
        <v>1638</v>
      </c>
      <c r="T514" t="s">
        <v>992</v>
      </c>
      <c r="U514" t="s">
        <v>3466</v>
      </c>
      <c r="V514" t="s">
        <v>3467</v>
      </c>
      <c r="W514" t="s">
        <v>950</v>
      </c>
      <c r="X514">
        <v>19960728</v>
      </c>
      <c r="Y514">
        <v>29</v>
      </c>
      <c r="Z514" t="s">
        <v>3468</v>
      </c>
      <c r="AB514" t="s">
        <v>996</v>
      </c>
      <c r="AC514" t="s">
        <v>1018</v>
      </c>
      <c r="AD514" t="s">
        <v>1041</v>
      </c>
      <c r="AE514" t="s">
        <v>1041</v>
      </c>
      <c r="AF514" t="s">
        <v>3469</v>
      </c>
    </row>
    <row r="515" spans="1:37">
      <c r="B515" t="s">
        <v>3470</v>
      </c>
      <c r="C515">
        <v>1005</v>
      </c>
      <c r="D515" t="s">
        <v>1798</v>
      </c>
      <c r="E515" t="s">
        <v>3312</v>
      </c>
      <c r="F515" t="s">
        <v>1225</v>
      </c>
      <c r="G515" t="s">
        <v>3134</v>
      </c>
      <c r="H515" t="s">
        <v>3132</v>
      </c>
      <c r="I515" t="s">
        <v>3132</v>
      </c>
      <c r="N515" t="s">
        <v>1638</v>
      </c>
      <c r="T515" t="s">
        <v>992</v>
      </c>
      <c r="U515" t="s">
        <v>3471</v>
      </c>
      <c r="V515" t="s">
        <v>3472</v>
      </c>
      <c r="W515" t="s">
        <v>950</v>
      </c>
      <c r="X515">
        <v>20060225</v>
      </c>
      <c r="Y515">
        <v>19</v>
      </c>
      <c r="Z515" t="s">
        <v>3473</v>
      </c>
      <c r="AB515" t="s">
        <v>996</v>
      </c>
      <c r="AC515" t="s">
        <v>1018</v>
      </c>
      <c r="AD515" t="s">
        <v>1041</v>
      </c>
      <c r="AE515" t="s">
        <v>1041</v>
      </c>
      <c r="AF515" t="s">
        <v>3474</v>
      </c>
    </row>
    <row r="516" spans="1:37">
      <c r="B516" t="s">
        <v>3475</v>
      </c>
      <c r="C516">
        <v>1007</v>
      </c>
      <c r="D516" t="s">
        <v>1798</v>
      </c>
      <c r="E516" t="s">
        <v>3312</v>
      </c>
      <c r="F516" t="s">
        <v>1225</v>
      </c>
      <c r="G516" t="s">
        <v>3134</v>
      </c>
      <c r="H516" t="s">
        <v>3132</v>
      </c>
      <c r="I516" t="s">
        <v>3132</v>
      </c>
      <c r="N516" t="s">
        <v>1638</v>
      </c>
      <c r="T516" t="s">
        <v>992</v>
      </c>
      <c r="U516" t="s">
        <v>3476</v>
      </c>
      <c r="V516" t="s">
        <v>3477</v>
      </c>
      <c r="W516" t="s">
        <v>950</v>
      </c>
      <c r="X516">
        <v>20040308</v>
      </c>
      <c r="Y516">
        <v>21</v>
      </c>
      <c r="Z516" t="s">
        <v>3478</v>
      </c>
      <c r="AB516" t="s">
        <v>996</v>
      </c>
      <c r="AC516" t="s">
        <v>1018</v>
      </c>
      <c r="AD516" t="s">
        <v>1041</v>
      </c>
      <c r="AE516" t="s">
        <v>1041</v>
      </c>
      <c r="AF516" t="s">
        <v>3479</v>
      </c>
    </row>
    <row r="517" spans="1:37">
      <c r="B517" t="s">
        <v>3480</v>
      </c>
      <c r="C517">
        <v>1009</v>
      </c>
      <c r="D517" t="s">
        <v>1798</v>
      </c>
      <c r="E517" t="s">
        <v>3312</v>
      </c>
      <c r="F517" t="s">
        <v>1225</v>
      </c>
      <c r="G517" t="s">
        <v>3134</v>
      </c>
      <c r="H517" t="s">
        <v>3132</v>
      </c>
      <c r="I517" t="s">
        <v>3132</v>
      </c>
      <c r="N517" t="s">
        <v>1638</v>
      </c>
      <c r="T517" t="s">
        <v>992</v>
      </c>
      <c r="U517" t="s">
        <v>3481</v>
      </c>
      <c r="V517" t="s">
        <v>3482</v>
      </c>
      <c r="W517" t="s">
        <v>950</v>
      </c>
      <c r="X517">
        <v>19990225</v>
      </c>
      <c r="Y517">
        <v>26</v>
      </c>
      <c r="Z517" t="s">
        <v>3483</v>
      </c>
      <c r="AB517" t="s">
        <v>996</v>
      </c>
      <c r="AC517" t="s">
        <v>1018</v>
      </c>
      <c r="AD517" t="s">
        <v>1041</v>
      </c>
      <c r="AE517" t="s">
        <v>954</v>
      </c>
      <c r="AF517" t="s">
        <v>3484</v>
      </c>
    </row>
    <row r="518" spans="1:37">
      <c r="B518" t="s">
        <v>3485</v>
      </c>
      <c r="C518">
        <v>1011</v>
      </c>
      <c r="D518" t="s">
        <v>1798</v>
      </c>
      <c r="E518" t="s">
        <v>3312</v>
      </c>
      <c r="F518" t="s">
        <v>1225</v>
      </c>
      <c r="G518" t="s">
        <v>3134</v>
      </c>
      <c r="H518" t="s">
        <v>3132</v>
      </c>
      <c r="I518" t="s">
        <v>3132</v>
      </c>
      <c r="N518" t="s">
        <v>1638</v>
      </c>
      <c r="T518" t="s">
        <v>1705</v>
      </c>
      <c r="U518" t="s">
        <v>3486</v>
      </c>
      <c r="V518" t="s">
        <v>3487</v>
      </c>
      <c r="W518" t="s">
        <v>950</v>
      </c>
      <c r="X518">
        <v>20100317</v>
      </c>
      <c r="Y518">
        <v>15</v>
      </c>
      <c r="Z518" t="s">
        <v>3488</v>
      </c>
      <c r="AB518" t="s">
        <v>996</v>
      </c>
      <c r="AC518" t="s">
        <v>1018</v>
      </c>
      <c r="AD518" t="s">
        <v>1041</v>
      </c>
      <c r="AE518" t="s">
        <v>1041</v>
      </c>
      <c r="AF518" t="s">
        <v>3489</v>
      </c>
    </row>
    <row r="519" spans="1:37">
      <c r="B519" t="s">
        <v>3490</v>
      </c>
      <c r="C519">
        <v>1013</v>
      </c>
      <c r="D519" t="s">
        <v>1798</v>
      </c>
      <c r="E519" t="s">
        <v>3312</v>
      </c>
      <c r="F519" t="s">
        <v>1225</v>
      </c>
      <c r="G519" t="s">
        <v>3134</v>
      </c>
      <c r="H519" t="s">
        <v>3132</v>
      </c>
      <c r="I519" t="s">
        <v>3132</v>
      </c>
      <c r="N519" t="s">
        <v>1638</v>
      </c>
      <c r="T519" t="s">
        <v>992</v>
      </c>
      <c r="U519" t="s">
        <v>3491</v>
      </c>
      <c r="V519" t="s">
        <v>3492</v>
      </c>
      <c r="W519" t="s">
        <v>950</v>
      </c>
      <c r="X519">
        <v>39349</v>
      </c>
      <c r="Y519">
        <v>18</v>
      </c>
      <c r="Z519" t="s">
        <v>3493</v>
      </c>
      <c r="AB519" t="s">
        <v>996</v>
      </c>
      <c r="AC519" t="s">
        <v>1018</v>
      </c>
      <c r="AD519" t="s">
        <v>1041</v>
      </c>
      <c r="AE519" t="s">
        <v>1791</v>
      </c>
      <c r="AF519" t="s">
        <v>3346</v>
      </c>
    </row>
    <row r="520" spans="1:37">
      <c r="B520" t="s">
        <v>3494</v>
      </c>
      <c r="C520">
        <v>1015</v>
      </c>
      <c r="D520" t="s">
        <v>1798</v>
      </c>
      <c r="E520" t="s">
        <v>3312</v>
      </c>
      <c r="F520" t="s">
        <v>1225</v>
      </c>
      <c r="G520" t="s">
        <v>3134</v>
      </c>
      <c r="H520" t="s">
        <v>3132</v>
      </c>
      <c r="I520" t="s">
        <v>3132</v>
      </c>
      <c r="N520" t="s">
        <v>1638</v>
      </c>
      <c r="T520" t="s">
        <v>992</v>
      </c>
      <c r="U520" t="s">
        <v>3495</v>
      </c>
      <c r="V520" t="s">
        <v>3496</v>
      </c>
      <c r="W520" t="s">
        <v>950</v>
      </c>
      <c r="X520">
        <v>19990913</v>
      </c>
      <c r="Y520">
        <v>26</v>
      </c>
      <c r="Z520" t="s">
        <v>3497</v>
      </c>
      <c r="AB520" t="s">
        <v>996</v>
      </c>
      <c r="AC520" t="s">
        <v>1018</v>
      </c>
      <c r="AD520" t="s">
        <v>1041</v>
      </c>
      <c r="AE520" t="s">
        <v>1041</v>
      </c>
      <c r="AF520" t="s">
        <v>3498</v>
      </c>
      <c r="AI520" t="s">
        <v>1586</v>
      </c>
    </row>
    <row r="521" spans="1:37">
      <c r="B521" t="s">
        <v>3499</v>
      </c>
      <c r="C521">
        <v>1017</v>
      </c>
      <c r="D521" t="s">
        <v>1798</v>
      </c>
      <c r="E521" t="s">
        <v>3312</v>
      </c>
      <c r="F521" t="s">
        <v>1225</v>
      </c>
      <c r="G521" t="s">
        <v>3134</v>
      </c>
      <c r="H521" t="s">
        <v>3132</v>
      </c>
      <c r="I521" t="s">
        <v>3132</v>
      </c>
      <c r="N521" t="s">
        <v>1638</v>
      </c>
      <c r="T521" t="s">
        <v>992</v>
      </c>
      <c r="U521" t="s">
        <v>3500</v>
      </c>
      <c r="V521" t="s">
        <v>3501</v>
      </c>
      <c r="W521" t="s">
        <v>950</v>
      </c>
      <c r="X521">
        <v>20001217</v>
      </c>
      <c r="Y521">
        <v>25</v>
      </c>
      <c r="Z521" t="s">
        <v>3502</v>
      </c>
      <c r="AB521" t="s">
        <v>996</v>
      </c>
      <c r="AC521" t="s">
        <v>1018</v>
      </c>
      <c r="AD521" t="s">
        <v>1041</v>
      </c>
      <c r="AE521" t="s">
        <v>3503</v>
      </c>
      <c r="AF521" t="s">
        <v>3504</v>
      </c>
      <c r="AI521" t="s">
        <v>1586</v>
      </c>
    </row>
    <row r="522" spans="1:37">
      <c r="A522">
        <v>511</v>
      </c>
      <c r="B522" t="s">
        <v>3505</v>
      </c>
      <c r="C522">
        <v>1019</v>
      </c>
      <c r="D522" t="s">
        <v>1810</v>
      </c>
      <c r="E522" t="s">
        <v>973</v>
      </c>
      <c r="F522" t="s">
        <v>3505</v>
      </c>
      <c r="G522" t="s">
        <v>183</v>
      </c>
      <c r="H522" t="s">
        <v>3505</v>
      </c>
      <c r="I522" t="s">
        <v>3505</v>
      </c>
      <c r="N522" t="s">
        <v>1044</v>
      </c>
      <c r="P522" t="s">
        <v>1227</v>
      </c>
      <c r="Q522" t="s">
        <v>173</v>
      </c>
      <c r="T522" t="s">
        <v>1090</v>
      </c>
      <c r="U522" t="s">
        <v>183</v>
      </c>
      <c r="V522" t="s">
        <v>3506</v>
      </c>
      <c r="W522" t="s">
        <v>950</v>
      </c>
      <c r="X522">
        <v>19177</v>
      </c>
      <c r="Y522">
        <v>73</v>
      </c>
      <c r="Z522" t="s">
        <v>3507</v>
      </c>
      <c r="AA522" t="s">
        <v>3508</v>
      </c>
      <c r="AB522" t="s">
        <v>966</v>
      </c>
      <c r="AC522" t="s">
        <v>953</v>
      </c>
      <c r="AD522" t="s">
        <v>973</v>
      </c>
      <c r="AE522" t="s">
        <v>973</v>
      </c>
      <c r="AF522" t="s">
        <v>3509</v>
      </c>
      <c r="AJ522" t="s">
        <v>3510</v>
      </c>
      <c r="AK522">
        <v>-3</v>
      </c>
    </row>
    <row r="523" spans="1:37">
      <c r="A523">
        <v>516</v>
      </c>
      <c r="B523" t="s">
        <v>3511</v>
      </c>
      <c r="C523">
        <v>1021</v>
      </c>
      <c r="D523" t="s">
        <v>1810</v>
      </c>
      <c r="E523" t="s">
        <v>973</v>
      </c>
      <c r="F523" t="s">
        <v>3505</v>
      </c>
      <c r="G523" t="s">
        <v>183</v>
      </c>
      <c r="H523" t="s">
        <v>3505</v>
      </c>
      <c r="I523" t="s">
        <v>3505</v>
      </c>
      <c r="N523" t="s">
        <v>1044</v>
      </c>
      <c r="T523" t="s">
        <v>1090</v>
      </c>
      <c r="U523" t="s">
        <v>223</v>
      </c>
      <c r="V523" t="s">
        <v>3512</v>
      </c>
      <c r="W523" t="s">
        <v>963</v>
      </c>
      <c r="X523">
        <v>19696</v>
      </c>
      <c r="Y523">
        <v>72</v>
      </c>
      <c r="Z523" t="s">
        <v>3513</v>
      </c>
      <c r="AA523" t="s">
        <v>3514</v>
      </c>
      <c r="AB523" t="s">
        <v>966</v>
      </c>
      <c r="AC523" t="s">
        <v>953</v>
      </c>
      <c r="AD523" t="s">
        <v>973</v>
      </c>
      <c r="AE523" t="s">
        <v>973</v>
      </c>
      <c r="AF523" t="s">
        <v>3509</v>
      </c>
      <c r="AJ523" t="s">
        <v>3510</v>
      </c>
      <c r="AK523">
        <v>-3</v>
      </c>
    </row>
    <row r="524" spans="1:37">
      <c r="A524">
        <v>538</v>
      </c>
      <c r="B524" t="s">
        <v>3515</v>
      </c>
      <c r="C524">
        <v>1023</v>
      </c>
      <c r="D524" t="s">
        <v>1810</v>
      </c>
      <c r="E524" t="s">
        <v>973</v>
      </c>
      <c r="F524" t="s">
        <v>3505</v>
      </c>
      <c r="G524" t="s">
        <v>183</v>
      </c>
      <c r="H524" t="s">
        <v>3505</v>
      </c>
      <c r="I524" t="s">
        <v>3505</v>
      </c>
      <c r="N524" t="s">
        <v>1044</v>
      </c>
      <c r="T524" t="s">
        <v>962</v>
      </c>
      <c r="U524" t="s">
        <v>675</v>
      </c>
      <c r="V524" t="s">
        <v>3516</v>
      </c>
      <c r="W524" t="s">
        <v>963</v>
      </c>
      <c r="X524">
        <v>24209</v>
      </c>
      <c r="Y524">
        <v>59</v>
      </c>
      <c r="Z524" t="s">
        <v>3517</v>
      </c>
      <c r="AA524" t="s">
        <v>3518</v>
      </c>
      <c r="AB524" t="s">
        <v>996</v>
      </c>
      <c r="AC524" t="s">
        <v>997</v>
      </c>
      <c r="AD524" t="s">
        <v>973</v>
      </c>
      <c r="AE524" t="s">
        <v>973</v>
      </c>
      <c r="AF524" t="s">
        <v>3519</v>
      </c>
      <c r="AI524" t="s">
        <v>1114</v>
      </c>
      <c r="AK524">
        <v>-3</v>
      </c>
    </row>
    <row r="525" spans="1:37">
      <c r="A525">
        <v>539</v>
      </c>
      <c r="B525" t="s">
        <v>3520</v>
      </c>
      <c r="C525">
        <v>1025</v>
      </c>
      <c r="D525" t="s">
        <v>1810</v>
      </c>
      <c r="E525" t="s">
        <v>973</v>
      </c>
      <c r="F525" t="s">
        <v>3505</v>
      </c>
      <c r="G525" t="s">
        <v>183</v>
      </c>
      <c r="H525" t="s">
        <v>3505</v>
      </c>
      <c r="I525" t="s">
        <v>3505</v>
      </c>
      <c r="N525" t="s">
        <v>1044</v>
      </c>
      <c r="T525" t="s">
        <v>962</v>
      </c>
      <c r="U525" t="s">
        <v>691</v>
      </c>
      <c r="V525" t="s">
        <v>3521</v>
      </c>
      <c r="W525" t="s">
        <v>963</v>
      </c>
      <c r="X525">
        <v>26119</v>
      </c>
      <c r="Y525">
        <v>54</v>
      </c>
      <c r="AA525" t="s">
        <v>3522</v>
      </c>
      <c r="AB525" t="s">
        <v>996</v>
      </c>
      <c r="AC525" t="s">
        <v>997</v>
      </c>
      <c r="AD525" t="s">
        <v>973</v>
      </c>
      <c r="AE525" t="s">
        <v>973</v>
      </c>
      <c r="AF525" t="s">
        <v>3519</v>
      </c>
      <c r="AI525" t="s">
        <v>1114</v>
      </c>
      <c r="AK525">
        <v>-3</v>
      </c>
    </row>
    <row r="526" spans="1:37">
      <c r="A526">
        <v>518</v>
      </c>
      <c r="B526" t="s">
        <v>3523</v>
      </c>
      <c r="C526">
        <v>1027</v>
      </c>
      <c r="D526" t="s">
        <v>1810</v>
      </c>
      <c r="E526" t="s">
        <v>973</v>
      </c>
      <c r="F526" t="s">
        <v>3505</v>
      </c>
      <c r="G526" t="s">
        <v>183</v>
      </c>
      <c r="H526" t="s">
        <v>3505</v>
      </c>
      <c r="I526" t="s">
        <v>3505</v>
      </c>
      <c r="N526" t="s">
        <v>1044</v>
      </c>
      <c r="T526" t="s">
        <v>962</v>
      </c>
      <c r="U526" t="s">
        <v>262</v>
      </c>
      <c r="V526" t="s">
        <v>3524</v>
      </c>
      <c r="W526" t="s">
        <v>963</v>
      </c>
      <c r="X526">
        <v>29738</v>
      </c>
      <c r="Y526">
        <v>44</v>
      </c>
      <c r="Z526" t="s">
        <v>3525</v>
      </c>
      <c r="AA526" t="s">
        <v>3526</v>
      </c>
      <c r="AB526" t="s">
        <v>996</v>
      </c>
      <c r="AC526" t="s">
        <v>997</v>
      </c>
      <c r="AD526" t="s">
        <v>973</v>
      </c>
      <c r="AE526" t="s">
        <v>973</v>
      </c>
      <c r="AF526" t="s">
        <v>3527</v>
      </c>
      <c r="AJ526" t="s">
        <v>3510</v>
      </c>
      <c r="AK526">
        <v>-3</v>
      </c>
    </row>
    <row r="527" spans="1:37">
      <c r="A527">
        <v>515</v>
      </c>
      <c r="B527" t="s">
        <v>3528</v>
      </c>
      <c r="C527">
        <v>1029</v>
      </c>
      <c r="D527" t="s">
        <v>1810</v>
      </c>
      <c r="E527" t="s">
        <v>973</v>
      </c>
      <c r="F527" t="s">
        <v>3505</v>
      </c>
      <c r="G527" t="s">
        <v>183</v>
      </c>
      <c r="H527" t="s">
        <v>3505</v>
      </c>
      <c r="I527" t="s">
        <v>3528</v>
      </c>
      <c r="J527" t="s">
        <v>3529</v>
      </c>
      <c r="N527" t="s">
        <v>1074</v>
      </c>
      <c r="P527" t="s">
        <v>3530</v>
      </c>
      <c r="S527" t="s">
        <v>3531</v>
      </c>
      <c r="T527" t="s">
        <v>1090</v>
      </c>
      <c r="U527" t="s">
        <v>204</v>
      </c>
      <c r="V527" t="s">
        <v>3532</v>
      </c>
      <c r="W527" t="s">
        <v>950</v>
      </c>
      <c r="X527">
        <v>17993</v>
      </c>
      <c r="Y527">
        <v>76</v>
      </c>
      <c r="Z527" t="s">
        <v>3533</v>
      </c>
      <c r="AA527" t="s">
        <v>3534</v>
      </c>
      <c r="AB527" t="s">
        <v>966</v>
      </c>
      <c r="AC527" t="s">
        <v>953</v>
      </c>
      <c r="AD527" t="s">
        <v>973</v>
      </c>
      <c r="AE527" t="s">
        <v>973</v>
      </c>
      <c r="AF527" t="s">
        <v>3509</v>
      </c>
      <c r="AJ527" t="s">
        <v>3510</v>
      </c>
      <c r="AK527">
        <v>-3</v>
      </c>
    </row>
    <row r="528" spans="1:37">
      <c r="A528">
        <v>521</v>
      </c>
      <c r="B528" t="s">
        <v>3529</v>
      </c>
      <c r="C528">
        <v>1031</v>
      </c>
      <c r="D528" t="s">
        <v>1810</v>
      </c>
      <c r="E528" t="s">
        <v>973</v>
      </c>
      <c r="F528" t="s">
        <v>3505</v>
      </c>
      <c r="G528" t="s">
        <v>183</v>
      </c>
      <c r="H528" t="s">
        <v>3505</v>
      </c>
      <c r="I528" t="s">
        <v>3528</v>
      </c>
      <c r="J528" t="s">
        <v>3529</v>
      </c>
      <c r="N528" t="s">
        <v>3535</v>
      </c>
      <c r="P528" t="s">
        <v>69</v>
      </c>
      <c r="Q528" t="s">
        <v>562</v>
      </c>
      <c r="S528">
        <v>7</v>
      </c>
      <c r="T528" t="s">
        <v>1015</v>
      </c>
      <c r="U528" t="s">
        <v>3536</v>
      </c>
      <c r="V528" t="s">
        <v>3537</v>
      </c>
      <c r="W528" t="s">
        <v>950</v>
      </c>
      <c r="X528">
        <v>20540</v>
      </c>
      <c r="Y528">
        <v>69</v>
      </c>
      <c r="Z528" t="s">
        <v>3538</v>
      </c>
      <c r="AA528" t="s">
        <v>3539</v>
      </c>
      <c r="AB528" t="s">
        <v>996</v>
      </c>
      <c r="AC528" t="s">
        <v>997</v>
      </c>
      <c r="AD528" t="s">
        <v>973</v>
      </c>
      <c r="AE528" t="s">
        <v>973</v>
      </c>
      <c r="AF528" t="s">
        <v>3509</v>
      </c>
      <c r="AI528" t="s">
        <v>1011</v>
      </c>
      <c r="AJ528" t="s">
        <v>3510</v>
      </c>
      <c r="AK528">
        <v>-3</v>
      </c>
    </row>
    <row r="529" spans="1:37">
      <c r="A529">
        <v>517</v>
      </c>
      <c r="B529" t="s">
        <v>3540</v>
      </c>
      <c r="C529">
        <v>1033</v>
      </c>
      <c r="D529" t="s">
        <v>1810</v>
      </c>
      <c r="E529" t="s">
        <v>973</v>
      </c>
      <c r="F529" t="s">
        <v>3505</v>
      </c>
      <c r="G529" t="s">
        <v>183</v>
      </c>
      <c r="H529" t="s">
        <v>3505</v>
      </c>
      <c r="I529" t="s">
        <v>3528</v>
      </c>
      <c r="J529" t="s">
        <v>3529</v>
      </c>
      <c r="N529" t="s">
        <v>3535</v>
      </c>
      <c r="T529" t="s">
        <v>1090</v>
      </c>
      <c r="U529" t="s">
        <v>242</v>
      </c>
      <c r="V529" t="s">
        <v>3541</v>
      </c>
      <c r="W529" t="s">
        <v>950</v>
      </c>
      <c r="X529">
        <v>19049</v>
      </c>
      <c r="Y529">
        <v>73</v>
      </c>
      <c r="Z529" t="s">
        <v>3542</v>
      </c>
      <c r="AA529" t="s">
        <v>3543</v>
      </c>
      <c r="AB529" t="s">
        <v>966</v>
      </c>
      <c r="AC529" t="s">
        <v>953</v>
      </c>
      <c r="AD529" t="s">
        <v>973</v>
      </c>
      <c r="AE529" t="s">
        <v>973</v>
      </c>
      <c r="AF529" t="s">
        <v>3509</v>
      </c>
      <c r="AJ529" t="s">
        <v>3510</v>
      </c>
      <c r="AK529">
        <v>-3</v>
      </c>
    </row>
    <row r="530" spans="1:37">
      <c r="A530">
        <v>519</v>
      </c>
      <c r="B530" t="s">
        <v>3544</v>
      </c>
      <c r="C530">
        <v>1035</v>
      </c>
      <c r="D530" t="s">
        <v>1810</v>
      </c>
      <c r="E530" t="s">
        <v>973</v>
      </c>
      <c r="F530" t="s">
        <v>3505</v>
      </c>
      <c r="G530" t="s">
        <v>183</v>
      </c>
      <c r="H530" t="s">
        <v>3505</v>
      </c>
      <c r="I530" t="s">
        <v>3528</v>
      </c>
      <c r="J530" t="s">
        <v>3529</v>
      </c>
      <c r="N530" t="s">
        <v>3535</v>
      </c>
      <c r="T530" t="s">
        <v>1015</v>
      </c>
      <c r="U530" t="s">
        <v>279</v>
      </c>
      <c r="V530" t="s">
        <v>3545</v>
      </c>
      <c r="W530" t="s">
        <v>950</v>
      </c>
      <c r="X530">
        <v>21258</v>
      </c>
      <c r="Y530">
        <v>67</v>
      </c>
      <c r="Z530" t="s">
        <v>3546</v>
      </c>
      <c r="AA530" t="s">
        <v>3547</v>
      </c>
      <c r="AB530" t="s">
        <v>966</v>
      </c>
      <c r="AC530" t="s">
        <v>953</v>
      </c>
      <c r="AD530" t="s">
        <v>973</v>
      </c>
      <c r="AE530" t="s">
        <v>973</v>
      </c>
      <c r="AF530" t="s">
        <v>3527</v>
      </c>
      <c r="AJ530" t="s">
        <v>3510</v>
      </c>
      <c r="AK530">
        <v>-3</v>
      </c>
    </row>
    <row r="531" spans="1:37">
      <c r="A531">
        <v>522</v>
      </c>
      <c r="B531" t="s">
        <v>3548</v>
      </c>
      <c r="C531">
        <v>1037</v>
      </c>
      <c r="D531" t="s">
        <v>1810</v>
      </c>
      <c r="E531" t="s">
        <v>973</v>
      </c>
      <c r="F531" t="s">
        <v>3505</v>
      </c>
      <c r="G531" t="s">
        <v>183</v>
      </c>
      <c r="H531" t="s">
        <v>3505</v>
      </c>
      <c r="I531" t="s">
        <v>3528</v>
      </c>
      <c r="J531" t="s">
        <v>3529</v>
      </c>
      <c r="N531" t="s">
        <v>3535</v>
      </c>
      <c r="T531" t="s">
        <v>1090</v>
      </c>
      <c r="U531" t="s">
        <v>224</v>
      </c>
      <c r="V531" t="s">
        <v>3549</v>
      </c>
      <c r="W531" t="s">
        <v>950</v>
      </c>
      <c r="X531">
        <v>19980</v>
      </c>
      <c r="Y531">
        <v>71</v>
      </c>
      <c r="Z531" t="s">
        <v>3550</v>
      </c>
      <c r="AA531" t="s">
        <v>3551</v>
      </c>
      <c r="AB531" t="s">
        <v>996</v>
      </c>
      <c r="AC531" t="s">
        <v>997</v>
      </c>
      <c r="AD531" t="s">
        <v>973</v>
      </c>
      <c r="AE531" t="s">
        <v>973</v>
      </c>
      <c r="AF531" t="s">
        <v>3509</v>
      </c>
      <c r="AI531" t="s">
        <v>1025</v>
      </c>
      <c r="AJ531" t="s">
        <v>3510</v>
      </c>
      <c r="AK531">
        <v>-3</v>
      </c>
    </row>
    <row r="532" spans="1:37">
      <c r="A532">
        <v>523</v>
      </c>
      <c r="B532" t="s">
        <v>3552</v>
      </c>
      <c r="C532">
        <v>1039</v>
      </c>
      <c r="D532" t="s">
        <v>1810</v>
      </c>
      <c r="E532" t="s">
        <v>973</v>
      </c>
      <c r="F532" t="s">
        <v>3505</v>
      </c>
      <c r="G532" t="s">
        <v>183</v>
      </c>
      <c r="H532" t="s">
        <v>3505</v>
      </c>
      <c r="I532" t="s">
        <v>3528</v>
      </c>
      <c r="J532" t="s">
        <v>3529</v>
      </c>
      <c r="N532" t="s">
        <v>3535</v>
      </c>
      <c r="T532" t="s">
        <v>1090</v>
      </c>
      <c r="U532" t="s">
        <v>243</v>
      </c>
      <c r="V532" t="s">
        <v>3553</v>
      </c>
      <c r="W532" t="s">
        <v>950</v>
      </c>
      <c r="X532">
        <v>19444</v>
      </c>
      <c r="Y532">
        <v>72</v>
      </c>
      <c r="Z532" t="s">
        <v>3554</v>
      </c>
      <c r="AB532" t="s">
        <v>996</v>
      </c>
      <c r="AC532" t="s">
        <v>997</v>
      </c>
      <c r="AD532" t="s">
        <v>973</v>
      </c>
      <c r="AE532" t="s">
        <v>973</v>
      </c>
      <c r="AF532" t="s">
        <v>3509</v>
      </c>
      <c r="AI532" t="s">
        <v>1107</v>
      </c>
      <c r="AK532">
        <v>-3</v>
      </c>
    </row>
    <row r="533" spans="1:37">
      <c r="A533">
        <v>520</v>
      </c>
      <c r="B533" t="s">
        <v>3555</v>
      </c>
      <c r="C533">
        <v>1041</v>
      </c>
      <c r="D533" t="s">
        <v>1810</v>
      </c>
      <c r="E533" t="s">
        <v>973</v>
      </c>
      <c r="F533" t="s">
        <v>3505</v>
      </c>
      <c r="G533" t="s">
        <v>183</v>
      </c>
      <c r="H533" t="s">
        <v>3505</v>
      </c>
      <c r="I533" t="s">
        <v>3528</v>
      </c>
      <c r="J533" t="s">
        <v>3529</v>
      </c>
      <c r="N533" t="s">
        <v>3535</v>
      </c>
      <c r="T533" t="s">
        <v>992</v>
      </c>
      <c r="U533" t="s">
        <v>291</v>
      </c>
      <c r="V533" t="s">
        <v>3556</v>
      </c>
      <c r="W533" t="s">
        <v>950</v>
      </c>
      <c r="X533">
        <v>32972</v>
      </c>
      <c r="Y533">
        <v>35</v>
      </c>
      <c r="Z533" t="s">
        <v>3557</v>
      </c>
      <c r="AA533" t="s">
        <v>3558</v>
      </c>
      <c r="AB533" t="s">
        <v>996</v>
      </c>
      <c r="AC533" t="s">
        <v>997</v>
      </c>
      <c r="AD533" t="s">
        <v>973</v>
      </c>
      <c r="AE533" t="s">
        <v>973</v>
      </c>
      <c r="AF533" t="s">
        <v>3509</v>
      </c>
      <c r="AJ533" t="s">
        <v>3510</v>
      </c>
      <c r="AK533">
        <v>-3</v>
      </c>
    </row>
    <row r="534" spans="1:37">
      <c r="A534">
        <v>513</v>
      </c>
      <c r="B534" t="s">
        <v>3559</v>
      </c>
      <c r="C534">
        <v>1043</v>
      </c>
      <c r="D534" t="s">
        <v>1810</v>
      </c>
      <c r="E534" t="s">
        <v>973</v>
      </c>
      <c r="F534" t="s">
        <v>3505</v>
      </c>
      <c r="G534" t="s">
        <v>183</v>
      </c>
      <c r="H534" t="s">
        <v>3505</v>
      </c>
      <c r="I534" t="s">
        <v>3559</v>
      </c>
      <c r="J534" t="s">
        <v>3560</v>
      </c>
      <c r="N534" t="s">
        <v>1115</v>
      </c>
      <c r="P534" t="s">
        <v>55</v>
      </c>
      <c r="Q534" t="s">
        <v>178</v>
      </c>
      <c r="T534" t="s">
        <v>1015</v>
      </c>
      <c r="U534" t="s">
        <v>222</v>
      </c>
      <c r="V534" t="s">
        <v>3561</v>
      </c>
      <c r="W534" t="s">
        <v>950</v>
      </c>
      <c r="X534">
        <v>21600</v>
      </c>
      <c r="Y534">
        <v>66</v>
      </c>
      <c r="Z534" t="s">
        <v>3562</v>
      </c>
      <c r="AA534" t="s">
        <v>3563</v>
      </c>
      <c r="AB534" t="s">
        <v>966</v>
      </c>
      <c r="AC534" t="s">
        <v>953</v>
      </c>
      <c r="AD534" t="s">
        <v>973</v>
      </c>
      <c r="AE534" t="s">
        <v>973</v>
      </c>
      <c r="AF534" t="s">
        <v>3509</v>
      </c>
      <c r="AJ534" t="s">
        <v>3510</v>
      </c>
      <c r="AK534">
        <v>-3</v>
      </c>
    </row>
    <row r="535" spans="1:37">
      <c r="A535">
        <v>541</v>
      </c>
      <c r="B535" t="s">
        <v>3560</v>
      </c>
      <c r="C535">
        <v>1045</v>
      </c>
      <c r="D535" t="s">
        <v>1810</v>
      </c>
      <c r="E535" t="s">
        <v>973</v>
      </c>
      <c r="F535" t="s">
        <v>3505</v>
      </c>
      <c r="G535" t="s">
        <v>183</v>
      </c>
      <c r="H535" t="s">
        <v>3505</v>
      </c>
      <c r="I535" t="s">
        <v>3559</v>
      </c>
      <c r="J535" t="s">
        <v>3560</v>
      </c>
      <c r="N535" t="s">
        <v>1115</v>
      </c>
      <c r="P535" t="s">
        <v>3564</v>
      </c>
      <c r="Q535" t="s">
        <v>562</v>
      </c>
      <c r="S535">
        <v>1</v>
      </c>
      <c r="T535" t="s">
        <v>1015</v>
      </c>
      <c r="U535" t="s">
        <v>350</v>
      </c>
      <c r="V535" t="s">
        <v>3565</v>
      </c>
      <c r="W535" t="s">
        <v>950</v>
      </c>
      <c r="X535">
        <v>22722</v>
      </c>
      <c r="Y535">
        <v>63</v>
      </c>
      <c r="Z535" t="s">
        <v>3566</v>
      </c>
      <c r="AA535" t="s">
        <v>3567</v>
      </c>
      <c r="AB535" t="s">
        <v>996</v>
      </c>
      <c r="AC535" t="s">
        <v>997</v>
      </c>
      <c r="AD535" t="s">
        <v>1078</v>
      </c>
      <c r="AE535" t="s">
        <v>1078</v>
      </c>
      <c r="AF535" t="s">
        <v>3568</v>
      </c>
      <c r="AI535" t="s">
        <v>1318</v>
      </c>
    </row>
    <row r="536" spans="1:37">
      <c r="A536">
        <v>557</v>
      </c>
      <c r="B536" t="s">
        <v>3569</v>
      </c>
      <c r="C536">
        <v>1047</v>
      </c>
      <c r="D536" t="s">
        <v>1810</v>
      </c>
      <c r="E536" t="s">
        <v>973</v>
      </c>
      <c r="F536" t="s">
        <v>3505</v>
      </c>
      <c r="G536" t="s">
        <v>183</v>
      </c>
      <c r="H536" t="s">
        <v>3505</v>
      </c>
      <c r="I536" t="s">
        <v>3559</v>
      </c>
      <c r="J536" t="s">
        <v>3560</v>
      </c>
      <c r="N536" t="s">
        <v>1115</v>
      </c>
      <c r="T536" t="s">
        <v>1015</v>
      </c>
      <c r="U536" t="s">
        <v>352</v>
      </c>
      <c r="V536" t="s">
        <v>3570</v>
      </c>
      <c r="W536" t="s">
        <v>950</v>
      </c>
      <c r="X536">
        <v>22712</v>
      </c>
      <c r="Y536">
        <v>63</v>
      </c>
      <c r="Z536" t="s">
        <v>3571</v>
      </c>
      <c r="AA536" t="s">
        <v>3572</v>
      </c>
      <c r="AB536" t="s">
        <v>996</v>
      </c>
      <c r="AC536" t="s">
        <v>997</v>
      </c>
      <c r="AD536" t="s">
        <v>1078</v>
      </c>
      <c r="AE536" t="s">
        <v>1078</v>
      </c>
      <c r="AF536" t="s">
        <v>3573</v>
      </c>
      <c r="AI536" t="s">
        <v>1452</v>
      </c>
      <c r="AK536">
        <v>-3</v>
      </c>
    </row>
    <row r="537" spans="1:37">
      <c r="A537">
        <v>558</v>
      </c>
      <c r="B537" t="s">
        <v>3574</v>
      </c>
      <c r="C537">
        <v>1049</v>
      </c>
      <c r="D537" t="s">
        <v>1810</v>
      </c>
      <c r="E537" t="s">
        <v>973</v>
      </c>
      <c r="F537" t="s">
        <v>3505</v>
      </c>
      <c r="G537" t="s">
        <v>183</v>
      </c>
      <c r="H537" t="s">
        <v>3505</v>
      </c>
      <c r="I537" t="s">
        <v>3559</v>
      </c>
      <c r="J537" t="s">
        <v>3560</v>
      </c>
      <c r="N537" t="s">
        <v>1115</v>
      </c>
      <c r="T537" t="s">
        <v>1015</v>
      </c>
      <c r="U537" t="s">
        <v>366</v>
      </c>
      <c r="V537" t="s">
        <v>3575</v>
      </c>
      <c r="W537" t="s">
        <v>950</v>
      </c>
      <c r="X537">
        <v>24504</v>
      </c>
      <c r="Y537">
        <v>58</v>
      </c>
      <c r="Z537" t="s">
        <v>3576</v>
      </c>
      <c r="AA537" t="s">
        <v>3577</v>
      </c>
      <c r="AB537" t="s">
        <v>996</v>
      </c>
      <c r="AC537" t="s">
        <v>997</v>
      </c>
      <c r="AD537" t="s">
        <v>1078</v>
      </c>
      <c r="AE537" t="s">
        <v>1078</v>
      </c>
      <c r="AF537" t="s">
        <v>3578</v>
      </c>
      <c r="AI537" t="s">
        <v>1452</v>
      </c>
      <c r="AK537">
        <v>-3</v>
      </c>
    </row>
    <row r="538" spans="1:37">
      <c r="A538">
        <v>559</v>
      </c>
      <c r="B538" t="s">
        <v>3579</v>
      </c>
      <c r="C538">
        <v>1051</v>
      </c>
      <c r="D538" t="s">
        <v>1810</v>
      </c>
      <c r="E538" t="s">
        <v>973</v>
      </c>
      <c r="F538" t="s">
        <v>3505</v>
      </c>
      <c r="G538" t="s">
        <v>183</v>
      </c>
      <c r="H538" t="s">
        <v>3505</v>
      </c>
      <c r="I538" t="s">
        <v>3559</v>
      </c>
      <c r="J538" t="s">
        <v>3560</v>
      </c>
      <c r="N538" t="s">
        <v>1115</v>
      </c>
      <c r="T538" t="s">
        <v>1015</v>
      </c>
      <c r="U538" t="s">
        <v>380</v>
      </c>
      <c r="V538" t="s">
        <v>3580</v>
      </c>
      <c r="W538" t="s">
        <v>950</v>
      </c>
      <c r="X538">
        <v>30050</v>
      </c>
      <c r="Y538">
        <v>43</v>
      </c>
      <c r="Z538" t="s">
        <v>3581</v>
      </c>
      <c r="AA538" t="s">
        <v>3582</v>
      </c>
      <c r="AB538" t="s">
        <v>996</v>
      </c>
      <c r="AC538" t="s">
        <v>997</v>
      </c>
      <c r="AD538" t="s">
        <v>1078</v>
      </c>
      <c r="AE538" t="s">
        <v>1078</v>
      </c>
      <c r="AF538" t="s">
        <v>3583</v>
      </c>
      <c r="AI538" t="s">
        <v>1452</v>
      </c>
      <c r="AK538">
        <v>-3</v>
      </c>
    </row>
    <row r="539" spans="1:37">
      <c r="A539">
        <v>544</v>
      </c>
      <c r="B539" t="s">
        <v>3584</v>
      </c>
      <c r="C539">
        <v>1053</v>
      </c>
      <c r="D539" t="s">
        <v>1810</v>
      </c>
      <c r="E539" t="s">
        <v>973</v>
      </c>
      <c r="F539" t="s">
        <v>3505</v>
      </c>
      <c r="G539" t="s">
        <v>183</v>
      </c>
      <c r="H539" t="s">
        <v>3505</v>
      </c>
      <c r="I539" t="s">
        <v>3559</v>
      </c>
      <c r="J539" t="s">
        <v>3560</v>
      </c>
      <c r="N539" t="s">
        <v>1115</v>
      </c>
      <c r="T539" t="s">
        <v>1015</v>
      </c>
      <c r="U539" t="s">
        <v>391</v>
      </c>
      <c r="V539" t="s">
        <v>3585</v>
      </c>
      <c r="W539" t="s">
        <v>950</v>
      </c>
      <c r="X539">
        <v>28584</v>
      </c>
      <c r="Y539">
        <v>47</v>
      </c>
      <c r="Z539" t="s">
        <v>3586</v>
      </c>
      <c r="AA539" t="s">
        <v>3587</v>
      </c>
      <c r="AB539" t="s">
        <v>996</v>
      </c>
      <c r="AC539" t="s">
        <v>997</v>
      </c>
      <c r="AD539" t="s">
        <v>1078</v>
      </c>
      <c r="AE539" t="s">
        <v>1078</v>
      </c>
      <c r="AF539" t="s">
        <v>3578</v>
      </c>
      <c r="AI539" t="s">
        <v>1107</v>
      </c>
      <c r="AK539">
        <v>-3</v>
      </c>
    </row>
    <row r="540" spans="1:37">
      <c r="A540">
        <v>543</v>
      </c>
      <c r="B540" t="s">
        <v>3588</v>
      </c>
      <c r="C540">
        <v>1055</v>
      </c>
      <c r="D540" t="s">
        <v>1810</v>
      </c>
      <c r="E540" t="s">
        <v>973</v>
      </c>
      <c r="F540" t="s">
        <v>3505</v>
      </c>
      <c r="G540" t="s">
        <v>183</v>
      </c>
      <c r="H540" t="s">
        <v>3505</v>
      </c>
      <c r="I540" t="s">
        <v>3559</v>
      </c>
      <c r="J540" t="s">
        <v>3560</v>
      </c>
      <c r="N540" t="s">
        <v>1115</v>
      </c>
      <c r="T540" t="s">
        <v>1015</v>
      </c>
      <c r="U540" t="s">
        <v>3589</v>
      </c>
      <c r="V540" t="s">
        <v>3590</v>
      </c>
      <c r="W540" t="s">
        <v>950</v>
      </c>
      <c r="X540">
        <v>22447</v>
      </c>
      <c r="Y540">
        <v>64</v>
      </c>
      <c r="Z540" t="s">
        <v>3591</v>
      </c>
      <c r="AA540" t="s">
        <v>3592</v>
      </c>
      <c r="AB540" t="s">
        <v>996</v>
      </c>
      <c r="AC540" t="s">
        <v>1018</v>
      </c>
      <c r="AD540" t="s">
        <v>1078</v>
      </c>
      <c r="AE540" t="s">
        <v>1078</v>
      </c>
      <c r="AF540" t="s">
        <v>3593</v>
      </c>
      <c r="AI540" t="s">
        <v>1107</v>
      </c>
      <c r="AK540">
        <v>-3</v>
      </c>
    </row>
    <row r="541" spans="1:37">
      <c r="A541">
        <v>545</v>
      </c>
      <c r="B541" t="s">
        <v>3594</v>
      </c>
      <c r="C541">
        <v>1057</v>
      </c>
      <c r="D541" t="s">
        <v>1810</v>
      </c>
      <c r="E541" t="s">
        <v>973</v>
      </c>
      <c r="F541" t="s">
        <v>3505</v>
      </c>
      <c r="G541" t="s">
        <v>183</v>
      </c>
      <c r="H541" t="s">
        <v>3505</v>
      </c>
      <c r="I541" t="s">
        <v>3559</v>
      </c>
      <c r="J541" t="s">
        <v>3560</v>
      </c>
      <c r="N541" t="s">
        <v>1115</v>
      </c>
      <c r="T541" t="s">
        <v>1015</v>
      </c>
      <c r="U541" t="s">
        <v>416</v>
      </c>
      <c r="V541" t="s">
        <v>3595</v>
      </c>
      <c r="W541" t="s">
        <v>950</v>
      </c>
      <c r="X541">
        <v>26312</v>
      </c>
      <c r="Y541">
        <v>54</v>
      </c>
      <c r="Z541" t="s">
        <v>3596</v>
      </c>
      <c r="AA541" t="s">
        <v>3597</v>
      </c>
      <c r="AB541" t="s">
        <v>996</v>
      </c>
      <c r="AC541" t="s">
        <v>997</v>
      </c>
      <c r="AD541" t="s">
        <v>1078</v>
      </c>
      <c r="AE541" t="s">
        <v>1078</v>
      </c>
      <c r="AF541" t="s">
        <v>3578</v>
      </c>
      <c r="AI541" t="s">
        <v>1318</v>
      </c>
    </row>
    <row r="542" spans="1:37">
      <c r="A542">
        <v>514</v>
      </c>
      <c r="B542" t="s">
        <v>3598</v>
      </c>
      <c r="C542">
        <v>1059</v>
      </c>
      <c r="D542" t="s">
        <v>1810</v>
      </c>
      <c r="E542" t="s">
        <v>973</v>
      </c>
      <c r="F542" t="s">
        <v>3505</v>
      </c>
      <c r="G542" t="s">
        <v>183</v>
      </c>
      <c r="H542" t="s">
        <v>3505</v>
      </c>
      <c r="I542" t="s">
        <v>3598</v>
      </c>
      <c r="J542" t="s">
        <v>3599</v>
      </c>
      <c r="N542" t="s">
        <v>1127</v>
      </c>
      <c r="P542" t="s">
        <v>3600</v>
      </c>
      <c r="Q542" t="s">
        <v>178</v>
      </c>
      <c r="S542">
        <v>2</v>
      </c>
      <c r="T542" t="s">
        <v>1015</v>
      </c>
      <c r="U542" t="s">
        <v>3601</v>
      </c>
      <c r="V542" t="s">
        <v>3602</v>
      </c>
      <c r="W542" t="s">
        <v>950</v>
      </c>
      <c r="X542">
        <v>25388</v>
      </c>
      <c r="Y542">
        <v>56</v>
      </c>
      <c r="Z542" t="s">
        <v>3603</v>
      </c>
      <c r="AA542" t="s">
        <v>3604</v>
      </c>
      <c r="AB542" t="s">
        <v>996</v>
      </c>
      <c r="AC542" t="s">
        <v>997</v>
      </c>
      <c r="AD542" t="s">
        <v>973</v>
      </c>
      <c r="AE542" t="s">
        <v>973</v>
      </c>
      <c r="AF542" t="s">
        <v>3509</v>
      </c>
      <c r="AI542" t="s">
        <v>1125</v>
      </c>
    </row>
    <row r="543" spans="1:37">
      <c r="A543">
        <v>565</v>
      </c>
      <c r="B543" t="s">
        <v>3599</v>
      </c>
      <c r="C543">
        <v>1061</v>
      </c>
      <c r="D543" t="s">
        <v>1810</v>
      </c>
      <c r="E543" t="s">
        <v>973</v>
      </c>
      <c r="F543" t="s">
        <v>3505</v>
      </c>
      <c r="G543" t="s">
        <v>183</v>
      </c>
      <c r="H543" t="s">
        <v>3505</v>
      </c>
      <c r="I543" t="s">
        <v>3598</v>
      </c>
      <c r="J543" t="s">
        <v>3599</v>
      </c>
      <c r="N543" t="s">
        <v>1127</v>
      </c>
      <c r="P543" t="s">
        <v>69</v>
      </c>
      <c r="Q543" t="s">
        <v>69</v>
      </c>
      <c r="S543">
        <v>1</v>
      </c>
      <c r="T543" t="s">
        <v>1015</v>
      </c>
      <c r="U543" t="s">
        <v>3605</v>
      </c>
      <c r="V543" t="s">
        <v>3606</v>
      </c>
      <c r="W543" t="s">
        <v>950</v>
      </c>
      <c r="X543">
        <v>27470</v>
      </c>
      <c r="Y543">
        <v>50</v>
      </c>
      <c r="Z543" t="s">
        <v>3607</v>
      </c>
      <c r="AA543" t="s">
        <v>3608</v>
      </c>
      <c r="AB543" t="s">
        <v>996</v>
      </c>
      <c r="AC543" t="s">
        <v>997</v>
      </c>
      <c r="AD543" t="s">
        <v>1078</v>
      </c>
      <c r="AE543" t="s">
        <v>1078</v>
      </c>
      <c r="AF543" t="s">
        <v>3578</v>
      </c>
      <c r="AI543" t="s">
        <v>1125</v>
      </c>
      <c r="AK543">
        <v>-3</v>
      </c>
    </row>
    <row r="544" spans="1:37">
      <c r="A544">
        <v>566</v>
      </c>
      <c r="B544" t="s">
        <v>3609</v>
      </c>
      <c r="C544">
        <v>1063</v>
      </c>
      <c r="D544" t="s">
        <v>1810</v>
      </c>
      <c r="E544" t="s">
        <v>973</v>
      </c>
      <c r="F544" t="s">
        <v>3505</v>
      </c>
      <c r="G544" t="s">
        <v>183</v>
      </c>
      <c r="H544" t="s">
        <v>3505</v>
      </c>
      <c r="I544" t="s">
        <v>3598</v>
      </c>
      <c r="J544" t="s">
        <v>3599</v>
      </c>
      <c r="N544" t="s">
        <v>1127</v>
      </c>
      <c r="T544" t="s">
        <v>1015</v>
      </c>
      <c r="U544" t="s">
        <v>552</v>
      </c>
      <c r="V544" t="s">
        <v>3610</v>
      </c>
      <c r="W544" t="s">
        <v>950</v>
      </c>
      <c r="X544">
        <v>22980</v>
      </c>
      <c r="Y544">
        <v>63</v>
      </c>
      <c r="Z544" t="s">
        <v>3611</v>
      </c>
      <c r="AB544" t="s">
        <v>996</v>
      </c>
      <c r="AC544" t="s">
        <v>1018</v>
      </c>
      <c r="AD544" t="s">
        <v>973</v>
      </c>
      <c r="AE544" t="s">
        <v>973</v>
      </c>
      <c r="AF544" t="s">
        <v>3612</v>
      </c>
      <c r="AI544" t="s">
        <v>1452</v>
      </c>
      <c r="AK544">
        <v>-3</v>
      </c>
    </row>
    <row r="545" spans="1:37">
      <c r="A545">
        <v>567</v>
      </c>
      <c r="B545" t="s">
        <v>3613</v>
      </c>
      <c r="C545">
        <v>1065</v>
      </c>
      <c r="D545" t="s">
        <v>1810</v>
      </c>
      <c r="E545" t="s">
        <v>973</v>
      </c>
      <c r="F545" t="s">
        <v>3505</v>
      </c>
      <c r="G545" t="s">
        <v>183</v>
      </c>
      <c r="H545" t="s">
        <v>3505</v>
      </c>
      <c r="I545" t="s">
        <v>3598</v>
      </c>
      <c r="J545" t="s">
        <v>3599</v>
      </c>
      <c r="N545" t="s">
        <v>1127</v>
      </c>
      <c r="T545" t="s">
        <v>1015</v>
      </c>
      <c r="U545" t="s">
        <v>549</v>
      </c>
      <c r="V545" t="s">
        <v>3614</v>
      </c>
      <c r="W545" t="s">
        <v>950</v>
      </c>
      <c r="X545">
        <v>26041</v>
      </c>
      <c r="Y545">
        <v>54</v>
      </c>
      <c r="Z545" t="s">
        <v>3615</v>
      </c>
      <c r="AA545" t="s">
        <v>3616</v>
      </c>
      <c r="AB545" t="s">
        <v>996</v>
      </c>
      <c r="AC545" t="s">
        <v>1018</v>
      </c>
      <c r="AD545" t="s">
        <v>973</v>
      </c>
      <c r="AE545" t="s">
        <v>973</v>
      </c>
      <c r="AF545" t="s">
        <v>3509</v>
      </c>
      <c r="AI545" t="s">
        <v>1359</v>
      </c>
    </row>
    <row r="546" spans="1:37">
      <c r="A546">
        <v>568</v>
      </c>
      <c r="B546" t="s">
        <v>3617</v>
      </c>
      <c r="C546">
        <v>1067</v>
      </c>
      <c r="D546" t="s">
        <v>1810</v>
      </c>
      <c r="E546" t="s">
        <v>973</v>
      </c>
      <c r="F546" t="s">
        <v>3505</v>
      </c>
      <c r="G546" t="s">
        <v>183</v>
      </c>
      <c r="H546" t="s">
        <v>3505</v>
      </c>
      <c r="I546" t="s">
        <v>3598</v>
      </c>
      <c r="J546" t="s">
        <v>3599</v>
      </c>
      <c r="N546" t="s">
        <v>1127</v>
      </c>
      <c r="T546" t="s">
        <v>1015</v>
      </c>
      <c r="U546" t="s">
        <v>566</v>
      </c>
      <c r="V546" t="s">
        <v>3618</v>
      </c>
      <c r="W546" t="s">
        <v>950</v>
      </c>
      <c r="X546">
        <v>31512</v>
      </c>
      <c r="Y546">
        <v>39</v>
      </c>
      <c r="Z546" t="s">
        <v>3619</v>
      </c>
      <c r="AA546" t="s">
        <v>3620</v>
      </c>
      <c r="AB546" t="s">
        <v>996</v>
      </c>
      <c r="AC546" t="s">
        <v>997</v>
      </c>
      <c r="AD546" t="s">
        <v>973</v>
      </c>
      <c r="AE546" t="s">
        <v>973</v>
      </c>
      <c r="AF546" t="s">
        <v>3509</v>
      </c>
      <c r="AI546" t="s">
        <v>1359</v>
      </c>
    </row>
    <row r="547" spans="1:37">
      <c r="A547">
        <v>550</v>
      </c>
      <c r="B547" t="s">
        <v>3621</v>
      </c>
      <c r="C547">
        <v>1069</v>
      </c>
      <c r="D547" t="s">
        <v>1810</v>
      </c>
      <c r="E547" t="s">
        <v>973</v>
      </c>
      <c r="F547" t="s">
        <v>3505</v>
      </c>
      <c r="G547" t="s">
        <v>183</v>
      </c>
      <c r="H547" t="s">
        <v>3505</v>
      </c>
      <c r="I547" t="s">
        <v>3598</v>
      </c>
      <c r="J547" t="s">
        <v>3599</v>
      </c>
      <c r="N547" t="s">
        <v>1127</v>
      </c>
      <c r="T547" t="s">
        <v>1015</v>
      </c>
      <c r="U547" t="s">
        <v>3622</v>
      </c>
      <c r="V547" t="s">
        <v>3623</v>
      </c>
      <c r="W547" t="s">
        <v>950</v>
      </c>
      <c r="X547">
        <v>35316</v>
      </c>
      <c r="Y547">
        <v>29</v>
      </c>
      <c r="Z547" t="s">
        <v>3624</v>
      </c>
      <c r="AA547" t="s">
        <v>3625</v>
      </c>
      <c r="AB547" t="s">
        <v>996</v>
      </c>
      <c r="AC547" t="s">
        <v>997</v>
      </c>
      <c r="AD547" t="s">
        <v>973</v>
      </c>
      <c r="AE547" t="s">
        <v>973</v>
      </c>
      <c r="AF547" t="s">
        <v>3626</v>
      </c>
      <c r="AI547" t="s">
        <v>1011</v>
      </c>
    </row>
    <row r="548" spans="1:37">
      <c r="A548">
        <v>551</v>
      </c>
      <c r="B548" t="s">
        <v>3627</v>
      </c>
      <c r="C548">
        <v>1071</v>
      </c>
      <c r="D548" t="s">
        <v>1810</v>
      </c>
      <c r="E548" t="s">
        <v>973</v>
      </c>
      <c r="F548" t="s">
        <v>3505</v>
      </c>
      <c r="G548" t="s">
        <v>183</v>
      </c>
      <c r="H548" t="s">
        <v>3505</v>
      </c>
      <c r="I548" t="s">
        <v>3598</v>
      </c>
      <c r="J548" t="s">
        <v>3599</v>
      </c>
      <c r="N548" t="s">
        <v>1127</v>
      </c>
      <c r="T548" t="s">
        <v>1015</v>
      </c>
      <c r="U548" t="s">
        <v>550</v>
      </c>
      <c r="V548" t="s">
        <v>3628</v>
      </c>
      <c r="W548" t="s">
        <v>950</v>
      </c>
      <c r="X548">
        <v>32543</v>
      </c>
      <c r="Y548">
        <v>36</v>
      </c>
      <c r="Z548" t="s">
        <v>3629</v>
      </c>
      <c r="AB548" t="s">
        <v>996</v>
      </c>
      <c r="AC548" t="s">
        <v>1018</v>
      </c>
      <c r="AD548" t="s">
        <v>1078</v>
      </c>
      <c r="AE548" t="s">
        <v>1078</v>
      </c>
      <c r="AF548" t="s">
        <v>3630</v>
      </c>
      <c r="AI548" t="s">
        <v>1114</v>
      </c>
      <c r="AK548">
        <v>-3</v>
      </c>
    </row>
    <row r="549" spans="1:37">
      <c r="A549">
        <v>570</v>
      </c>
      <c r="B549" t="s">
        <v>3631</v>
      </c>
      <c r="C549">
        <v>1073</v>
      </c>
      <c r="D549" t="s">
        <v>1810</v>
      </c>
      <c r="E549" t="s">
        <v>973</v>
      </c>
      <c r="F549" t="s">
        <v>3505</v>
      </c>
      <c r="G549" t="s">
        <v>183</v>
      </c>
      <c r="H549" t="s">
        <v>3505</v>
      </c>
      <c r="I549" t="s">
        <v>3631</v>
      </c>
      <c r="J549" t="s">
        <v>3632</v>
      </c>
      <c r="N549" t="s">
        <v>1157</v>
      </c>
      <c r="P549" t="s">
        <v>55</v>
      </c>
      <c r="Q549" t="s">
        <v>178</v>
      </c>
      <c r="S549">
        <v>3</v>
      </c>
      <c r="T549" t="s">
        <v>1015</v>
      </c>
      <c r="U549" t="s">
        <v>3633</v>
      </c>
      <c r="V549" t="s">
        <v>3634</v>
      </c>
      <c r="W549" t="s">
        <v>950</v>
      </c>
      <c r="X549">
        <v>22474</v>
      </c>
      <c r="Y549">
        <v>64</v>
      </c>
      <c r="Z549" t="s">
        <v>2872</v>
      </c>
      <c r="AA549" t="s">
        <v>3635</v>
      </c>
      <c r="AB549" t="s">
        <v>996</v>
      </c>
      <c r="AC549" t="s">
        <v>997</v>
      </c>
      <c r="AD549" t="s">
        <v>1078</v>
      </c>
      <c r="AE549" t="s">
        <v>1078</v>
      </c>
      <c r="AF549" t="s">
        <v>3636</v>
      </c>
      <c r="AI549" t="s">
        <v>1125</v>
      </c>
      <c r="AK549">
        <v>-3</v>
      </c>
    </row>
    <row r="550" spans="1:37">
      <c r="A550">
        <v>575</v>
      </c>
      <c r="B550" t="s">
        <v>3632</v>
      </c>
      <c r="C550">
        <v>1075</v>
      </c>
      <c r="D550" t="s">
        <v>1810</v>
      </c>
      <c r="E550" t="s">
        <v>973</v>
      </c>
      <c r="F550" t="s">
        <v>3505</v>
      </c>
      <c r="G550" t="s">
        <v>183</v>
      </c>
      <c r="H550" t="s">
        <v>3505</v>
      </c>
      <c r="I550" t="s">
        <v>3631</v>
      </c>
      <c r="J550" t="s">
        <v>3632</v>
      </c>
      <c r="N550" t="s">
        <v>1157</v>
      </c>
      <c r="P550" t="s">
        <v>69</v>
      </c>
      <c r="S550" t="s">
        <v>3637</v>
      </c>
      <c r="T550" t="s">
        <v>1090</v>
      </c>
      <c r="U550" t="s">
        <v>3638</v>
      </c>
      <c r="V550" t="s">
        <v>3639</v>
      </c>
      <c r="W550" t="s">
        <v>950</v>
      </c>
      <c r="X550">
        <v>20435</v>
      </c>
      <c r="Y550">
        <v>70</v>
      </c>
      <c r="Z550" t="s">
        <v>3640</v>
      </c>
      <c r="AA550" t="s">
        <v>3641</v>
      </c>
      <c r="AB550" t="s">
        <v>996</v>
      </c>
      <c r="AC550" t="s">
        <v>997</v>
      </c>
      <c r="AD550" t="s">
        <v>1078</v>
      </c>
      <c r="AE550" t="s">
        <v>1078</v>
      </c>
      <c r="AF550" t="s">
        <v>3636</v>
      </c>
      <c r="AI550" t="s">
        <v>1125</v>
      </c>
      <c r="AK550">
        <v>-3</v>
      </c>
    </row>
    <row r="551" spans="1:37">
      <c r="A551">
        <v>571</v>
      </c>
      <c r="B551" t="s">
        <v>3642</v>
      </c>
      <c r="C551">
        <v>1077</v>
      </c>
      <c r="D551" t="s">
        <v>1810</v>
      </c>
      <c r="E551" t="s">
        <v>973</v>
      </c>
      <c r="F551" t="s">
        <v>3505</v>
      </c>
      <c r="G551" t="s">
        <v>183</v>
      </c>
      <c r="H551" t="s">
        <v>3505</v>
      </c>
      <c r="I551" t="s">
        <v>3631</v>
      </c>
      <c r="J551" t="s">
        <v>3632</v>
      </c>
      <c r="N551" t="s">
        <v>1157</v>
      </c>
      <c r="T551" t="s">
        <v>1090</v>
      </c>
      <c r="U551" t="s">
        <v>3643</v>
      </c>
      <c r="V551" t="s">
        <v>3644</v>
      </c>
      <c r="W551" t="s">
        <v>950</v>
      </c>
      <c r="X551">
        <v>19981</v>
      </c>
      <c r="Y551">
        <v>71</v>
      </c>
      <c r="Z551" t="s">
        <v>3645</v>
      </c>
      <c r="AA551" t="s">
        <v>3646</v>
      </c>
      <c r="AB551" t="s">
        <v>996</v>
      </c>
      <c r="AC551" t="s">
        <v>997</v>
      </c>
      <c r="AD551" t="s">
        <v>1078</v>
      </c>
      <c r="AE551" t="s">
        <v>1078</v>
      </c>
      <c r="AF551" t="s">
        <v>3636</v>
      </c>
      <c r="AI551" t="s">
        <v>1114</v>
      </c>
      <c r="AK551">
        <v>-3</v>
      </c>
    </row>
    <row r="552" spans="1:37">
      <c r="A552">
        <v>417</v>
      </c>
      <c r="B552" t="s">
        <v>3647</v>
      </c>
      <c r="C552">
        <v>1079</v>
      </c>
      <c r="D552" t="s">
        <v>1798</v>
      </c>
      <c r="E552" t="s">
        <v>973</v>
      </c>
      <c r="F552" t="s">
        <v>3505</v>
      </c>
      <c r="G552" t="s">
        <v>183</v>
      </c>
      <c r="H552" t="s">
        <v>3505</v>
      </c>
      <c r="I552" t="s">
        <v>3631</v>
      </c>
      <c r="J552" t="s">
        <v>3632</v>
      </c>
      <c r="N552" t="s">
        <v>1157</v>
      </c>
      <c r="T552" t="s">
        <v>1090</v>
      </c>
      <c r="U552" t="s">
        <v>210</v>
      </c>
      <c r="V552" t="s">
        <v>3648</v>
      </c>
      <c r="W552" t="s">
        <v>950</v>
      </c>
      <c r="X552">
        <v>19481</v>
      </c>
      <c r="Y552">
        <v>72</v>
      </c>
      <c r="Z552" t="s">
        <v>3649</v>
      </c>
      <c r="AA552" t="s">
        <v>3650</v>
      </c>
      <c r="AB552" t="s">
        <v>996</v>
      </c>
      <c r="AC552" t="s">
        <v>997</v>
      </c>
      <c r="AD552" t="s">
        <v>1078</v>
      </c>
      <c r="AE552" t="s">
        <v>3651</v>
      </c>
      <c r="AF552" t="s">
        <v>3652</v>
      </c>
      <c r="AI552" t="s">
        <v>1318</v>
      </c>
    </row>
    <row r="553" spans="1:37">
      <c r="A553">
        <v>572</v>
      </c>
      <c r="B553" t="s">
        <v>3653</v>
      </c>
      <c r="C553">
        <v>1081</v>
      </c>
      <c r="D553" t="s">
        <v>1810</v>
      </c>
      <c r="E553" t="s">
        <v>973</v>
      </c>
      <c r="F553" t="s">
        <v>3505</v>
      </c>
      <c r="G553" t="s">
        <v>183</v>
      </c>
      <c r="H553" t="s">
        <v>3505</v>
      </c>
      <c r="I553" t="s">
        <v>3631</v>
      </c>
      <c r="J553" t="s">
        <v>3632</v>
      </c>
      <c r="N553" t="s">
        <v>1157</v>
      </c>
      <c r="T553" t="s">
        <v>1015</v>
      </c>
      <c r="U553" t="s">
        <v>3654</v>
      </c>
      <c r="V553" t="s">
        <v>3655</v>
      </c>
      <c r="W553" t="s">
        <v>950</v>
      </c>
      <c r="X553">
        <v>22694</v>
      </c>
      <c r="Y553">
        <v>63</v>
      </c>
      <c r="Z553" t="s">
        <v>3656</v>
      </c>
      <c r="AA553" t="s">
        <v>3657</v>
      </c>
      <c r="AB553" t="s">
        <v>996</v>
      </c>
      <c r="AC553" t="s">
        <v>997</v>
      </c>
      <c r="AD553" t="s">
        <v>1078</v>
      </c>
      <c r="AE553" t="s">
        <v>1078</v>
      </c>
      <c r="AF553" t="s">
        <v>3630</v>
      </c>
      <c r="AI553" t="s">
        <v>1114</v>
      </c>
      <c r="AK553">
        <v>-3</v>
      </c>
    </row>
    <row r="554" spans="1:37">
      <c r="A554">
        <v>577</v>
      </c>
      <c r="B554" t="s">
        <v>3658</v>
      </c>
      <c r="C554">
        <v>1083</v>
      </c>
      <c r="D554" t="s">
        <v>1810</v>
      </c>
      <c r="E554" t="s">
        <v>973</v>
      </c>
      <c r="F554" t="s">
        <v>3505</v>
      </c>
      <c r="G554" t="s">
        <v>183</v>
      </c>
      <c r="H554" t="s">
        <v>3505</v>
      </c>
      <c r="I554" t="s">
        <v>3631</v>
      </c>
      <c r="J554" t="s">
        <v>3632</v>
      </c>
      <c r="K554" t="s">
        <v>3658</v>
      </c>
      <c r="N554" t="s">
        <v>1157</v>
      </c>
      <c r="P554" t="s">
        <v>69</v>
      </c>
      <c r="R554" t="s">
        <v>1286</v>
      </c>
      <c r="S554">
        <v>5</v>
      </c>
      <c r="T554" t="s">
        <v>1015</v>
      </c>
      <c r="U554" t="s">
        <v>518</v>
      </c>
      <c r="V554" t="s">
        <v>3659</v>
      </c>
      <c r="W554" t="s">
        <v>950</v>
      </c>
      <c r="X554">
        <v>22251</v>
      </c>
      <c r="Y554">
        <v>65</v>
      </c>
      <c r="Z554" t="s">
        <v>3660</v>
      </c>
      <c r="AA554" t="s">
        <v>3661</v>
      </c>
      <c r="AB554" t="s">
        <v>996</v>
      </c>
      <c r="AC554" t="s">
        <v>997</v>
      </c>
      <c r="AD554" t="s">
        <v>1078</v>
      </c>
      <c r="AE554" t="s">
        <v>1078</v>
      </c>
      <c r="AF554" t="s">
        <v>3636</v>
      </c>
      <c r="AI554" t="s">
        <v>1359</v>
      </c>
    </row>
    <row r="555" spans="1:37">
      <c r="A555">
        <v>576</v>
      </c>
      <c r="B555" t="s">
        <v>3662</v>
      </c>
      <c r="C555">
        <v>1085</v>
      </c>
      <c r="D555" t="s">
        <v>1810</v>
      </c>
      <c r="E555" t="s">
        <v>973</v>
      </c>
      <c r="F555" t="s">
        <v>3505</v>
      </c>
      <c r="G555" t="s">
        <v>183</v>
      </c>
      <c r="H555" t="s">
        <v>3505</v>
      </c>
      <c r="I555" t="s">
        <v>3631</v>
      </c>
      <c r="J555" t="s">
        <v>3632</v>
      </c>
      <c r="N555" t="s">
        <v>1157</v>
      </c>
      <c r="T555" t="s">
        <v>1015</v>
      </c>
      <c r="U555" t="s">
        <v>3663</v>
      </c>
      <c r="V555" t="s">
        <v>3664</v>
      </c>
      <c r="W555" t="s">
        <v>950</v>
      </c>
      <c r="X555">
        <v>34240</v>
      </c>
      <c r="Y555">
        <v>32</v>
      </c>
      <c r="Z555" t="s">
        <v>3665</v>
      </c>
      <c r="AA555" t="s">
        <v>3666</v>
      </c>
      <c r="AB555" t="s">
        <v>996</v>
      </c>
      <c r="AC555" t="s">
        <v>1018</v>
      </c>
      <c r="AD555" t="s">
        <v>1078</v>
      </c>
      <c r="AE555" t="s">
        <v>1078</v>
      </c>
      <c r="AF555" t="s">
        <v>3636</v>
      </c>
      <c r="AI555" t="s">
        <v>1114</v>
      </c>
    </row>
    <row r="556" spans="1:37">
      <c r="A556">
        <v>548</v>
      </c>
      <c r="B556" t="s">
        <v>3667</v>
      </c>
      <c r="C556">
        <v>1087</v>
      </c>
      <c r="D556" t="s">
        <v>1810</v>
      </c>
      <c r="E556" t="s">
        <v>973</v>
      </c>
      <c r="F556" t="s">
        <v>3505</v>
      </c>
      <c r="G556" t="s">
        <v>183</v>
      </c>
      <c r="H556" t="s">
        <v>3505</v>
      </c>
      <c r="I556" t="s">
        <v>3667</v>
      </c>
      <c r="J556" t="s">
        <v>3668</v>
      </c>
      <c r="N556" t="s">
        <v>1480</v>
      </c>
      <c r="P556" t="s">
        <v>3669</v>
      </c>
      <c r="Q556" t="s">
        <v>178</v>
      </c>
      <c r="T556" t="s">
        <v>992</v>
      </c>
      <c r="U556" t="s">
        <v>3670</v>
      </c>
      <c r="V556" t="s">
        <v>3671</v>
      </c>
      <c r="W556" t="s">
        <v>950</v>
      </c>
      <c r="X556">
        <v>34119</v>
      </c>
      <c r="Y556">
        <v>32</v>
      </c>
      <c r="Z556" t="s">
        <v>3672</v>
      </c>
      <c r="AA556" t="s">
        <v>3673</v>
      </c>
      <c r="AB556" t="s">
        <v>996</v>
      </c>
      <c r="AC556" t="s">
        <v>997</v>
      </c>
      <c r="AD556" t="s">
        <v>973</v>
      </c>
      <c r="AE556" t="s">
        <v>973</v>
      </c>
      <c r="AF556" t="s">
        <v>3509</v>
      </c>
      <c r="AI556" t="s">
        <v>1114</v>
      </c>
      <c r="AK556">
        <v>-3</v>
      </c>
    </row>
    <row r="557" spans="1:37">
      <c r="A557">
        <v>553</v>
      </c>
      <c r="B557" t="s">
        <v>3668</v>
      </c>
      <c r="C557">
        <v>1089</v>
      </c>
      <c r="D557" t="s">
        <v>1810</v>
      </c>
      <c r="E557" t="s">
        <v>973</v>
      </c>
      <c r="F557" t="s">
        <v>3505</v>
      </c>
      <c r="G557" t="s">
        <v>183</v>
      </c>
      <c r="H557" t="s">
        <v>3505</v>
      </c>
      <c r="I557" t="s">
        <v>3667</v>
      </c>
      <c r="J557" t="s">
        <v>3668</v>
      </c>
      <c r="N557" t="s">
        <v>1480</v>
      </c>
      <c r="P557" t="s">
        <v>69</v>
      </c>
      <c r="R557" t="s">
        <v>1286</v>
      </c>
      <c r="S557">
        <v>1</v>
      </c>
      <c r="T557" t="s">
        <v>992</v>
      </c>
      <c r="U557" t="s">
        <v>3674</v>
      </c>
      <c r="V557" t="s">
        <v>3675</v>
      </c>
      <c r="W557" t="s">
        <v>950</v>
      </c>
      <c r="X557">
        <v>35234</v>
      </c>
      <c r="Y557">
        <v>29</v>
      </c>
      <c r="Z557" t="s">
        <v>3676</v>
      </c>
      <c r="AA557" t="s">
        <v>3677</v>
      </c>
      <c r="AB557" t="s">
        <v>996</v>
      </c>
      <c r="AC557" t="s">
        <v>997</v>
      </c>
      <c r="AD557" t="s">
        <v>973</v>
      </c>
      <c r="AE557" t="s">
        <v>973</v>
      </c>
      <c r="AF557" t="s">
        <v>3509</v>
      </c>
      <c r="AI557" t="s">
        <v>1114</v>
      </c>
      <c r="AK557">
        <v>-3</v>
      </c>
    </row>
    <row r="558" spans="1:37">
      <c r="A558">
        <v>554</v>
      </c>
      <c r="B558" t="s">
        <v>3678</v>
      </c>
      <c r="C558">
        <v>1091</v>
      </c>
      <c r="D558" t="s">
        <v>1810</v>
      </c>
      <c r="E558" t="s">
        <v>973</v>
      </c>
      <c r="F558" t="s">
        <v>3505</v>
      </c>
      <c r="G558" t="s">
        <v>183</v>
      </c>
      <c r="H558" t="s">
        <v>3505</v>
      </c>
      <c r="I558" t="s">
        <v>3667</v>
      </c>
      <c r="J558" t="s">
        <v>3668</v>
      </c>
      <c r="N558" t="s">
        <v>1480</v>
      </c>
      <c r="T558" t="s">
        <v>992</v>
      </c>
      <c r="U558" t="s">
        <v>430</v>
      </c>
      <c r="V558" t="s">
        <v>3679</v>
      </c>
      <c r="W558" t="s">
        <v>950</v>
      </c>
      <c r="X558">
        <v>32595</v>
      </c>
      <c r="Y558">
        <v>36</v>
      </c>
      <c r="Z558" t="s">
        <v>3680</v>
      </c>
      <c r="AA558" t="s">
        <v>3681</v>
      </c>
      <c r="AB558" t="s">
        <v>996</v>
      </c>
      <c r="AC558" t="s">
        <v>997</v>
      </c>
      <c r="AD558" t="s">
        <v>1078</v>
      </c>
      <c r="AE558" t="s">
        <v>1078</v>
      </c>
      <c r="AF558" t="s">
        <v>3568</v>
      </c>
      <c r="AI558" t="s">
        <v>1359</v>
      </c>
      <c r="AK558">
        <v>-6</v>
      </c>
    </row>
    <row r="559" spans="1:37">
      <c r="A559">
        <v>530</v>
      </c>
      <c r="B559" t="s">
        <v>3682</v>
      </c>
      <c r="C559">
        <v>1093</v>
      </c>
      <c r="D559" t="s">
        <v>1810</v>
      </c>
      <c r="E559" t="s">
        <v>973</v>
      </c>
      <c r="F559" t="s">
        <v>3505</v>
      </c>
      <c r="G559" t="s">
        <v>183</v>
      </c>
      <c r="H559" t="s">
        <v>3505</v>
      </c>
      <c r="I559" t="s">
        <v>3667</v>
      </c>
      <c r="J559" t="s">
        <v>3668</v>
      </c>
      <c r="N559" t="s">
        <v>1480</v>
      </c>
      <c r="T559" t="s">
        <v>992</v>
      </c>
      <c r="U559" t="s">
        <v>225</v>
      </c>
      <c r="V559" t="s">
        <v>3683</v>
      </c>
      <c r="W559" t="s">
        <v>950</v>
      </c>
      <c r="X559">
        <v>34898</v>
      </c>
      <c r="Y559">
        <v>30</v>
      </c>
      <c r="Z559" t="s">
        <v>3684</v>
      </c>
      <c r="AA559" t="s">
        <v>3685</v>
      </c>
      <c r="AB559" t="s">
        <v>996</v>
      </c>
      <c r="AC559" t="s">
        <v>1018</v>
      </c>
      <c r="AD559" t="s">
        <v>973</v>
      </c>
      <c r="AE559" t="s">
        <v>973</v>
      </c>
      <c r="AF559" t="s">
        <v>3686</v>
      </c>
      <c r="AI559" t="s">
        <v>1452</v>
      </c>
      <c r="AJ559" t="s">
        <v>3510</v>
      </c>
      <c r="AK559">
        <v>-3</v>
      </c>
    </row>
    <row r="560" spans="1:37">
      <c r="A560">
        <v>531</v>
      </c>
      <c r="B560" t="s">
        <v>3687</v>
      </c>
      <c r="C560">
        <v>1095</v>
      </c>
      <c r="D560" t="s">
        <v>1810</v>
      </c>
      <c r="E560" t="s">
        <v>973</v>
      </c>
      <c r="F560" t="s">
        <v>3505</v>
      </c>
      <c r="G560" t="s">
        <v>183</v>
      </c>
      <c r="H560" t="s">
        <v>3505</v>
      </c>
      <c r="I560" t="s">
        <v>3667</v>
      </c>
      <c r="J560" t="s">
        <v>3668</v>
      </c>
      <c r="N560" t="s">
        <v>1480</v>
      </c>
      <c r="T560" t="s">
        <v>992</v>
      </c>
      <c r="U560" t="s">
        <v>244</v>
      </c>
      <c r="V560" t="s">
        <v>3688</v>
      </c>
      <c r="W560" t="s">
        <v>950</v>
      </c>
      <c r="X560">
        <v>38176</v>
      </c>
      <c r="Y560">
        <v>21</v>
      </c>
      <c r="Z560" t="s">
        <v>3689</v>
      </c>
      <c r="AA560" t="s">
        <v>3690</v>
      </c>
      <c r="AB560" t="s">
        <v>996</v>
      </c>
      <c r="AC560" t="s">
        <v>997</v>
      </c>
      <c r="AD560" t="s">
        <v>973</v>
      </c>
      <c r="AE560" t="s">
        <v>973</v>
      </c>
      <c r="AF560" t="s">
        <v>3691</v>
      </c>
      <c r="AI560" t="s">
        <v>1452</v>
      </c>
      <c r="AJ560" t="s">
        <v>3510</v>
      </c>
      <c r="AK560">
        <v>-3</v>
      </c>
    </row>
    <row r="561" spans="1:37">
      <c r="A561">
        <v>529</v>
      </c>
      <c r="B561" t="s">
        <v>3692</v>
      </c>
      <c r="C561">
        <v>1097</v>
      </c>
      <c r="D561" t="s">
        <v>1810</v>
      </c>
      <c r="E561" t="s">
        <v>973</v>
      </c>
      <c r="F561" t="s">
        <v>3505</v>
      </c>
      <c r="G561" t="s">
        <v>183</v>
      </c>
      <c r="H561" t="s">
        <v>3505</v>
      </c>
      <c r="I561" t="s">
        <v>3667</v>
      </c>
      <c r="J561" t="s">
        <v>3668</v>
      </c>
      <c r="N561" t="s">
        <v>1480</v>
      </c>
      <c r="T561" t="s">
        <v>992</v>
      </c>
      <c r="U561" t="s">
        <v>347</v>
      </c>
      <c r="V561" t="s">
        <v>3693</v>
      </c>
      <c r="W561" t="s">
        <v>963</v>
      </c>
      <c r="X561">
        <v>38566</v>
      </c>
      <c r="Y561">
        <v>20</v>
      </c>
      <c r="Z561" t="s">
        <v>3694</v>
      </c>
      <c r="AA561" t="s">
        <v>3695</v>
      </c>
      <c r="AB561" t="s">
        <v>996</v>
      </c>
      <c r="AC561" t="s">
        <v>1018</v>
      </c>
      <c r="AD561" t="s">
        <v>1078</v>
      </c>
      <c r="AE561" t="s">
        <v>1078</v>
      </c>
      <c r="AF561" t="s">
        <v>3696</v>
      </c>
      <c r="AI561" t="s">
        <v>1349</v>
      </c>
    </row>
    <row r="562" spans="1:37">
      <c r="A562">
        <v>534</v>
      </c>
      <c r="B562" t="s">
        <v>3697</v>
      </c>
      <c r="C562">
        <v>1099</v>
      </c>
      <c r="D562" t="s">
        <v>1810</v>
      </c>
      <c r="E562" t="s">
        <v>973</v>
      </c>
      <c r="F562" t="s">
        <v>3505</v>
      </c>
      <c r="G562" t="s">
        <v>183</v>
      </c>
      <c r="H562" t="s">
        <v>3505</v>
      </c>
      <c r="I562" t="s">
        <v>3667</v>
      </c>
      <c r="J562" t="s">
        <v>3668</v>
      </c>
      <c r="N562" t="s">
        <v>1480</v>
      </c>
      <c r="T562" t="s">
        <v>1705</v>
      </c>
      <c r="U562" t="s">
        <v>450</v>
      </c>
      <c r="V562" t="s">
        <v>3698</v>
      </c>
      <c r="W562" t="s">
        <v>963</v>
      </c>
      <c r="X562">
        <v>40221</v>
      </c>
      <c r="Y562">
        <v>15</v>
      </c>
      <c r="Z562" t="s">
        <v>3699</v>
      </c>
      <c r="AA562" t="s">
        <v>3700</v>
      </c>
      <c r="AB562" t="s">
        <v>996</v>
      </c>
      <c r="AC562" t="s">
        <v>997</v>
      </c>
      <c r="AD562" t="s">
        <v>973</v>
      </c>
      <c r="AE562" t="s">
        <v>973</v>
      </c>
      <c r="AF562" t="s">
        <v>3509</v>
      </c>
      <c r="AI562" t="s">
        <v>1318</v>
      </c>
    </row>
    <row r="563" spans="1:37">
      <c r="A563">
        <v>511</v>
      </c>
      <c r="B563" t="s">
        <v>3505</v>
      </c>
      <c r="C563">
        <v>1100</v>
      </c>
      <c r="E563" t="s">
        <v>973</v>
      </c>
      <c r="F563" t="s">
        <v>3505</v>
      </c>
      <c r="G563" t="s">
        <v>183</v>
      </c>
      <c r="H563" t="s">
        <v>3505</v>
      </c>
      <c r="I563" t="s">
        <v>3505</v>
      </c>
      <c r="N563" t="s">
        <v>3701</v>
      </c>
      <c r="P563" t="s">
        <v>1227</v>
      </c>
      <c r="Q563" t="s">
        <v>173</v>
      </c>
      <c r="U563" t="s">
        <v>183</v>
      </c>
      <c r="V563" t="s">
        <v>3506</v>
      </c>
      <c r="W563" t="s">
        <v>950</v>
      </c>
      <c r="X563">
        <v>19177</v>
      </c>
      <c r="Y563">
        <v>73</v>
      </c>
      <c r="Z563" t="s">
        <v>3507</v>
      </c>
      <c r="AA563" t="s">
        <v>3508</v>
      </c>
      <c r="AB563" t="s">
        <v>966</v>
      </c>
      <c r="AC563" t="s">
        <v>953</v>
      </c>
      <c r="AD563" t="s">
        <v>973</v>
      </c>
      <c r="AE563" t="s">
        <v>973</v>
      </c>
      <c r="AF563" t="s">
        <v>3509</v>
      </c>
      <c r="AG563" t="s">
        <v>955</v>
      </c>
      <c r="AJ563" t="s">
        <v>3510</v>
      </c>
      <c r="AK563">
        <v>-3</v>
      </c>
    </row>
    <row r="564" spans="1:37">
      <c r="A564">
        <v>528</v>
      </c>
      <c r="B564" t="s">
        <v>3702</v>
      </c>
      <c r="C564">
        <v>1102</v>
      </c>
      <c r="D564" t="s">
        <v>1810</v>
      </c>
      <c r="E564" t="s">
        <v>973</v>
      </c>
      <c r="F564" t="s">
        <v>3505</v>
      </c>
      <c r="G564" t="s">
        <v>183</v>
      </c>
      <c r="H564" t="s">
        <v>3505</v>
      </c>
      <c r="I564" t="s">
        <v>3505</v>
      </c>
      <c r="N564" t="s">
        <v>3701</v>
      </c>
      <c r="Q564" t="s">
        <v>1002</v>
      </c>
      <c r="S564" t="s">
        <v>3703</v>
      </c>
      <c r="T564" t="s">
        <v>1015</v>
      </c>
      <c r="U564" t="s">
        <v>3704</v>
      </c>
      <c r="V564" t="s">
        <v>3705</v>
      </c>
      <c r="W564" t="s">
        <v>950</v>
      </c>
      <c r="X564">
        <v>34934</v>
      </c>
      <c r="Y564">
        <v>30</v>
      </c>
      <c r="Z564" t="s">
        <v>3706</v>
      </c>
      <c r="AA564" t="s">
        <v>3707</v>
      </c>
      <c r="AB564" t="s">
        <v>996</v>
      </c>
      <c r="AC564" t="s">
        <v>997</v>
      </c>
      <c r="AD564" t="s">
        <v>973</v>
      </c>
      <c r="AE564" t="s">
        <v>973</v>
      </c>
      <c r="AF564" t="s">
        <v>3686</v>
      </c>
      <c r="AI564" t="s">
        <v>1452</v>
      </c>
      <c r="AJ564" t="s">
        <v>3510</v>
      </c>
      <c r="AK564">
        <v>-3</v>
      </c>
    </row>
    <row r="565" spans="1:37">
      <c r="A565">
        <v>512</v>
      </c>
      <c r="B565" t="s">
        <v>3708</v>
      </c>
      <c r="C565">
        <v>1104</v>
      </c>
      <c r="D565" t="s">
        <v>1810</v>
      </c>
      <c r="E565" t="s">
        <v>973</v>
      </c>
      <c r="F565" t="s">
        <v>3505</v>
      </c>
      <c r="G565" t="s">
        <v>183</v>
      </c>
      <c r="H565" t="s">
        <v>3505</v>
      </c>
      <c r="I565" t="s">
        <v>3505</v>
      </c>
      <c r="N565" t="s">
        <v>3701</v>
      </c>
      <c r="P565" t="s">
        <v>173</v>
      </c>
      <c r="Q565" t="s">
        <v>514</v>
      </c>
      <c r="S565" t="s">
        <v>55</v>
      </c>
      <c r="T565" t="s">
        <v>1015</v>
      </c>
      <c r="U565" t="s">
        <v>203</v>
      </c>
      <c r="V565" t="s">
        <v>3709</v>
      </c>
      <c r="W565" t="s">
        <v>950</v>
      </c>
      <c r="X565">
        <v>20911</v>
      </c>
      <c r="Y565">
        <v>68</v>
      </c>
      <c r="Z565" t="s">
        <v>3710</v>
      </c>
      <c r="AA565" t="s">
        <v>3711</v>
      </c>
      <c r="AB565" t="s">
        <v>966</v>
      </c>
      <c r="AC565" t="s">
        <v>953</v>
      </c>
      <c r="AD565" t="s">
        <v>973</v>
      </c>
      <c r="AE565" t="s">
        <v>973</v>
      </c>
      <c r="AF565" t="s">
        <v>3509</v>
      </c>
      <c r="AJ565" t="s">
        <v>3510</v>
      </c>
      <c r="AK565">
        <v>-3</v>
      </c>
    </row>
    <row r="566" spans="1:37">
      <c r="A566">
        <v>542</v>
      </c>
      <c r="B566" t="s">
        <v>3712</v>
      </c>
      <c r="C566">
        <v>1106</v>
      </c>
      <c r="D566" t="s">
        <v>1810</v>
      </c>
      <c r="E566" t="s">
        <v>3713</v>
      </c>
      <c r="F566" t="s">
        <v>3505</v>
      </c>
      <c r="G566" t="s">
        <v>203</v>
      </c>
      <c r="H566" t="s">
        <v>3708</v>
      </c>
      <c r="I566" t="s">
        <v>3712</v>
      </c>
      <c r="N566" t="s">
        <v>1552</v>
      </c>
      <c r="P566" t="s">
        <v>3714</v>
      </c>
      <c r="S566" t="s">
        <v>3715</v>
      </c>
      <c r="T566" t="s">
        <v>1015</v>
      </c>
      <c r="U566" t="s">
        <v>3716</v>
      </c>
      <c r="V566" t="s">
        <v>3717</v>
      </c>
      <c r="W566" t="s">
        <v>950</v>
      </c>
      <c r="X566">
        <v>21722</v>
      </c>
      <c r="Y566">
        <v>66</v>
      </c>
      <c r="Z566" t="s">
        <v>3718</v>
      </c>
      <c r="AA566" t="s">
        <v>3719</v>
      </c>
      <c r="AB566" t="s">
        <v>996</v>
      </c>
      <c r="AC566" t="s">
        <v>997</v>
      </c>
      <c r="AD566" t="s">
        <v>1078</v>
      </c>
      <c r="AE566" t="s">
        <v>1078</v>
      </c>
      <c r="AF566" t="s">
        <v>3593</v>
      </c>
      <c r="AI566" t="s">
        <v>1107</v>
      </c>
      <c r="AK566">
        <v>-3</v>
      </c>
    </row>
    <row r="567" spans="1:37">
      <c r="A567">
        <v>546</v>
      </c>
      <c r="B567" t="s">
        <v>3720</v>
      </c>
      <c r="C567">
        <v>1108</v>
      </c>
      <c r="D567" t="s">
        <v>1810</v>
      </c>
      <c r="E567" t="s">
        <v>3713</v>
      </c>
      <c r="F567" t="s">
        <v>3505</v>
      </c>
      <c r="G567" t="s">
        <v>203</v>
      </c>
      <c r="H567" t="s">
        <v>3708</v>
      </c>
      <c r="I567" t="s">
        <v>3712</v>
      </c>
      <c r="N567" t="s">
        <v>1552</v>
      </c>
      <c r="T567" t="s">
        <v>1015</v>
      </c>
      <c r="U567" t="s">
        <v>819</v>
      </c>
      <c r="V567" t="s">
        <v>3721</v>
      </c>
      <c r="W567" t="s">
        <v>950</v>
      </c>
      <c r="X567">
        <v>24520</v>
      </c>
      <c r="Y567">
        <v>58</v>
      </c>
      <c r="Z567" t="s">
        <v>3722</v>
      </c>
      <c r="AB567" t="s">
        <v>996</v>
      </c>
      <c r="AC567" t="s">
        <v>1018</v>
      </c>
      <c r="AD567" t="s">
        <v>1078</v>
      </c>
      <c r="AE567" t="s">
        <v>1078</v>
      </c>
      <c r="AF567" t="s">
        <v>3578</v>
      </c>
      <c r="AI567" t="s">
        <v>1575</v>
      </c>
    </row>
    <row r="568" spans="1:37">
      <c r="A568">
        <v>552</v>
      </c>
      <c r="B568" t="s">
        <v>3723</v>
      </c>
      <c r="C568">
        <v>1110</v>
      </c>
      <c r="D568" t="s">
        <v>1810</v>
      </c>
      <c r="E568" t="s">
        <v>3713</v>
      </c>
      <c r="F568" t="s">
        <v>3505</v>
      </c>
      <c r="G568" t="s">
        <v>203</v>
      </c>
      <c r="H568" t="s">
        <v>3708</v>
      </c>
      <c r="I568" t="s">
        <v>3712</v>
      </c>
      <c r="N568" t="s">
        <v>1552</v>
      </c>
      <c r="T568" t="s">
        <v>1015</v>
      </c>
      <c r="U568" t="s">
        <v>3724</v>
      </c>
      <c r="V568" t="s">
        <v>3725</v>
      </c>
      <c r="W568" t="s">
        <v>950</v>
      </c>
      <c r="X568">
        <v>32597</v>
      </c>
      <c r="Y568">
        <v>36</v>
      </c>
      <c r="Z568" t="s">
        <v>3726</v>
      </c>
      <c r="AB568" t="s">
        <v>996</v>
      </c>
      <c r="AC568" t="s">
        <v>1018</v>
      </c>
      <c r="AD568" t="s">
        <v>1078</v>
      </c>
      <c r="AE568" t="s">
        <v>1078</v>
      </c>
      <c r="AF568" t="s">
        <v>3578</v>
      </c>
      <c r="AI568" t="s">
        <v>1566</v>
      </c>
    </row>
    <row r="569" spans="1:37">
      <c r="A569">
        <v>561</v>
      </c>
      <c r="B569" t="s">
        <v>3727</v>
      </c>
      <c r="C569">
        <v>1112</v>
      </c>
      <c r="D569" t="s">
        <v>1810</v>
      </c>
      <c r="E569" t="s">
        <v>3713</v>
      </c>
      <c r="F569" t="s">
        <v>3505</v>
      </c>
      <c r="G569" t="s">
        <v>203</v>
      </c>
      <c r="H569" t="s">
        <v>3708</v>
      </c>
      <c r="I569" t="s">
        <v>3712</v>
      </c>
      <c r="N569" t="s">
        <v>1552</v>
      </c>
      <c r="T569" t="s">
        <v>1015</v>
      </c>
      <c r="U569" t="s">
        <v>708</v>
      </c>
      <c r="V569" t="s">
        <v>3728</v>
      </c>
      <c r="W569" t="s">
        <v>950</v>
      </c>
      <c r="X569">
        <v>23749</v>
      </c>
      <c r="Y569">
        <v>61</v>
      </c>
      <c r="Z569" t="s">
        <v>3729</v>
      </c>
      <c r="AA569" t="s">
        <v>3730</v>
      </c>
      <c r="AB569" t="s">
        <v>996</v>
      </c>
      <c r="AC569" t="s">
        <v>997</v>
      </c>
      <c r="AD569" t="s">
        <v>973</v>
      </c>
      <c r="AE569" t="s">
        <v>973</v>
      </c>
      <c r="AF569" t="s">
        <v>3731</v>
      </c>
      <c r="AI569" t="s">
        <v>1566</v>
      </c>
    </row>
    <row r="570" spans="1:37">
      <c r="A570">
        <v>560</v>
      </c>
      <c r="B570" t="s">
        <v>3732</v>
      </c>
      <c r="C570">
        <v>1114</v>
      </c>
      <c r="D570" t="s">
        <v>1810</v>
      </c>
      <c r="E570" t="s">
        <v>3713</v>
      </c>
      <c r="F570" t="s">
        <v>3505</v>
      </c>
      <c r="G570" t="s">
        <v>203</v>
      </c>
      <c r="H570" t="s">
        <v>3708</v>
      </c>
      <c r="I570" t="s">
        <v>3712</v>
      </c>
      <c r="N570" t="s">
        <v>1552</v>
      </c>
      <c r="T570" t="s">
        <v>1015</v>
      </c>
      <c r="U570" t="s">
        <v>628</v>
      </c>
      <c r="V570" t="s">
        <v>3733</v>
      </c>
      <c r="W570" t="s">
        <v>950</v>
      </c>
      <c r="X570">
        <v>21629</v>
      </c>
      <c r="Y570">
        <v>66</v>
      </c>
      <c r="Z570" t="s">
        <v>3734</v>
      </c>
      <c r="AA570" t="s">
        <v>3735</v>
      </c>
      <c r="AB570" t="s">
        <v>996</v>
      </c>
      <c r="AC570" t="s">
        <v>997</v>
      </c>
      <c r="AD570" t="s">
        <v>973</v>
      </c>
      <c r="AE570" t="s">
        <v>973</v>
      </c>
      <c r="AF570" t="s">
        <v>3509</v>
      </c>
      <c r="AI570" t="s">
        <v>1566</v>
      </c>
    </row>
    <row r="571" spans="1:37">
      <c r="A571">
        <v>562</v>
      </c>
      <c r="B571" t="s">
        <v>3736</v>
      </c>
      <c r="C571">
        <v>1116</v>
      </c>
      <c r="D571" t="s">
        <v>1810</v>
      </c>
      <c r="E571" t="s">
        <v>3713</v>
      </c>
      <c r="F571" t="s">
        <v>3505</v>
      </c>
      <c r="G571" t="s">
        <v>203</v>
      </c>
      <c r="H571" t="s">
        <v>3708</v>
      </c>
      <c r="I571" t="s">
        <v>3712</v>
      </c>
      <c r="N571" t="s">
        <v>1552</v>
      </c>
      <c r="T571" t="s">
        <v>1015</v>
      </c>
      <c r="U571" t="s">
        <v>683</v>
      </c>
      <c r="V571" t="s">
        <v>3737</v>
      </c>
      <c r="W571" t="s">
        <v>950</v>
      </c>
      <c r="X571">
        <v>22477</v>
      </c>
      <c r="Y571">
        <v>64</v>
      </c>
      <c r="Z571" t="s">
        <v>3738</v>
      </c>
      <c r="AB571" t="s">
        <v>996</v>
      </c>
      <c r="AC571" t="s">
        <v>1018</v>
      </c>
      <c r="AD571" t="s">
        <v>973</v>
      </c>
      <c r="AE571" t="s">
        <v>973</v>
      </c>
      <c r="AF571" t="s">
        <v>3509</v>
      </c>
      <c r="AI571" t="s">
        <v>1566</v>
      </c>
    </row>
    <row r="572" spans="1:37">
      <c r="A572">
        <v>574</v>
      </c>
      <c r="B572" t="s">
        <v>3739</v>
      </c>
      <c r="C572">
        <v>1118</v>
      </c>
      <c r="D572" t="s">
        <v>1810</v>
      </c>
      <c r="E572" t="s">
        <v>3713</v>
      </c>
      <c r="F572" t="s">
        <v>3505</v>
      </c>
      <c r="G572" t="s">
        <v>203</v>
      </c>
      <c r="H572" t="s">
        <v>3708</v>
      </c>
      <c r="I572" t="s">
        <v>3712</v>
      </c>
      <c r="N572" t="s">
        <v>1552</v>
      </c>
      <c r="T572" t="s">
        <v>1015</v>
      </c>
      <c r="U572" t="s">
        <v>698</v>
      </c>
      <c r="V572" t="s">
        <v>3740</v>
      </c>
      <c r="W572" t="s">
        <v>950</v>
      </c>
      <c r="X572">
        <v>22929</v>
      </c>
      <c r="Y572">
        <v>63</v>
      </c>
      <c r="Z572" t="s">
        <v>3741</v>
      </c>
      <c r="AA572" t="s">
        <v>3742</v>
      </c>
      <c r="AB572" t="s">
        <v>996</v>
      </c>
      <c r="AC572" t="s">
        <v>997</v>
      </c>
      <c r="AD572" t="s">
        <v>1078</v>
      </c>
      <c r="AE572" t="s">
        <v>1078</v>
      </c>
      <c r="AF572" t="s">
        <v>3578</v>
      </c>
      <c r="AI572" t="s">
        <v>1566</v>
      </c>
    </row>
    <row r="573" spans="1:37">
      <c r="A573">
        <v>578</v>
      </c>
      <c r="B573" t="s">
        <v>3743</v>
      </c>
      <c r="C573">
        <v>1120</v>
      </c>
      <c r="D573" t="s">
        <v>1810</v>
      </c>
      <c r="E573" t="s">
        <v>3713</v>
      </c>
      <c r="F573" t="s">
        <v>3505</v>
      </c>
      <c r="G573" t="s">
        <v>203</v>
      </c>
      <c r="H573" t="s">
        <v>3708</v>
      </c>
      <c r="I573" t="s">
        <v>3712</v>
      </c>
      <c r="N573" t="s">
        <v>1552</v>
      </c>
      <c r="T573" t="s">
        <v>1015</v>
      </c>
      <c r="U573" t="s">
        <v>696</v>
      </c>
      <c r="V573" t="s">
        <v>3744</v>
      </c>
      <c r="W573" t="s">
        <v>950</v>
      </c>
      <c r="X573">
        <v>24508</v>
      </c>
      <c r="Y573">
        <v>58</v>
      </c>
      <c r="Z573" t="s">
        <v>3745</v>
      </c>
      <c r="AB573" t="s">
        <v>996</v>
      </c>
      <c r="AC573" t="s">
        <v>1018</v>
      </c>
      <c r="AD573" t="s">
        <v>1078</v>
      </c>
      <c r="AE573" t="s">
        <v>1078</v>
      </c>
      <c r="AF573" t="s">
        <v>3746</v>
      </c>
      <c r="AI573" t="s">
        <v>1513</v>
      </c>
    </row>
    <row r="574" spans="1:37">
      <c r="A574">
        <v>579</v>
      </c>
      <c r="B574" t="s">
        <v>3747</v>
      </c>
      <c r="C574">
        <v>1122</v>
      </c>
      <c r="D574" t="s">
        <v>1810</v>
      </c>
      <c r="E574" t="s">
        <v>3713</v>
      </c>
      <c r="F574" t="s">
        <v>3505</v>
      </c>
      <c r="G574" t="s">
        <v>203</v>
      </c>
      <c r="H574" t="s">
        <v>3708</v>
      </c>
      <c r="I574" t="s">
        <v>3712</v>
      </c>
      <c r="N574" t="s">
        <v>1552</v>
      </c>
      <c r="T574" t="s">
        <v>1015</v>
      </c>
      <c r="U574" t="s">
        <v>664</v>
      </c>
      <c r="V574" t="s">
        <v>3748</v>
      </c>
      <c r="W574" t="s">
        <v>950</v>
      </c>
      <c r="X574">
        <v>22260</v>
      </c>
      <c r="Y574">
        <v>65</v>
      </c>
      <c r="Z574" t="s">
        <v>3749</v>
      </c>
      <c r="AA574" t="s">
        <v>3750</v>
      </c>
      <c r="AB574" t="s">
        <v>996</v>
      </c>
      <c r="AC574" t="s">
        <v>997</v>
      </c>
      <c r="AD574" t="s">
        <v>1078</v>
      </c>
      <c r="AE574" t="s">
        <v>1078</v>
      </c>
      <c r="AF574" t="s">
        <v>3578</v>
      </c>
      <c r="AI574" t="s">
        <v>1566</v>
      </c>
    </row>
    <row r="575" spans="1:37">
      <c r="A575">
        <v>573</v>
      </c>
      <c r="B575" t="s">
        <v>3751</v>
      </c>
      <c r="C575">
        <v>1124</v>
      </c>
      <c r="D575" t="s">
        <v>1810</v>
      </c>
      <c r="E575" t="s">
        <v>3713</v>
      </c>
      <c r="F575" t="s">
        <v>3505</v>
      </c>
      <c r="G575" t="s">
        <v>203</v>
      </c>
      <c r="H575" t="s">
        <v>3708</v>
      </c>
      <c r="I575" t="s">
        <v>3712</v>
      </c>
      <c r="N575" t="s">
        <v>1552</v>
      </c>
      <c r="T575" t="s">
        <v>1015</v>
      </c>
      <c r="U575" t="s">
        <v>647</v>
      </c>
      <c r="V575" t="s">
        <v>3752</v>
      </c>
      <c r="W575" t="s">
        <v>950</v>
      </c>
      <c r="X575">
        <v>22009</v>
      </c>
      <c r="Y575">
        <v>65</v>
      </c>
      <c r="Z575" t="s">
        <v>3753</v>
      </c>
      <c r="AA575" t="s">
        <v>3754</v>
      </c>
      <c r="AB575" t="s">
        <v>996</v>
      </c>
      <c r="AC575" t="s">
        <v>997</v>
      </c>
      <c r="AD575" t="s">
        <v>1078</v>
      </c>
      <c r="AE575" t="s">
        <v>1078</v>
      </c>
      <c r="AF575" t="s">
        <v>3578</v>
      </c>
      <c r="AI575" t="s">
        <v>1566</v>
      </c>
    </row>
    <row r="576" spans="1:37">
      <c r="A576">
        <v>532</v>
      </c>
      <c r="B576" t="s">
        <v>3755</v>
      </c>
      <c r="C576">
        <v>1126</v>
      </c>
      <c r="D576" t="s">
        <v>1810</v>
      </c>
      <c r="E576" t="s">
        <v>3713</v>
      </c>
      <c r="F576" t="s">
        <v>3505</v>
      </c>
      <c r="G576" t="s">
        <v>203</v>
      </c>
      <c r="H576" t="s">
        <v>3708</v>
      </c>
      <c r="I576" t="s">
        <v>3712</v>
      </c>
      <c r="N576" t="s">
        <v>1552</v>
      </c>
      <c r="T576" t="s">
        <v>992</v>
      </c>
      <c r="U576" t="s">
        <v>781</v>
      </c>
      <c r="V576" t="s">
        <v>3756</v>
      </c>
      <c r="W576" t="s">
        <v>950</v>
      </c>
      <c r="X576">
        <v>38591</v>
      </c>
      <c r="Y576">
        <v>20</v>
      </c>
      <c r="Z576" t="s">
        <v>3757</v>
      </c>
      <c r="AB576" t="s">
        <v>996</v>
      </c>
      <c r="AC576" t="s">
        <v>1018</v>
      </c>
      <c r="AD576" t="s">
        <v>1078</v>
      </c>
      <c r="AE576" t="s">
        <v>1078</v>
      </c>
      <c r="AF576" t="s">
        <v>3578</v>
      </c>
      <c r="AI576" t="s">
        <v>1575</v>
      </c>
    </row>
    <row r="577" spans="1:37">
      <c r="A577">
        <v>512</v>
      </c>
      <c r="B577" t="s">
        <v>3708</v>
      </c>
      <c r="C577">
        <v>1127</v>
      </c>
      <c r="E577" t="s">
        <v>973</v>
      </c>
      <c r="F577" t="s">
        <v>3505</v>
      </c>
      <c r="G577" t="s">
        <v>203</v>
      </c>
      <c r="H577" t="s">
        <v>3708</v>
      </c>
      <c r="I577" t="s">
        <v>3708</v>
      </c>
      <c r="N577" t="s">
        <v>1596</v>
      </c>
      <c r="P577" t="s">
        <v>173</v>
      </c>
      <c r="Q577" t="s">
        <v>514</v>
      </c>
      <c r="S577" t="s">
        <v>55</v>
      </c>
      <c r="U577" t="s">
        <v>203</v>
      </c>
      <c r="V577" t="s">
        <v>3709</v>
      </c>
      <c r="W577" t="s">
        <v>950</v>
      </c>
      <c r="X577">
        <v>20911</v>
      </c>
      <c r="Y577">
        <v>68</v>
      </c>
      <c r="Z577" t="s">
        <v>3710</v>
      </c>
      <c r="AA577" t="s">
        <v>3711</v>
      </c>
      <c r="AB577" t="s">
        <v>966</v>
      </c>
      <c r="AC577" t="s">
        <v>953</v>
      </c>
      <c r="AD577" t="s">
        <v>973</v>
      </c>
      <c r="AE577" t="s">
        <v>973</v>
      </c>
      <c r="AF577" t="s">
        <v>3509</v>
      </c>
      <c r="AG577" t="s">
        <v>955</v>
      </c>
      <c r="AJ577" t="s">
        <v>3510</v>
      </c>
      <c r="AK577">
        <v>-3</v>
      </c>
    </row>
    <row r="578" spans="1:37">
      <c r="B578" t="s">
        <v>3758</v>
      </c>
      <c r="C578">
        <v>1129</v>
      </c>
      <c r="D578" t="s">
        <v>1810</v>
      </c>
      <c r="E578" t="s">
        <v>3713</v>
      </c>
      <c r="F578" t="s">
        <v>3505</v>
      </c>
      <c r="G578" t="s">
        <v>203</v>
      </c>
      <c r="H578" t="s">
        <v>3708</v>
      </c>
      <c r="I578" t="s">
        <v>3708</v>
      </c>
      <c r="N578" t="s">
        <v>1596</v>
      </c>
      <c r="T578" t="s">
        <v>1090</v>
      </c>
      <c r="U578" t="s">
        <v>3759</v>
      </c>
      <c r="V578" t="s">
        <v>3760</v>
      </c>
      <c r="W578" t="s">
        <v>950</v>
      </c>
      <c r="X578">
        <v>19550510</v>
      </c>
      <c r="Y578">
        <v>70</v>
      </c>
      <c r="Z578" t="s">
        <v>3761</v>
      </c>
      <c r="AB578" t="s">
        <v>996</v>
      </c>
      <c r="AC578" t="s">
        <v>1018</v>
      </c>
      <c r="AD578" t="s">
        <v>973</v>
      </c>
      <c r="AE578" t="s">
        <v>973</v>
      </c>
      <c r="AF578" t="s">
        <v>3762</v>
      </c>
    </row>
    <row r="579" spans="1:37">
      <c r="B579" t="s">
        <v>3763</v>
      </c>
      <c r="C579">
        <v>1131</v>
      </c>
      <c r="D579" t="s">
        <v>1810</v>
      </c>
      <c r="E579" t="s">
        <v>3713</v>
      </c>
      <c r="F579" t="s">
        <v>3505</v>
      </c>
      <c r="G579" t="s">
        <v>203</v>
      </c>
      <c r="H579" t="s">
        <v>3708</v>
      </c>
      <c r="I579" t="s">
        <v>3708</v>
      </c>
      <c r="N579" t="s">
        <v>1596</v>
      </c>
      <c r="T579" t="s">
        <v>1090</v>
      </c>
      <c r="U579" t="s">
        <v>3764</v>
      </c>
      <c r="V579" t="s">
        <v>3765</v>
      </c>
      <c r="W579" t="s">
        <v>963</v>
      </c>
      <c r="X579">
        <v>19550425</v>
      </c>
      <c r="Y579">
        <v>70</v>
      </c>
      <c r="Z579" t="s">
        <v>3766</v>
      </c>
      <c r="AB579" t="s">
        <v>996</v>
      </c>
      <c r="AC579" t="s">
        <v>1018</v>
      </c>
      <c r="AD579" t="s">
        <v>973</v>
      </c>
      <c r="AE579" t="s">
        <v>973</v>
      </c>
      <c r="AF579" t="s">
        <v>3762</v>
      </c>
    </row>
    <row r="580" spans="1:37">
      <c r="B580" t="s">
        <v>3767</v>
      </c>
      <c r="C580">
        <v>1133</v>
      </c>
      <c r="D580" t="s">
        <v>1810</v>
      </c>
      <c r="E580" t="s">
        <v>3713</v>
      </c>
      <c r="F580" t="s">
        <v>3505</v>
      </c>
      <c r="G580" t="s">
        <v>203</v>
      </c>
      <c r="H580" t="s">
        <v>3708</v>
      </c>
      <c r="I580" t="s">
        <v>3708</v>
      </c>
      <c r="N580" t="s">
        <v>1596</v>
      </c>
      <c r="T580" t="s">
        <v>1015</v>
      </c>
      <c r="U580" t="s">
        <v>3768</v>
      </c>
      <c r="V580" t="s">
        <v>3769</v>
      </c>
      <c r="W580" t="s">
        <v>950</v>
      </c>
      <c r="X580">
        <v>19751024</v>
      </c>
      <c r="Y580">
        <v>49</v>
      </c>
      <c r="Z580" t="s">
        <v>3770</v>
      </c>
      <c r="AB580" t="s">
        <v>996</v>
      </c>
      <c r="AC580" t="s">
        <v>1018</v>
      </c>
      <c r="AD580" t="s">
        <v>1078</v>
      </c>
      <c r="AE580" t="s">
        <v>1078</v>
      </c>
      <c r="AF580" t="s">
        <v>3771</v>
      </c>
    </row>
    <row r="581" spans="1:37">
      <c r="B581" t="s">
        <v>3772</v>
      </c>
      <c r="C581">
        <v>1135</v>
      </c>
      <c r="D581" t="s">
        <v>1810</v>
      </c>
      <c r="E581" t="s">
        <v>3713</v>
      </c>
      <c r="F581" t="s">
        <v>3505</v>
      </c>
      <c r="G581" t="s">
        <v>203</v>
      </c>
      <c r="H581" t="s">
        <v>3708</v>
      </c>
      <c r="I581" t="s">
        <v>3708</v>
      </c>
      <c r="N581" t="s">
        <v>1596</v>
      </c>
      <c r="T581" t="s">
        <v>1015</v>
      </c>
      <c r="U581" t="s">
        <v>3773</v>
      </c>
      <c r="V581" t="s">
        <v>3774</v>
      </c>
      <c r="W581" t="s">
        <v>950</v>
      </c>
      <c r="X581">
        <v>19680519</v>
      </c>
      <c r="Y581">
        <v>57</v>
      </c>
      <c r="Z581" t="s">
        <v>3775</v>
      </c>
      <c r="AB581" t="s">
        <v>996</v>
      </c>
      <c r="AC581" t="s">
        <v>1018</v>
      </c>
      <c r="AD581" t="s">
        <v>973</v>
      </c>
      <c r="AE581" t="s">
        <v>973</v>
      </c>
      <c r="AF581" t="s">
        <v>3762</v>
      </c>
    </row>
    <row r="582" spans="1:37">
      <c r="B582" t="s">
        <v>3776</v>
      </c>
      <c r="C582">
        <v>1137</v>
      </c>
      <c r="D582" t="s">
        <v>1810</v>
      </c>
      <c r="E582" t="s">
        <v>3713</v>
      </c>
      <c r="F582" t="s">
        <v>3505</v>
      </c>
      <c r="G582" t="s">
        <v>203</v>
      </c>
      <c r="H582" t="s">
        <v>3708</v>
      </c>
      <c r="I582" t="s">
        <v>3708</v>
      </c>
      <c r="N582" t="s">
        <v>1596</v>
      </c>
      <c r="T582" t="s">
        <v>992</v>
      </c>
      <c r="U582" t="s">
        <v>3777</v>
      </c>
      <c r="V582" t="s">
        <v>3778</v>
      </c>
      <c r="W582" t="s">
        <v>963</v>
      </c>
      <c r="X582">
        <v>19991215</v>
      </c>
      <c r="Y582">
        <v>25</v>
      </c>
      <c r="Z582" t="s">
        <v>3779</v>
      </c>
      <c r="AB582" t="s">
        <v>996</v>
      </c>
      <c r="AC582" t="s">
        <v>1018</v>
      </c>
      <c r="AD582" t="s">
        <v>973</v>
      </c>
      <c r="AE582" t="s">
        <v>973</v>
      </c>
      <c r="AF582" t="s">
        <v>3762</v>
      </c>
    </row>
    <row r="583" spans="1:37">
      <c r="B583" t="s">
        <v>3780</v>
      </c>
      <c r="C583">
        <v>1139</v>
      </c>
      <c r="D583" t="s">
        <v>1810</v>
      </c>
      <c r="E583" t="s">
        <v>3713</v>
      </c>
      <c r="F583" t="s">
        <v>3505</v>
      </c>
      <c r="G583" t="s">
        <v>203</v>
      </c>
      <c r="H583" t="s">
        <v>3708</v>
      </c>
      <c r="I583" t="s">
        <v>3708</v>
      </c>
      <c r="N583" t="s">
        <v>1596</v>
      </c>
      <c r="T583" t="s">
        <v>1015</v>
      </c>
      <c r="U583" t="s">
        <v>3781</v>
      </c>
      <c r="V583" t="s">
        <v>3782</v>
      </c>
      <c r="W583" t="s">
        <v>950</v>
      </c>
      <c r="X583">
        <v>19680820</v>
      </c>
      <c r="Y583">
        <v>57</v>
      </c>
      <c r="Z583" t="s">
        <v>3783</v>
      </c>
      <c r="AB583" t="s">
        <v>996</v>
      </c>
      <c r="AC583" t="s">
        <v>1018</v>
      </c>
      <c r="AD583" t="s">
        <v>973</v>
      </c>
      <c r="AE583" t="s">
        <v>973</v>
      </c>
      <c r="AF583" t="s">
        <v>3784</v>
      </c>
      <c r="AI583" t="s">
        <v>1586</v>
      </c>
    </row>
    <row r="584" spans="1:37">
      <c r="B584" t="s">
        <v>3785</v>
      </c>
      <c r="C584">
        <v>1141</v>
      </c>
      <c r="D584" t="s">
        <v>1810</v>
      </c>
      <c r="E584" t="s">
        <v>3713</v>
      </c>
      <c r="F584" t="s">
        <v>3505</v>
      </c>
      <c r="G584" t="s">
        <v>203</v>
      </c>
      <c r="H584" t="s">
        <v>3708</v>
      </c>
      <c r="I584" t="s">
        <v>3708</v>
      </c>
      <c r="N584" t="s">
        <v>1596</v>
      </c>
      <c r="T584" t="s">
        <v>1015</v>
      </c>
      <c r="U584" t="s">
        <v>3786</v>
      </c>
      <c r="V584" t="s">
        <v>3787</v>
      </c>
      <c r="W584" t="s">
        <v>950</v>
      </c>
      <c r="X584">
        <v>19640115</v>
      </c>
      <c r="Y584">
        <v>61</v>
      </c>
      <c r="Z584" t="s">
        <v>3788</v>
      </c>
      <c r="AB584" t="s">
        <v>996</v>
      </c>
      <c r="AC584" t="s">
        <v>1018</v>
      </c>
      <c r="AD584" t="s">
        <v>973</v>
      </c>
      <c r="AE584" t="s">
        <v>3789</v>
      </c>
      <c r="AF584" t="s">
        <v>3790</v>
      </c>
      <c r="AI584" t="s">
        <v>1586</v>
      </c>
    </row>
    <row r="585" spans="1:37">
      <c r="B585" t="s">
        <v>3791</v>
      </c>
      <c r="C585">
        <v>1143</v>
      </c>
      <c r="D585" t="s">
        <v>1810</v>
      </c>
      <c r="E585" t="s">
        <v>3713</v>
      </c>
      <c r="F585" t="s">
        <v>3505</v>
      </c>
      <c r="G585" t="s">
        <v>203</v>
      </c>
      <c r="H585" t="s">
        <v>3708</v>
      </c>
      <c r="I585" t="s">
        <v>3708</v>
      </c>
      <c r="N585" t="s">
        <v>1596</v>
      </c>
      <c r="T585" t="s">
        <v>1015</v>
      </c>
      <c r="U585" t="s">
        <v>3792</v>
      </c>
      <c r="V585" t="s">
        <v>3793</v>
      </c>
      <c r="W585" t="s">
        <v>950</v>
      </c>
      <c r="X585">
        <v>19681124</v>
      </c>
      <c r="Y585">
        <v>57</v>
      </c>
      <c r="Z585" t="s">
        <v>3794</v>
      </c>
      <c r="AB585" t="s">
        <v>996</v>
      </c>
      <c r="AC585" t="s">
        <v>1018</v>
      </c>
      <c r="AD585" t="s">
        <v>973</v>
      </c>
      <c r="AE585" t="s">
        <v>973</v>
      </c>
      <c r="AF585" t="s">
        <v>3509</v>
      </c>
      <c r="AI585" t="s">
        <v>1586</v>
      </c>
    </row>
    <row r="586" spans="1:37">
      <c r="A586">
        <v>524</v>
      </c>
      <c r="B586" t="s">
        <v>3795</v>
      </c>
      <c r="C586">
        <v>1145</v>
      </c>
      <c r="D586" t="s">
        <v>1810</v>
      </c>
      <c r="E586" t="s">
        <v>973</v>
      </c>
      <c r="F586" t="s">
        <v>3505</v>
      </c>
      <c r="G586" t="s">
        <v>183</v>
      </c>
      <c r="H586" t="s">
        <v>3505</v>
      </c>
      <c r="I586" t="s">
        <v>3505</v>
      </c>
      <c r="J586" t="s">
        <v>3529</v>
      </c>
      <c r="N586" t="s">
        <v>3796</v>
      </c>
      <c r="T586" t="s">
        <v>1090</v>
      </c>
      <c r="U586" t="s">
        <v>3797</v>
      </c>
      <c r="V586" t="s">
        <v>3798</v>
      </c>
      <c r="W586" t="s">
        <v>950</v>
      </c>
      <c r="X586">
        <v>19511</v>
      </c>
      <c r="Y586">
        <v>72</v>
      </c>
      <c r="Z586" t="s">
        <v>3799</v>
      </c>
      <c r="AB586" t="s">
        <v>996</v>
      </c>
      <c r="AC586" t="s">
        <v>1018</v>
      </c>
      <c r="AD586" t="s">
        <v>973</v>
      </c>
      <c r="AE586" t="s">
        <v>973</v>
      </c>
      <c r="AF586" t="s">
        <v>3509</v>
      </c>
      <c r="AG586" t="s">
        <v>1775</v>
      </c>
      <c r="AH586" t="s">
        <v>3800</v>
      </c>
      <c r="AI586" t="s">
        <v>1025</v>
      </c>
      <c r="AK586">
        <v>-3</v>
      </c>
    </row>
    <row r="587" spans="1:37">
      <c r="A587">
        <v>525</v>
      </c>
      <c r="B587" t="s">
        <v>3801</v>
      </c>
      <c r="C587">
        <v>1147</v>
      </c>
      <c r="D587" t="s">
        <v>1810</v>
      </c>
      <c r="E587" t="s">
        <v>973</v>
      </c>
      <c r="F587" t="s">
        <v>3505</v>
      </c>
      <c r="G587" t="s">
        <v>183</v>
      </c>
      <c r="H587" t="s">
        <v>3505</v>
      </c>
      <c r="I587" t="s">
        <v>3505</v>
      </c>
      <c r="J587" t="s">
        <v>3529</v>
      </c>
      <c r="N587" t="s">
        <v>3796</v>
      </c>
      <c r="T587" t="s">
        <v>1090</v>
      </c>
      <c r="U587" t="s">
        <v>3802</v>
      </c>
      <c r="V587" t="s">
        <v>3803</v>
      </c>
      <c r="W587" t="s">
        <v>950</v>
      </c>
      <c r="X587">
        <v>12079</v>
      </c>
      <c r="Y587">
        <v>93</v>
      </c>
      <c r="Z587" t="s">
        <v>3804</v>
      </c>
      <c r="AB587" t="s">
        <v>996</v>
      </c>
      <c r="AC587" t="s">
        <v>997</v>
      </c>
      <c r="AD587" t="s">
        <v>973</v>
      </c>
      <c r="AE587" t="s">
        <v>973</v>
      </c>
      <c r="AF587" t="s">
        <v>3509</v>
      </c>
      <c r="AG587" t="s">
        <v>1775</v>
      </c>
      <c r="AH587" t="s">
        <v>3805</v>
      </c>
      <c r="AI587" t="s">
        <v>1011</v>
      </c>
      <c r="AJ587" t="s">
        <v>3806</v>
      </c>
      <c r="AK587">
        <v>-3</v>
      </c>
    </row>
    <row r="588" spans="1:37">
      <c r="A588">
        <v>587</v>
      </c>
      <c r="B588" t="s">
        <v>3807</v>
      </c>
      <c r="C588">
        <v>1149</v>
      </c>
      <c r="D588" t="s">
        <v>3808</v>
      </c>
      <c r="E588" t="s">
        <v>3809</v>
      </c>
      <c r="F588" t="s">
        <v>3810</v>
      </c>
      <c r="G588" t="s">
        <v>499</v>
      </c>
      <c r="H588" t="s">
        <v>3811</v>
      </c>
      <c r="I588" t="s">
        <v>3807</v>
      </c>
      <c r="J588" t="s">
        <v>3812</v>
      </c>
      <c r="N588" t="s">
        <v>1044</v>
      </c>
      <c r="P588" t="s">
        <v>55</v>
      </c>
      <c r="Q588" t="s">
        <v>55</v>
      </c>
      <c r="T588" t="s">
        <v>1090</v>
      </c>
      <c r="U588" t="s">
        <v>82</v>
      </c>
      <c r="V588" t="s">
        <v>3813</v>
      </c>
      <c r="W588" t="s">
        <v>963</v>
      </c>
      <c r="X588">
        <v>19202</v>
      </c>
      <c r="Y588">
        <v>73</v>
      </c>
      <c r="Z588" t="s">
        <v>3814</v>
      </c>
      <c r="AB588" t="s">
        <v>966</v>
      </c>
      <c r="AC588" t="s">
        <v>953</v>
      </c>
      <c r="AD588" t="s">
        <v>973</v>
      </c>
      <c r="AE588" t="s">
        <v>246</v>
      </c>
      <c r="AF588" t="s">
        <v>3815</v>
      </c>
    </row>
    <row r="589" spans="1:37">
      <c r="A589">
        <v>588</v>
      </c>
      <c r="B589" t="s">
        <v>3812</v>
      </c>
      <c r="C589">
        <v>1151</v>
      </c>
      <c r="D589" t="s">
        <v>3808</v>
      </c>
      <c r="E589" t="s">
        <v>3809</v>
      </c>
      <c r="F589" t="s">
        <v>3810</v>
      </c>
      <c r="G589" t="s">
        <v>499</v>
      </c>
      <c r="H589" t="s">
        <v>3811</v>
      </c>
      <c r="I589" t="s">
        <v>3807</v>
      </c>
      <c r="J589" t="s">
        <v>3812</v>
      </c>
      <c r="N589" t="s">
        <v>1044</v>
      </c>
      <c r="P589" t="s">
        <v>69</v>
      </c>
      <c r="Q589" t="s">
        <v>69</v>
      </c>
      <c r="T589" t="s">
        <v>1090</v>
      </c>
      <c r="U589" t="s">
        <v>478</v>
      </c>
      <c r="V589" t="s">
        <v>3816</v>
      </c>
      <c r="W589" t="s">
        <v>963</v>
      </c>
      <c r="X589">
        <v>19613</v>
      </c>
      <c r="Y589">
        <v>72</v>
      </c>
      <c r="Z589" t="s">
        <v>3817</v>
      </c>
      <c r="AA589" t="s">
        <v>3818</v>
      </c>
      <c r="AB589" t="s">
        <v>966</v>
      </c>
      <c r="AC589" t="s">
        <v>953</v>
      </c>
      <c r="AD589" t="s">
        <v>246</v>
      </c>
      <c r="AE589" t="s">
        <v>246</v>
      </c>
      <c r="AF589" t="s">
        <v>3815</v>
      </c>
      <c r="AK589">
        <v>-3</v>
      </c>
    </row>
    <row r="590" spans="1:37">
      <c r="A590">
        <v>589</v>
      </c>
      <c r="B590" t="s">
        <v>3819</v>
      </c>
      <c r="C590">
        <v>1153</v>
      </c>
      <c r="D590" t="s">
        <v>3808</v>
      </c>
      <c r="E590" t="s">
        <v>3809</v>
      </c>
      <c r="F590" t="s">
        <v>3810</v>
      </c>
      <c r="G590" t="s">
        <v>499</v>
      </c>
      <c r="H590" t="s">
        <v>3811</v>
      </c>
      <c r="I590" t="s">
        <v>3807</v>
      </c>
      <c r="J590" t="s">
        <v>3812</v>
      </c>
      <c r="N590" t="s">
        <v>1044</v>
      </c>
      <c r="P590" t="s">
        <v>69</v>
      </c>
      <c r="Q590" t="s">
        <v>69</v>
      </c>
      <c r="T590" t="s">
        <v>1090</v>
      </c>
      <c r="U590" t="s">
        <v>3820</v>
      </c>
      <c r="V590" t="s">
        <v>3821</v>
      </c>
      <c r="W590" t="s">
        <v>963</v>
      </c>
      <c r="X590">
        <v>19281</v>
      </c>
      <c r="Y590">
        <v>73</v>
      </c>
      <c r="Z590" t="s">
        <v>3822</v>
      </c>
      <c r="AA590" t="s">
        <v>3823</v>
      </c>
      <c r="AB590" t="s">
        <v>966</v>
      </c>
      <c r="AC590" t="s">
        <v>953</v>
      </c>
      <c r="AD590" t="s">
        <v>246</v>
      </c>
      <c r="AE590" t="s">
        <v>246</v>
      </c>
      <c r="AF590" t="s">
        <v>3824</v>
      </c>
      <c r="AI590" t="s">
        <v>1440</v>
      </c>
    </row>
    <row r="591" spans="1:37">
      <c r="A591">
        <v>590</v>
      </c>
      <c r="B591" t="s">
        <v>3825</v>
      </c>
      <c r="C591">
        <v>1155</v>
      </c>
      <c r="D591" t="s">
        <v>3808</v>
      </c>
      <c r="E591" t="s">
        <v>3809</v>
      </c>
      <c r="F591" t="s">
        <v>3810</v>
      </c>
      <c r="G591" t="s">
        <v>499</v>
      </c>
      <c r="H591" t="s">
        <v>3811</v>
      </c>
      <c r="I591" t="s">
        <v>3807</v>
      </c>
      <c r="J591" t="s">
        <v>3812</v>
      </c>
      <c r="N591" t="s">
        <v>1044</v>
      </c>
      <c r="P591" t="s">
        <v>69</v>
      </c>
      <c r="Q591" t="s">
        <v>562</v>
      </c>
      <c r="T591" t="s">
        <v>962</v>
      </c>
      <c r="U591" t="s">
        <v>620</v>
      </c>
      <c r="V591" t="s">
        <v>3826</v>
      </c>
      <c r="W591" t="s">
        <v>963</v>
      </c>
      <c r="X591">
        <v>22474</v>
      </c>
      <c r="Y591">
        <v>64</v>
      </c>
      <c r="Z591" t="s">
        <v>3827</v>
      </c>
      <c r="AA591" t="s">
        <v>3828</v>
      </c>
      <c r="AB591" t="s">
        <v>996</v>
      </c>
      <c r="AC591" t="s">
        <v>1018</v>
      </c>
      <c r="AD591" t="s">
        <v>246</v>
      </c>
      <c r="AE591" t="s">
        <v>246</v>
      </c>
      <c r="AF591" t="s">
        <v>3829</v>
      </c>
      <c r="AI591" t="s">
        <v>1114</v>
      </c>
    </row>
    <row r="592" spans="1:37">
      <c r="A592">
        <v>591</v>
      </c>
      <c r="B592" t="s">
        <v>3830</v>
      </c>
      <c r="C592">
        <v>1157</v>
      </c>
      <c r="D592" t="s">
        <v>3808</v>
      </c>
      <c r="E592" t="s">
        <v>3809</v>
      </c>
      <c r="F592" t="s">
        <v>3810</v>
      </c>
      <c r="G592" t="s">
        <v>499</v>
      </c>
      <c r="H592" t="s">
        <v>3811</v>
      </c>
      <c r="I592" t="s">
        <v>3807</v>
      </c>
      <c r="J592" t="s">
        <v>3812</v>
      </c>
      <c r="N592" t="s">
        <v>1044</v>
      </c>
      <c r="T592" t="s">
        <v>962</v>
      </c>
      <c r="U592" t="s">
        <v>488</v>
      </c>
      <c r="V592" t="s">
        <v>3831</v>
      </c>
      <c r="W592" t="s">
        <v>963</v>
      </c>
      <c r="X592">
        <v>30981</v>
      </c>
      <c r="Y592">
        <v>41</v>
      </c>
      <c r="Z592" t="s">
        <v>3832</v>
      </c>
      <c r="AA592" t="s">
        <v>3833</v>
      </c>
      <c r="AB592" t="s">
        <v>3834</v>
      </c>
      <c r="AC592" t="s">
        <v>953</v>
      </c>
      <c r="AD592" t="s">
        <v>246</v>
      </c>
      <c r="AE592" t="s">
        <v>246</v>
      </c>
      <c r="AF592" t="s">
        <v>3815</v>
      </c>
      <c r="AK592">
        <v>-3</v>
      </c>
    </row>
    <row r="593" spans="1:38">
      <c r="A593">
        <v>592</v>
      </c>
      <c r="B593" t="s">
        <v>3835</v>
      </c>
      <c r="C593">
        <v>1159</v>
      </c>
      <c r="D593" t="s">
        <v>3808</v>
      </c>
      <c r="E593" t="s">
        <v>3809</v>
      </c>
      <c r="F593" t="s">
        <v>3810</v>
      </c>
      <c r="G593" t="s">
        <v>499</v>
      </c>
      <c r="H593" t="s">
        <v>3811</v>
      </c>
      <c r="I593" t="s">
        <v>3807</v>
      </c>
      <c r="J593" t="s">
        <v>3812</v>
      </c>
      <c r="N593" t="s">
        <v>1044</v>
      </c>
      <c r="T593" t="s">
        <v>962</v>
      </c>
      <c r="U593" t="s">
        <v>3836</v>
      </c>
      <c r="V593" t="s">
        <v>3837</v>
      </c>
      <c r="W593" t="s">
        <v>963</v>
      </c>
      <c r="X593">
        <v>26339</v>
      </c>
      <c r="Y593">
        <v>53</v>
      </c>
      <c r="Z593" t="s">
        <v>3838</v>
      </c>
      <c r="AA593" t="s">
        <v>3839</v>
      </c>
      <c r="AB593" t="s">
        <v>966</v>
      </c>
      <c r="AC593" t="s">
        <v>953</v>
      </c>
      <c r="AD593" t="s">
        <v>246</v>
      </c>
      <c r="AE593" t="s">
        <v>246</v>
      </c>
      <c r="AF593" t="s">
        <v>3815</v>
      </c>
      <c r="AI593" t="s">
        <v>1011</v>
      </c>
      <c r="AK593">
        <v>-3</v>
      </c>
    </row>
    <row r="594" spans="1:38">
      <c r="A594">
        <v>593</v>
      </c>
      <c r="B594" t="s">
        <v>3840</v>
      </c>
      <c r="C594">
        <v>1161</v>
      </c>
      <c r="D594" t="s">
        <v>3808</v>
      </c>
      <c r="E594" t="s">
        <v>3809</v>
      </c>
      <c r="F594" t="s">
        <v>3810</v>
      </c>
      <c r="G594" t="s">
        <v>499</v>
      </c>
      <c r="H594" t="s">
        <v>3811</v>
      </c>
      <c r="I594" t="s">
        <v>3807</v>
      </c>
      <c r="J594" t="s">
        <v>3812</v>
      </c>
      <c r="N594" t="s">
        <v>1044</v>
      </c>
      <c r="T594" t="s">
        <v>962</v>
      </c>
      <c r="U594" t="s">
        <v>3841</v>
      </c>
      <c r="V594" t="s">
        <v>3842</v>
      </c>
      <c r="W594" t="s">
        <v>963</v>
      </c>
      <c r="X594">
        <v>26922</v>
      </c>
      <c r="Y594">
        <v>52</v>
      </c>
      <c r="Z594" t="s">
        <v>3843</v>
      </c>
      <c r="AA594" t="s">
        <v>3844</v>
      </c>
      <c r="AB594" t="s">
        <v>996</v>
      </c>
      <c r="AC594" t="s">
        <v>953</v>
      </c>
      <c r="AD594" t="s">
        <v>246</v>
      </c>
      <c r="AE594" t="s">
        <v>246</v>
      </c>
      <c r="AF594" t="s">
        <v>3815</v>
      </c>
      <c r="AH594" t="s">
        <v>3845</v>
      </c>
      <c r="AJ594" t="s">
        <v>1020</v>
      </c>
      <c r="AK594">
        <v>-3</v>
      </c>
    </row>
    <row r="595" spans="1:38">
      <c r="A595">
        <v>594</v>
      </c>
      <c r="B595" t="s">
        <v>3846</v>
      </c>
      <c r="C595">
        <v>1163</v>
      </c>
      <c r="D595" t="s">
        <v>3808</v>
      </c>
      <c r="E595" t="s">
        <v>3809</v>
      </c>
      <c r="F595" t="s">
        <v>3810</v>
      </c>
      <c r="G595" t="s">
        <v>499</v>
      </c>
      <c r="H595" t="s">
        <v>3811</v>
      </c>
      <c r="I595" t="s">
        <v>3807</v>
      </c>
      <c r="J595" t="s">
        <v>3812</v>
      </c>
      <c r="N595" t="s">
        <v>1044</v>
      </c>
      <c r="T595" t="s">
        <v>962</v>
      </c>
      <c r="U595" t="s">
        <v>3847</v>
      </c>
      <c r="V595" t="s">
        <v>3848</v>
      </c>
      <c r="W595" t="s">
        <v>963</v>
      </c>
      <c r="X595">
        <v>23664</v>
      </c>
      <c r="Y595">
        <v>61</v>
      </c>
      <c r="Z595" t="s">
        <v>3849</v>
      </c>
      <c r="AA595" t="s">
        <v>3850</v>
      </c>
      <c r="AB595" t="s">
        <v>966</v>
      </c>
      <c r="AC595" t="s">
        <v>953</v>
      </c>
      <c r="AD595" t="s">
        <v>246</v>
      </c>
      <c r="AE595" t="s">
        <v>246</v>
      </c>
      <c r="AF595" t="s">
        <v>3815</v>
      </c>
      <c r="AI595" t="s">
        <v>1125</v>
      </c>
      <c r="AK595">
        <v>-3</v>
      </c>
    </row>
    <row r="596" spans="1:38">
      <c r="A596">
        <v>595</v>
      </c>
      <c r="B596" t="s">
        <v>3851</v>
      </c>
      <c r="C596">
        <v>1165</v>
      </c>
      <c r="D596" t="s">
        <v>3808</v>
      </c>
      <c r="E596" t="s">
        <v>3809</v>
      </c>
      <c r="F596" t="s">
        <v>3810</v>
      </c>
      <c r="G596" t="s">
        <v>499</v>
      </c>
      <c r="H596" t="s">
        <v>3811</v>
      </c>
      <c r="I596" t="s">
        <v>3807</v>
      </c>
      <c r="J596" t="s">
        <v>3812</v>
      </c>
      <c r="N596" t="s">
        <v>1044</v>
      </c>
      <c r="T596" t="s">
        <v>962</v>
      </c>
      <c r="U596" t="s">
        <v>3852</v>
      </c>
      <c r="V596" t="s">
        <v>3853</v>
      </c>
      <c r="W596" t="s">
        <v>963</v>
      </c>
      <c r="X596">
        <v>26062</v>
      </c>
      <c r="Y596">
        <v>54</v>
      </c>
      <c r="Z596" t="s">
        <v>3854</v>
      </c>
      <c r="AA596" t="s">
        <v>3855</v>
      </c>
      <c r="AB596" t="s">
        <v>996</v>
      </c>
      <c r="AC596" t="s">
        <v>1018</v>
      </c>
      <c r="AD596" t="s">
        <v>246</v>
      </c>
      <c r="AE596" t="s">
        <v>246</v>
      </c>
      <c r="AF596" t="s">
        <v>3856</v>
      </c>
      <c r="AI596" t="s">
        <v>1107</v>
      </c>
      <c r="AK596">
        <v>-3</v>
      </c>
    </row>
    <row r="597" spans="1:38">
      <c r="A597">
        <v>596</v>
      </c>
      <c r="B597" t="s">
        <v>3857</v>
      </c>
      <c r="C597">
        <v>1167</v>
      </c>
      <c r="D597" t="s">
        <v>3808</v>
      </c>
      <c r="E597" t="s">
        <v>3809</v>
      </c>
      <c r="F597" t="s">
        <v>3810</v>
      </c>
      <c r="G597" t="s">
        <v>499</v>
      </c>
      <c r="H597" t="s">
        <v>3811</v>
      </c>
      <c r="I597" t="s">
        <v>3807</v>
      </c>
      <c r="J597" t="s">
        <v>3812</v>
      </c>
      <c r="N597" t="s">
        <v>1044</v>
      </c>
      <c r="T597" t="s">
        <v>992</v>
      </c>
      <c r="U597" t="s">
        <v>218</v>
      </c>
      <c r="V597" t="s">
        <v>3858</v>
      </c>
      <c r="W597" t="s">
        <v>963</v>
      </c>
      <c r="X597">
        <v>32923</v>
      </c>
      <c r="Y597">
        <v>35</v>
      </c>
      <c r="Z597" t="s">
        <v>2994</v>
      </c>
      <c r="AA597" t="s">
        <v>3859</v>
      </c>
      <c r="AB597" t="s">
        <v>996</v>
      </c>
      <c r="AC597" t="s">
        <v>997</v>
      </c>
      <c r="AD597" t="s">
        <v>246</v>
      </c>
      <c r="AE597" t="s">
        <v>246</v>
      </c>
      <c r="AF597" t="s">
        <v>3860</v>
      </c>
      <c r="AI597" t="s">
        <v>1359</v>
      </c>
      <c r="AK597">
        <v>-3</v>
      </c>
    </row>
    <row r="598" spans="1:38">
      <c r="A598">
        <v>597</v>
      </c>
      <c r="B598" t="s">
        <v>3861</v>
      </c>
      <c r="C598">
        <v>1169</v>
      </c>
      <c r="D598" t="s">
        <v>3862</v>
      </c>
      <c r="E598" t="s">
        <v>3809</v>
      </c>
      <c r="F598" t="s">
        <v>3810</v>
      </c>
      <c r="G598" t="s">
        <v>499</v>
      </c>
      <c r="H598" t="s">
        <v>3811</v>
      </c>
      <c r="I598" t="s">
        <v>3807</v>
      </c>
      <c r="J598" t="s">
        <v>3812</v>
      </c>
      <c r="N598" t="s">
        <v>1044</v>
      </c>
      <c r="T598" t="s">
        <v>992</v>
      </c>
      <c r="U598" t="s">
        <v>3863</v>
      </c>
      <c r="V598" t="s">
        <v>3864</v>
      </c>
      <c r="W598" t="s">
        <v>963</v>
      </c>
      <c r="X598">
        <v>32111</v>
      </c>
      <c r="Y598">
        <v>38</v>
      </c>
      <c r="Z598" t="s">
        <v>3865</v>
      </c>
      <c r="AA598" t="s">
        <v>3866</v>
      </c>
      <c r="AB598" t="s">
        <v>996</v>
      </c>
      <c r="AC598" t="s">
        <v>997</v>
      </c>
      <c r="AD598" t="s">
        <v>246</v>
      </c>
      <c r="AE598" t="s">
        <v>246</v>
      </c>
      <c r="AF598" t="s">
        <v>3867</v>
      </c>
      <c r="AI598" t="s">
        <v>1612</v>
      </c>
    </row>
    <row r="599" spans="1:38">
      <c r="A599">
        <v>537</v>
      </c>
      <c r="B599" t="s">
        <v>3868</v>
      </c>
      <c r="C599">
        <v>1171</v>
      </c>
      <c r="D599" t="s">
        <v>1810</v>
      </c>
      <c r="E599" t="s">
        <v>3809</v>
      </c>
      <c r="F599" t="s">
        <v>3810</v>
      </c>
      <c r="G599" t="s">
        <v>499</v>
      </c>
      <c r="H599" t="s">
        <v>3811</v>
      </c>
      <c r="I599" t="s">
        <v>3807</v>
      </c>
      <c r="J599" t="s">
        <v>3812</v>
      </c>
      <c r="N599" t="s">
        <v>1044</v>
      </c>
      <c r="T599" t="s">
        <v>962</v>
      </c>
      <c r="U599" t="s">
        <v>3869</v>
      </c>
      <c r="V599" t="s">
        <v>3870</v>
      </c>
      <c r="W599" t="s">
        <v>963</v>
      </c>
      <c r="X599">
        <v>22088</v>
      </c>
      <c r="Y599">
        <v>65</v>
      </c>
      <c r="Z599" t="s">
        <v>3871</v>
      </c>
      <c r="AA599" t="s">
        <v>3872</v>
      </c>
      <c r="AB599" t="s">
        <v>996</v>
      </c>
      <c r="AC599" t="s">
        <v>997</v>
      </c>
      <c r="AD599" t="s">
        <v>973</v>
      </c>
      <c r="AE599" t="s">
        <v>973</v>
      </c>
      <c r="AF599" t="s">
        <v>3873</v>
      </c>
      <c r="AI599" t="s">
        <v>1440</v>
      </c>
      <c r="AK599">
        <v>-3</v>
      </c>
    </row>
    <row r="600" spans="1:38">
      <c r="B600" t="s">
        <v>3874</v>
      </c>
      <c r="C600">
        <v>1173</v>
      </c>
      <c r="D600" t="s">
        <v>3808</v>
      </c>
      <c r="E600" t="s">
        <v>3809</v>
      </c>
      <c r="F600" t="s">
        <v>3810</v>
      </c>
      <c r="G600" t="s">
        <v>499</v>
      </c>
      <c r="H600" t="s">
        <v>3811</v>
      </c>
      <c r="I600" t="s">
        <v>3807</v>
      </c>
      <c r="J600" t="s">
        <v>3812</v>
      </c>
      <c r="N600" t="s">
        <v>1044</v>
      </c>
      <c r="T600" t="s">
        <v>962</v>
      </c>
      <c r="U600" t="s">
        <v>3875</v>
      </c>
      <c r="V600" t="s">
        <v>3876</v>
      </c>
      <c r="W600" t="s">
        <v>963</v>
      </c>
      <c r="X600" t="s">
        <v>3877</v>
      </c>
      <c r="Y600">
        <v>31</v>
      </c>
      <c r="Z600" t="s">
        <v>3878</v>
      </c>
      <c r="AC600" t="s">
        <v>1018</v>
      </c>
      <c r="AD600" t="s">
        <v>246</v>
      </c>
      <c r="AE600" t="s">
        <v>246</v>
      </c>
      <c r="AF600" t="s">
        <v>3879</v>
      </c>
    </row>
    <row r="601" spans="1:38">
      <c r="A601">
        <v>137</v>
      </c>
      <c r="B601" t="s">
        <v>3880</v>
      </c>
      <c r="C601">
        <v>1175</v>
      </c>
      <c r="D601" t="s">
        <v>1233</v>
      </c>
      <c r="E601" t="s">
        <v>1448</v>
      </c>
      <c r="F601" t="s">
        <v>3810</v>
      </c>
      <c r="G601" t="s">
        <v>499</v>
      </c>
      <c r="H601" t="s">
        <v>3811</v>
      </c>
      <c r="I601" t="s">
        <v>3807</v>
      </c>
      <c r="J601" t="s">
        <v>3812</v>
      </c>
      <c r="N601" t="s">
        <v>1044</v>
      </c>
      <c r="S601" t="s">
        <v>3881</v>
      </c>
      <c r="T601" t="s">
        <v>962</v>
      </c>
      <c r="U601" t="s">
        <v>3882</v>
      </c>
      <c r="V601" t="s">
        <v>3883</v>
      </c>
      <c r="W601" t="s">
        <v>963</v>
      </c>
      <c r="X601">
        <v>31231</v>
      </c>
      <c r="Y601">
        <v>40</v>
      </c>
      <c r="Z601" t="s">
        <v>3884</v>
      </c>
      <c r="AB601" t="s">
        <v>996</v>
      </c>
      <c r="AC601" t="s">
        <v>953</v>
      </c>
      <c r="AD601" t="s">
        <v>729</v>
      </c>
      <c r="AE601" t="s">
        <v>246</v>
      </c>
      <c r="AF601" t="s">
        <v>3885</v>
      </c>
      <c r="AH601" t="s">
        <v>1020</v>
      </c>
      <c r="AI601" t="s">
        <v>1125</v>
      </c>
      <c r="AL601" t="s">
        <v>1259</v>
      </c>
    </row>
    <row r="602" spans="1:38">
      <c r="A602">
        <v>602</v>
      </c>
      <c r="B602" t="s">
        <v>3886</v>
      </c>
      <c r="C602">
        <v>1177</v>
      </c>
      <c r="D602" t="s">
        <v>3808</v>
      </c>
      <c r="E602" t="s">
        <v>3809</v>
      </c>
      <c r="F602" t="s">
        <v>3810</v>
      </c>
      <c r="G602" t="s">
        <v>499</v>
      </c>
      <c r="H602" t="s">
        <v>3811</v>
      </c>
      <c r="I602" t="s">
        <v>3886</v>
      </c>
      <c r="J602" t="s">
        <v>3887</v>
      </c>
      <c r="K602" t="s">
        <v>3888</v>
      </c>
      <c r="N602" t="s">
        <v>1074</v>
      </c>
      <c r="P602" t="s">
        <v>55</v>
      </c>
      <c r="Q602" t="s">
        <v>55</v>
      </c>
      <c r="T602" t="s">
        <v>1090</v>
      </c>
      <c r="U602" t="s">
        <v>471</v>
      </c>
      <c r="V602" t="s">
        <v>3889</v>
      </c>
      <c r="W602" t="s">
        <v>950</v>
      </c>
      <c r="X602">
        <v>17838</v>
      </c>
      <c r="Y602">
        <v>77</v>
      </c>
      <c r="Z602" t="s">
        <v>3890</v>
      </c>
      <c r="AA602" t="s">
        <v>3891</v>
      </c>
      <c r="AB602" t="s">
        <v>966</v>
      </c>
      <c r="AC602" t="s">
        <v>953</v>
      </c>
      <c r="AD602" t="s">
        <v>246</v>
      </c>
      <c r="AE602" t="s">
        <v>246</v>
      </c>
      <c r="AF602" t="s">
        <v>3815</v>
      </c>
      <c r="AK602">
        <v>-3</v>
      </c>
    </row>
    <row r="603" spans="1:38">
      <c r="A603">
        <v>603</v>
      </c>
      <c r="B603" t="s">
        <v>3887</v>
      </c>
      <c r="C603">
        <v>1179</v>
      </c>
      <c r="D603" t="s">
        <v>3808</v>
      </c>
      <c r="E603" t="s">
        <v>3809</v>
      </c>
      <c r="F603" t="s">
        <v>3810</v>
      </c>
      <c r="G603" t="s">
        <v>499</v>
      </c>
      <c r="H603" t="s">
        <v>3811</v>
      </c>
      <c r="I603" t="s">
        <v>3886</v>
      </c>
      <c r="J603" t="s">
        <v>3887</v>
      </c>
      <c r="K603" t="s">
        <v>3888</v>
      </c>
      <c r="N603" t="s">
        <v>1074</v>
      </c>
      <c r="P603" t="s">
        <v>69</v>
      </c>
      <c r="Q603" t="s">
        <v>69</v>
      </c>
      <c r="T603" t="s">
        <v>1090</v>
      </c>
      <c r="U603" t="s">
        <v>479</v>
      </c>
      <c r="V603" t="s">
        <v>3892</v>
      </c>
      <c r="W603" t="s">
        <v>950</v>
      </c>
      <c r="X603">
        <v>19108</v>
      </c>
      <c r="Y603">
        <v>73</v>
      </c>
      <c r="Z603" t="s">
        <v>3893</v>
      </c>
      <c r="AA603" t="s">
        <v>3894</v>
      </c>
      <c r="AB603" t="s">
        <v>966</v>
      </c>
      <c r="AC603" t="s">
        <v>953</v>
      </c>
      <c r="AD603" t="s">
        <v>246</v>
      </c>
      <c r="AE603" t="s">
        <v>246</v>
      </c>
      <c r="AF603" t="s">
        <v>3815</v>
      </c>
      <c r="AK603">
        <v>-3</v>
      </c>
    </row>
    <row r="604" spans="1:38">
      <c r="A604">
        <v>604</v>
      </c>
      <c r="B604" t="s">
        <v>3888</v>
      </c>
      <c r="C604">
        <v>1181</v>
      </c>
      <c r="D604" t="s">
        <v>3808</v>
      </c>
      <c r="E604" t="s">
        <v>3809</v>
      </c>
      <c r="F604" t="s">
        <v>3810</v>
      </c>
      <c r="G604" t="s">
        <v>499</v>
      </c>
      <c r="H604" t="s">
        <v>3811</v>
      </c>
      <c r="I604" t="s">
        <v>3886</v>
      </c>
      <c r="J604" t="s">
        <v>3887</v>
      </c>
      <c r="K604" t="s">
        <v>3888</v>
      </c>
      <c r="N604" t="s">
        <v>1074</v>
      </c>
      <c r="P604" t="s">
        <v>69</v>
      </c>
      <c r="Q604" t="s">
        <v>69</v>
      </c>
      <c r="T604" t="s">
        <v>1090</v>
      </c>
      <c r="U604" t="s">
        <v>94</v>
      </c>
      <c r="V604" t="s">
        <v>3895</v>
      </c>
      <c r="W604" t="s">
        <v>950</v>
      </c>
      <c r="X604">
        <v>19466</v>
      </c>
      <c r="Y604">
        <v>72</v>
      </c>
      <c r="Z604" t="s">
        <v>3896</v>
      </c>
      <c r="AA604" t="s">
        <v>3897</v>
      </c>
      <c r="AB604" t="s">
        <v>966</v>
      </c>
      <c r="AC604" t="s">
        <v>953</v>
      </c>
      <c r="AD604" t="s">
        <v>973</v>
      </c>
      <c r="AE604" t="s">
        <v>246</v>
      </c>
      <c r="AF604" t="s">
        <v>3815</v>
      </c>
    </row>
    <row r="605" spans="1:38">
      <c r="A605">
        <v>606</v>
      </c>
      <c r="B605" t="s">
        <v>3898</v>
      </c>
      <c r="C605">
        <v>1183</v>
      </c>
      <c r="D605" t="s">
        <v>3808</v>
      </c>
      <c r="E605" t="s">
        <v>3809</v>
      </c>
      <c r="F605" t="s">
        <v>3810</v>
      </c>
      <c r="G605" t="s">
        <v>499</v>
      </c>
      <c r="H605" t="s">
        <v>3811</v>
      </c>
      <c r="I605" t="s">
        <v>3886</v>
      </c>
      <c r="J605" t="s">
        <v>3887</v>
      </c>
      <c r="K605" t="s">
        <v>3888</v>
      </c>
      <c r="N605" t="s">
        <v>1074</v>
      </c>
      <c r="T605" t="s">
        <v>1090</v>
      </c>
      <c r="U605" t="s">
        <v>493</v>
      </c>
      <c r="V605" t="s">
        <v>3899</v>
      </c>
      <c r="W605" t="s">
        <v>950</v>
      </c>
      <c r="X605">
        <v>18123</v>
      </c>
      <c r="Y605">
        <v>76</v>
      </c>
      <c r="Z605" t="s">
        <v>3900</v>
      </c>
      <c r="AA605" t="s">
        <v>3901</v>
      </c>
      <c r="AB605" t="s">
        <v>966</v>
      </c>
      <c r="AC605" t="s">
        <v>953</v>
      </c>
      <c r="AD605" t="s">
        <v>246</v>
      </c>
      <c r="AE605" t="s">
        <v>246</v>
      </c>
      <c r="AF605" t="s">
        <v>3815</v>
      </c>
      <c r="AK605">
        <v>-3</v>
      </c>
    </row>
    <row r="606" spans="1:38">
      <c r="A606">
        <v>607</v>
      </c>
      <c r="B606" t="s">
        <v>3902</v>
      </c>
      <c r="C606">
        <v>1185</v>
      </c>
      <c r="D606" t="s">
        <v>3808</v>
      </c>
      <c r="E606" t="s">
        <v>3809</v>
      </c>
      <c r="F606" t="s">
        <v>3810</v>
      </c>
      <c r="G606" t="s">
        <v>499</v>
      </c>
      <c r="H606" t="s">
        <v>3811</v>
      </c>
      <c r="I606" t="s">
        <v>3886</v>
      </c>
      <c r="J606" t="s">
        <v>3887</v>
      </c>
      <c r="K606" t="s">
        <v>3888</v>
      </c>
      <c r="N606" t="s">
        <v>1074</v>
      </c>
      <c r="T606" t="s">
        <v>1090</v>
      </c>
      <c r="U606" t="s">
        <v>500</v>
      </c>
      <c r="V606" t="s">
        <v>3903</v>
      </c>
      <c r="W606" t="s">
        <v>950</v>
      </c>
      <c r="X606">
        <v>20191</v>
      </c>
      <c r="Y606">
        <v>70</v>
      </c>
      <c r="Z606">
        <v>77774810054</v>
      </c>
      <c r="AA606" t="s">
        <v>3904</v>
      </c>
      <c r="AB606" t="s">
        <v>966</v>
      </c>
      <c r="AC606" t="s">
        <v>953</v>
      </c>
      <c r="AD606" t="s">
        <v>246</v>
      </c>
      <c r="AE606" t="s">
        <v>246</v>
      </c>
      <c r="AF606" t="s">
        <v>3815</v>
      </c>
      <c r="AK606">
        <v>-3</v>
      </c>
    </row>
    <row r="607" spans="1:38">
      <c r="A607">
        <v>608</v>
      </c>
      <c r="B607" t="s">
        <v>3905</v>
      </c>
      <c r="C607">
        <v>1187</v>
      </c>
      <c r="D607" t="s">
        <v>3808</v>
      </c>
      <c r="E607" t="s">
        <v>3809</v>
      </c>
      <c r="F607" t="s">
        <v>3810</v>
      </c>
      <c r="G607" t="s">
        <v>499</v>
      </c>
      <c r="H607" t="s">
        <v>3811</v>
      </c>
      <c r="I607" t="s">
        <v>3886</v>
      </c>
      <c r="J607" t="s">
        <v>3887</v>
      </c>
      <c r="K607" t="s">
        <v>3888</v>
      </c>
      <c r="N607" t="s">
        <v>1074</v>
      </c>
      <c r="T607" t="s">
        <v>1015</v>
      </c>
      <c r="U607" t="s">
        <v>490</v>
      </c>
      <c r="V607" t="s">
        <v>3906</v>
      </c>
      <c r="W607" t="s">
        <v>950</v>
      </c>
      <c r="X607">
        <v>20639</v>
      </c>
      <c r="Y607">
        <v>69</v>
      </c>
      <c r="Z607" t="s">
        <v>3907</v>
      </c>
      <c r="AA607" t="s">
        <v>3908</v>
      </c>
      <c r="AB607" t="s">
        <v>996</v>
      </c>
      <c r="AC607" t="s">
        <v>953</v>
      </c>
      <c r="AD607" t="s">
        <v>246</v>
      </c>
      <c r="AE607" t="s">
        <v>246</v>
      </c>
      <c r="AF607" t="s">
        <v>3815</v>
      </c>
      <c r="AK607">
        <v>-3</v>
      </c>
    </row>
    <row r="608" spans="1:38">
      <c r="A608">
        <v>609</v>
      </c>
      <c r="B608" t="s">
        <v>3909</v>
      </c>
      <c r="C608">
        <v>1189</v>
      </c>
      <c r="D608" t="s">
        <v>3808</v>
      </c>
      <c r="E608" t="s">
        <v>3809</v>
      </c>
      <c r="F608" t="s">
        <v>3810</v>
      </c>
      <c r="G608" t="s">
        <v>499</v>
      </c>
      <c r="H608" t="s">
        <v>3811</v>
      </c>
      <c r="I608" t="s">
        <v>3886</v>
      </c>
      <c r="J608" t="s">
        <v>3887</v>
      </c>
      <c r="K608" t="s">
        <v>3888</v>
      </c>
      <c r="N608" t="s">
        <v>1074</v>
      </c>
      <c r="T608" t="s">
        <v>1015</v>
      </c>
      <c r="U608" t="s">
        <v>501</v>
      </c>
      <c r="V608" t="s">
        <v>3910</v>
      </c>
      <c r="W608" t="s">
        <v>950</v>
      </c>
      <c r="X608">
        <v>20487</v>
      </c>
      <c r="Y608">
        <v>69</v>
      </c>
      <c r="Z608" t="s">
        <v>3911</v>
      </c>
      <c r="AB608" t="s">
        <v>996</v>
      </c>
      <c r="AC608" t="s">
        <v>953</v>
      </c>
      <c r="AD608" t="s">
        <v>246</v>
      </c>
      <c r="AE608" t="s">
        <v>246</v>
      </c>
      <c r="AF608" t="s">
        <v>3815</v>
      </c>
      <c r="AH608" t="s">
        <v>3912</v>
      </c>
      <c r="AJ608" t="s">
        <v>3913</v>
      </c>
      <c r="AK608">
        <v>-3</v>
      </c>
    </row>
    <row r="609" spans="1:37">
      <c r="A609">
        <v>581</v>
      </c>
      <c r="B609" t="s">
        <v>3914</v>
      </c>
      <c r="C609">
        <v>1191</v>
      </c>
      <c r="D609" t="s">
        <v>3808</v>
      </c>
      <c r="E609" t="s">
        <v>3809</v>
      </c>
      <c r="F609" t="s">
        <v>3810</v>
      </c>
      <c r="G609" t="s">
        <v>499</v>
      </c>
      <c r="H609" t="s">
        <v>3811</v>
      </c>
      <c r="I609" t="s">
        <v>3914</v>
      </c>
      <c r="J609" t="s">
        <v>959</v>
      </c>
      <c r="N609" t="s">
        <v>1115</v>
      </c>
      <c r="P609" t="s">
        <v>55</v>
      </c>
      <c r="Q609" t="s">
        <v>178</v>
      </c>
      <c r="T609" t="s">
        <v>1090</v>
      </c>
      <c r="U609" t="s">
        <v>477</v>
      </c>
      <c r="V609" t="s">
        <v>3915</v>
      </c>
      <c r="W609" t="s">
        <v>950</v>
      </c>
      <c r="X609">
        <v>19177</v>
      </c>
      <c r="Y609">
        <v>73</v>
      </c>
      <c r="Z609" t="s">
        <v>3916</v>
      </c>
      <c r="AA609" t="s">
        <v>3917</v>
      </c>
      <c r="AB609" t="s">
        <v>966</v>
      </c>
      <c r="AC609" t="s">
        <v>953</v>
      </c>
      <c r="AD609" t="s">
        <v>246</v>
      </c>
      <c r="AE609" t="s">
        <v>246</v>
      </c>
      <c r="AF609" t="s">
        <v>3815</v>
      </c>
      <c r="AK609">
        <v>-3</v>
      </c>
    </row>
    <row r="610" spans="1:37">
      <c r="A610">
        <v>615</v>
      </c>
      <c r="B610" t="s">
        <v>3918</v>
      </c>
      <c r="C610">
        <v>1193</v>
      </c>
      <c r="D610" t="s">
        <v>3808</v>
      </c>
      <c r="E610" t="s">
        <v>3809</v>
      </c>
      <c r="F610" t="s">
        <v>3810</v>
      </c>
      <c r="G610" t="s">
        <v>499</v>
      </c>
      <c r="H610" t="s">
        <v>3811</v>
      </c>
      <c r="I610" t="s">
        <v>3914</v>
      </c>
      <c r="J610" t="s">
        <v>959</v>
      </c>
      <c r="N610" t="s">
        <v>1115</v>
      </c>
      <c r="T610" t="s">
        <v>1090</v>
      </c>
      <c r="U610" t="s">
        <v>3919</v>
      </c>
      <c r="V610" t="s">
        <v>3920</v>
      </c>
      <c r="W610" t="s">
        <v>950</v>
      </c>
      <c r="X610">
        <v>19423</v>
      </c>
      <c r="Y610">
        <v>72</v>
      </c>
      <c r="Z610" t="s">
        <v>3921</v>
      </c>
      <c r="AA610" t="s">
        <v>3922</v>
      </c>
      <c r="AB610" t="s">
        <v>966</v>
      </c>
      <c r="AC610" t="s">
        <v>953</v>
      </c>
      <c r="AD610" t="s">
        <v>246</v>
      </c>
      <c r="AE610" t="s">
        <v>246</v>
      </c>
      <c r="AF610" t="s">
        <v>3815</v>
      </c>
      <c r="AI610" t="s">
        <v>1011</v>
      </c>
      <c r="AK610">
        <v>-3</v>
      </c>
    </row>
    <row r="611" spans="1:37">
      <c r="A611">
        <v>616</v>
      </c>
      <c r="B611" t="s">
        <v>3923</v>
      </c>
      <c r="C611">
        <v>1195</v>
      </c>
      <c r="D611" t="s">
        <v>3808</v>
      </c>
      <c r="E611" t="s">
        <v>3809</v>
      </c>
      <c r="F611" t="s">
        <v>3810</v>
      </c>
      <c r="G611" t="s">
        <v>499</v>
      </c>
      <c r="H611" t="s">
        <v>3811</v>
      </c>
      <c r="I611" t="s">
        <v>3914</v>
      </c>
      <c r="J611" t="s">
        <v>959</v>
      </c>
      <c r="N611" t="s">
        <v>1115</v>
      </c>
      <c r="T611" t="s">
        <v>1090</v>
      </c>
      <c r="U611" t="s">
        <v>3924</v>
      </c>
      <c r="V611" t="s">
        <v>3925</v>
      </c>
      <c r="W611" t="s">
        <v>950</v>
      </c>
      <c r="X611">
        <v>20280</v>
      </c>
      <c r="Y611">
        <v>70</v>
      </c>
      <c r="Z611" t="s">
        <v>3926</v>
      </c>
      <c r="AA611" t="s">
        <v>3927</v>
      </c>
      <c r="AB611" t="s">
        <v>966</v>
      </c>
      <c r="AC611" t="s">
        <v>953</v>
      </c>
      <c r="AD611" t="s">
        <v>246</v>
      </c>
      <c r="AE611" t="s">
        <v>246</v>
      </c>
      <c r="AF611" t="s">
        <v>3815</v>
      </c>
      <c r="AJ611" t="s">
        <v>3510</v>
      </c>
      <c r="AK611">
        <v>-3</v>
      </c>
    </row>
    <row r="612" spans="1:37">
      <c r="A612">
        <v>623</v>
      </c>
      <c r="B612" t="s">
        <v>3928</v>
      </c>
      <c r="C612">
        <v>1197</v>
      </c>
      <c r="D612" t="s">
        <v>3808</v>
      </c>
      <c r="E612" t="s">
        <v>3809</v>
      </c>
      <c r="F612" t="s">
        <v>3810</v>
      </c>
      <c r="G612" t="s">
        <v>499</v>
      </c>
      <c r="H612" t="s">
        <v>3811</v>
      </c>
      <c r="I612" t="s">
        <v>3914</v>
      </c>
      <c r="J612" t="s">
        <v>959</v>
      </c>
      <c r="N612" t="s">
        <v>1115</v>
      </c>
      <c r="T612" t="s">
        <v>1090</v>
      </c>
      <c r="U612" t="s">
        <v>523</v>
      </c>
      <c r="V612" t="s">
        <v>3929</v>
      </c>
      <c r="W612" t="s">
        <v>950</v>
      </c>
      <c r="X612">
        <v>19429</v>
      </c>
      <c r="Y612">
        <v>72</v>
      </c>
      <c r="Z612" t="s">
        <v>3930</v>
      </c>
      <c r="AA612" t="s">
        <v>3931</v>
      </c>
      <c r="AB612" t="s">
        <v>996</v>
      </c>
      <c r="AC612" t="s">
        <v>953</v>
      </c>
      <c r="AD612" t="s">
        <v>246</v>
      </c>
      <c r="AE612" t="s">
        <v>246</v>
      </c>
      <c r="AF612" t="s">
        <v>3932</v>
      </c>
      <c r="AI612" t="s">
        <v>1025</v>
      </c>
      <c r="AK612">
        <v>-3</v>
      </c>
    </row>
    <row r="613" spans="1:37">
      <c r="A613">
        <v>628</v>
      </c>
      <c r="B613" t="s">
        <v>3933</v>
      </c>
      <c r="C613">
        <v>1199</v>
      </c>
      <c r="D613" t="s">
        <v>3808</v>
      </c>
      <c r="E613" t="s">
        <v>3809</v>
      </c>
      <c r="F613" t="s">
        <v>3810</v>
      </c>
      <c r="G613" t="s">
        <v>499</v>
      </c>
      <c r="H613" t="s">
        <v>3811</v>
      </c>
      <c r="I613" t="s">
        <v>3914</v>
      </c>
      <c r="J613" t="s">
        <v>959</v>
      </c>
      <c r="N613" t="s">
        <v>1115</v>
      </c>
      <c r="T613" t="s">
        <v>1015</v>
      </c>
      <c r="U613" t="s">
        <v>528</v>
      </c>
      <c r="V613" t="s">
        <v>3934</v>
      </c>
      <c r="W613" t="s">
        <v>950</v>
      </c>
      <c r="X613">
        <v>20551</v>
      </c>
      <c r="Y613">
        <v>69</v>
      </c>
      <c r="Z613" t="s">
        <v>3935</v>
      </c>
      <c r="AB613" t="s">
        <v>996</v>
      </c>
      <c r="AC613" t="s">
        <v>997</v>
      </c>
      <c r="AD613" t="s">
        <v>246</v>
      </c>
      <c r="AE613" t="s">
        <v>246</v>
      </c>
      <c r="AF613" t="s">
        <v>3936</v>
      </c>
      <c r="AI613" t="s">
        <v>1114</v>
      </c>
      <c r="AK613">
        <v>-3</v>
      </c>
    </row>
    <row r="614" spans="1:37">
      <c r="A614">
        <v>666</v>
      </c>
      <c r="B614" t="s">
        <v>3937</v>
      </c>
      <c r="C614">
        <v>1201</v>
      </c>
      <c r="D614" t="s">
        <v>3808</v>
      </c>
      <c r="E614" t="s">
        <v>3809</v>
      </c>
      <c r="F614" t="s">
        <v>3810</v>
      </c>
      <c r="G614" t="s">
        <v>499</v>
      </c>
      <c r="H614" t="s">
        <v>3811</v>
      </c>
      <c r="I614" t="s">
        <v>3914</v>
      </c>
      <c r="J614" t="s">
        <v>959</v>
      </c>
      <c r="N614" t="s">
        <v>1115</v>
      </c>
      <c r="T614" t="s">
        <v>1090</v>
      </c>
      <c r="U614" t="s">
        <v>516</v>
      </c>
      <c r="V614" t="s">
        <v>3938</v>
      </c>
      <c r="W614" t="s">
        <v>950</v>
      </c>
      <c r="X614">
        <v>19948</v>
      </c>
      <c r="Y614">
        <v>71</v>
      </c>
      <c r="Z614" t="s">
        <v>3939</v>
      </c>
      <c r="AA614" t="s">
        <v>3940</v>
      </c>
      <c r="AB614" t="s">
        <v>996</v>
      </c>
      <c r="AC614" t="s">
        <v>997</v>
      </c>
      <c r="AD614" t="s">
        <v>246</v>
      </c>
      <c r="AE614" t="s">
        <v>246</v>
      </c>
      <c r="AF614" t="s">
        <v>3815</v>
      </c>
      <c r="AI614" t="s">
        <v>1318</v>
      </c>
      <c r="AK614">
        <v>-3</v>
      </c>
    </row>
    <row r="615" spans="1:37">
      <c r="A615">
        <v>689</v>
      </c>
      <c r="B615" t="s">
        <v>3941</v>
      </c>
      <c r="C615">
        <v>1203</v>
      </c>
      <c r="D615" t="s">
        <v>3808</v>
      </c>
      <c r="E615" t="s">
        <v>3809</v>
      </c>
      <c r="F615" t="s">
        <v>3810</v>
      </c>
      <c r="G615" t="s">
        <v>499</v>
      </c>
      <c r="H615" t="s">
        <v>3811</v>
      </c>
      <c r="I615" t="s">
        <v>3914</v>
      </c>
      <c r="J615" t="s">
        <v>959</v>
      </c>
      <c r="N615" t="s">
        <v>1115</v>
      </c>
      <c r="T615" t="s">
        <v>1090</v>
      </c>
      <c r="U615" t="s">
        <v>3942</v>
      </c>
      <c r="V615" t="s">
        <v>3943</v>
      </c>
      <c r="W615" t="s">
        <v>950</v>
      </c>
      <c r="X615">
        <v>18216</v>
      </c>
      <c r="Y615">
        <v>76</v>
      </c>
      <c r="Z615" t="s">
        <v>3944</v>
      </c>
      <c r="AA615" t="s">
        <v>3945</v>
      </c>
      <c r="AB615" t="s">
        <v>966</v>
      </c>
      <c r="AC615" t="s">
        <v>953</v>
      </c>
      <c r="AD615" t="s">
        <v>973</v>
      </c>
      <c r="AE615" t="s">
        <v>246</v>
      </c>
      <c r="AF615" t="s">
        <v>3815</v>
      </c>
    </row>
    <row r="616" spans="1:37">
      <c r="A616">
        <v>650</v>
      </c>
      <c r="B616" t="s">
        <v>3946</v>
      </c>
      <c r="C616">
        <v>1205</v>
      </c>
      <c r="D616" t="s">
        <v>3862</v>
      </c>
      <c r="E616" t="s">
        <v>3809</v>
      </c>
      <c r="F616" t="s">
        <v>3810</v>
      </c>
      <c r="G616" t="s">
        <v>499</v>
      </c>
      <c r="H616" t="s">
        <v>3811</v>
      </c>
      <c r="I616" t="s">
        <v>3914</v>
      </c>
      <c r="J616" t="s">
        <v>959</v>
      </c>
      <c r="N616" t="s">
        <v>1115</v>
      </c>
      <c r="T616" t="s">
        <v>1090</v>
      </c>
      <c r="U616" t="s">
        <v>3947</v>
      </c>
      <c r="V616" t="s">
        <v>3948</v>
      </c>
      <c r="W616" t="s">
        <v>950</v>
      </c>
      <c r="X616">
        <v>17849</v>
      </c>
      <c r="Y616">
        <v>77</v>
      </c>
      <c r="Z616" t="s">
        <v>3949</v>
      </c>
      <c r="AB616" t="s">
        <v>996</v>
      </c>
      <c r="AC616" t="s">
        <v>1018</v>
      </c>
      <c r="AD616" t="s">
        <v>246</v>
      </c>
      <c r="AE616" t="s">
        <v>246</v>
      </c>
      <c r="AF616" t="s">
        <v>3936</v>
      </c>
      <c r="AH616" t="s">
        <v>3950</v>
      </c>
      <c r="AI616" t="s">
        <v>1114</v>
      </c>
      <c r="AJ616" t="s">
        <v>1020</v>
      </c>
      <c r="AK616">
        <v>-3</v>
      </c>
    </row>
    <row r="617" spans="1:37">
      <c r="B617" t="s">
        <v>3951</v>
      </c>
      <c r="C617">
        <v>1207</v>
      </c>
      <c r="D617" t="s">
        <v>3808</v>
      </c>
      <c r="E617" t="s">
        <v>3809</v>
      </c>
      <c r="F617" t="s">
        <v>3810</v>
      </c>
      <c r="G617" t="s">
        <v>499</v>
      </c>
      <c r="H617" t="s">
        <v>3811</v>
      </c>
      <c r="I617" t="s">
        <v>3914</v>
      </c>
      <c r="N617" t="s">
        <v>1115</v>
      </c>
      <c r="T617" t="s">
        <v>1090</v>
      </c>
      <c r="U617" t="s">
        <v>3952</v>
      </c>
      <c r="V617" t="s">
        <v>3953</v>
      </c>
      <c r="W617" t="s">
        <v>950</v>
      </c>
      <c r="X617">
        <v>19510222</v>
      </c>
      <c r="Y617">
        <v>74</v>
      </c>
      <c r="Z617" t="s">
        <v>3954</v>
      </c>
      <c r="AB617" t="s">
        <v>996</v>
      </c>
      <c r="AC617" t="s">
        <v>1018</v>
      </c>
      <c r="AD617" t="s">
        <v>246</v>
      </c>
      <c r="AE617" t="s">
        <v>246</v>
      </c>
      <c r="AF617" t="s">
        <v>3815</v>
      </c>
      <c r="AI617" t="s">
        <v>1586</v>
      </c>
    </row>
    <row r="618" spans="1:37">
      <c r="A618">
        <v>665</v>
      </c>
      <c r="B618" t="s">
        <v>3955</v>
      </c>
      <c r="C618">
        <v>1209</v>
      </c>
      <c r="D618" t="s">
        <v>3808</v>
      </c>
      <c r="E618" t="s">
        <v>3809</v>
      </c>
      <c r="F618" t="s">
        <v>3810</v>
      </c>
      <c r="G618" t="s">
        <v>499</v>
      </c>
      <c r="H618" t="s">
        <v>3811</v>
      </c>
      <c r="I618" t="s">
        <v>3955</v>
      </c>
      <c r="J618" t="s">
        <v>3956</v>
      </c>
      <c r="N618" t="s">
        <v>1127</v>
      </c>
      <c r="P618" t="s">
        <v>55</v>
      </c>
      <c r="Q618" t="s">
        <v>178</v>
      </c>
      <c r="T618" t="s">
        <v>1015</v>
      </c>
      <c r="U618" t="s">
        <v>540</v>
      </c>
      <c r="V618" t="s">
        <v>3957</v>
      </c>
      <c r="W618" t="s">
        <v>950</v>
      </c>
      <c r="X618">
        <v>22495</v>
      </c>
      <c r="Y618">
        <v>64</v>
      </c>
      <c r="Z618" t="s">
        <v>3958</v>
      </c>
      <c r="AA618" t="s">
        <v>3959</v>
      </c>
      <c r="AB618" t="s">
        <v>996</v>
      </c>
      <c r="AC618" t="s">
        <v>997</v>
      </c>
      <c r="AD618" t="s">
        <v>246</v>
      </c>
      <c r="AE618" t="s">
        <v>246</v>
      </c>
      <c r="AF618" t="s">
        <v>3815</v>
      </c>
      <c r="AI618" t="s">
        <v>1318</v>
      </c>
      <c r="AK618">
        <v>-3</v>
      </c>
    </row>
    <row r="619" spans="1:37">
      <c r="A619">
        <v>605</v>
      </c>
      <c r="B619" t="s">
        <v>3956</v>
      </c>
      <c r="C619">
        <v>1211</v>
      </c>
      <c r="D619" t="s">
        <v>3808</v>
      </c>
      <c r="E619" t="s">
        <v>3809</v>
      </c>
      <c r="F619" t="s">
        <v>3810</v>
      </c>
      <c r="G619" t="s">
        <v>499</v>
      </c>
      <c r="H619" t="s">
        <v>3811</v>
      </c>
      <c r="I619" t="s">
        <v>3955</v>
      </c>
      <c r="J619" t="s">
        <v>3956</v>
      </c>
      <c r="K619" t="s">
        <v>3888</v>
      </c>
      <c r="N619" t="s">
        <v>1127</v>
      </c>
      <c r="P619" t="s">
        <v>69</v>
      </c>
      <c r="Q619" t="s">
        <v>69</v>
      </c>
      <c r="T619" t="s">
        <v>1015</v>
      </c>
      <c r="U619" t="s">
        <v>489</v>
      </c>
      <c r="V619" t="s">
        <v>3960</v>
      </c>
      <c r="W619" t="s">
        <v>950</v>
      </c>
      <c r="X619">
        <v>22921</v>
      </c>
      <c r="Y619">
        <v>63</v>
      </c>
      <c r="Z619" t="s">
        <v>3961</v>
      </c>
      <c r="AA619" t="s">
        <v>3962</v>
      </c>
      <c r="AB619" t="s">
        <v>966</v>
      </c>
      <c r="AC619" t="s">
        <v>953</v>
      </c>
      <c r="AD619" t="s">
        <v>246</v>
      </c>
      <c r="AE619" t="s">
        <v>246</v>
      </c>
      <c r="AF619" t="s">
        <v>3815</v>
      </c>
      <c r="AK619">
        <v>-3</v>
      </c>
    </row>
    <row r="620" spans="1:37">
      <c r="A620">
        <v>652</v>
      </c>
      <c r="B620" t="s">
        <v>3963</v>
      </c>
      <c r="C620">
        <v>1213</v>
      </c>
      <c r="D620" t="s">
        <v>3808</v>
      </c>
      <c r="E620" t="s">
        <v>3809</v>
      </c>
      <c r="F620" t="s">
        <v>3810</v>
      </c>
      <c r="G620" t="s">
        <v>499</v>
      </c>
      <c r="H620" t="s">
        <v>3811</v>
      </c>
      <c r="I620" t="s">
        <v>3955</v>
      </c>
      <c r="J620" t="s">
        <v>3956</v>
      </c>
      <c r="N620" t="s">
        <v>1127</v>
      </c>
      <c r="P620" t="s">
        <v>69</v>
      </c>
      <c r="Q620" t="s">
        <v>562</v>
      </c>
      <c r="T620" t="s">
        <v>1015</v>
      </c>
      <c r="U620" t="s">
        <v>639</v>
      </c>
      <c r="V620" t="s">
        <v>3964</v>
      </c>
      <c r="W620" t="s">
        <v>950</v>
      </c>
      <c r="X620">
        <v>26681</v>
      </c>
      <c r="Y620">
        <v>53</v>
      </c>
      <c r="Z620" t="s">
        <v>3965</v>
      </c>
      <c r="AA620" t="s">
        <v>3966</v>
      </c>
      <c r="AB620" t="s">
        <v>996</v>
      </c>
      <c r="AC620" t="s">
        <v>997</v>
      </c>
      <c r="AD620" t="s">
        <v>246</v>
      </c>
      <c r="AE620" t="s">
        <v>246</v>
      </c>
      <c r="AF620" t="s">
        <v>3829</v>
      </c>
      <c r="AI620" t="s">
        <v>1114</v>
      </c>
    </row>
    <row r="621" spans="1:37">
      <c r="A621">
        <v>627</v>
      </c>
      <c r="B621" t="s">
        <v>3967</v>
      </c>
      <c r="C621">
        <v>1215</v>
      </c>
      <c r="D621" t="s">
        <v>3808</v>
      </c>
      <c r="E621" t="s">
        <v>3809</v>
      </c>
      <c r="F621" t="s">
        <v>3810</v>
      </c>
      <c r="G621" t="s">
        <v>499</v>
      </c>
      <c r="H621" t="s">
        <v>3811</v>
      </c>
      <c r="I621" t="s">
        <v>3955</v>
      </c>
      <c r="J621" t="s">
        <v>3956</v>
      </c>
      <c r="N621" t="s">
        <v>1127</v>
      </c>
      <c r="T621" t="s">
        <v>1015</v>
      </c>
      <c r="U621" t="s">
        <v>3968</v>
      </c>
      <c r="V621" t="s">
        <v>3969</v>
      </c>
      <c r="W621" t="s">
        <v>950</v>
      </c>
      <c r="X621">
        <v>21555</v>
      </c>
      <c r="Y621">
        <v>67</v>
      </c>
      <c r="Z621" t="s">
        <v>3970</v>
      </c>
      <c r="AA621" t="s">
        <v>3971</v>
      </c>
      <c r="AB621" t="s">
        <v>966</v>
      </c>
      <c r="AC621" t="s">
        <v>953</v>
      </c>
      <c r="AD621" t="s">
        <v>246</v>
      </c>
      <c r="AE621" t="s">
        <v>246</v>
      </c>
      <c r="AF621" t="s">
        <v>3815</v>
      </c>
      <c r="AI621" t="s">
        <v>1025</v>
      </c>
      <c r="AK621">
        <v>-3</v>
      </c>
    </row>
    <row r="622" spans="1:37">
      <c r="A622">
        <v>667</v>
      </c>
      <c r="B622" t="s">
        <v>3972</v>
      </c>
      <c r="C622">
        <v>1217</v>
      </c>
      <c r="D622" t="s">
        <v>3808</v>
      </c>
      <c r="E622" t="s">
        <v>3809</v>
      </c>
      <c r="F622" t="s">
        <v>3810</v>
      </c>
      <c r="G622" t="s">
        <v>499</v>
      </c>
      <c r="H622" t="s">
        <v>3811</v>
      </c>
      <c r="I622" t="s">
        <v>3955</v>
      </c>
      <c r="J622" t="s">
        <v>3956</v>
      </c>
      <c r="N622" t="s">
        <v>1127</v>
      </c>
      <c r="T622" t="s">
        <v>1015</v>
      </c>
      <c r="U622" t="s">
        <v>558</v>
      </c>
      <c r="V622" t="s">
        <v>3973</v>
      </c>
      <c r="W622" t="s">
        <v>950</v>
      </c>
      <c r="X622">
        <v>21988</v>
      </c>
      <c r="Y622">
        <v>65</v>
      </c>
      <c r="Z622" t="s">
        <v>3974</v>
      </c>
      <c r="AA622" t="s">
        <v>3975</v>
      </c>
      <c r="AB622" t="s">
        <v>996</v>
      </c>
      <c r="AC622" t="s">
        <v>997</v>
      </c>
      <c r="AD622" t="s">
        <v>246</v>
      </c>
      <c r="AE622" t="s">
        <v>246</v>
      </c>
      <c r="AF622" t="s">
        <v>3815</v>
      </c>
      <c r="AI622" t="s">
        <v>1025</v>
      </c>
      <c r="AK622">
        <v>-3</v>
      </c>
    </row>
    <row r="623" spans="1:37">
      <c r="A623">
        <v>669</v>
      </c>
      <c r="B623" t="s">
        <v>3976</v>
      </c>
      <c r="C623">
        <v>1219</v>
      </c>
      <c r="D623" t="s">
        <v>3808</v>
      </c>
      <c r="E623" t="s">
        <v>3809</v>
      </c>
      <c r="F623" t="s">
        <v>3810</v>
      </c>
      <c r="G623" t="s">
        <v>499</v>
      </c>
      <c r="H623" t="s">
        <v>3811</v>
      </c>
      <c r="I623" t="s">
        <v>3955</v>
      </c>
      <c r="J623" t="s">
        <v>3956</v>
      </c>
      <c r="N623" t="s">
        <v>1127</v>
      </c>
      <c r="T623" t="s">
        <v>1015</v>
      </c>
      <c r="U623" t="s">
        <v>532</v>
      </c>
      <c r="V623" t="s">
        <v>3977</v>
      </c>
      <c r="W623" t="s">
        <v>950</v>
      </c>
      <c r="X623">
        <v>21342</v>
      </c>
      <c r="Y623">
        <v>67</v>
      </c>
      <c r="Z623" t="s">
        <v>3978</v>
      </c>
      <c r="AA623" t="s">
        <v>3979</v>
      </c>
      <c r="AB623" t="s">
        <v>996</v>
      </c>
      <c r="AC623" t="s">
        <v>997</v>
      </c>
      <c r="AD623" t="s">
        <v>246</v>
      </c>
      <c r="AE623" t="s">
        <v>246</v>
      </c>
      <c r="AF623" t="s">
        <v>3815</v>
      </c>
      <c r="AI623" t="s">
        <v>1318</v>
      </c>
      <c r="AK623">
        <v>-3</v>
      </c>
    </row>
    <row r="624" spans="1:37">
      <c r="A624">
        <v>655</v>
      </c>
      <c r="B624" t="s">
        <v>3980</v>
      </c>
      <c r="C624">
        <v>1221</v>
      </c>
      <c r="D624" t="s">
        <v>3808</v>
      </c>
      <c r="E624" t="s">
        <v>3809</v>
      </c>
      <c r="F624" t="s">
        <v>3810</v>
      </c>
      <c r="G624" t="s">
        <v>499</v>
      </c>
      <c r="H624" t="s">
        <v>3811</v>
      </c>
      <c r="I624" t="s">
        <v>3955</v>
      </c>
      <c r="J624" t="s">
        <v>3956</v>
      </c>
      <c r="N624" t="s">
        <v>1127</v>
      </c>
      <c r="T624" t="s">
        <v>1015</v>
      </c>
      <c r="U624" t="s">
        <v>3981</v>
      </c>
      <c r="V624" t="s">
        <v>3982</v>
      </c>
      <c r="W624" t="s">
        <v>950</v>
      </c>
      <c r="X624">
        <v>29149</v>
      </c>
      <c r="Y624">
        <v>46</v>
      </c>
      <c r="Z624" t="s">
        <v>3983</v>
      </c>
      <c r="AA624" t="s">
        <v>3984</v>
      </c>
      <c r="AB624" t="s">
        <v>996</v>
      </c>
      <c r="AC624" t="s">
        <v>997</v>
      </c>
      <c r="AD624" t="s">
        <v>246</v>
      </c>
      <c r="AE624" t="s">
        <v>246</v>
      </c>
      <c r="AF624" t="s">
        <v>3936</v>
      </c>
      <c r="AI624" t="s">
        <v>1125</v>
      </c>
      <c r="AK624">
        <v>-3</v>
      </c>
    </row>
    <row r="625" spans="1:37">
      <c r="A625">
        <v>618</v>
      </c>
      <c r="B625" t="s">
        <v>3985</v>
      </c>
      <c r="C625">
        <v>1223</v>
      </c>
      <c r="D625" t="s">
        <v>3808</v>
      </c>
      <c r="E625" t="s">
        <v>3809</v>
      </c>
      <c r="F625" t="s">
        <v>3810</v>
      </c>
      <c r="G625" t="s">
        <v>499</v>
      </c>
      <c r="H625" t="s">
        <v>3811</v>
      </c>
      <c r="I625" t="s">
        <v>3955</v>
      </c>
      <c r="J625" t="s">
        <v>3956</v>
      </c>
      <c r="N625" t="s">
        <v>1127</v>
      </c>
      <c r="Q625" t="s">
        <v>178</v>
      </c>
      <c r="T625" t="s">
        <v>1015</v>
      </c>
      <c r="U625" t="s">
        <v>495</v>
      </c>
      <c r="V625" t="s">
        <v>3986</v>
      </c>
      <c r="W625" t="s">
        <v>950</v>
      </c>
      <c r="X625">
        <v>25024</v>
      </c>
      <c r="Y625">
        <v>57</v>
      </c>
      <c r="Z625" t="s">
        <v>3987</v>
      </c>
      <c r="AA625" t="s">
        <v>3988</v>
      </c>
      <c r="AB625" t="s">
        <v>966</v>
      </c>
      <c r="AC625" t="s">
        <v>953</v>
      </c>
      <c r="AD625" t="s">
        <v>246</v>
      </c>
      <c r="AE625" t="s">
        <v>246</v>
      </c>
      <c r="AF625" t="s">
        <v>3815</v>
      </c>
    </row>
    <row r="626" spans="1:37">
      <c r="A626">
        <v>626</v>
      </c>
      <c r="B626" t="s">
        <v>3989</v>
      </c>
      <c r="C626">
        <v>1225</v>
      </c>
      <c r="D626" t="s">
        <v>3808</v>
      </c>
      <c r="E626" t="s">
        <v>3809</v>
      </c>
      <c r="F626" t="s">
        <v>3810</v>
      </c>
      <c r="G626" t="s">
        <v>499</v>
      </c>
      <c r="H626" t="s">
        <v>3811</v>
      </c>
      <c r="I626" t="s">
        <v>3955</v>
      </c>
      <c r="J626" t="s">
        <v>3956</v>
      </c>
      <c r="N626" t="s">
        <v>1127</v>
      </c>
      <c r="T626" t="s">
        <v>1015</v>
      </c>
      <c r="U626" t="s">
        <v>3990</v>
      </c>
      <c r="V626" t="s">
        <v>3991</v>
      </c>
      <c r="W626" t="s">
        <v>950</v>
      </c>
      <c r="X626">
        <v>27315</v>
      </c>
      <c r="Y626">
        <v>51</v>
      </c>
      <c r="Z626" t="s">
        <v>3992</v>
      </c>
      <c r="AA626" t="s">
        <v>3993</v>
      </c>
      <c r="AB626" t="s">
        <v>996</v>
      </c>
      <c r="AC626" t="s">
        <v>997</v>
      </c>
      <c r="AD626" t="s">
        <v>246</v>
      </c>
      <c r="AE626" t="s">
        <v>246</v>
      </c>
      <c r="AF626" t="s">
        <v>3936</v>
      </c>
      <c r="AI626" t="s">
        <v>1114</v>
      </c>
      <c r="AK626">
        <v>-3</v>
      </c>
    </row>
    <row r="627" spans="1:37">
      <c r="A627">
        <v>671</v>
      </c>
      <c r="B627" t="s">
        <v>3994</v>
      </c>
      <c r="C627">
        <v>1227</v>
      </c>
      <c r="D627" t="s">
        <v>3808</v>
      </c>
      <c r="E627" t="s">
        <v>3809</v>
      </c>
      <c r="F627" t="s">
        <v>3810</v>
      </c>
      <c r="G627" t="s">
        <v>499</v>
      </c>
      <c r="H627" t="s">
        <v>3811</v>
      </c>
      <c r="I627" t="s">
        <v>3994</v>
      </c>
      <c r="N627" t="s">
        <v>1157</v>
      </c>
      <c r="P627" t="s">
        <v>55</v>
      </c>
      <c r="Q627" t="s">
        <v>178</v>
      </c>
      <c r="T627" t="s">
        <v>1015</v>
      </c>
      <c r="U627" t="s">
        <v>517</v>
      </c>
      <c r="V627" t="s">
        <v>3995</v>
      </c>
      <c r="W627" t="s">
        <v>950</v>
      </c>
      <c r="X627">
        <v>29204</v>
      </c>
      <c r="Y627">
        <v>46</v>
      </c>
      <c r="Z627" t="s">
        <v>3996</v>
      </c>
      <c r="AA627" t="s">
        <v>3997</v>
      </c>
      <c r="AB627" t="s">
        <v>996</v>
      </c>
      <c r="AC627" t="s">
        <v>997</v>
      </c>
      <c r="AD627" t="s">
        <v>246</v>
      </c>
      <c r="AE627" t="s">
        <v>246</v>
      </c>
      <c r="AF627" t="s">
        <v>3815</v>
      </c>
      <c r="AI627" t="s">
        <v>1025</v>
      </c>
      <c r="AK627">
        <v>-3</v>
      </c>
    </row>
    <row r="628" spans="1:37">
      <c r="A628">
        <v>653</v>
      </c>
      <c r="B628" t="s">
        <v>3998</v>
      </c>
      <c r="C628">
        <v>1229</v>
      </c>
      <c r="D628" t="s">
        <v>3808</v>
      </c>
      <c r="E628" t="s">
        <v>3809</v>
      </c>
      <c r="F628" t="s">
        <v>3810</v>
      </c>
      <c r="G628" t="s">
        <v>499</v>
      </c>
      <c r="H628" t="s">
        <v>3811</v>
      </c>
      <c r="I628" t="s">
        <v>3994</v>
      </c>
      <c r="N628" t="s">
        <v>1157</v>
      </c>
      <c r="T628" t="s">
        <v>1015</v>
      </c>
      <c r="U628" t="s">
        <v>533</v>
      </c>
      <c r="V628" t="s">
        <v>3999</v>
      </c>
      <c r="W628" t="s">
        <v>950</v>
      </c>
      <c r="X628">
        <v>31186</v>
      </c>
      <c r="Y628">
        <v>40</v>
      </c>
      <c r="Z628" t="s">
        <v>4000</v>
      </c>
      <c r="AA628" t="s">
        <v>4001</v>
      </c>
      <c r="AB628" t="s">
        <v>966</v>
      </c>
      <c r="AC628" t="s">
        <v>953</v>
      </c>
      <c r="AD628" t="s">
        <v>246</v>
      </c>
      <c r="AE628" t="s">
        <v>246</v>
      </c>
      <c r="AF628" t="s">
        <v>3815</v>
      </c>
      <c r="AK628">
        <v>-3</v>
      </c>
    </row>
    <row r="629" spans="1:37">
      <c r="A629">
        <v>657</v>
      </c>
      <c r="B629" t="s">
        <v>4002</v>
      </c>
      <c r="C629">
        <v>1231</v>
      </c>
      <c r="D629" t="s">
        <v>3808</v>
      </c>
      <c r="E629" t="s">
        <v>3809</v>
      </c>
      <c r="F629" t="s">
        <v>3810</v>
      </c>
      <c r="G629" t="s">
        <v>499</v>
      </c>
      <c r="H629" t="s">
        <v>3811</v>
      </c>
      <c r="I629" t="s">
        <v>3994</v>
      </c>
      <c r="N629" t="s">
        <v>1157</v>
      </c>
      <c r="T629" t="s">
        <v>1015</v>
      </c>
      <c r="U629" t="s">
        <v>543</v>
      </c>
      <c r="V629" t="s">
        <v>4003</v>
      </c>
      <c r="W629" t="s">
        <v>950</v>
      </c>
      <c r="X629">
        <v>33412</v>
      </c>
      <c r="Y629">
        <v>34</v>
      </c>
      <c r="Z629" t="s">
        <v>4004</v>
      </c>
      <c r="AA629" t="s">
        <v>4005</v>
      </c>
      <c r="AB629" t="s">
        <v>996</v>
      </c>
      <c r="AC629" t="s">
        <v>997</v>
      </c>
      <c r="AD629" t="s">
        <v>246</v>
      </c>
      <c r="AE629" t="s">
        <v>246</v>
      </c>
      <c r="AF629" t="s">
        <v>3936</v>
      </c>
      <c r="AI629" t="s">
        <v>1114</v>
      </c>
      <c r="AK629">
        <v>-3</v>
      </c>
    </row>
    <row r="630" spans="1:37">
      <c r="A630">
        <v>659</v>
      </c>
      <c r="B630" t="s">
        <v>4006</v>
      </c>
      <c r="C630">
        <v>1233</v>
      </c>
      <c r="D630" t="s">
        <v>3808</v>
      </c>
      <c r="E630" t="s">
        <v>3809</v>
      </c>
      <c r="F630" t="s">
        <v>3810</v>
      </c>
      <c r="G630" t="s">
        <v>499</v>
      </c>
      <c r="H630" t="s">
        <v>3811</v>
      </c>
      <c r="I630" t="s">
        <v>3994</v>
      </c>
      <c r="N630" t="s">
        <v>1157</v>
      </c>
      <c r="T630" t="s">
        <v>1015</v>
      </c>
      <c r="U630" t="s">
        <v>4007</v>
      </c>
      <c r="V630" t="s">
        <v>4008</v>
      </c>
      <c r="W630" t="s">
        <v>950</v>
      </c>
      <c r="X630">
        <v>33476</v>
      </c>
      <c r="Y630">
        <v>34</v>
      </c>
      <c r="AA630" t="s">
        <v>4009</v>
      </c>
      <c r="AB630" t="s">
        <v>996</v>
      </c>
      <c r="AC630" t="s">
        <v>997</v>
      </c>
      <c r="AD630" t="s">
        <v>246</v>
      </c>
      <c r="AE630" t="s">
        <v>246</v>
      </c>
      <c r="AF630" t="s">
        <v>3936</v>
      </c>
      <c r="AI630" t="s">
        <v>1513</v>
      </c>
    </row>
    <row r="631" spans="1:37">
      <c r="A631">
        <v>672</v>
      </c>
      <c r="B631" t="s">
        <v>4010</v>
      </c>
      <c r="C631">
        <v>1235</v>
      </c>
      <c r="D631" t="s">
        <v>3808</v>
      </c>
      <c r="E631" t="s">
        <v>3809</v>
      </c>
      <c r="F631" t="s">
        <v>3810</v>
      </c>
      <c r="G631" t="s">
        <v>499</v>
      </c>
      <c r="H631" t="s">
        <v>3811</v>
      </c>
      <c r="I631" t="s">
        <v>3994</v>
      </c>
      <c r="N631" t="s">
        <v>1157</v>
      </c>
      <c r="T631" t="s">
        <v>1015</v>
      </c>
      <c r="U631" t="s">
        <v>525</v>
      </c>
      <c r="V631" t="s">
        <v>4011</v>
      </c>
      <c r="W631" t="s">
        <v>950</v>
      </c>
      <c r="X631">
        <v>33409</v>
      </c>
      <c r="Y631">
        <v>34</v>
      </c>
      <c r="Z631" t="s">
        <v>4012</v>
      </c>
      <c r="AA631" t="s">
        <v>4013</v>
      </c>
      <c r="AB631" t="s">
        <v>966</v>
      </c>
      <c r="AC631" t="s">
        <v>953</v>
      </c>
      <c r="AD631" t="s">
        <v>246</v>
      </c>
      <c r="AE631" t="s">
        <v>246</v>
      </c>
      <c r="AF631" t="s">
        <v>3815</v>
      </c>
      <c r="AK631">
        <v>-3</v>
      </c>
    </row>
    <row r="632" spans="1:37">
      <c r="A632">
        <v>674</v>
      </c>
      <c r="B632" t="s">
        <v>4014</v>
      </c>
      <c r="C632">
        <v>1237</v>
      </c>
      <c r="D632" t="s">
        <v>3808</v>
      </c>
      <c r="E632" t="s">
        <v>3809</v>
      </c>
      <c r="F632" t="s">
        <v>3810</v>
      </c>
      <c r="G632" t="s">
        <v>499</v>
      </c>
      <c r="H632" t="s">
        <v>3811</v>
      </c>
      <c r="I632" t="s">
        <v>3994</v>
      </c>
      <c r="N632" t="s">
        <v>1157</v>
      </c>
      <c r="T632" t="s">
        <v>1015</v>
      </c>
      <c r="U632" t="s">
        <v>554</v>
      </c>
      <c r="V632" t="s">
        <v>4015</v>
      </c>
      <c r="W632" t="s">
        <v>950</v>
      </c>
      <c r="X632">
        <v>29948</v>
      </c>
      <c r="Y632">
        <v>44</v>
      </c>
      <c r="Z632" t="s">
        <v>4016</v>
      </c>
      <c r="AA632" t="s">
        <v>4017</v>
      </c>
      <c r="AB632" t="s">
        <v>996</v>
      </c>
      <c r="AC632" t="s">
        <v>997</v>
      </c>
      <c r="AD632" t="s">
        <v>246</v>
      </c>
      <c r="AE632" t="s">
        <v>246</v>
      </c>
      <c r="AF632" t="s">
        <v>3815</v>
      </c>
      <c r="AI632" t="s">
        <v>1025</v>
      </c>
      <c r="AK632">
        <v>-3</v>
      </c>
    </row>
    <row r="633" spans="1:37">
      <c r="A633">
        <v>617</v>
      </c>
      <c r="B633" t="s">
        <v>4018</v>
      </c>
      <c r="C633">
        <v>1239</v>
      </c>
      <c r="D633" t="s">
        <v>3808</v>
      </c>
      <c r="E633" t="s">
        <v>3809</v>
      </c>
      <c r="F633" t="s">
        <v>3810</v>
      </c>
      <c r="G633" t="s">
        <v>499</v>
      </c>
      <c r="H633" t="s">
        <v>3811</v>
      </c>
      <c r="I633" t="s">
        <v>3994</v>
      </c>
      <c r="N633" t="s">
        <v>1157</v>
      </c>
      <c r="T633" t="s">
        <v>1015</v>
      </c>
      <c r="U633" t="s">
        <v>4019</v>
      </c>
      <c r="V633" t="s">
        <v>4020</v>
      </c>
      <c r="W633" t="s">
        <v>950</v>
      </c>
      <c r="X633">
        <v>28525</v>
      </c>
      <c r="Y633">
        <v>47</v>
      </c>
      <c r="Z633" t="s">
        <v>4021</v>
      </c>
      <c r="AA633" t="s">
        <v>4022</v>
      </c>
      <c r="AB633" t="s">
        <v>966</v>
      </c>
      <c r="AC633" t="s">
        <v>953</v>
      </c>
      <c r="AD633" t="s">
        <v>246</v>
      </c>
      <c r="AE633" t="s">
        <v>246</v>
      </c>
      <c r="AF633" t="s">
        <v>3815</v>
      </c>
      <c r="AI633" t="s">
        <v>1440</v>
      </c>
      <c r="AK633">
        <v>-3</v>
      </c>
    </row>
    <row r="634" spans="1:37">
      <c r="A634">
        <v>625</v>
      </c>
      <c r="B634" t="s">
        <v>4023</v>
      </c>
      <c r="C634">
        <v>1241</v>
      </c>
      <c r="D634" t="s">
        <v>3808</v>
      </c>
      <c r="E634" t="s">
        <v>3809</v>
      </c>
      <c r="F634" t="s">
        <v>3810</v>
      </c>
      <c r="G634" t="s">
        <v>499</v>
      </c>
      <c r="H634" t="s">
        <v>3811</v>
      </c>
      <c r="I634" t="s">
        <v>3994</v>
      </c>
      <c r="N634" t="s">
        <v>1157</v>
      </c>
      <c r="T634" t="s">
        <v>1015</v>
      </c>
      <c r="U634" t="s">
        <v>539</v>
      </c>
      <c r="V634" t="s">
        <v>4024</v>
      </c>
      <c r="W634" t="s">
        <v>950</v>
      </c>
      <c r="X634">
        <v>27624</v>
      </c>
      <c r="Y634">
        <v>50</v>
      </c>
      <c r="Z634" t="s">
        <v>4025</v>
      </c>
      <c r="AA634" t="s">
        <v>4026</v>
      </c>
      <c r="AB634" t="s">
        <v>996</v>
      </c>
      <c r="AC634" t="s">
        <v>953</v>
      </c>
      <c r="AD634" t="s">
        <v>246</v>
      </c>
      <c r="AE634" t="s">
        <v>246</v>
      </c>
      <c r="AF634" t="s">
        <v>3815</v>
      </c>
      <c r="AH634" t="s">
        <v>4027</v>
      </c>
      <c r="AK634">
        <v>-3</v>
      </c>
    </row>
    <row r="635" spans="1:37">
      <c r="A635">
        <v>670</v>
      </c>
      <c r="B635" t="s">
        <v>4028</v>
      </c>
      <c r="C635">
        <v>1243</v>
      </c>
      <c r="D635" t="s">
        <v>3808</v>
      </c>
      <c r="E635" t="s">
        <v>3809</v>
      </c>
      <c r="F635" t="s">
        <v>3810</v>
      </c>
      <c r="G635" t="s">
        <v>499</v>
      </c>
      <c r="H635" t="s">
        <v>3811</v>
      </c>
      <c r="I635" t="s">
        <v>3994</v>
      </c>
      <c r="N635" t="s">
        <v>1157</v>
      </c>
      <c r="T635" t="s">
        <v>1015</v>
      </c>
      <c r="U635" t="s">
        <v>547</v>
      </c>
      <c r="V635" t="s">
        <v>4029</v>
      </c>
      <c r="W635" t="s">
        <v>950</v>
      </c>
      <c r="X635">
        <v>23608</v>
      </c>
      <c r="Y635">
        <v>61</v>
      </c>
      <c r="Z635" t="s">
        <v>4030</v>
      </c>
      <c r="AA635" t="s">
        <v>4031</v>
      </c>
      <c r="AB635" t="s">
        <v>996</v>
      </c>
      <c r="AC635" t="s">
        <v>997</v>
      </c>
      <c r="AD635" t="s">
        <v>246</v>
      </c>
      <c r="AE635" t="s">
        <v>246</v>
      </c>
      <c r="AF635" t="s">
        <v>4032</v>
      </c>
      <c r="AI635" t="s">
        <v>1318</v>
      </c>
      <c r="AK635">
        <v>-3</v>
      </c>
    </row>
    <row r="636" spans="1:37">
      <c r="A636">
        <v>654</v>
      </c>
      <c r="B636" t="s">
        <v>4033</v>
      </c>
      <c r="C636">
        <v>1245</v>
      </c>
      <c r="D636" t="s">
        <v>3808</v>
      </c>
      <c r="E636" t="s">
        <v>3809</v>
      </c>
      <c r="F636" t="s">
        <v>3810</v>
      </c>
      <c r="G636" t="s">
        <v>499</v>
      </c>
      <c r="H636" t="s">
        <v>3811</v>
      </c>
      <c r="I636" t="s">
        <v>3994</v>
      </c>
      <c r="N636" t="s">
        <v>1157</v>
      </c>
      <c r="T636" t="s">
        <v>1015</v>
      </c>
      <c r="U636" t="s">
        <v>4034</v>
      </c>
      <c r="V636" t="s">
        <v>4035</v>
      </c>
      <c r="W636" t="s">
        <v>950</v>
      </c>
      <c r="X636">
        <v>28550</v>
      </c>
      <c r="Y636">
        <v>47</v>
      </c>
      <c r="Z636" t="s">
        <v>4036</v>
      </c>
      <c r="AA636" t="s">
        <v>4037</v>
      </c>
      <c r="AB636" t="s">
        <v>996</v>
      </c>
      <c r="AC636" t="s">
        <v>997</v>
      </c>
      <c r="AD636" t="s">
        <v>246</v>
      </c>
      <c r="AE636" t="s">
        <v>246</v>
      </c>
      <c r="AF636" t="s">
        <v>3815</v>
      </c>
      <c r="AI636" t="s">
        <v>1125</v>
      </c>
      <c r="AK636">
        <v>-3</v>
      </c>
    </row>
    <row r="637" spans="1:37">
      <c r="A637">
        <v>734</v>
      </c>
      <c r="B637" t="s">
        <v>4038</v>
      </c>
      <c r="C637">
        <v>1247</v>
      </c>
      <c r="D637" t="s">
        <v>3808</v>
      </c>
      <c r="E637" t="s">
        <v>3809</v>
      </c>
      <c r="F637" t="s">
        <v>3810</v>
      </c>
      <c r="G637" t="s">
        <v>499</v>
      </c>
      <c r="H637" t="s">
        <v>3811</v>
      </c>
      <c r="I637" t="s">
        <v>3994</v>
      </c>
      <c r="N637" t="s">
        <v>1157</v>
      </c>
      <c r="T637" t="s">
        <v>1015</v>
      </c>
      <c r="U637" t="s">
        <v>4039</v>
      </c>
      <c r="V637" t="s">
        <v>4040</v>
      </c>
      <c r="W637" t="s">
        <v>950</v>
      </c>
      <c r="X637">
        <v>33959</v>
      </c>
      <c r="Y637">
        <v>33</v>
      </c>
      <c r="Z637" t="s">
        <v>4041</v>
      </c>
      <c r="AB637" t="s">
        <v>996</v>
      </c>
      <c r="AC637" t="s">
        <v>1018</v>
      </c>
      <c r="AD637" t="s">
        <v>246</v>
      </c>
      <c r="AE637" t="s">
        <v>246</v>
      </c>
      <c r="AF637" t="s">
        <v>3815</v>
      </c>
      <c r="AH637" t="s">
        <v>1019</v>
      </c>
      <c r="AJ637" t="s">
        <v>1020</v>
      </c>
      <c r="AK637">
        <v>-3</v>
      </c>
    </row>
    <row r="638" spans="1:37">
      <c r="A638">
        <v>584</v>
      </c>
      <c r="B638" t="s">
        <v>4042</v>
      </c>
      <c r="C638">
        <v>1249</v>
      </c>
      <c r="D638" t="s">
        <v>3808</v>
      </c>
      <c r="E638" t="s">
        <v>3809</v>
      </c>
      <c r="F638" t="s">
        <v>3810</v>
      </c>
      <c r="G638" t="s">
        <v>499</v>
      </c>
      <c r="H638" t="s">
        <v>3811</v>
      </c>
      <c r="I638" t="s">
        <v>4042</v>
      </c>
      <c r="J638" t="s">
        <v>4043</v>
      </c>
      <c r="N638" t="s">
        <v>1480</v>
      </c>
      <c r="P638" t="s">
        <v>55</v>
      </c>
      <c r="Q638" t="s">
        <v>55</v>
      </c>
      <c r="T638" t="s">
        <v>1015</v>
      </c>
      <c r="U638" t="s">
        <v>487</v>
      </c>
      <c r="V638" t="s">
        <v>4044</v>
      </c>
      <c r="W638" t="s">
        <v>950</v>
      </c>
      <c r="X638">
        <v>22938</v>
      </c>
      <c r="Y638">
        <v>63</v>
      </c>
      <c r="Z638" t="s">
        <v>4045</v>
      </c>
      <c r="AA638" t="s">
        <v>4046</v>
      </c>
      <c r="AB638" t="s">
        <v>966</v>
      </c>
      <c r="AC638" t="s">
        <v>953</v>
      </c>
      <c r="AD638" t="s">
        <v>246</v>
      </c>
      <c r="AE638" t="s">
        <v>246</v>
      </c>
      <c r="AF638" t="s">
        <v>3815</v>
      </c>
      <c r="AK638">
        <v>-3</v>
      </c>
    </row>
    <row r="639" spans="1:37">
      <c r="A639">
        <v>614</v>
      </c>
      <c r="B639" t="s">
        <v>4043</v>
      </c>
      <c r="C639">
        <v>1251</v>
      </c>
      <c r="D639" t="s">
        <v>3808</v>
      </c>
      <c r="E639" t="s">
        <v>3809</v>
      </c>
      <c r="F639" t="s">
        <v>3810</v>
      </c>
      <c r="G639" t="s">
        <v>499</v>
      </c>
      <c r="H639" t="s">
        <v>3811</v>
      </c>
      <c r="I639" t="s">
        <v>4042</v>
      </c>
      <c r="J639" t="s">
        <v>4043</v>
      </c>
      <c r="N639" t="s">
        <v>1480</v>
      </c>
      <c r="P639" t="s">
        <v>69</v>
      </c>
      <c r="Q639" t="s">
        <v>69</v>
      </c>
      <c r="R639" t="s">
        <v>1286</v>
      </c>
      <c r="T639" t="s">
        <v>1015</v>
      </c>
      <c r="U639" t="s">
        <v>4047</v>
      </c>
      <c r="V639" t="s">
        <v>4048</v>
      </c>
      <c r="W639" t="s">
        <v>950</v>
      </c>
      <c r="X639">
        <v>20886</v>
      </c>
      <c r="Y639">
        <v>68</v>
      </c>
      <c r="Z639" t="s">
        <v>4049</v>
      </c>
      <c r="AA639" t="s">
        <v>4050</v>
      </c>
      <c r="AB639" t="s">
        <v>996</v>
      </c>
      <c r="AC639" t="s">
        <v>997</v>
      </c>
      <c r="AD639" t="s">
        <v>246</v>
      </c>
      <c r="AE639" t="s">
        <v>246</v>
      </c>
      <c r="AF639" t="s">
        <v>3824</v>
      </c>
      <c r="AI639" t="s">
        <v>1349</v>
      </c>
    </row>
    <row r="640" spans="1:37">
      <c r="A640">
        <v>642</v>
      </c>
      <c r="B640" t="s">
        <v>4051</v>
      </c>
      <c r="C640">
        <v>1253</v>
      </c>
      <c r="D640" t="s">
        <v>3808</v>
      </c>
      <c r="E640" t="s">
        <v>3809</v>
      </c>
      <c r="F640" t="s">
        <v>3810</v>
      </c>
      <c r="G640" t="s">
        <v>499</v>
      </c>
      <c r="H640" t="s">
        <v>3811</v>
      </c>
      <c r="I640" t="s">
        <v>4042</v>
      </c>
      <c r="J640" t="s">
        <v>4043</v>
      </c>
      <c r="N640" t="s">
        <v>1480</v>
      </c>
      <c r="T640" t="s">
        <v>1015</v>
      </c>
      <c r="U640" t="s">
        <v>4052</v>
      </c>
      <c r="V640" t="s">
        <v>4053</v>
      </c>
      <c r="W640" t="s">
        <v>950</v>
      </c>
      <c r="X640">
        <v>32231</v>
      </c>
      <c r="Y640">
        <v>37</v>
      </c>
      <c r="Z640" t="s">
        <v>4054</v>
      </c>
      <c r="AA640" t="s">
        <v>4055</v>
      </c>
      <c r="AB640" t="s">
        <v>996</v>
      </c>
      <c r="AC640" t="s">
        <v>997</v>
      </c>
      <c r="AD640" t="s">
        <v>246</v>
      </c>
      <c r="AE640" t="s">
        <v>246</v>
      </c>
      <c r="AF640" t="s">
        <v>3815</v>
      </c>
      <c r="AI640" t="s">
        <v>1440</v>
      </c>
    </row>
    <row r="641" spans="1:37">
      <c r="A641">
        <v>646</v>
      </c>
      <c r="B641" t="s">
        <v>4056</v>
      </c>
      <c r="C641">
        <v>1255</v>
      </c>
      <c r="D641" t="s">
        <v>3808</v>
      </c>
      <c r="E641" t="s">
        <v>3809</v>
      </c>
      <c r="F641" t="s">
        <v>3810</v>
      </c>
      <c r="G641" t="s">
        <v>499</v>
      </c>
      <c r="H641" t="s">
        <v>3811</v>
      </c>
      <c r="I641" t="s">
        <v>4042</v>
      </c>
      <c r="J641" t="s">
        <v>4043</v>
      </c>
      <c r="N641" t="s">
        <v>1480</v>
      </c>
      <c r="T641" t="s">
        <v>1015</v>
      </c>
      <c r="U641" t="s">
        <v>536</v>
      </c>
      <c r="V641" t="s">
        <v>4057</v>
      </c>
      <c r="W641" t="s">
        <v>950</v>
      </c>
      <c r="X641">
        <v>21795</v>
      </c>
      <c r="Y641">
        <v>66</v>
      </c>
      <c r="Z641" t="s">
        <v>4058</v>
      </c>
      <c r="AB641" t="s">
        <v>996</v>
      </c>
      <c r="AC641" t="s">
        <v>1018</v>
      </c>
      <c r="AD641" t="s">
        <v>246</v>
      </c>
      <c r="AE641" t="s">
        <v>246</v>
      </c>
      <c r="AF641" t="s">
        <v>4059</v>
      </c>
      <c r="AI641" t="s">
        <v>1114</v>
      </c>
      <c r="AK641">
        <v>-3</v>
      </c>
    </row>
    <row r="642" spans="1:37">
      <c r="A642">
        <v>649</v>
      </c>
      <c r="B642" t="s">
        <v>4060</v>
      </c>
      <c r="C642">
        <v>1257</v>
      </c>
      <c r="D642" t="s">
        <v>3808</v>
      </c>
      <c r="E642" t="s">
        <v>3809</v>
      </c>
      <c r="F642" t="s">
        <v>3810</v>
      </c>
      <c r="G642" t="s">
        <v>499</v>
      </c>
      <c r="H642" t="s">
        <v>3811</v>
      </c>
      <c r="I642" t="s">
        <v>4042</v>
      </c>
      <c r="J642" t="s">
        <v>4043</v>
      </c>
      <c r="N642" t="s">
        <v>1480</v>
      </c>
      <c r="T642" t="s">
        <v>1015</v>
      </c>
      <c r="U642" t="s">
        <v>680</v>
      </c>
      <c r="V642" t="s">
        <v>4061</v>
      </c>
      <c r="W642" t="s">
        <v>950</v>
      </c>
      <c r="X642">
        <v>23701</v>
      </c>
      <c r="Y642">
        <v>61</v>
      </c>
      <c r="Z642" t="s">
        <v>4062</v>
      </c>
      <c r="AA642" t="s">
        <v>4063</v>
      </c>
      <c r="AB642" t="s">
        <v>996</v>
      </c>
      <c r="AC642" t="s">
        <v>997</v>
      </c>
      <c r="AD642" t="s">
        <v>246</v>
      </c>
      <c r="AE642" t="s">
        <v>246</v>
      </c>
      <c r="AF642" t="s">
        <v>4064</v>
      </c>
      <c r="AI642" t="s">
        <v>1513</v>
      </c>
      <c r="AK642">
        <v>-3</v>
      </c>
    </row>
    <row r="643" spans="1:37">
      <c r="A643">
        <v>676</v>
      </c>
      <c r="B643" t="s">
        <v>4065</v>
      </c>
      <c r="C643">
        <v>1259</v>
      </c>
      <c r="D643" t="s">
        <v>3808</v>
      </c>
      <c r="E643" t="s">
        <v>3809</v>
      </c>
      <c r="F643" t="s">
        <v>3810</v>
      </c>
      <c r="G643" t="s">
        <v>499</v>
      </c>
      <c r="H643" t="s">
        <v>3811</v>
      </c>
      <c r="I643" t="s">
        <v>4042</v>
      </c>
      <c r="J643" t="s">
        <v>4043</v>
      </c>
      <c r="K643" t="s">
        <v>4065</v>
      </c>
      <c r="N643" t="s">
        <v>1480</v>
      </c>
      <c r="P643" t="s">
        <v>69</v>
      </c>
      <c r="R643" t="s">
        <v>1286</v>
      </c>
      <c r="T643" t="s">
        <v>1015</v>
      </c>
      <c r="U643" t="s">
        <v>534</v>
      </c>
      <c r="V643" t="s">
        <v>4066</v>
      </c>
      <c r="W643" t="s">
        <v>950</v>
      </c>
      <c r="X643">
        <v>24081</v>
      </c>
      <c r="Y643">
        <v>60</v>
      </c>
      <c r="Z643" t="s">
        <v>4067</v>
      </c>
      <c r="AA643" t="s">
        <v>4068</v>
      </c>
      <c r="AB643" t="s">
        <v>996</v>
      </c>
      <c r="AC643" t="s">
        <v>997</v>
      </c>
      <c r="AD643" t="s">
        <v>246</v>
      </c>
      <c r="AE643" t="s">
        <v>246</v>
      </c>
      <c r="AF643" t="s">
        <v>4064</v>
      </c>
      <c r="AI643" t="s">
        <v>1359</v>
      </c>
      <c r="AK643">
        <v>-3</v>
      </c>
    </row>
    <row r="644" spans="1:37">
      <c r="A644">
        <v>624</v>
      </c>
      <c r="B644" t="s">
        <v>4069</v>
      </c>
      <c r="C644">
        <v>1261</v>
      </c>
      <c r="D644" t="s">
        <v>3808</v>
      </c>
      <c r="E644" t="s">
        <v>3809</v>
      </c>
      <c r="F644" t="s">
        <v>3810</v>
      </c>
      <c r="G644" t="s">
        <v>499</v>
      </c>
      <c r="H644" t="s">
        <v>3811</v>
      </c>
      <c r="I644" t="s">
        <v>4069</v>
      </c>
      <c r="N644" t="s">
        <v>1515</v>
      </c>
      <c r="P644" t="s">
        <v>55</v>
      </c>
      <c r="T644" t="s">
        <v>1090</v>
      </c>
      <c r="U644" t="s">
        <v>531</v>
      </c>
      <c r="V644" t="s">
        <v>4070</v>
      </c>
      <c r="W644" t="s">
        <v>950</v>
      </c>
      <c r="X644">
        <v>19754</v>
      </c>
      <c r="Y644">
        <v>72</v>
      </c>
      <c r="Z644" t="s">
        <v>4071</v>
      </c>
      <c r="AA644" t="s">
        <v>4072</v>
      </c>
      <c r="AB644" t="s">
        <v>966</v>
      </c>
      <c r="AC644" t="s">
        <v>953</v>
      </c>
      <c r="AD644" t="s">
        <v>246</v>
      </c>
      <c r="AE644" t="s">
        <v>246</v>
      </c>
      <c r="AF644" t="s">
        <v>3932</v>
      </c>
      <c r="AI644" t="s">
        <v>1025</v>
      </c>
    </row>
    <row r="645" spans="1:37">
      <c r="A645">
        <v>643</v>
      </c>
      <c r="B645" t="s">
        <v>4073</v>
      </c>
      <c r="C645">
        <v>1263</v>
      </c>
      <c r="D645" t="s">
        <v>3808</v>
      </c>
      <c r="E645" t="s">
        <v>3809</v>
      </c>
      <c r="F645" t="s">
        <v>3810</v>
      </c>
      <c r="G645" t="s">
        <v>499</v>
      </c>
      <c r="H645" t="s">
        <v>3811</v>
      </c>
      <c r="I645" t="s">
        <v>4069</v>
      </c>
      <c r="N645" t="s">
        <v>1515</v>
      </c>
      <c r="T645" t="s">
        <v>1015</v>
      </c>
      <c r="U645" t="s">
        <v>4074</v>
      </c>
      <c r="V645" t="s">
        <v>4075</v>
      </c>
      <c r="W645" t="s">
        <v>950</v>
      </c>
      <c r="X645">
        <v>31364</v>
      </c>
      <c r="Y645">
        <v>40</v>
      </c>
      <c r="Z645" t="s">
        <v>4076</v>
      </c>
      <c r="AA645" t="s">
        <v>4077</v>
      </c>
      <c r="AB645" t="s">
        <v>996</v>
      </c>
      <c r="AC645" t="s">
        <v>997</v>
      </c>
      <c r="AD645" t="s">
        <v>246</v>
      </c>
      <c r="AE645" t="s">
        <v>2934</v>
      </c>
      <c r="AF645" t="s">
        <v>2069</v>
      </c>
      <c r="AI645" t="s">
        <v>1440</v>
      </c>
    </row>
    <row r="646" spans="1:37">
      <c r="A646">
        <v>644</v>
      </c>
      <c r="B646" t="s">
        <v>4078</v>
      </c>
      <c r="C646">
        <v>1265</v>
      </c>
      <c r="D646" t="s">
        <v>3808</v>
      </c>
      <c r="E646" t="s">
        <v>3809</v>
      </c>
      <c r="F646" t="s">
        <v>3810</v>
      </c>
      <c r="G646" t="s">
        <v>499</v>
      </c>
      <c r="H646" t="s">
        <v>3811</v>
      </c>
      <c r="I646" t="s">
        <v>4069</v>
      </c>
      <c r="N646" t="s">
        <v>1515</v>
      </c>
      <c r="T646" t="s">
        <v>1015</v>
      </c>
      <c r="U646" t="s">
        <v>504</v>
      </c>
      <c r="V646" t="s">
        <v>4079</v>
      </c>
      <c r="W646" t="s">
        <v>950</v>
      </c>
      <c r="X646">
        <v>24589</v>
      </c>
      <c r="Y646">
        <v>58</v>
      </c>
      <c r="Z646" t="s">
        <v>4080</v>
      </c>
      <c r="AB646" t="s">
        <v>996</v>
      </c>
      <c r="AC646" t="s">
        <v>997</v>
      </c>
      <c r="AD646" t="s">
        <v>246</v>
      </c>
      <c r="AE646" t="s">
        <v>246</v>
      </c>
      <c r="AF646" t="s">
        <v>3815</v>
      </c>
      <c r="AI646" t="s">
        <v>1349</v>
      </c>
    </row>
    <row r="647" spans="1:37">
      <c r="A647">
        <v>668</v>
      </c>
      <c r="B647" t="s">
        <v>4081</v>
      </c>
      <c r="C647">
        <v>1267</v>
      </c>
      <c r="D647" t="s">
        <v>3808</v>
      </c>
      <c r="E647" t="s">
        <v>3809</v>
      </c>
      <c r="F647" t="s">
        <v>3810</v>
      </c>
      <c r="G647" t="s">
        <v>499</v>
      </c>
      <c r="H647" t="s">
        <v>3811</v>
      </c>
      <c r="I647" t="s">
        <v>4069</v>
      </c>
      <c r="N647" t="s">
        <v>1515</v>
      </c>
      <c r="T647" t="s">
        <v>1015</v>
      </c>
      <c r="U647" t="s">
        <v>544</v>
      </c>
      <c r="V647" t="s">
        <v>4082</v>
      </c>
      <c r="W647" t="s">
        <v>950</v>
      </c>
      <c r="X647">
        <v>23541</v>
      </c>
      <c r="Y647">
        <v>61</v>
      </c>
      <c r="Z647" t="s">
        <v>4083</v>
      </c>
      <c r="AB647" t="s">
        <v>996</v>
      </c>
      <c r="AC647" t="s">
        <v>997</v>
      </c>
      <c r="AD647" t="s">
        <v>246</v>
      </c>
      <c r="AE647" t="s">
        <v>246</v>
      </c>
      <c r="AF647" t="s">
        <v>4084</v>
      </c>
      <c r="AI647" t="s">
        <v>1114</v>
      </c>
      <c r="AK647">
        <v>-3</v>
      </c>
    </row>
    <row r="648" spans="1:37">
      <c r="A648">
        <v>673</v>
      </c>
      <c r="B648" t="s">
        <v>4085</v>
      </c>
      <c r="C648">
        <v>1269</v>
      </c>
      <c r="D648" t="s">
        <v>3808</v>
      </c>
      <c r="E648" t="s">
        <v>3809</v>
      </c>
      <c r="F648" t="s">
        <v>3810</v>
      </c>
      <c r="G648" t="s">
        <v>499</v>
      </c>
      <c r="H648" t="s">
        <v>3811</v>
      </c>
      <c r="I648" t="s">
        <v>4069</v>
      </c>
      <c r="N648" t="s">
        <v>1515</v>
      </c>
      <c r="T648" t="s">
        <v>1015</v>
      </c>
      <c r="U648" t="s">
        <v>541</v>
      </c>
      <c r="V648" t="s">
        <v>4086</v>
      </c>
      <c r="W648" t="s">
        <v>950</v>
      </c>
      <c r="X648">
        <v>27491</v>
      </c>
      <c r="Y648">
        <v>50</v>
      </c>
      <c r="Z648" t="s">
        <v>4087</v>
      </c>
      <c r="AA648" t="s">
        <v>4088</v>
      </c>
      <c r="AB648" t="s">
        <v>996</v>
      </c>
      <c r="AC648" t="s">
        <v>997</v>
      </c>
      <c r="AD648" t="s">
        <v>246</v>
      </c>
      <c r="AE648" t="s">
        <v>246</v>
      </c>
      <c r="AF648" t="s">
        <v>4089</v>
      </c>
      <c r="AI648" t="s">
        <v>1025</v>
      </c>
    </row>
    <row r="649" spans="1:37">
      <c r="A649">
        <v>675</v>
      </c>
      <c r="B649" t="s">
        <v>4090</v>
      </c>
      <c r="C649">
        <v>1271</v>
      </c>
      <c r="D649" t="s">
        <v>3808</v>
      </c>
      <c r="E649" t="s">
        <v>3809</v>
      </c>
      <c r="F649" t="s">
        <v>3810</v>
      </c>
      <c r="G649" t="s">
        <v>499</v>
      </c>
      <c r="H649" t="s">
        <v>3811</v>
      </c>
      <c r="I649" t="s">
        <v>4069</v>
      </c>
      <c r="N649" t="s">
        <v>1515</v>
      </c>
      <c r="T649" t="s">
        <v>1015</v>
      </c>
      <c r="U649" t="s">
        <v>565</v>
      </c>
      <c r="V649" t="s">
        <v>4091</v>
      </c>
      <c r="W649" t="s">
        <v>950</v>
      </c>
      <c r="X649">
        <v>34130</v>
      </c>
      <c r="Y649">
        <v>32</v>
      </c>
      <c r="Z649" t="s">
        <v>4092</v>
      </c>
      <c r="AB649" t="s">
        <v>996</v>
      </c>
      <c r="AC649" t="s">
        <v>1018</v>
      </c>
      <c r="AD649" t="s">
        <v>246</v>
      </c>
      <c r="AE649" t="s">
        <v>246</v>
      </c>
      <c r="AF649" t="s">
        <v>4093</v>
      </c>
      <c r="AI649" t="s">
        <v>1025</v>
      </c>
    </row>
    <row r="650" spans="1:37">
      <c r="A650">
        <v>658</v>
      </c>
      <c r="B650" t="s">
        <v>4094</v>
      </c>
      <c r="C650">
        <v>1273</v>
      </c>
      <c r="D650" t="s">
        <v>3808</v>
      </c>
      <c r="E650" t="s">
        <v>3809</v>
      </c>
      <c r="F650" t="s">
        <v>3810</v>
      </c>
      <c r="G650" t="s">
        <v>499</v>
      </c>
      <c r="H650" t="s">
        <v>3811</v>
      </c>
      <c r="I650" t="s">
        <v>4069</v>
      </c>
      <c r="J650" t="s">
        <v>4094</v>
      </c>
      <c r="N650" t="s">
        <v>1515</v>
      </c>
      <c r="P650" t="s">
        <v>69</v>
      </c>
      <c r="R650" t="s">
        <v>1286</v>
      </c>
      <c r="T650" t="s">
        <v>1015</v>
      </c>
      <c r="U650" t="s">
        <v>375</v>
      </c>
      <c r="V650" t="s">
        <v>4095</v>
      </c>
      <c r="W650" t="s">
        <v>950</v>
      </c>
      <c r="X650">
        <v>33658</v>
      </c>
      <c r="Y650">
        <v>33</v>
      </c>
      <c r="Z650" t="s">
        <v>4096</v>
      </c>
      <c r="AA650" t="s">
        <v>4097</v>
      </c>
      <c r="AB650" t="s">
        <v>996</v>
      </c>
      <c r="AC650" t="s">
        <v>997</v>
      </c>
      <c r="AD650" t="s">
        <v>246</v>
      </c>
      <c r="AE650" t="s">
        <v>246</v>
      </c>
      <c r="AF650" t="s">
        <v>4098</v>
      </c>
      <c r="AI650" t="s">
        <v>1318</v>
      </c>
    </row>
    <row r="651" spans="1:37">
      <c r="A651">
        <v>656</v>
      </c>
      <c r="B651" t="s">
        <v>4099</v>
      </c>
      <c r="C651">
        <v>1275</v>
      </c>
      <c r="D651" t="s">
        <v>3808</v>
      </c>
      <c r="E651" t="s">
        <v>4100</v>
      </c>
      <c r="F651" t="s">
        <v>3810</v>
      </c>
      <c r="G651" t="s">
        <v>499</v>
      </c>
      <c r="H651" t="s">
        <v>3811</v>
      </c>
      <c r="I651" t="s">
        <v>4099</v>
      </c>
      <c r="N651" t="s">
        <v>4101</v>
      </c>
      <c r="P651" t="s">
        <v>514</v>
      </c>
      <c r="Q651" t="s">
        <v>178</v>
      </c>
      <c r="R651" t="s">
        <v>1286</v>
      </c>
      <c r="S651" t="s">
        <v>514</v>
      </c>
      <c r="T651" t="s">
        <v>1015</v>
      </c>
      <c r="U651" t="s">
        <v>527</v>
      </c>
      <c r="V651" t="s">
        <v>4102</v>
      </c>
      <c r="W651" t="s">
        <v>950</v>
      </c>
      <c r="X651">
        <v>31368</v>
      </c>
      <c r="Y651">
        <v>40</v>
      </c>
      <c r="Z651" t="s">
        <v>4103</v>
      </c>
      <c r="AA651" t="s">
        <v>4104</v>
      </c>
      <c r="AB651" t="s">
        <v>996</v>
      </c>
      <c r="AC651" t="s">
        <v>997</v>
      </c>
      <c r="AD651" t="s">
        <v>246</v>
      </c>
      <c r="AE651" t="s">
        <v>246</v>
      </c>
      <c r="AF651" t="s">
        <v>3936</v>
      </c>
      <c r="AI651" t="s">
        <v>1114</v>
      </c>
      <c r="AK651">
        <v>-3</v>
      </c>
    </row>
    <row r="652" spans="1:37">
      <c r="A652">
        <v>633</v>
      </c>
      <c r="B652" t="s">
        <v>4105</v>
      </c>
      <c r="C652">
        <v>1277</v>
      </c>
      <c r="D652" t="s">
        <v>3808</v>
      </c>
      <c r="E652" t="s">
        <v>4100</v>
      </c>
      <c r="F652" t="s">
        <v>3810</v>
      </c>
      <c r="G652" t="s">
        <v>499</v>
      </c>
      <c r="H652" t="s">
        <v>3811</v>
      </c>
      <c r="I652" t="s">
        <v>4099</v>
      </c>
      <c r="N652" t="s">
        <v>4101</v>
      </c>
      <c r="T652" t="s">
        <v>1090</v>
      </c>
      <c r="U652" t="s">
        <v>4106</v>
      </c>
      <c r="V652" t="s">
        <v>4107</v>
      </c>
      <c r="W652" t="s">
        <v>950</v>
      </c>
      <c r="X652">
        <v>16115</v>
      </c>
      <c r="Y652">
        <v>81</v>
      </c>
      <c r="Z652" t="s">
        <v>4108</v>
      </c>
      <c r="AA652" t="s">
        <v>4109</v>
      </c>
      <c r="AB652" t="s">
        <v>996</v>
      </c>
      <c r="AC652" t="s">
        <v>997</v>
      </c>
      <c r="AD652" t="s">
        <v>246</v>
      </c>
      <c r="AE652" t="s">
        <v>246</v>
      </c>
      <c r="AF652" t="s">
        <v>3815</v>
      </c>
      <c r="AI652" t="s">
        <v>1446</v>
      </c>
      <c r="AK652">
        <v>-3</v>
      </c>
    </row>
    <row r="653" spans="1:37">
      <c r="A653">
        <v>634</v>
      </c>
      <c r="B653" t="s">
        <v>4110</v>
      </c>
      <c r="C653">
        <v>1279</v>
      </c>
      <c r="D653" t="s">
        <v>3808</v>
      </c>
      <c r="E653" t="s">
        <v>4100</v>
      </c>
      <c r="F653" t="s">
        <v>3810</v>
      </c>
      <c r="G653" t="s">
        <v>499</v>
      </c>
      <c r="H653" t="s">
        <v>3811</v>
      </c>
      <c r="I653" t="s">
        <v>4099</v>
      </c>
      <c r="N653" t="s">
        <v>4101</v>
      </c>
      <c r="T653" t="s">
        <v>1090</v>
      </c>
      <c r="U653" t="s">
        <v>875</v>
      </c>
      <c r="V653" t="s">
        <v>4111</v>
      </c>
      <c r="W653" t="s">
        <v>950</v>
      </c>
      <c r="X653">
        <v>17991</v>
      </c>
      <c r="Y653">
        <v>76</v>
      </c>
      <c r="Z653" t="s">
        <v>4112</v>
      </c>
      <c r="AB653" t="s">
        <v>996</v>
      </c>
      <c r="AC653" t="s">
        <v>1018</v>
      </c>
      <c r="AD653" t="s">
        <v>246</v>
      </c>
      <c r="AE653" t="s">
        <v>246</v>
      </c>
      <c r="AF653" t="s">
        <v>3815</v>
      </c>
      <c r="AI653" t="s">
        <v>1575</v>
      </c>
      <c r="AK653">
        <v>-3</v>
      </c>
    </row>
    <row r="654" spans="1:37">
      <c r="A654">
        <v>635</v>
      </c>
      <c r="B654" t="s">
        <v>4113</v>
      </c>
      <c r="C654">
        <v>1281</v>
      </c>
      <c r="D654" t="s">
        <v>3808</v>
      </c>
      <c r="E654" t="s">
        <v>4100</v>
      </c>
      <c r="F654" t="s">
        <v>3810</v>
      </c>
      <c r="G654" t="s">
        <v>499</v>
      </c>
      <c r="H654" t="s">
        <v>3811</v>
      </c>
      <c r="I654" t="s">
        <v>4099</v>
      </c>
      <c r="N654" t="s">
        <v>4101</v>
      </c>
      <c r="T654" t="s">
        <v>1090</v>
      </c>
      <c r="U654" t="s">
        <v>877</v>
      </c>
      <c r="V654" t="s">
        <v>4114</v>
      </c>
      <c r="W654" t="s">
        <v>950</v>
      </c>
      <c r="X654">
        <v>19626</v>
      </c>
      <c r="Y654">
        <v>72</v>
      </c>
      <c r="Z654" t="s">
        <v>4115</v>
      </c>
      <c r="AB654" t="s">
        <v>996</v>
      </c>
      <c r="AC654" t="s">
        <v>1018</v>
      </c>
      <c r="AD654" t="s">
        <v>246</v>
      </c>
      <c r="AE654" t="s">
        <v>246</v>
      </c>
      <c r="AF654" t="s">
        <v>3815</v>
      </c>
      <c r="AI654" t="s">
        <v>1575</v>
      </c>
      <c r="AK654">
        <v>-3</v>
      </c>
    </row>
    <row r="655" spans="1:37">
      <c r="A655">
        <v>636</v>
      </c>
      <c r="B655" t="s">
        <v>4116</v>
      </c>
      <c r="C655">
        <v>1283</v>
      </c>
      <c r="D655" t="s">
        <v>3808</v>
      </c>
      <c r="E655" t="s">
        <v>4100</v>
      </c>
      <c r="F655" t="s">
        <v>3810</v>
      </c>
      <c r="G655" t="s">
        <v>499</v>
      </c>
      <c r="H655" t="s">
        <v>3811</v>
      </c>
      <c r="I655" t="s">
        <v>4099</v>
      </c>
      <c r="N655" t="s">
        <v>4101</v>
      </c>
      <c r="T655" t="s">
        <v>1090</v>
      </c>
      <c r="U655" t="s">
        <v>879</v>
      </c>
      <c r="V655" t="s">
        <v>4117</v>
      </c>
      <c r="W655" t="s">
        <v>950</v>
      </c>
      <c r="X655">
        <v>19756</v>
      </c>
      <c r="Y655">
        <v>71</v>
      </c>
      <c r="Z655" t="s">
        <v>4118</v>
      </c>
      <c r="AB655" t="s">
        <v>996</v>
      </c>
      <c r="AC655" t="s">
        <v>1018</v>
      </c>
      <c r="AD655" t="s">
        <v>246</v>
      </c>
      <c r="AE655" t="s">
        <v>246</v>
      </c>
      <c r="AF655" t="s">
        <v>3815</v>
      </c>
      <c r="AI655" t="s">
        <v>1575</v>
      </c>
      <c r="AK655">
        <v>-3</v>
      </c>
    </row>
    <row r="656" spans="1:37">
      <c r="A656">
        <v>637</v>
      </c>
      <c r="B656" t="s">
        <v>4119</v>
      </c>
      <c r="C656">
        <v>1285</v>
      </c>
      <c r="D656" t="s">
        <v>3808</v>
      </c>
      <c r="E656" t="s">
        <v>4100</v>
      </c>
      <c r="F656" t="s">
        <v>3810</v>
      </c>
      <c r="G656" t="s">
        <v>499</v>
      </c>
      <c r="H656" t="s">
        <v>3811</v>
      </c>
      <c r="I656" t="s">
        <v>4099</v>
      </c>
      <c r="N656" t="s">
        <v>4101</v>
      </c>
      <c r="T656" t="s">
        <v>1015</v>
      </c>
      <c r="U656" t="s">
        <v>578</v>
      </c>
      <c r="V656" t="s">
        <v>4120</v>
      </c>
      <c r="W656" t="s">
        <v>950</v>
      </c>
      <c r="X656">
        <v>23037</v>
      </c>
      <c r="Y656">
        <v>63</v>
      </c>
      <c r="Z656" t="s">
        <v>4121</v>
      </c>
      <c r="AA656" t="s">
        <v>4122</v>
      </c>
      <c r="AB656" t="s">
        <v>996</v>
      </c>
      <c r="AC656" t="s">
        <v>997</v>
      </c>
      <c r="AD656" t="s">
        <v>246</v>
      </c>
      <c r="AE656" t="s">
        <v>246</v>
      </c>
      <c r="AF656" t="s">
        <v>3815</v>
      </c>
      <c r="AI656" t="s">
        <v>1446</v>
      </c>
      <c r="AK656">
        <v>-3</v>
      </c>
    </row>
    <row r="657" spans="1:37">
      <c r="A657">
        <v>638</v>
      </c>
      <c r="B657" t="s">
        <v>4123</v>
      </c>
      <c r="C657">
        <v>1287</v>
      </c>
      <c r="D657" t="s">
        <v>3808</v>
      </c>
      <c r="E657" t="s">
        <v>4100</v>
      </c>
      <c r="F657" t="s">
        <v>3810</v>
      </c>
      <c r="G657" t="s">
        <v>499</v>
      </c>
      <c r="H657" t="s">
        <v>3811</v>
      </c>
      <c r="I657" t="s">
        <v>4099</v>
      </c>
      <c r="N657" t="s">
        <v>4101</v>
      </c>
      <c r="T657" t="s">
        <v>1015</v>
      </c>
      <c r="U657" t="s">
        <v>625</v>
      </c>
      <c r="V657" t="s">
        <v>4124</v>
      </c>
      <c r="W657" t="s">
        <v>950</v>
      </c>
      <c r="X657">
        <v>20956</v>
      </c>
      <c r="Y657">
        <v>68</v>
      </c>
      <c r="Z657" t="s">
        <v>4125</v>
      </c>
      <c r="AA657" t="s">
        <v>4126</v>
      </c>
      <c r="AB657" t="s">
        <v>996</v>
      </c>
      <c r="AC657" t="s">
        <v>997</v>
      </c>
      <c r="AD657" t="s">
        <v>246</v>
      </c>
      <c r="AE657" t="s">
        <v>246</v>
      </c>
      <c r="AF657" t="s">
        <v>3815</v>
      </c>
      <c r="AI657" t="s">
        <v>4127</v>
      </c>
      <c r="AK657">
        <v>-3</v>
      </c>
    </row>
    <row r="658" spans="1:37">
      <c r="A658">
        <v>639</v>
      </c>
      <c r="B658" t="s">
        <v>4128</v>
      </c>
      <c r="C658">
        <v>1289</v>
      </c>
      <c r="D658" t="s">
        <v>3808</v>
      </c>
      <c r="E658" t="s">
        <v>4100</v>
      </c>
      <c r="F658" t="s">
        <v>3810</v>
      </c>
      <c r="G658" t="s">
        <v>499</v>
      </c>
      <c r="H658" t="s">
        <v>3811</v>
      </c>
      <c r="I658" t="s">
        <v>4099</v>
      </c>
      <c r="N658" t="s">
        <v>4101</v>
      </c>
      <c r="T658" t="s">
        <v>1015</v>
      </c>
      <c r="U658" t="s">
        <v>881</v>
      </c>
      <c r="V658" t="s">
        <v>4129</v>
      </c>
      <c r="W658" t="s">
        <v>950</v>
      </c>
      <c r="X658">
        <v>21689</v>
      </c>
      <c r="Y658">
        <v>66</v>
      </c>
      <c r="Z658" t="s">
        <v>4130</v>
      </c>
      <c r="AB658" t="s">
        <v>996</v>
      </c>
      <c r="AC658" t="s">
        <v>1018</v>
      </c>
      <c r="AD658" t="s">
        <v>246</v>
      </c>
      <c r="AE658" t="s">
        <v>246</v>
      </c>
      <c r="AF658" t="s">
        <v>3815</v>
      </c>
      <c r="AI658" t="s">
        <v>1575</v>
      </c>
      <c r="AK658">
        <v>-3</v>
      </c>
    </row>
    <row r="659" spans="1:37">
      <c r="A659">
        <v>640</v>
      </c>
      <c r="B659" t="s">
        <v>4131</v>
      </c>
      <c r="C659">
        <v>1291</v>
      </c>
      <c r="D659" t="s">
        <v>3808</v>
      </c>
      <c r="E659" t="s">
        <v>4100</v>
      </c>
      <c r="F659" t="s">
        <v>3810</v>
      </c>
      <c r="G659" t="s">
        <v>499</v>
      </c>
      <c r="H659" t="s">
        <v>3811</v>
      </c>
      <c r="I659" t="s">
        <v>4099</v>
      </c>
      <c r="N659" t="s">
        <v>4101</v>
      </c>
      <c r="T659" t="s">
        <v>1015</v>
      </c>
      <c r="U659" t="s">
        <v>884</v>
      </c>
      <c r="V659" t="s">
        <v>4132</v>
      </c>
      <c r="W659" t="s">
        <v>950</v>
      </c>
      <c r="X659">
        <v>23132</v>
      </c>
      <c r="Y659">
        <v>62</v>
      </c>
      <c r="Z659" t="s">
        <v>4133</v>
      </c>
      <c r="AB659" t="s">
        <v>996</v>
      </c>
      <c r="AC659" t="s">
        <v>1018</v>
      </c>
      <c r="AD659" t="s">
        <v>246</v>
      </c>
      <c r="AE659" t="s">
        <v>246</v>
      </c>
      <c r="AF659" t="s">
        <v>3815</v>
      </c>
      <c r="AI659" t="s">
        <v>1575</v>
      </c>
      <c r="AK659">
        <v>-3</v>
      </c>
    </row>
    <row r="660" spans="1:37">
      <c r="B660" t="s">
        <v>4134</v>
      </c>
      <c r="C660">
        <v>1293</v>
      </c>
      <c r="D660" t="s">
        <v>3862</v>
      </c>
      <c r="E660" t="s">
        <v>4100</v>
      </c>
      <c r="F660" t="s">
        <v>3810</v>
      </c>
      <c r="G660" t="s">
        <v>499</v>
      </c>
      <c r="H660" t="s">
        <v>3811</v>
      </c>
      <c r="I660" t="s">
        <v>4099</v>
      </c>
      <c r="N660" t="s">
        <v>4101</v>
      </c>
      <c r="T660" t="s">
        <v>1090</v>
      </c>
      <c r="U660" t="s">
        <v>4135</v>
      </c>
      <c r="V660" t="s">
        <v>4136</v>
      </c>
      <c r="W660" t="s">
        <v>950</v>
      </c>
      <c r="X660">
        <v>19520311</v>
      </c>
      <c r="Y660">
        <v>73</v>
      </c>
      <c r="Z660" t="s">
        <v>4137</v>
      </c>
      <c r="AB660" t="s">
        <v>996</v>
      </c>
      <c r="AC660" t="s">
        <v>1018</v>
      </c>
      <c r="AD660" t="s">
        <v>246</v>
      </c>
      <c r="AE660" t="s">
        <v>246</v>
      </c>
      <c r="AF660" t="s">
        <v>3867</v>
      </c>
      <c r="AI660" t="s">
        <v>1586</v>
      </c>
    </row>
    <row r="661" spans="1:37">
      <c r="A661">
        <v>677</v>
      </c>
      <c r="B661" t="s">
        <v>4138</v>
      </c>
      <c r="C661">
        <v>1295</v>
      </c>
      <c r="D661" t="s">
        <v>3808</v>
      </c>
      <c r="E661" t="s">
        <v>4139</v>
      </c>
      <c r="F661" t="s">
        <v>3810</v>
      </c>
      <c r="G661" t="s">
        <v>499</v>
      </c>
      <c r="H661" t="s">
        <v>3811</v>
      </c>
      <c r="I661" t="s">
        <v>4138</v>
      </c>
      <c r="N661" t="s">
        <v>4140</v>
      </c>
      <c r="P661" t="s">
        <v>55</v>
      </c>
      <c r="Q661" t="s">
        <v>178</v>
      </c>
      <c r="T661" t="s">
        <v>1705</v>
      </c>
      <c r="U661" t="s">
        <v>337</v>
      </c>
      <c r="V661" t="s">
        <v>4141</v>
      </c>
      <c r="W661" t="s">
        <v>950</v>
      </c>
      <c r="X661">
        <v>39305</v>
      </c>
      <c r="Y661">
        <v>18</v>
      </c>
      <c r="Z661" t="s">
        <v>4142</v>
      </c>
      <c r="AA661" t="s">
        <v>4143</v>
      </c>
      <c r="AB661" t="s">
        <v>996</v>
      </c>
      <c r="AC661" t="s">
        <v>953</v>
      </c>
      <c r="AD661" t="s">
        <v>246</v>
      </c>
      <c r="AE661" t="s">
        <v>246</v>
      </c>
      <c r="AF661" t="s">
        <v>3815</v>
      </c>
      <c r="AI661" t="s">
        <v>1440</v>
      </c>
    </row>
    <row r="662" spans="1:37">
      <c r="A662">
        <v>678</v>
      </c>
      <c r="B662" t="s">
        <v>4144</v>
      </c>
      <c r="C662">
        <v>1297</v>
      </c>
      <c r="D662" t="s">
        <v>3808</v>
      </c>
      <c r="E662" t="s">
        <v>4139</v>
      </c>
      <c r="F662" t="s">
        <v>3810</v>
      </c>
      <c r="G662" t="s">
        <v>499</v>
      </c>
      <c r="H662" t="s">
        <v>3811</v>
      </c>
      <c r="I662" t="s">
        <v>4138</v>
      </c>
      <c r="N662" t="s">
        <v>4140</v>
      </c>
      <c r="T662" t="s">
        <v>992</v>
      </c>
      <c r="U662" t="s">
        <v>4145</v>
      </c>
      <c r="V662" t="s">
        <v>4146</v>
      </c>
      <c r="W662" t="s">
        <v>963</v>
      </c>
      <c r="X662">
        <v>38845</v>
      </c>
      <c r="Y662">
        <v>19</v>
      </c>
      <c r="Z662" t="s">
        <v>4147</v>
      </c>
      <c r="AA662" t="s">
        <v>4148</v>
      </c>
      <c r="AB662" t="s">
        <v>996</v>
      </c>
      <c r="AC662" t="s">
        <v>953</v>
      </c>
      <c r="AD662" t="s">
        <v>246</v>
      </c>
      <c r="AE662" t="s">
        <v>246</v>
      </c>
      <c r="AF662" t="s">
        <v>3815</v>
      </c>
      <c r="AI662" t="s">
        <v>1125</v>
      </c>
    </row>
    <row r="663" spans="1:37">
      <c r="A663">
        <v>679</v>
      </c>
      <c r="B663" t="s">
        <v>4149</v>
      </c>
      <c r="C663">
        <v>1299</v>
      </c>
      <c r="D663" t="s">
        <v>3808</v>
      </c>
      <c r="E663" t="s">
        <v>4139</v>
      </c>
      <c r="F663" t="s">
        <v>3810</v>
      </c>
      <c r="G663" t="s">
        <v>499</v>
      </c>
      <c r="H663" t="s">
        <v>3811</v>
      </c>
      <c r="I663" t="s">
        <v>4138</v>
      </c>
      <c r="N663" t="s">
        <v>4140</v>
      </c>
      <c r="T663" t="s">
        <v>992</v>
      </c>
      <c r="U663" t="s">
        <v>280</v>
      </c>
      <c r="V663" t="s">
        <v>4150</v>
      </c>
      <c r="W663" t="s">
        <v>950</v>
      </c>
      <c r="X663">
        <v>38937</v>
      </c>
      <c r="Y663">
        <v>19</v>
      </c>
      <c r="Z663" t="s">
        <v>4151</v>
      </c>
      <c r="AA663" t="s">
        <v>4152</v>
      </c>
      <c r="AB663" t="s">
        <v>996</v>
      </c>
      <c r="AC663" t="s">
        <v>997</v>
      </c>
      <c r="AD663" t="s">
        <v>246</v>
      </c>
      <c r="AE663" t="s">
        <v>246</v>
      </c>
      <c r="AF663" t="s">
        <v>3815</v>
      </c>
      <c r="AI663" t="s">
        <v>1446</v>
      </c>
      <c r="AK663">
        <v>-3</v>
      </c>
    </row>
    <row r="664" spans="1:37">
      <c r="B664" t="s">
        <v>4153</v>
      </c>
      <c r="C664">
        <v>1301</v>
      </c>
      <c r="D664" t="s">
        <v>3808</v>
      </c>
      <c r="E664" t="s">
        <v>4139</v>
      </c>
      <c r="F664" t="s">
        <v>3810</v>
      </c>
      <c r="G664" t="s">
        <v>499</v>
      </c>
      <c r="H664" t="s">
        <v>3811</v>
      </c>
      <c r="I664" t="s">
        <v>4138</v>
      </c>
      <c r="N664" t="s">
        <v>4140</v>
      </c>
      <c r="T664" t="s">
        <v>992</v>
      </c>
      <c r="U664" t="s">
        <v>4154</v>
      </c>
      <c r="V664" t="s">
        <v>4155</v>
      </c>
      <c r="W664" t="s">
        <v>950</v>
      </c>
      <c r="X664">
        <v>19970706</v>
      </c>
      <c r="Y664">
        <v>28</v>
      </c>
      <c r="Z664" t="s">
        <v>4156</v>
      </c>
      <c r="AC664" t="s">
        <v>1018</v>
      </c>
      <c r="AD664" t="s">
        <v>246</v>
      </c>
      <c r="AE664" t="s">
        <v>246</v>
      </c>
      <c r="AF664" t="s">
        <v>4157</v>
      </c>
    </row>
    <row r="665" spans="1:37">
      <c r="A665">
        <v>580</v>
      </c>
      <c r="B665" t="s">
        <v>3810</v>
      </c>
      <c r="C665">
        <v>1303</v>
      </c>
      <c r="D665" t="s">
        <v>3808</v>
      </c>
      <c r="E665" t="s">
        <v>3809</v>
      </c>
      <c r="F665" t="s">
        <v>3810</v>
      </c>
      <c r="G665" t="s">
        <v>499</v>
      </c>
      <c r="H665" t="s">
        <v>3811</v>
      </c>
      <c r="I665" t="s">
        <v>3810</v>
      </c>
      <c r="J665" t="s">
        <v>959</v>
      </c>
      <c r="N665" t="s">
        <v>2081</v>
      </c>
      <c r="P665" t="s">
        <v>1227</v>
      </c>
      <c r="Q665" t="s">
        <v>1002</v>
      </c>
      <c r="T665" t="s">
        <v>1015</v>
      </c>
      <c r="U665" t="s">
        <v>470</v>
      </c>
      <c r="V665" t="s">
        <v>4158</v>
      </c>
      <c r="W665" t="s">
        <v>950</v>
      </c>
      <c r="X665">
        <v>25002</v>
      </c>
      <c r="Y665">
        <v>57</v>
      </c>
      <c r="Z665" t="s">
        <v>4159</v>
      </c>
      <c r="AA665" t="s">
        <v>4160</v>
      </c>
      <c r="AB665" t="s">
        <v>966</v>
      </c>
      <c r="AC665" t="s">
        <v>953</v>
      </c>
      <c r="AD665" t="s">
        <v>246</v>
      </c>
      <c r="AE665" t="s">
        <v>246</v>
      </c>
      <c r="AF665" t="s">
        <v>3815</v>
      </c>
      <c r="AK665">
        <v>-3</v>
      </c>
    </row>
    <row r="666" spans="1:37">
      <c r="A666">
        <v>582</v>
      </c>
      <c r="B666" t="s">
        <v>4161</v>
      </c>
      <c r="C666">
        <v>1305</v>
      </c>
      <c r="D666" t="s">
        <v>3808</v>
      </c>
      <c r="E666" t="s">
        <v>3809</v>
      </c>
      <c r="F666" t="s">
        <v>3810</v>
      </c>
      <c r="G666" t="s">
        <v>499</v>
      </c>
      <c r="H666" t="s">
        <v>3811</v>
      </c>
      <c r="I666" t="s">
        <v>3810</v>
      </c>
      <c r="J666" t="s">
        <v>959</v>
      </c>
      <c r="N666" t="s">
        <v>2081</v>
      </c>
      <c r="P666" t="s">
        <v>55</v>
      </c>
      <c r="Q666" t="s">
        <v>1002</v>
      </c>
      <c r="T666" t="s">
        <v>1090</v>
      </c>
      <c r="U666" t="s">
        <v>484</v>
      </c>
      <c r="V666" t="s">
        <v>4162</v>
      </c>
      <c r="W666" t="s">
        <v>950</v>
      </c>
      <c r="X666">
        <v>18523</v>
      </c>
      <c r="Y666">
        <v>75</v>
      </c>
      <c r="Z666" t="s">
        <v>4163</v>
      </c>
      <c r="AA666" t="s">
        <v>4164</v>
      </c>
      <c r="AB666" t="s">
        <v>966</v>
      </c>
      <c r="AC666" t="s">
        <v>953</v>
      </c>
      <c r="AD666" t="s">
        <v>246</v>
      </c>
      <c r="AE666" t="s">
        <v>246</v>
      </c>
      <c r="AF666" t="s">
        <v>3815</v>
      </c>
      <c r="AK666">
        <v>-3</v>
      </c>
    </row>
    <row r="667" spans="1:37">
      <c r="A667">
        <v>585</v>
      </c>
      <c r="B667" t="s">
        <v>4165</v>
      </c>
      <c r="C667">
        <v>1307</v>
      </c>
      <c r="D667" t="s">
        <v>3808</v>
      </c>
      <c r="E667" t="s">
        <v>3809</v>
      </c>
      <c r="F667" t="s">
        <v>3810</v>
      </c>
      <c r="G667" t="s">
        <v>499</v>
      </c>
      <c r="H667" t="s">
        <v>3811</v>
      </c>
      <c r="I667" t="s">
        <v>3810</v>
      </c>
      <c r="J667" t="s">
        <v>959</v>
      </c>
      <c r="N667" t="s">
        <v>2081</v>
      </c>
      <c r="P667" t="s">
        <v>55</v>
      </c>
      <c r="Q667" t="s">
        <v>1002</v>
      </c>
      <c r="T667" t="s">
        <v>1015</v>
      </c>
      <c r="U667" t="s">
        <v>492</v>
      </c>
      <c r="V667" t="s">
        <v>4166</v>
      </c>
      <c r="W667" t="s">
        <v>950</v>
      </c>
      <c r="X667">
        <v>23418</v>
      </c>
      <c r="Y667">
        <v>61</v>
      </c>
      <c r="Z667" t="s">
        <v>4167</v>
      </c>
      <c r="AA667" t="s">
        <v>4168</v>
      </c>
      <c r="AB667" t="s">
        <v>966</v>
      </c>
      <c r="AC667" t="s">
        <v>953</v>
      </c>
      <c r="AD667" t="s">
        <v>246</v>
      </c>
      <c r="AE667" t="s">
        <v>246</v>
      </c>
      <c r="AF667" t="s">
        <v>3815</v>
      </c>
      <c r="AK667">
        <v>-3</v>
      </c>
    </row>
    <row r="668" spans="1:37">
      <c r="A668">
        <v>583</v>
      </c>
      <c r="B668" t="s">
        <v>4169</v>
      </c>
      <c r="C668">
        <v>1309</v>
      </c>
      <c r="D668" t="s">
        <v>3808</v>
      </c>
      <c r="E668" t="s">
        <v>3809</v>
      </c>
      <c r="F668" t="s">
        <v>3810</v>
      </c>
      <c r="G668" t="s">
        <v>499</v>
      </c>
      <c r="H668" t="s">
        <v>3811</v>
      </c>
      <c r="I668" t="s">
        <v>3810</v>
      </c>
      <c r="J668" t="s">
        <v>959</v>
      </c>
      <c r="N668" t="s">
        <v>2081</v>
      </c>
      <c r="P668" t="s">
        <v>55</v>
      </c>
      <c r="Q668" t="s">
        <v>1002</v>
      </c>
      <c r="T668" t="s">
        <v>1015</v>
      </c>
      <c r="U668" t="s">
        <v>241</v>
      </c>
      <c r="V668" t="s">
        <v>4170</v>
      </c>
      <c r="W668" t="s">
        <v>950</v>
      </c>
      <c r="X668">
        <v>25211</v>
      </c>
      <c r="Y668">
        <v>57</v>
      </c>
      <c r="Z668" t="s">
        <v>4171</v>
      </c>
      <c r="AA668" t="s">
        <v>4172</v>
      </c>
      <c r="AB668" t="s">
        <v>966</v>
      </c>
      <c r="AC668" t="s">
        <v>953</v>
      </c>
      <c r="AD668" t="s">
        <v>973</v>
      </c>
      <c r="AE668" t="s">
        <v>246</v>
      </c>
      <c r="AF668" t="s">
        <v>3815</v>
      </c>
      <c r="AJ668" t="s">
        <v>3510</v>
      </c>
      <c r="AK668">
        <v>-3</v>
      </c>
    </row>
    <row r="669" spans="1:37">
      <c r="A669">
        <v>586</v>
      </c>
      <c r="B669" t="s">
        <v>3811</v>
      </c>
      <c r="C669">
        <v>1311</v>
      </c>
      <c r="D669" t="s">
        <v>3808</v>
      </c>
      <c r="E669" t="s">
        <v>3809</v>
      </c>
      <c r="F669" t="s">
        <v>3810</v>
      </c>
      <c r="G669" t="s">
        <v>499</v>
      </c>
      <c r="H669" t="s">
        <v>3811</v>
      </c>
      <c r="I669" t="s">
        <v>3810</v>
      </c>
      <c r="J669" t="s">
        <v>959</v>
      </c>
      <c r="N669" t="s">
        <v>2081</v>
      </c>
      <c r="P669" t="s">
        <v>173</v>
      </c>
      <c r="Q669" t="s">
        <v>514</v>
      </c>
      <c r="T669" t="s">
        <v>1015</v>
      </c>
      <c r="U669" t="s">
        <v>512</v>
      </c>
      <c r="V669" t="s">
        <v>4173</v>
      </c>
      <c r="W669" t="s">
        <v>950</v>
      </c>
      <c r="X669">
        <v>22147</v>
      </c>
      <c r="Y669">
        <v>65</v>
      </c>
      <c r="Z669" t="s">
        <v>4174</v>
      </c>
      <c r="AA669" t="s">
        <v>4175</v>
      </c>
      <c r="AB669" t="s">
        <v>966</v>
      </c>
      <c r="AC669" t="s">
        <v>953</v>
      </c>
      <c r="AD669" t="s">
        <v>246</v>
      </c>
      <c r="AE669" t="s">
        <v>246</v>
      </c>
      <c r="AF669" t="s">
        <v>3815</v>
      </c>
      <c r="AK669">
        <v>-3</v>
      </c>
    </row>
    <row r="670" spans="1:37">
      <c r="A670">
        <v>656</v>
      </c>
      <c r="B670" t="s">
        <v>4099</v>
      </c>
      <c r="C670">
        <v>1312</v>
      </c>
      <c r="E670" t="s">
        <v>4100</v>
      </c>
      <c r="F670" t="s">
        <v>3810</v>
      </c>
      <c r="G670" t="s">
        <v>499</v>
      </c>
      <c r="H670" t="s">
        <v>3811</v>
      </c>
      <c r="I670" t="s">
        <v>4099</v>
      </c>
      <c r="N670" t="s">
        <v>4176</v>
      </c>
      <c r="P670" t="s">
        <v>55</v>
      </c>
      <c r="Q670" t="s">
        <v>178</v>
      </c>
      <c r="S670" t="s">
        <v>514</v>
      </c>
      <c r="U670" t="s">
        <v>527</v>
      </c>
      <c r="V670" t="s">
        <v>4102</v>
      </c>
      <c r="W670" t="s">
        <v>950</v>
      </c>
      <c r="X670">
        <v>31368</v>
      </c>
      <c r="Y670">
        <v>40</v>
      </c>
      <c r="Z670" t="s">
        <v>4103</v>
      </c>
      <c r="AA670" t="s">
        <v>4104</v>
      </c>
      <c r="AB670" t="s">
        <v>996</v>
      </c>
      <c r="AC670" t="s">
        <v>997</v>
      </c>
      <c r="AD670" t="s">
        <v>246</v>
      </c>
      <c r="AE670" t="s">
        <v>246</v>
      </c>
      <c r="AF670" t="s">
        <v>3936</v>
      </c>
      <c r="AG670" t="s">
        <v>955</v>
      </c>
      <c r="AI670" t="s">
        <v>1114</v>
      </c>
      <c r="AK670">
        <v>-3</v>
      </c>
    </row>
    <row r="671" spans="1:37">
      <c r="B671" t="s">
        <v>4177</v>
      </c>
      <c r="C671">
        <v>1314</v>
      </c>
      <c r="D671" t="s">
        <v>3808</v>
      </c>
      <c r="E671" t="s">
        <v>4100</v>
      </c>
      <c r="F671" t="s">
        <v>3810</v>
      </c>
      <c r="G671" t="s">
        <v>499</v>
      </c>
      <c r="H671" t="s">
        <v>3811</v>
      </c>
      <c r="I671" t="s">
        <v>4099</v>
      </c>
      <c r="J671" t="s">
        <v>959</v>
      </c>
      <c r="N671" t="s">
        <v>4176</v>
      </c>
      <c r="T671" t="s">
        <v>1015</v>
      </c>
      <c r="U671" t="s">
        <v>4178</v>
      </c>
      <c r="V671" t="s">
        <v>4179</v>
      </c>
      <c r="W671" t="s">
        <v>950</v>
      </c>
      <c r="X671">
        <v>19600923</v>
      </c>
      <c r="Y671">
        <v>65</v>
      </c>
      <c r="Z671" t="s">
        <v>4180</v>
      </c>
      <c r="AB671" t="s">
        <v>996</v>
      </c>
      <c r="AC671" t="s">
        <v>1018</v>
      </c>
      <c r="AD671" t="s">
        <v>246</v>
      </c>
      <c r="AE671" t="s">
        <v>246</v>
      </c>
      <c r="AF671" t="s">
        <v>4181</v>
      </c>
    </row>
    <row r="672" spans="1:37">
      <c r="B672" t="s">
        <v>4182</v>
      </c>
      <c r="C672">
        <v>1316</v>
      </c>
      <c r="D672" t="s">
        <v>3808</v>
      </c>
      <c r="E672" t="s">
        <v>4100</v>
      </c>
      <c r="F672" t="s">
        <v>3810</v>
      </c>
      <c r="G672" t="s">
        <v>499</v>
      </c>
      <c r="H672" t="s">
        <v>3811</v>
      </c>
      <c r="I672" t="s">
        <v>4099</v>
      </c>
      <c r="J672" t="s">
        <v>959</v>
      </c>
      <c r="N672" t="s">
        <v>4176</v>
      </c>
      <c r="T672" t="s">
        <v>1015</v>
      </c>
      <c r="U672" t="s">
        <v>4183</v>
      </c>
      <c r="V672" t="s">
        <v>4184</v>
      </c>
      <c r="W672" t="s">
        <v>950</v>
      </c>
      <c r="X672">
        <v>19620308</v>
      </c>
      <c r="Y672">
        <v>63</v>
      </c>
      <c r="Z672" t="s">
        <v>4185</v>
      </c>
      <c r="AB672" t="s">
        <v>996</v>
      </c>
      <c r="AC672" t="s">
        <v>1018</v>
      </c>
      <c r="AD672" t="s">
        <v>246</v>
      </c>
      <c r="AE672" t="s">
        <v>246</v>
      </c>
      <c r="AF672" t="s">
        <v>4157</v>
      </c>
    </row>
    <row r="673" spans="1:37">
      <c r="B673" t="s">
        <v>4186</v>
      </c>
      <c r="C673">
        <v>1318</v>
      </c>
      <c r="D673" t="s">
        <v>3808</v>
      </c>
      <c r="E673" t="s">
        <v>4100</v>
      </c>
      <c r="F673" t="s">
        <v>3810</v>
      </c>
      <c r="G673" t="s">
        <v>499</v>
      </c>
      <c r="H673" t="s">
        <v>3811</v>
      </c>
      <c r="I673" t="s">
        <v>4099</v>
      </c>
      <c r="J673" t="s">
        <v>959</v>
      </c>
      <c r="N673" t="s">
        <v>4176</v>
      </c>
      <c r="T673" t="s">
        <v>1015</v>
      </c>
      <c r="U673" t="s">
        <v>4187</v>
      </c>
      <c r="V673" t="s">
        <v>4188</v>
      </c>
      <c r="W673" t="s">
        <v>950</v>
      </c>
      <c r="X673">
        <v>19760507</v>
      </c>
      <c r="Y673">
        <v>49</v>
      </c>
      <c r="Z673" t="s">
        <v>4189</v>
      </c>
      <c r="AB673" t="s">
        <v>996</v>
      </c>
      <c r="AC673" t="s">
        <v>1018</v>
      </c>
      <c r="AD673" t="s">
        <v>246</v>
      </c>
      <c r="AE673" t="s">
        <v>246</v>
      </c>
      <c r="AF673" t="s">
        <v>4190</v>
      </c>
    </row>
    <row r="674" spans="1:37">
      <c r="B674" t="s">
        <v>4191</v>
      </c>
      <c r="C674">
        <v>1320</v>
      </c>
      <c r="D674" t="s">
        <v>3808</v>
      </c>
      <c r="E674" t="s">
        <v>4100</v>
      </c>
      <c r="F674" t="s">
        <v>3810</v>
      </c>
      <c r="G674" t="s">
        <v>499</v>
      </c>
      <c r="H674" t="s">
        <v>3811</v>
      </c>
      <c r="I674" t="s">
        <v>4099</v>
      </c>
      <c r="J674" t="s">
        <v>959</v>
      </c>
      <c r="N674" t="s">
        <v>4176</v>
      </c>
      <c r="T674" t="s">
        <v>1015</v>
      </c>
      <c r="U674" t="s">
        <v>4192</v>
      </c>
      <c r="V674" t="s">
        <v>4193</v>
      </c>
      <c r="W674" t="s">
        <v>950</v>
      </c>
      <c r="X674">
        <v>19641018</v>
      </c>
      <c r="Y674">
        <v>60</v>
      </c>
      <c r="Z674" t="s">
        <v>4194</v>
      </c>
      <c r="AB674" t="s">
        <v>996</v>
      </c>
      <c r="AC674" t="s">
        <v>1018</v>
      </c>
      <c r="AD674" t="s">
        <v>246</v>
      </c>
      <c r="AE674" t="s">
        <v>246</v>
      </c>
      <c r="AF674" t="s">
        <v>3879</v>
      </c>
    </row>
    <row r="675" spans="1:37">
      <c r="B675" t="s">
        <v>4195</v>
      </c>
      <c r="C675">
        <v>1322</v>
      </c>
      <c r="D675" t="s">
        <v>3808</v>
      </c>
      <c r="E675" t="s">
        <v>4100</v>
      </c>
      <c r="F675" t="s">
        <v>3810</v>
      </c>
      <c r="G675" t="s">
        <v>499</v>
      </c>
      <c r="H675" t="s">
        <v>3811</v>
      </c>
      <c r="I675" t="s">
        <v>4099</v>
      </c>
      <c r="J675" t="s">
        <v>959</v>
      </c>
      <c r="N675" t="s">
        <v>4176</v>
      </c>
      <c r="T675" t="s">
        <v>1015</v>
      </c>
      <c r="U675" t="s">
        <v>4196</v>
      </c>
      <c r="V675" t="s">
        <v>4197</v>
      </c>
      <c r="W675" t="s">
        <v>950</v>
      </c>
      <c r="X675">
        <v>19671006</v>
      </c>
      <c r="Y675">
        <v>58</v>
      </c>
      <c r="Z675" t="s">
        <v>4198</v>
      </c>
      <c r="AB675" t="s">
        <v>996</v>
      </c>
      <c r="AC675" t="s">
        <v>1018</v>
      </c>
      <c r="AD675" t="s">
        <v>246</v>
      </c>
      <c r="AE675" t="s">
        <v>246</v>
      </c>
      <c r="AF675" t="s">
        <v>4199</v>
      </c>
    </row>
    <row r="676" spans="1:37">
      <c r="B676" t="s">
        <v>4200</v>
      </c>
      <c r="C676">
        <v>1324</v>
      </c>
      <c r="D676" t="s">
        <v>3862</v>
      </c>
      <c r="E676" t="s">
        <v>4100</v>
      </c>
      <c r="F676" t="s">
        <v>3810</v>
      </c>
      <c r="G676" t="s">
        <v>499</v>
      </c>
      <c r="H676" t="s">
        <v>3811</v>
      </c>
      <c r="I676" t="s">
        <v>4099</v>
      </c>
      <c r="N676" t="s">
        <v>4176</v>
      </c>
      <c r="T676" t="s">
        <v>1015</v>
      </c>
      <c r="U676" t="s">
        <v>4201</v>
      </c>
      <c r="V676" t="s">
        <v>4202</v>
      </c>
      <c r="W676" t="s">
        <v>950</v>
      </c>
      <c r="X676">
        <v>19720625</v>
      </c>
      <c r="Y676">
        <v>53</v>
      </c>
      <c r="Z676" t="s">
        <v>4203</v>
      </c>
      <c r="AB676" t="s">
        <v>996</v>
      </c>
      <c r="AC676" t="s">
        <v>1018</v>
      </c>
      <c r="AD676" t="s">
        <v>246</v>
      </c>
      <c r="AE676" t="s">
        <v>246</v>
      </c>
      <c r="AF676" t="s">
        <v>3824</v>
      </c>
      <c r="AI676" t="s">
        <v>1586</v>
      </c>
    </row>
    <row r="677" spans="1:37">
      <c r="B677" t="s">
        <v>4204</v>
      </c>
      <c r="C677">
        <v>1326</v>
      </c>
      <c r="D677" t="s">
        <v>3862</v>
      </c>
      <c r="E677" t="s">
        <v>4100</v>
      </c>
      <c r="F677" t="s">
        <v>3810</v>
      </c>
      <c r="G677" t="s">
        <v>499</v>
      </c>
      <c r="H677" t="s">
        <v>3811</v>
      </c>
      <c r="I677" t="s">
        <v>4099</v>
      </c>
      <c r="N677" t="s">
        <v>4176</v>
      </c>
      <c r="T677" t="s">
        <v>1015</v>
      </c>
      <c r="U677" t="s">
        <v>4205</v>
      </c>
      <c r="V677" t="s">
        <v>4206</v>
      </c>
      <c r="W677" t="s">
        <v>950</v>
      </c>
      <c r="X677">
        <v>19620723</v>
      </c>
      <c r="Y677">
        <v>63</v>
      </c>
      <c r="Z677" t="s">
        <v>4207</v>
      </c>
      <c r="AB677" t="s">
        <v>996</v>
      </c>
      <c r="AC677" t="s">
        <v>1018</v>
      </c>
      <c r="AD677" t="s">
        <v>246</v>
      </c>
      <c r="AE677" t="s">
        <v>246</v>
      </c>
      <c r="AF677" t="s">
        <v>3867</v>
      </c>
      <c r="AI677" t="s">
        <v>1586</v>
      </c>
    </row>
    <row r="678" spans="1:37">
      <c r="A678">
        <v>682</v>
      </c>
      <c r="B678" t="s">
        <v>4208</v>
      </c>
      <c r="C678">
        <v>1328</v>
      </c>
      <c r="D678" t="s">
        <v>3862</v>
      </c>
      <c r="E678" t="s">
        <v>4209</v>
      </c>
      <c r="F678" t="s">
        <v>4210</v>
      </c>
      <c r="G678" t="s">
        <v>4211</v>
      </c>
      <c r="H678" t="s">
        <v>4210</v>
      </c>
      <c r="I678" t="s">
        <v>4208</v>
      </c>
      <c r="J678" t="s">
        <v>4212</v>
      </c>
      <c r="N678" t="s">
        <v>1044</v>
      </c>
      <c r="P678" t="s">
        <v>1227</v>
      </c>
      <c r="Q678" t="s">
        <v>55</v>
      </c>
      <c r="T678" t="s">
        <v>1015</v>
      </c>
      <c r="U678" t="s">
        <v>473</v>
      </c>
      <c r="V678" t="s">
        <v>4213</v>
      </c>
      <c r="W678" t="s">
        <v>950</v>
      </c>
      <c r="X678">
        <v>28590</v>
      </c>
      <c r="Y678">
        <v>47</v>
      </c>
      <c r="Z678" t="s">
        <v>4214</v>
      </c>
      <c r="AA678" t="s">
        <v>4215</v>
      </c>
      <c r="AB678" t="s">
        <v>966</v>
      </c>
      <c r="AC678" t="s">
        <v>953</v>
      </c>
      <c r="AD678" t="s">
        <v>246</v>
      </c>
      <c r="AE678" t="s">
        <v>246</v>
      </c>
      <c r="AF678" t="s">
        <v>4216</v>
      </c>
    </row>
    <row r="679" spans="1:37">
      <c r="A679">
        <v>683</v>
      </c>
      <c r="B679" t="s">
        <v>4212</v>
      </c>
      <c r="C679">
        <v>1330</v>
      </c>
      <c r="D679" t="s">
        <v>3862</v>
      </c>
      <c r="E679" t="s">
        <v>4209</v>
      </c>
      <c r="F679" t="s">
        <v>4210</v>
      </c>
      <c r="G679" t="s">
        <v>4211</v>
      </c>
      <c r="H679" t="s">
        <v>4210</v>
      </c>
      <c r="I679" t="s">
        <v>4208</v>
      </c>
      <c r="J679" t="s">
        <v>4212</v>
      </c>
      <c r="N679" t="s">
        <v>1044</v>
      </c>
      <c r="P679" t="s">
        <v>69</v>
      </c>
      <c r="Q679" t="s">
        <v>562</v>
      </c>
      <c r="T679" t="s">
        <v>992</v>
      </c>
      <c r="U679" t="s">
        <v>4217</v>
      </c>
      <c r="V679" t="s">
        <v>4218</v>
      </c>
      <c r="W679" t="s">
        <v>950</v>
      </c>
      <c r="X679">
        <v>36654</v>
      </c>
      <c r="Y679">
        <v>25</v>
      </c>
      <c r="Z679" t="s">
        <v>4219</v>
      </c>
      <c r="AA679" t="s">
        <v>4220</v>
      </c>
      <c r="AB679" t="s">
        <v>996</v>
      </c>
      <c r="AC679" t="s">
        <v>997</v>
      </c>
      <c r="AD679" t="s">
        <v>246</v>
      </c>
      <c r="AE679" t="s">
        <v>246</v>
      </c>
      <c r="AF679" t="s">
        <v>4221</v>
      </c>
      <c r="AH679" t="s">
        <v>4222</v>
      </c>
      <c r="AI679" t="s">
        <v>1125</v>
      </c>
    </row>
    <row r="680" spans="1:37">
      <c r="A680">
        <v>685</v>
      </c>
      <c r="B680" t="s">
        <v>4223</v>
      </c>
      <c r="C680">
        <v>1332</v>
      </c>
      <c r="D680" t="s">
        <v>3862</v>
      </c>
      <c r="E680" t="s">
        <v>4209</v>
      </c>
      <c r="F680" t="s">
        <v>4210</v>
      </c>
      <c r="G680" t="s">
        <v>4211</v>
      </c>
      <c r="H680" t="s">
        <v>4210</v>
      </c>
      <c r="I680" t="s">
        <v>4208</v>
      </c>
      <c r="J680" t="s">
        <v>4212</v>
      </c>
      <c r="N680" t="s">
        <v>1044</v>
      </c>
      <c r="T680" t="s">
        <v>1015</v>
      </c>
      <c r="U680" t="s">
        <v>4224</v>
      </c>
      <c r="V680" t="s">
        <v>4225</v>
      </c>
      <c r="W680" t="s">
        <v>950</v>
      </c>
      <c r="X680">
        <v>32251</v>
      </c>
      <c r="Y680">
        <v>37</v>
      </c>
      <c r="Z680" t="s">
        <v>4226</v>
      </c>
      <c r="AA680" t="s">
        <v>4227</v>
      </c>
      <c r="AB680" t="s">
        <v>996</v>
      </c>
      <c r="AC680" t="s">
        <v>997</v>
      </c>
      <c r="AD680" t="s">
        <v>246</v>
      </c>
      <c r="AE680" t="s">
        <v>1910</v>
      </c>
      <c r="AF680" t="s">
        <v>4228</v>
      </c>
      <c r="AH680" t="s">
        <v>4229</v>
      </c>
      <c r="AI680" t="s">
        <v>1125</v>
      </c>
      <c r="AJ680" t="s">
        <v>1020</v>
      </c>
    </row>
    <row r="681" spans="1:37">
      <c r="A681">
        <v>686</v>
      </c>
      <c r="B681" t="s">
        <v>4230</v>
      </c>
      <c r="C681">
        <v>1334</v>
      </c>
      <c r="D681" t="s">
        <v>3862</v>
      </c>
      <c r="E681" t="s">
        <v>4209</v>
      </c>
      <c r="F681" t="s">
        <v>4210</v>
      </c>
      <c r="G681" t="s">
        <v>4211</v>
      </c>
      <c r="H681" t="s">
        <v>4210</v>
      </c>
      <c r="I681" t="s">
        <v>4208</v>
      </c>
      <c r="J681" t="s">
        <v>4212</v>
      </c>
      <c r="N681" t="s">
        <v>1044</v>
      </c>
      <c r="T681" t="s">
        <v>992</v>
      </c>
      <c r="U681" t="s">
        <v>4231</v>
      </c>
      <c r="V681" t="s">
        <v>4232</v>
      </c>
      <c r="W681" t="s">
        <v>950</v>
      </c>
      <c r="X681">
        <v>34632</v>
      </c>
      <c r="Y681">
        <v>31</v>
      </c>
      <c r="Z681" t="s">
        <v>4233</v>
      </c>
      <c r="AB681" t="s">
        <v>996</v>
      </c>
      <c r="AC681" t="s">
        <v>1018</v>
      </c>
      <c r="AD681" t="s">
        <v>246</v>
      </c>
      <c r="AE681" t="s">
        <v>246</v>
      </c>
      <c r="AF681" t="s">
        <v>4216</v>
      </c>
      <c r="AH681" t="s">
        <v>4234</v>
      </c>
      <c r="AI681" t="s">
        <v>1125</v>
      </c>
      <c r="AJ681" t="s">
        <v>4235</v>
      </c>
    </row>
    <row r="682" spans="1:37">
      <c r="A682">
        <v>702</v>
      </c>
      <c r="B682" t="s">
        <v>4236</v>
      </c>
      <c r="C682">
        <v>1336</v>
      </c>
      <c r="D682" t="s">
        <v>3862</v>
      </c>
      <c r="E682" t="s">
        <v>4209</v>
      </c>
      <c r="F682" t="s">
        <v>4210</v>
      </c>
      <c r="G682" t="s">
        <v>4211</v>
      </c>
      <c r="H682" t="s">
        <v>4210</v>
      </c>
      <c r="I682" t="s">
        <v>4208</v>
      </c>
      <c r="J682" t="s">
        <v>4212</v>
      </c>
      <c r="K682" t="s">
        <v>4236</v>
      </c>
      <c r="N682" t="s">
        <v>1044</v>
      </c>
      <c r="P682" t="s">
        <v>69</v>
      </c>
      <c r="R682" t="s">
        <v>1286</v>
      </c>
      <c r="T682" t="s">
        <v>1015</v>
      </c>
      <c r="U682" t="s">
        <v>4237</v>
      </c>
      <c r="V682" t="s">
        <v>4238</v>
      </c>
      <c r="W682" t="s">
        <v>950</v>
      </c>
      <c r="X682">
        <v>29930</v>
      </c>
      <c r="Y682">
        <v>44</v>
      </c>
      <c r="Z682" t="s">
        <v>4239</v>
      </c>
      <c r="AA682" t="s">
        <v>4240</v>
      </c>
      <c r="AB682" t="s">
        <v>996</v>
      </c>
      <c r="AC682" t="s">
        <v>997</v>
      </c>
      <c r="AD682" t="s">
        <v>246</v>
      </c>
      <c r="AE682" t="s">
        <v>246</v>
      </c>
      <c r="AF682" t="s">
        <v>4241</v>
      </c>
      <c r="AI682" t="s">
        <v>1125</v>
      </c>
    </row>
    <row r="683" spans="1:37">
      <c r="A683">
        <v>707</v>
      </c>
      <c r="B683" t="s">
        <v>4242</v>
      </c>
      <c r="C683">
        <v>1338</v>
      </c>
      <c r="D683" t="s">
        <v>3862</v>
      </c>
      <c r="E683" t="s">
        <v>4209</v>
      </c>
      <c r="F683" t="s">
        <v>4210</v>
      </c>
      <c r="G683" t="s">
        <v>4211</v>
      </c>
      <c r="H683" t="s">
        <v>4210</v>
      </c>
      <c r="I683" t="s">
        <v>4208</v>
      </c>
      <c r="J683" t="s">
        <v>4212</v>
      </c>
      <c r="N683" t="s">
        <v>1044</v>
      </c>
      <c r="T683" t="s">
        <v>1015</v>
      </c>
      <c r="U683" t="s">
        <v>4243</v>
      </c>
      <c r="V683" t="s">
        <v>4244</v>
      </c>
      <c r="W683" t="s">
        <v>950</v>
      </c>
      <c r="X683">
        <v>32528</v>
      </c>
      <c r="Y683">
        <v>37</v>
      </c>
      <c r="Z683" t="s">
        <v>4245</v>
      </c>
      <c r="AA683" t="s">
        <v>4246</v>
      </c>
      <c r="AB683" t="s">
        <v>996</v>
      </c>
      <c r="AC683" t="s">
        <v>1018</v>
      </c>
      <c r="AD683" t="s">
        <v>246</v>
      </c>
      <c r="AE683" t="s">
        <v>246</v>
      </c>
      <c r="AF683" t="s">
        <v>4247</v>
      </c>
      <c r="AH683" t="s">
        <v>4248</v>
      </c>
      <c r="AI683" t="s">
        <v>1114</v>
      </c>
    </row>
    <row r="684" spans="1:37">
      <c r="A684">
        <v>709</v>
      </c>
      <c r="B684" t="s">
        <v>4249</v>
      </c>
      <c r="C684">
        <v>1340</v>
      </c>
      <c r="D684" t="s">
        <v>3862</v>
      </c>
      <c r="E684" t="s">
        <v>4209</v>
      </c>
      <c r="F684" t="s">
        <v>4210</v>
      </c>
      <c r="G684" t="s">
        <v>4211</v>
      </c>
      <c r="H684" t="s">
        <v>4210</v>
      </c>
      <c r="I684" t="s">
        <v>4208</v>
      </c>
      <c r="J684" t="s">
        <v>4212</v>
      </c>
      <c r="N684" t="s">
        <v>1044</v>
      </c>
      <c r="T684" t="s">
        <v>1015</v>
      </c>
      <c r="U684" t="s">
        <v>559</v>
      </c>
      <c r="V684" t="s">
        <v>4250</v>
      </c>
      <c r="W684" t="s">
        <v>950</v>
      </c>
      <c r="X684">
        <v>30545</v>
      </c>
      <c r="Y684">
        <v>42</v>
      </c>
      <c r="Z684" t="s">
        <v>4251</v>
      </c>
      <c r="AA684" t="s">
        <v>4252</v>
      </c>
      <c r="AB684" t="s">
        <v>966</v>
      </c>
      <c r="AC684" t="s">
        <v>953</v>
      </c>
      <c r="AD684" t="s">
        <v>246</v>
      </c>
      <c r="AE684" t="s">
        <v>246</v>
      </c>
      <c r="AF684" t="s">
        <v>4253</v>
      </c>
      <c r="AI684" t="s">
        <v>1025</v>
      </c>
    </row>
    <row r="685" spans="1:37">
      <c r="A685">
        <v>726</v>
      </c>
      <c r="B685" t="s">
        <v>4254</v>
      </c>
      <c r="C685">
        <v>1342</v>
      </c>
      <c r="D685" t="s">
        <v>3862</v>
      </c>
      <c r="E685" t="s">
        <v>4209</v>
      </c>
      <c r="F685" t="s">
        <v>4210</v>
      </c>
      <c r="G685" t="s">
        <v>4211</v>
      </c>
      <c r="H685" t="s">
        <v>4210</v>
      </c>
      <c r="I685" t="s">
        <v>4208</v>
      </c>
      <c r="J685" t="s">
        <v>4212</v>
      </c>
      <c r="N685" t="s">
        <v>1044</v>
      </c>
      <c r="T685" t="s">
        <v>1015</v>
      </c>
      <c r="U685" t="s">
        <v>568</v>
      </c>
      <c r="V685" t="s">
        <v>4255</v>
      </c>
      <c r="W685" t="s">
        <v>950</v>
      </c>
      <c r="X685">
        <v>32138</v>
      </c>
      <c r="Y685">
        <v>38</v>
      </c>
      <c r="Z685" t="s">
        <v>4256</v>
      </c>
      <c r="AA685" t="s">
        <v>4257</v>
      </c>
      <c r="AB685" t="s">
        <v>996</v>
      </c>
      <c r="AC685" t="s">
        <v>1018</v>
      </c>
      <c r="AD685" t="s">
        <v>246</v>
      </c>
      <c r="AE685" t="s">
        <v>246</v>
      </c>
      <c r="AF685" t="s">
        <v>4258</v>
      </c>
      <c r="AH685" t="s">
        <v>4259</v>
      </c>
      <c r="AI685" t="s">
        <v>1452</v>
      </c>
      <c r="AK685">
        <v>-3</v>
      </c>
    </row>
    <row r="686" spans="1:37">
      <c r="A686">
        <v>732</v>
      </c>
      <c r="B686" t="s">
        <v>4260</v>
      </c>
      <c r="C686">
        <v>1344</v>
      </c>
      <c r="D686" t="s">
        <v>3862</v>
      </c>
      <c r="E686" t="s">
        <v>4209</v>
      </c>
      <c r="F686" t="s">
        <v>4210</v>
      </c>
      <c r="G686" t="s">
        <v>4211</v>
      </c>
      <c r="H686" t="s">
        <v>4210</v>
      </c>
      <c r="I686" t="s">
        <v>4208</v>
      </c>
      <c r="J686" t="s">
        <v>4212</v>
      </c>
      <c r="N686" t="s">
        <v>1044</v>
      </c>
      <c r="T686" t="s">
        <v>1015</v>
      </c>
      <c r="U686" t="s">
        <v>4261</v>
      </c>
      <c r="V686" t="s">
        <v>4262</v>
      </c>
      <c r="W686" t="s">
        <v>950</v>
      </c>
      <c r="X686">
        <v>33974</v>
      </c>
      <c r="Y686">
        <v>33</v>
      </c>
      <c r="Z686" t="s">
        <v>4263</v>
      </c>
      <c r="AA686" t="s">
        <v>4264</v>
      </c>
      <c r="AB686" t="s">
        <v>996</v>
      </c>
      <c r="AC686" t="s">
        <v>1018</v>
      </c>
      <c r="AD686" t="s">
        <v>246</v>
      </c>
      <c r="AE686" t="s">
        <v>246</v>
      </c>
      <c r="AF686" t="s">
        <v>4265</v>
      </c>
      <c r="AI686" t="s">
        <v>1107</v>
      </c>
    </row>
    <row r="687" spans="1:37">
      <c r="A687">
        <v>688</v>
      </c>
      <c r="B687" t="s">
        <v>4266</v>
      </c>
      <c r="C687">
        <v>1346</v>
      </c>
      <c r="D687" t="s">
        <v>3808</v>
      </c>
      <c r="E687" t="s">
        <v>4209</v>
      </c>
      <c r="F687" t="s">
        <v>4210</v>
      </c>
      <c r="G687" t="s">
        <v>4211</v>
      </c>
      <c r="H687" t="s">
        <v>4210</v>
      </c>
      <c r="I687" t="s">
        <v>4266</v>
      </c>
      <c r="J687" t="s">
        <v>4267</v>
      </c>
      <c r="N687" t="s">
        <v>1074</v>
      </c>
      <c r="P687" t="s">
        <v>55</v>
      </c>
      <c r="Q687" t="s">
        <v>55</v>
      </c>
      <c r="T687" t="s">
        <v>1015</v>
      </c>
      <c r="U687" t="s">
        <v>519</v>
      </c>
      <c r="V687" t="s">
        <v>4268</v>
      </c>
      <c r="W687" t="s">
        <v>950</v>
      </c>
      <c r="X687">
        <v>28886</v>
      </c>
      <c r="Y687">
        <v>47</v>
      </c>
      <c r="Z687" t="s">
        <v>4269</v>
      </c>
      <c r="AA687" t="s">
        <v>4270</v>
      </c>
      <c r="AB687" t="s">
        <v>996</v>
      </c>
      <c r="AC687" t="s">
        <v>997</v>
      </c>
      <c r="AD687" t="s">
        <v>246</v>
      </c>
      <c r="AE687" t="s">
        <v>246</v>
      </c>
      <c r="AF687" t="s">
        <v>4059</v>
      </c>
      <c r="AI687" t="s">
        <v>1114</v>
      </c>
      <c r="AK687">
        <v>-3</v>
      </c>
    </row>
    <row r="688" spans="1:37">
      <c r="A688">
        <v>722</v>
      </c>
      <c r="B688" t="s">
        <v>4267</v>
      </c>
      <c r="C688">
        <v>1348</v>
      </c>
      <c r="D688" t="s">
        <v>3862</v>
      </c>
      <c r="E688" t="s">
        <v>4209</v>
      </c>
      <c r="F688" t="s">
        <v>4210</v>
      </c>
      <c r="G688" t="s">
        <v>4211</v>
      </c>
      <c r="H688" t="s">
        <v>4210</v>
      </c>
      <c r="I688" t="s">
        <v>4266</v>
      </c>
      <c r="J688" t="s">
        <v>4267</v>
      </c>
      <c r="N688" t="s">
        <v>1074</v>
      </c>
      <c r="P688" t="s">
        <v>69</v>
      </c>
      <c r="Q688" t="s">
        <v>562</v>
      </c>
      <c r="T688" t="s">
        <v>1015</v>
      </c>
      <c r="U688" t="s">
        <v>521</v>
      </c>
      <c r="V688" t="s">
        <v>4271</v>
      </c>
      <c r="W688" t="s">
        <v>950</v>
      </c>
      <c r="X688">
        <v>20604</v>
      </c>
      <c r="Y688">
        <v>69</v>
      </c>
      <c r="Z688" t="s">
        <v>4272</v>
      </c>
      <c r="AA688" t="s">
        <v>4273</v>
      </c>
      <c r="AB688" t="s">
        <v>996</v>
      </c>
      <c r="AC688" t="s">
        <v>997</v>
      </c>
      <c r="AD688" t="s">
        <v>246</v>
      </c>
      <c r="AE688" t="s">
        <v>246</v>
      </c>
      <c r="AF688" t="s">
        <v>4274</v>
      </c>
      <c r="AI688" t="s">
        <v>1452</v>
      </c>
    </row>
    <row r="689" spans="1:38">
      <c r="A689">
        <v>690</v>
      </c>
      <c r="B689" t="s">
        <v>4275</v>
      </c>
      <c r="C689">
        <v>1350</v>
      </c>
      <c r="D689" t="s">
        <v>3862</v>
      </c>
      <c r="E689" t="s">
        <v>4209</v>
      </c>
      <c r="F689" t="s">
        <v>4210</v>
      </c>
      <c r="G689" t="s">
        <v>4211</v>
      </c>
      <c r="H689" t="s">
        <v>4210</v>
      </c>
      <c r="I689" t="s">
        <v>4266</v>
      </c>
      <c r="J689" t="s">
        <v>4267</v>
      </c>
      <c r="N689" t="s">
        <v>1074</v>
      </c>
      <c r="T689" t="s">
        <v>1090</v>
      </c>
      <c r="U689" t="s">
        <v>485</v>
      </c>
      <c r="V689" t="s">
        <v>4276</v>
      </c>
      <c r="W689" t="s">
        <v>950</v>
      </c>
      <c r="X689">
        <v>18323</v>
      </c>
      <c r="Y689">
        <v>75</v>
      </c>
      <c r="Z689" t="s">
        <v>4277</v>
      </c>
      <c r="AA689" t="s">
        <v>4278</v>
      </c>
      <c r="AB689" t="s">
        <v>966</v>
      </c>
      <c r="AC689" t="s">
        <v>953</v>
      </c>
      <c r="AD689" t="s">
        <v>246</v>
      </c>
      <c r="AE689" t="s">
        <v>246</v>
      </c>
      <c r="AF689" t="s">
        <v>4216</v>
      </c>
    </row>
    <row r="690" spans="1:38">
      <c r="A690">
        <v>691</v>
      </c>
      <c r="B690" t="s">
        <v>4279</v>
      </c>
      <c r="C690">
        <v>1352</v>
      </c>
      <c r="D690" t="s">
        <v>3862</v>
      </c>
      <c r="E690" t="s">
        <v>4209</v>
      </c>
      <c r="F690" t="s">
        <v>4210</v>
      </c>
      <c r="G690" t="s">
        <v>4211</v>
      </c>
      <c r="H690" t="s">
        <v>4210</v>
      </c>
      <c r="I690" t="s">
        <v>4266</v>
      </c>
      <c r="J690" t="s">
        <v>4267</v>
      </c>
      <c r="N690" t="s">
        <v>1074</v>
      </c>
      <c r="T690" t="s">
        <v>1090</v>
      </c>
      <c r="U690" t="s">
        <v>491</v>
      </c>
      <c r="V690" t="s">
        <v>4280</v>
      </c>
      <c r="W690" t="s">
        <v>950</v>
      </c>
      <c r="X690">
        <v>18840</v>
      </c>
      <c r="Y690">
        <v>74</v>
      </c>
      <c r="Z690" t="s">
        <v>4281</v>
      </c>
      <c r="AA690" t="s">
        <v>4282</v>
      </c>
      <c r="AB690" t="s">
        <v>966</v>
      </c>
      <c r="AC690" t="s">
        <v>953</v>
      </c>
      <c r="AD690" t="s">
        <v>246</v>
      </c>
      <c r="AE690" t="s">
        <v>246</v>
      </c>
      <c r="AF690" t="s">
        <v>4216</v>
      </c>
    </row>
    <row r="691" spans="1:38">
      <c r="A691">
        <v>692</v>
      </c>
      <c r="B691" t="s">
        <v>4283</v>
      </c>
      <c r="C691">
        <v>1354</v>
      </c>
      <c r="D691" t="s">
        <v>3862</v>
      </c>
      <c r="E691" t="s">
        <v>4209</v>
      </c>
      <c r="F691" t="s">
        <v>4210</v>
      </c>
      <c r="G691" t="s">
        <v>4211</v>
      </c>
      <c r="H691" t="s">
        <v>4210</v>
      </c>
      <c r="I691" t="s">
        <v>4266</v>
      </c>
      <c r="J691" t="s">
        <v>4267</v>
      </c>
      <c r="N691" t="s">
        <v>1074</v>
      </c>
      <c r="T691" t="s">
        <v>1015</v>
      </c>
      <c r="U691" t="s">
        <v>474</v>
      </c>
      <c r="V691" t="s">
        <v>4284</v>
      </c>
      <c r="W691" t="s">
        <v>950</v>
      </c>
      <c r="X691">
        <v>23643</v>
      </c>
      <c r="Y691">
        <v>61</v>
      </c>
      <c r="Z691" t="s">
        <v>4285</v>
      </c>
      <c r="AA691" t="s">
        <v>4286</v>
      </c>
      <c r="AB691" t="s">
        <v>966</v>
      </c>
      <c r="AC691" t="s">
        <v>953</v>
      </c>
      <c r="AD691" t="s">
        <v>246</v>
      </c>
      <c r="AE691" t="s">
        <v>246</v>
      </c>
      <c r="AF691" t="s">
        <v>4216</v>
      </c>
    </row>
    <row r="692" spans="1:38">
      <c r="A692">
        <v>713</v>
      </c>
      <c r="B692" t="s">
        <v>4287</v>
      </c>
      <c r="C692">
        <v>1356</v>
      </c>
      <c r="D692" t="s">
        <v>3862</v>
      </c>
      <c r="E692" t="s">
        <v>4209</v>
      </c>
      <c r="F692" t="s">
        <v>4210</v>
      </c>
      <c r="G692" t="s">
        <v>4211</v>
      </c>
      <c r="H692" t="s">
        <v>4210</v>
      </c>
      <c r="I692" t="s">
        <v>4266</v>
      </c>
      <c r="J692" t="s">
        <v>4267</v>
      </c>
      <c r="N692" t="s">
        <v>1074</v>
      </c>
      <c r="T692" t="s">
        <v>1015</v>
      </c>
      <c r="U692" t="s">
        <v>4288</v>
      </c>
      <c r="V692" t="s">
        <v>4289</v>
      </c>
      <c r="W692" t="s">
        <v>950</v>
      </c>
      <c r="X692">
        <v>20474</v>
      </c>
      <c r="Y692">
        <v>70</v>
      </c>
      <c r="Z692" t="s">
        <v>4290</v>
      </c>
      <c r="AA692" t="s">
        <v>4291</v>
      </c>
      <c r="AB692" t="s">
        <v>996</v>
      </c>
      <c r="AC692" t="s">
        <v>997</v>
      </c>
      <c r="AD692" t="s">
        <v>246</v>
      </c>
      <c r="AE692" t="s">
        <v>246</v>
      </c>
      <c r="AF692" t="s">
        <v>3824</v>
      </c>
      <c r="AI692" t="s">
        <v>1125</v>
      </c>
    </row>
    <row r="693" spans="1:38">
      <c r="A693">
        <v>717</v>
      </c>
      <c r="B693" t="s">
        <v>4292</v>
      </c>
      <c r="C693">
        <v>1358</v>
      </c>
      <c r="D693" t="s">
        <v>3862</v>
      </c>
      <c r="E693" t="s">
        <v>4209</v>
      </c>
      <c r="F693" t="s">
        <v>4210</v>
      </c>
      <c r="G693" t="s">
        <v>4211</v>
      </c>
      <c r="H693" t="s">
        <v>4210</v>
      </c>
      <c r="I693" t="s">
        <v>4266</v>
      </c>
      <c r="J693" t="s">
        <v>4267</v>
      </c>
      <c r="N693" t="s">
        <v>1074</v>
      </c>
      <c r="T693" t="s">
        <v>1090</v>
      </c>
      <c r="U693" t="s">
        <v>4293</v>
      </c>
      <c r="V693" t="s">
        <v>4294</v>
      </c>
      <c r="W693" t="s">
        <v>950</v>
      </c>
      <c r="X693">
        <v>18510</v>
      </c>
      <c r="Y693">
        <v>75</v>
      </c>
      <c r="Z693" t="s">
        <v>4295</v>
      </c>
      <c r="AA693" t="s">
        <v>4296</v>
      </c>
      <c r="AB693" t="s">
        <v>996</v>
      </c>
      <c r="AC693" t="s">
        <v>997</v>
      </c>
      <c r="AD693" t="s">
        <v>246</v>
      </c>
      <c r="AE693" t="s">
        <v>246</v>
      </c>
      <c r="AF693" t="s">
        <v>4297</v>
      </c>
      <c r="AI693" t="s">
        <v>1125</v>
      </c>
    </row>
    <row r="694" spans="1:38">
      <c r="A694">
        <v>645</v>
      </c>
      <c r="B694" t="s">
        <v>4298</v>
      </c>
      <c r="C694">
        <v>1360</v>
      </c>
      <c r="D694" t="s">
        <v>3808</v>
      </c>
      <c r="E694" t="s">
        <v>4209</v>
      </c>
      <c r="F694" t="s">
        <v>4210</v>
      </c>
      <c r="G694" t="s">
        <v>4211</v>
      </c>
      <c r="H694" t="s">
        <v>4210</v>
      </c>
      <c r="I694" t="s">
        <v>4266</v>
      </c>
      <c r="J694" t="s">
        <v>4267</v>
      </c>
      <c r="N694" t="s">
        <v>1074</v>
      </c>
      <c r="T694" t="s">
        <v>1015</v>
      </c>
      <c r="U694" t="s">
        <v>4299</v>
      </c>
      <c r="V694" t="s">
        <v>4300</v>
      </c>
      <c r="W694" t="s">
        <v>950</v>
      </c>
      <c r="X694">
        <v>22940</v>
      </c>
      <c r="Y694">
        <v>63</v>
      </c>
      <c r="Z694" t="s">
        <v>4301</v>
      </c>
      <c r="AA694" t="s">
        <v>4302</v>
      </c>
      <c r="AB694" t="s">
        <v>996</v>
      </c>
      <c r="AC694" t="s">
        <v>997</v>
      </c>
      <c r="AD694" t="s">
        <v>246</v>
      </c>
      <c r="AE694" t="s">
        <v>246</v>
      </c>
      <c r="AF694" t="s">
        <v>4059</v>
      </c>
      <c r="AI694" t="s">
        <v>1125</v>
      </c>
      <c r="AK694">
        <v>-3</v>
      </c>
    </row>
    <row r="695" spans="1:38">
      <c r="A695">
        <v>694</v>
      </c>
      <c r="B695" t="s">
        <v>4303</v>
      </c>
      <c r="C695">
        <v>1362</v>
      </c>
      <c r="D695" t="s">
        <v>3862</v>
      </c>
      <c r="E695" t="s">
        <v>4209</v>
      </c>
      <c r="F695" t="s">
        <v>4210</v>
      </c>
      <c r="G695" t="s">
        <v>4211</v>
      </c>
      <c r="H695" t="s">
        <v>4210</v>
      </c>
      <c r="I695" t="s">
        <v>4303</v>
      </c>
      <c r="J695" t="s">
        <v>4304</v>
      </c>
      <c r="N695" t="s">
        <v>1115</v>
      </c>
      <c r="P695" t="s">
        <v>55</v>
      </c>
      <c r="Q695" t="s">
        <v>178</v>
      </c>
      <c r="T695" t="s">
        <v>992</v>
      </c>
      <c r="U695" t="s">
        <v>4305</v>
      </c>
      <c r="V695" t="s">
        <v>4306</v>
      </c>
      <c r="W695" t="s">
        <v>963</v>
      </c>
      <c r="X695">
        <v>37183</v>
      </c>
      <c r="Y695">
        <v>24</v>
      </c>
      <c r="Z695" t="s">
        <v>4307</v>
      </c>
      <c r="AA695" t="s">
        <v>4308</v>
      </c>
      <c r="AB695" t="s">
        <v>1006</v>
      </c>
      <c r="AC695" t="s">
        <v>953</v>
      </c>
      <c r="AD695" t="s">
        <v>246</v>
      </c>
      <c r="AE695" t="s">
        <v>246</v>
      </c>
      <c r="AF695" t="s">
        <v>4216</v>
      </c>
    </row>
    <row r="696" spans="1:38">
      <c r="A696">
        <v>733</v>
      </c>
      <c r="B696" t="s">
        <v>4304</v>
      </c>
      <c r="C696">
        <v>1364</v>
      </c>
      <c r="D696" t="s">
        <v>3862</v>
      </c>
      <c r="E696" t="s">
        <v>4209</v>
      </c>
      <c r="F696" t="s">
        <v>4210</v>
      </c>
      <c r="G696" t="s">
        <v>4211</v>
      </c>
      <c r="H696" t="s">
        <v>4210</v>
      </c>
      <c r="I696" t="s">
        <v>4303</v>
      </c>
      <c r="J696" t="s">
        <v>4304</v>
      </c>
      <c r="N696" t="s">
        <v>1115</v>
      </c>
      <c r="P696" t="s">
        <v>69</v>
      </c>
      <c r="T696" t="s">
        <v>992</v>
      </c>
      <c r="U696" t="s">
        <v>538</v>
      </c>
      <c r="V696" t="s">
        <v>4309</v>
      </c>
      <c r="W696" t="s">
        <v>950</v>
      </c>
      <c r="X696">
        <v>38551</v>
      </c>
      <c r="Y696">
        <v>20</v>
      </c>
      <c r="Z696" t="s">
        <v>4310</v>
      </c>
      <c r="AA696" t="s">
        <v>4311</v>
      </c>
      <c r="AB696" t="s">
        <v>996</v>
      </c>
      <c r="AC696" t="s">
        <v>997</v>
      </c>
      <c r="AD696" t="s">
        <v>246</v>
      </c>
      <c r="AE696" t="s">
        <v>246</v>
      </c>
      <c r="AF696" t="s">
        <v>4312</v>
      </c>
      <c r="AH696" t="s">
        <v>4216</v>
      </c>
      <c r="AI696" t="s">
        <v>1107</v>
      </c>
    </row>
    <row r="697" spans="1:38">
      <c r="A697">
        <v>696</v>
      </c>
      <c r="B697" t="s">
        <v>2220</v>
      </c>
      <c r="C697">
        <v>1366</v>
      </c>
      <c r="D697" t="s">
        <v>3862</v>
      </c>
      <c r="E697" t="s">
        <v>4209</v>
      </c>
      <c r="F697" t="s">
        <v>4210</v>
      </c>
      <c r="G697" t="s">
        <v>4211</v>
      </c>
      <c r="H697" t="s">
        <v>4210</v>
      </c>
      <c r="I697" t="s">
        <v>4303</v>
      </c>
      <c r="J697" t="s">
        <v>4304</v>
      </c>
      <c r="N697" t="s">
        <v>1115</v>
      </c>
      <c r="T697" t="s">
        <v>992</v>
      </c>
      <c r="U697" t="s">
        <v>4313</v>
      </c>
      <c r="V697" t="s">
        <v>4314</v>
      </c>
      <c r="W697" t="s">
        <v>963</v>
      </c>
      <c r="X697">
        <v>38152</v>
      </c>
      <c r="Y697">
        <v>21</v>
      </c>
      <c r="Z697" t="s">
        <v>4315</v>
      </c>
      <c r="AA697" t="s">
        <v>4316</v>
      </c>
      <c r="AB697" t="s">
        <v>1006</v>
      </c>
      <c r="AC697" t="s">
        <v>953</v>
      </c>
      <c r="AD697" t="s">
        <v>729</v>
      </c>
      <c r="AE697" t="s">
        <v>246</v>
      </c>
      <c r="AF697" t="s">
        <v>4216</v>
      </c>
      <c r="AI697" t="s">
        <v>1011</v>
      </c>
    </row>
    <row r="698" spans="1:38">
      <c r="A698">
        <v>697</v>
      </c>
      <c r="B698" t="s">
        <v>4317</v>
      </c>
      <c r="C698">
        <v>1368</v>
      </c>
      <c r="D698" t="s">
        <v>3862</v>
      </c>
      <c r="E698" t="s">
        <v>4209</v>
      </c>
      <c r="F698" t="s">
        <v>4210</v>
      </c>
      <c r="G698" t="s">
        <v>4211</v>
      </c>
      <c r="H698" t="s">
        <v>4210</v>
      </c>
      <c r="I698" t="s">
        <v>4303</v>
      </c>
      <c r="J698" t="s">
        <v>4304</v>
      </c>
      <c r="N698" t="s">
        <v>1115</v>
      </c>
      <c r="T698" t="s">
        <v>992</v>
      </c>
      <c r="U698" t="s">
        <v>4318</v>
      </c>
      <c r="V698" t="s">
        <v>4319</v>
      </c>
      <c r="W698" t="s">
        <v>963</v>
      </c>
      <c r="X698">
        <v>36511</v>
      </c>
      <c r="Y698">
        <v>26</v>
      </c>
      <c r="Z698" t="s">
        <v>4320</v>
      </c>
      <c r="AA698" t="s">
        <v>4321</v>
      </c>
      <c r="AB698" t="s">
        <v>1006</v>
      </c>
      <c r="AC698" t="s">
        <v>953</v>
      </c>
      <c r="AD698" t="s">
        <v>246</v>
      </c>
      <c r="AE698" t="s">
        <v>246</v>
      </c>
      <c r="AF698" t="s">
        <v>4322</v>
      </c>
      <c r="AI698" t="s">
        <v>1349</v>
      </c>
    </row>
    <row r="699" spans="1:38">
      <c r="A699">
        <v>731</v>
      </c>
      <c r="B699" t="s">
        <v>4323</v>
      </c>
      <c r="C699">
        <v>1370</v>
      </c>
      <c r="D699" t="s">
        <v>3862</v>
      </c>
      <c r="E699" t="s">
        <v>4209</v>
      </c>
      <c r="F699" t="s">
        <v>4210</v>
      </c>
      <c r="G699" t="s">
        <v>4211</v>
      </c>
      <c r="H699" t="s">
        <v>4210</v>
      </c>
      <c r="I699" t="s">
        <v>4303</v>
      </c>
      <c r="J699" t="s">
        <v>4304</v>
      </c>
      <c r="N699" t="s">
        <v>1115</v>
      </c>
      <c r="T699" t="s">
        <v>992</v>
      </c>
      <c r="U699" t="s">
        <v>4324</v>
      </c>
      <c r="V699" t="s">
        <v>4325</v>
      </c>
      <c r="W699" t="s">
        <v>950</v>
      </c>
      <c r="X699">
        <v>37889</v>
      </c>
      <c r="Y699">
        <v>22</v>
      </c>
      <c r="Z699" t="s">
        <v>4326</v>
      </c>
      <c r="AA699" t="s">
        <v>4327</v>
      </c>
      <c r="AB699" t="s">
        <v>996</v>
      </c>
      <c r="AC699" t="s">
        <v>997</v>
      </c>
      <c r="AD699" t="s">
        <v>246</v>
      </c>
      <c r="AE699" t="s">
        <v>246</v>
      </c>
      <c r="AF699" t="s">
        <v>4312</v>
      </c>
      <c r="AH699" t="s">
        <v>4216</v>
      </c>
      <c r="AI699" t="s">
        <v>1107</v>
      </c>
    </row>
    <row r="700" spans="1:38">
      <c r="B700" t="s">
        <v>4328</v>
      </c>
      <c r="C700">
        <v>1372</v>
      </c>
      <c r="D700" t="s">
        <v>3862</v>
      </c>
      <c r="E700" t="s">
        <v>4209</v>
      </c>
      <c r="F700" t="s">
        <v>4210</v>
      </c>
      <c r="G700" t="s">
        <v>4211</v>
      </c>
      <c r="H700" t="s">
        <v>4210</v>
      </c>
      <c r="I700" t="s">
        <v>4303</v>
      </c>
      <c r="J700" t="s">
        <v>4304</v>
      </c>
      <c r="N700" t="s">
        <v>1115</v>
      </c>
      <c r="T700" t="s">
        <v>992</v>
      </c>
      <c r="U700" t="s">
        <v>4329</v>
      </c>
      <c r="V700" t="s">
        <v>4330</v>
      </c>
      <c r="W700" t="s">
        <v>950</v>
      </c>
      <c r="X700">
        <v>19980713</v>
      </c>
      <c r="Y700">
        <v>27</v>
      </c>
      <c r="Z700" t="s">
        <v>4331</v>
      </c>
      <c r="AD700" t="s">
        <v>246</v>
      </c>
      <c r="AE700" t="s">
        <v>246</v>
      </c>
      <c r="AF700" t="s">
        <v>4332</v>
      </c>
    </row>
    <row r="701" spans="1:38">
      <c r="A701">
        <v>699</v>
      </c>
      <c r="B701" t="s">
        <v>4333</v>
      </c>
      <c r="C701">
        <v>1374</v>
      </c>
      <c r="D701" t="s">
        <v>3862</v>
      </c>
      <c r="E701" t="s">
        <v>4209</v>
      </c>
      <c r="F701" t="s">
        <v>4210</v>
      </c>
      <c r="G701" t="s">
        <v>4211</v>
      </c>
      <c r="H701" t="s">
        <v>4210</v>
      </c>
      <c r="I701" t="s">
        <v>4333</v>
      </c>
      <c r="J701" t="s">
        <v>4334</v>
      </c>
      <c r="K701" t="s">
        <v>4335</v>
      </c>
      <c r="N701" t="s">
        <v>1127</v>
      </c>
      <c r="P701" t="s">
        <v>55</v>
      </c>
      <c r="Q701" t="s">
        <v>178</v>
      </c>
      <c r="T701" t="s">
        <v>1015</v>
      </c>
      <c r="U701" t="s">
        <v>476</v>
      </c>
      <c r="V701" t="s">
        <v>4336</v>
      </c>
      <c r="W701" t="s">
        <v>950</v>
      </c>
      <c r="X701">
        <v>27135</v>
      </c>
      <c r="Y701">
        <v>51</v>
      </c>
      <c r="Z701" t="s">
        <v>4337</v>
      </c>
      <c r="AA701" t="s">
        <v>4338</v>
      </c>
      <c r="AB701" t="s">
        <v>966</v>
      </c>
      <c r="AC701" t="s">
        <v>953</v>
      </c>
      <c r="AD701" t="s">
        <v>246</v>
      </c>
      <c r="AE701" t="s">
        <v>246</v>
      </c>
      <c r="AF701" t="s">
        <v>4064</v>
      </c>
      <c r="AK701">
        <v>-3</v>
      </c>
    </row>
    <row r="702" spans="1:38">
      <c r="A702">
        <v>700</v>
      </c>
      <c r="B702" t="s">
        <v>4334</v>
      </c>
      <c r="C702">
        <v>1376</v>
      </c>
      <c r="D702" t="s">
        <v>3862</v>
      </c>
      <c r="E702" t="s">
        <v>4209</v>
      </c>
      <c r="F702" t="s">
        <v>4210</v>
      </c>
      <c r="G702" t="s">
        <v>4211</v>
      </c>
      <c r="H702" t="s">
        <v>4210</v>
      </c>
      <c r="I702" t="s">
        <v>4333</v>
      </c>
      <c r="J702" t="s">
        <v>4334</v>
      </c>
      <c r="K702" t="s">
        <v>4335</v>
      </c>
      <c r="N702" t="s">
        <v>1127</v>
      </c>
      <c r="P702" t="s">
        <v>69</v>
      </c>
      <c r="Q702" t="s">
        <v>69</v>
      </c>
      <c r="T702" t="s">
        <v>1015</v>
      </c>
      <c r="U702" t="s">
        <v>4339</v>
      </c>
      <c r="V702" t="s">
        <v>4340</v>
      </c>
      <c r="W702" t="s">
        <v>950</v>
      </c>
      <c r="X702">
        <v>27601</v>
      </c>
      <c r="Y702">
        <v>50</v>
      </c>
      <c r="Z702" t="s">
        <v>4341</v>
      </c>
      <c r="AA702" t="s">
        <v>4342</v>
      </c>
      <c r="AB702" t="s">
        <v>996</v>
      </c>
      <c r="AC702" t="s">
        <v>997</v>
      </c>
      <c r="AD702" t="s">
        <v>246</v>
      </c>
      <c r="AE702" t="s">
        <v>246</v>
      </c>
      <c r="AF702" t="s">
        <v>4343</v>
      </c>
      <c r="AI702" t="s">
        <v>1125</v>
      </c>
      <c r="AL702" t="s">
        <v>3808</v>
      </c>
    </row>
    <row r="703" spans="1:38">
      <c r="A703">
        <v>724</v>
      </c>
      <c r="B703" t="s">
        <v>4335</v>
      </c>
      <c r="C703">
        <v>1378</v>
      </c>
      <c r="D703" t="s">
        <v>3862</v>
      </c>
      <c r="E703" t="s">
        <v>4209</v>
      </c>
      <c r="F703" t="s">
        <v>4210</v>
      </c>
      <c r="G703" t="s">
        <v>4211</v>
      </c>
      <c r="H703" t="s">
        <v>4210</v>
      </c>
      <c r="I703" t="s">
        <v>4333</v>
      </c>
      <c r="J703" t="s">
        <v>4334</v>
      </c>
      <c r="K703" t="s">
        <v>4335</v>
      </c>
      <c r="N703" t="s">
        <v>1127</v>
      </c>
      <c r="P703" t="s">
        <v>69</v>
      </c>
      <c r="Q703" t="s">
        <v>562</v>
      </c>
      <c r="T703" t="s">
        <v>1015</v>
      </c>
      <c r="U703" t="s">
        <v>557</v>
      </c>
      <c r="V703" t="s">
        <v>4344</v>
      </c>
      <c r="W703" t="s">
        <v>950</v>
      </c>
      <c r="X703">
        <v>26443</v>
      </c>
      <c r="Y703">
        <v>53</v>
      </c>
      <c r="Z703" t="s">
        <v>4345</v>
      </c>
      <c r="AA703" t="s">
        <v>4346</v>
      </c>
      <c r="AB703" t="s">
        <v>996</v>
      </c>
      <c r="AC703" t="s">
        <v>997</v>
      </c>
      <c r="AD703" t="s">
        <v>246</v>
      </c>
      <c r="AE703" t="s">
        <v>246</v>
      </c>
      <c r="AF703" t="s">
        <v>4347</v>
      </c>
      <c r="AI703" t="s">
        <v>1452</v>
      </c>
      <c r="AK703">
        <v>-3</v>
      </c>
      <c r="AL703" t="s">
        <v>3808</v>
      </c>
    </row>
    <row r="704" spans="1:38">
      <c r="A704">
        <v>701</v>
      </c>
      <c r="B704" t="s">
        <v>4348</v>
      </c>
      <c r="C704">
        <v>1380</v>
      </c>
      <c r="D704" t="s">
        <v>3862</v>
      </c>
      <c r="E704" t="s">
        <v>4209</v>
      </c>
      <c r="F704" t="s">
        <v>4210</v>
      </c>
      <c r="G704" t="s">
        <v>4211</v>
      </c>
      <c r="H704" t="s">
        <v>4210</v>
      </c>
      <c r="I704" t="s">
        <v>4333</v>
      </c>
      <c r="J704" t="s">
        <v>4334</v>
      </c>
      <c r="K704" t="s">
        <v>4335</v>
      </c>
      <c r="N704" t="s">
        <v>1127</v>
      </c>
      <c r="T704" t="s">
        <v>1015</v>
      </c>
      <c r="U704" t="s">
        <v>4349</v>
      </c>
      <c r="V704" t="s">
        <v>4350</v>
      </c>
      <c r="W704" t="s">
        <v>950</v>
      </c>
      <c r="X704">
        <v>26677</v>
      </c>
      <c r="Y704">
        <v>53</v>
      </c>
      <c r="Z704" t="s">
        <v>4351</v>
      </c>
      <c r="AA704" t="s">
        <v>4352</v>
      </c>
      <c r="AB704" t="s">
        <v>996</v>
      </c>
      <c r="AC704" t="s">
        <v>997</v>
      </c>
      <c r="AD704" t="s">
        <v>246</v>
      </c>
      <c r="AE704" t="s">
        <v>246</v>
      </c>
      <c r="AF704" t="s">
        <v>4353</v>
      </c>
      <c r="AI704" t="s">
        <v>1125</v>
      </c>
      <c r="AK704">
        <v>-3</v>
      </c>
      <c r="AL704" t="s">
        <v>3808</v>
      </c>
    </row>
    <row r="705" spans="1:38">
      <c r="A705">
        <v>725</v>
      </c>
      <c r="B705" t="s">
        <v>4354</v>
      </c>
      <c r="C705">
        <v>1382</v>
      </c>
      <c r="D705" t="s">
        <v>3862</v>
      </c>
      <c r="E705" t="s">
        <v>4209</v>
      </c>
      <c r="F705" t="s">
        <v>4210</v>
      </c>
      <c r="G705" t="s">
        <v>4211</v>
      </c>
      <c r="H705" t="s">
        <v>4210</v>
      </c>
      <c r="I705" t="s">
        <v>4333</v>
      </c>
      <c r="J705" t="s">
        <v>4334</v>
      </c>
      <c r="K705" t="s">
        <v>4335</v>
      </c>
      <c r="N705" t="s">
        <v>1127</v>
      </c>
      <c r="T705" t="s">
        <v>1015</v>
      </c>
      <c r="U705" t="s">
        <v>563</v>
      </c>
      <c r="V705" t="s">
        <v>4355</v>
      </c>
      <c r="W705" t="s">
        <v>950</v>
      </c>
      <c r="X705">
        <v>27733</v>
      </c>
      <c r="Y705">
        <v>50</v>
      </c>
      <c r="Z705" t="s">
        <v>4356</v>
      </c>
      <c r="AA705" t="s">
        <v>4357</v>
      </c>
      <c r="AB705" t="s">
        <v>996</v>
      </c>
      <c r="AC705" t="s">
        <v>997</v>
      </c>
      <c r="AD705" t="s">
        <v>246</v>
      </c>
      <c r="AE705" t="s">
        <v>246</v>
      </c>
      <c r="AF705" t="s">
        <v>4358</v>
      </c>
      <c r="AH705" t="s">
        <v>4259</v>
      </c>
      <c r="AI705" t="s">
        <v>1452</v>
      </c>
      <c r="AK705">
        <v>-3</v>
      </c>
      <c r="AL705" t="s">
        <v>3808</v>
      </c>
    </row>
    <row r="706" spans="1:38">
      <c r="A706">
        <v>708</v>
      </c>
      <c r="B706" t="s">
        <v>4359</v>
      </c>
      <c r="C706">
        <v>1384</v>
      </c>
      <c r="D706" t="s">
        <v>3862</v>
      </c>
      <c r="E706" t="s">
        <v>4209</v>
      </c>
      <c r="F706" t="s">
        <v>4210</v>
      </c>
      <c r="G706" t="s">
        <v>4211</v>
      </c>
      <c r="H706" t="s">
        <v>4210</v>
      </c>
      <c r="I706" t="s">
        <v>4333</v>
      </c>
      <c r="J706" t="s">
        <v>4334</v>
      </c>
      <c r="K706" t="s">
        <v>4335</v>
      </c>
      <c r="N706" t="s">
        <v>1127</v>
      </c>
      <c r="T706" t="s">
        <v>1015</v>
      </c>
      <c r="U706" t="s">
        <v>548</v>
      </c>
      <c r="V706" t="s">
        <v>4360</v>
      </c>
      <c r="W706" t="s">
        <v>950</v>
      </c>
      <c r="X706">
        <v>28459</v>
      </c>
      <c r="Y706">
        <v>48</v>
      </c>
      <c r="Z706" t="s">
        <v>4361</v>
      </c>
      <c r="AA706" t="s">
        <v>4362</v>
      </c>
      <c r="AB706" t="s">
        <v>996</v>
      </c>
      <c r="AC706" t="s">
        <v>997</v>
      </c>
      <c r="AD706" t="s">
        <v>246</v>
      </c>
      <c r="AE706" t="s">
        <v>246</v>
      </c>
      <c r="AF706" t="s">
        <v>4363</v>
      </c>
      <c r="AI706" t="s">
        <v>1025</v>
      </c>
      <c r="AK706">
        <v>-3</v>
      </c>
    </row>
    <row r="707" spans="1:38">
      <c r="A707">
        <v>706</v>
      </c>
      <c r="B707" t="s">
        <v>4364</v>
      </c>
      <c r="C707">
        <v>1386</v>
      </c>
      <c r="D707" t="s">
        <v>3862</v>
      </c>
      <c r="E707" t="s">
        <v>4209</v>
      </c>
      <c r="F707" t="s">
        <v>4210</v>
      </c>
      <c r="G707" t="s">
        <v>4211</v>
      </c>
      <c r="H707" t="s">
        <v>4210</v>
      </c>
      <c r="I707" t="s">
        <v>4364</v>
      </c>
      <c r="J707" t="s">
        <v>4365</v>
      </c>
      <c r="N707" t="s">
        <v>1157</v>
      </c>
      <c r="P707" t="s">
        <v>4366</v>
      </c>
      <c r="T707" t="s">
        <v>1015</v>
      </c>
      <c r="U707" t="s">
        <v>542</v>
      </c>
      <c r="V707" t="s">
        <v>4367</v>
      </c>
      <c r="W707" t="s">
        <v>950</v>
      </c>
      <c r="X707">
        <v>25716</v>
      </c>
      <c r="Y707">
        <v>55</v>
      </c>
      <c r="Z707" t="s">
        <v>4368</v>
      </c>
      <c r="AA707" t="s">
        <v>4369</v>
      </c>
      <c r="AB707" t="s">
        <v>996</v>
      </c>
      <c r="AC707" t="s">
        <v>997</v>
      </c>
      <c r="AD707" t="s">
        <v>246</v>
      </c>
      <c r="AE707" t="s">
        <v>246</v>
      </c>
      <c r="AF707" t="s">
        <v>4312</v>
      </c>
      <c r="AI707" t="s">
        <v>1359</v>
      </c>
    </row>
    <row r="708" spans="1:38">
      <c r="A708">
        <v>723</v>
      </c>
      <c r="B708" t="s">
        <v>4365</v>
      </c>
      <c r="C708">
        <v>1388</v>
      </c>
      <c r="D708" t="s">
        <v>3862</v>
      </c>
      <c r="E708" t="s">
        <v>4209</v>
      </c>
      <c r="F708" t="s">
        <v>4210</v>
      </c>
      <c r="G708" t="s">
        <v>4211</v>
      </c>
      <c r="H708" t="s">
        <v>4210</v>
      </c>
      <c r="I708" t="s">
        <v>4364</v>
      </c>
      <c r="J708" t="s">
        <v>4365</v>
      </c>
      <c r="N708" t="s">
        <v>1157</v>
      </c>
      <c r="P708" t="s">
        <v>69</v>
      </c>
      <c r="Q708" t="s">
        <v>562</v>
      </c>
      <c r="T708" t="s">
        <v>1015</v>
      </c>
      <c r="U708" t="s">
        <v>545</v>
      </c>
      <c r="V708" t="s">
        <v>4370</v>
      </c>
      <c r="W708" t="s">
        <v>950</v>
      </c>
      <c r="X708">
        <v>22829</v>
      </c>
      <c r="Y708">
        <v>63</v>
      </c>
      <c r="Z708" t="s">
        <v>4371</v>
      </c>
      <c r="AA708" t="s">
        <v>4372</v>
      </c>
      <c r="AB708" t="s">
        <v>996</v>
      </c>
      <c r="AC708" t="s">
        <v>997</v>
      </c>
      <c r="AD708" t="s">
        <v>246</v>
      </c>
      <c r="AE708" t="s">
        <v>246</v>
      </c>
      <c r="AF708" t="s">
        <v>4373</v>
      </c>
      <c r="AI708" t="s">
        <v>1452</v>
      </c>
      <c r="AK708">
        <v>-3</v>
      </c>
      <c r="AL708" t="s">
        <v>3808</v>
      </c>
    </row>
    <row r="709" spans="1:38">
      <c r="A709">
        <v>710</v>
      </c>
      <c r="B709" t="s">
        <v>4374</v>
      </c>
      <c r="C709">
        <v>1390</v>
      </c>
      <c r="D709" t="s">
        <v>3862</v>
      </c>
      <c r="E709" t="s">
        <v>4209</v>
      </c>
      <c r="F709" t="s">
        <v>4210</v>
      </c>
      <c r="G709" t="s">
        <v>4211</v>
      </c>
      <c r="H709" t="s">
        <v>4210</v>
      </c>
      <c r="I709" t="s">
        <v>4364</v>
      </c>
      <c r="J709" t="s">
        <v>4365</v>
      </c>
      <c r="K709" t="s">
        <v>4374</v>
      </c>
      <c r="N709" t="s">
        <v>1157</v>
      </c>
      <c r="P709" t="s">
        <v>69</v>
      </c>
      <c r="R709" t="s">
        <v>1286</v>
      </c>
      <c r="T709" t="s">
        <v>1015</v>
      </c>
      <c r="U709" t="s">
        <v>560</v>
      </c>
      <c r="V709" t="s">
        <v>4375</v>
      </c>
      <c r="W709" t="s">
        <v>950</v>
      </c>
      <c r="X709">
        <v>27940</v>
      </c>
      <c r="Y709">
        <v>49</v>
      </c>
      <c r="Z709" t="s">
        <v>4376</v>
      </c>
      <c r="AA709" t="s">
        <v>4377</v>
      </c>
      <c r="AB709" t="s">
        <v>996</v>
      </c>
      <c r="AC709" t="s">
        <v>997</v>
      </c>
      <c r="AD709" t="s">
        <v>246</v>
      </c>
      <c r="AE709" t="s">
        <v>246</v>
      </c>
      <c r="AF709" t="s">
        <v>4265</v>
      </c>
      <c r="AI709" t="s">
        <v>1359</v>
      </c>
    </row>
    <row r="710" spans="1:38">
      <c r="A710">
        <v>719</v>
      </c>
      <c r="B710" t="s">
        <v>4378</v>
      </c>
      <c r="C710">
        <v>1392</v>
      </c>
      <c r="D710" t="s">
        <v>3862</v>
      </c>
      <c r="E710" t="s">
        <v>4209</v>
      </c>
      <c r="F710" t="s">
        <v>4210</v>
      </c>
      <c r="G710" t="s">
        <v>4211</v>
      </c>
      <c r="H710" t="s">
        <v>4210</v>
      </c>
      <c r="I710" t="s">
        <v>4364</v>
      </c>
      <c r="J710" t="s">
        <v>4365</v>
      </c>
      <c r="N710" t="s">
        <v>1157</v>
      </c>
      <c r="T710" t="s">
        <v>1015</v>
      </c>
      <c r="U710" t="s">
        <v>4379</v>
      </c>
      <c r="V710" t="s">
        <v>4380</v>
      </c>
      <c r="W710" t="s">
        <v>950</v>
      </c>
      <c r="X710">
        <v>22315</v>
      </c>
      <c r="Y710">
        <v>64</v>
      </c>
      <c r="Z710" t="s">
        <v>4381</v>
      </c>
      <c r="AA710" t="s">
        <v>4382</v>
      </c>
      <c r="AB710" t="s">
        <v>966</v>
      </c>
      <c r="AC710" t="s">
        <v>953</v>
      </c>
      <c r="AD710" t="s">
        <v>246</v>
      </c>
      <c r="AE710" t="s">
        <v>246</v>
      </c>
      <c r="AF710" t="s">
        <v>4216</v>
      </c>
      <c r="AI710" t="s">
        <v>1011</v>
      </c>
    </row>
    <row r="711" spans="1:38">
      <c r="A711">
        <v>718</v>
      </c>
      <c r="B711" t="s">
        <v>4383</v>
      </c>
      <c r="C711">
        <v>1394</v>
      </c>
      <c r="D711" t="s">
        <v>3862</v>
      </c>
      <c r="E711" t="s">
        <v>4209</v>
      </c>
      <c r="F711" t="s">
        <v>4210</v>
      </c>
      <c r="G711" t="s">
        <v>4211</v>
      </c>
      <c r="H711" t="s">
        <v>4210</v>
      </c>
      <c r="I711" t="s">
        <v>4364</v>
      </c>
      <c r="J711" t="s">
        <v>4365</v>
      </c>
      <c r="N711" t="s">
        <v>1157</v>
      </c>
      <c r="T711" t="s">
        <v>1015</v>
      </c>
      <c r="U711" t="s">
        <v>4384</v>
      </c>
      <c r="V711" t="s">
        <v>4385</v>
      </c>
      <c r="W711" t="s">
        <v>950</v>
      </c>
      <c r="X711">
        <v>22535</v>
      </c>
      <c r="Y711">
        <v>64</v>
      </c>
      <c r="Z711" t="s">
        <v>4386</v>
      </c>
      <c r="AA711" t="s">
        <v>4387</v>
      </c>
      <c r="AB711" t="s">
        <v>996</v>
      </c>
      <c r="AC711" t="s">
        <v>997</v>
      </c>
      <c r="AD711" t="s">
        <v>246</v>
      </c>
      <c r="AE711" t="s">
        <v>246</v>
      </c>
      <c r="AF711" t="s">
        <v>4388</v>
      </c>
      <c r="AI711" t="s">
        <v>1125</v>
      </c>
    </row>
    <row r="712" spans="1:38">
      <c r="A712">
        <v>720</v>
      </c>
      <c r="B712" t="s">
        <v>4389</v>
      </c>
      <c r="C712">
        <v>1396</v>
      </c>
      <c r="D712" t="s">
        <v>3862</v>
      </c>
      <c r="E712" t="s">
        <v>4209</v>
      </c>
      <c r="F712" t="s">
        <v>4210</v>
      </c>
      <c r="G712" t="s">
        <v>4211</v>
      </c>
      <c r="H712" t="s">
        <v>4210</v>
      </c>
      <c r="I712" t="s">
        <v>4364</v>
      </c>
      <c r="J712" t="s">
        <v>4365</v>
      </c>
      <c r="N712" t="s">
        <v>1157</v>
      </c>
      <c r="T712" t="s">
        <v>1015</v>
      </c>
      <c r="U712" t="s">
        <v>526</v>
      </c>
      <c r="V712" t="s">
        <v>4390</v>
      </c>
      <c r="W712" t="s">
        <v>950</v>
      </c>
      <c r="X712">
        <v>23509</v>
      </c>
      <c r="Y712">
        <v>61</v>
      </c>
      <c r="Z712" t="s">
        <v>4391</v>
      </c>
      <c r="AA712" t="s">
        <v>4392</v>
      </c>
      <c r="AB712" t="s">
        <v>996</v>
      </c>
      <c r="AC712" t="s">
        <v>997</v>
      </c>
      <c r="AD712" t="s">
        <v>246</v>
      </c>
      <c r="AE712" t="s">
        <v>246</v>
      </c>
      <c r="AF712" t="s">
        <v>4393</v>
      </c>
      <c r="AI712" t="s">
        <v>1359</v>
      </c>
    </row>
    <row r="713" spans="1:38">
      <c r="A713">
        <v>705</v>
      </c>
      <c r="B713" t="s">
        <v>4210</v>
      </c>
      <c r="C713">
        <v>1398</v>
      </c>
      <c r="D713" t="s">
        <v>3862</v>
      </c>
      <c r="E713" t="s">
        <v>4209</v>
      </c>
      <c r="F713" t="s">
        <v>4210</v>
      </c>
      <c r="G713" t="s">
        <v>4211</v>
      </c>
      <c r="H713" t="s">
        <v>4210</v>
      </c>
      <c r="I713" t="s">
        <v>4210</v>
      </c>
      <c r="N713" t="s">
        <v>4394</v>
      </c>
      <c r="P713" t="s">
        <v>173</v>
      </c>
      <c r="T713" t="s">
        <v>1015</v>
      </c>
      <c r="U713" t="s">
        <v>4211</v>
      </c>
      <c r="V713" t="s">
        <v>4395</v>
      </c>
      <c r="W713" t="s">
        <v>950</v>
      </c>
      <c r="X713">
        <v>27947</v>
      </c>
      <c r="Y713">
        <v>49</v>
      </c>
      <c r="Z713" t="s">
        <v>3817</v>
      </c>
      <c r="AA713" t="s">
        <v>4396</v>
      </c>
      <c r="AB713" t="s">
        <v>966</v>
      </c>
      <c r="AC713" t="s">
        <v>953</v>
      </c>
      <c r="AD713" t="s">
        <v>246</v>
      </c>
      <c r="AE713" t="s">
        <v>246</v>
      </c>
      <c r="AF713" t="s">
        <v>4216</v>
      </c>
    </row>
    <row r="714" spans="1:38">
      <c r="A714">
        <v>684</v>
      </c>
      <c r="B714" t="s">
        <v>4397</v>
      </c>
      <c r="C714">
        <v>1400</v>
      </c>
      <c r="D714" t="s">
        <v>3862</v>
      </c>
      <c r="E714" t="s">
        <v>4209</v>
      </c>
      <c r="F714" t="s">
        <v>4210</v>
      </c>
      <c r="G714" t="s">
        <v>4211</v>
      </c>
      <c r="H714" t="s">
        <v>4210</v>
      </c>
      <c r="I714" t="s">
        <v>4210</v>
      </c>
      <c r="N714" t="s">
        <v>4394</v>
      </c>
      <c r="P714" t="s">
        <v>55</v>
      </c>
      <c r="Q714" t="s">
        <v>1002</v>
      </c>
      <c r="T714" t="s">
        <v>992</v>
      </c>
      <c r="U714" t="s">
        <v>184</v>
      </c>
      <c r="V714" t="s">
        <v>4398</v>
      </c>
      <c r="W714" t="s">
        <v>950</v>
      </c>
      <c r="X714">
        <v>36505</v>
      </c>
      <c r="Y714">
        <v>26</v>
      </c>
      <c r="Z714" t="s">
        <v>4399</v>
      </c>
      <c r="AA714" t="s">
        <v>4400</v>
      </c>
      <c r="AB714" t="s">
        <v>1006</v>
      </c>
      <c r="AC714" t="s">
        <v>953</v>
      </c>
      <c r="AD714" t="s">
        <v>246</v>
      </c>
      <c r="AE714" t="s">
        <v>246</v>
      </c>
      <c r="AF714" t="s">
        <v>4216</v>
      </c>
      <c r="AI714" t="s">
        <v>1349</v>
      </c>
    </row>
    <row r="715" spans="1:38">
      <c r="A715">
        <v>695</v>
      </c>
      <c r="B715" t="s">
        <v>4401</v>
      </c>
      <c r="C715">
        <v>1402</v>
      </c>
      <c r="D715" t="s">
        <v>3862</v>
      </c>
      <c r="E715" t="s">
        <v>4209</v>
      </c>
      <c r="F715" t="s">
        <v>4210</v>
      </c>
      <c r="G715" t="s">
        <v>4211</v>
      </c>
      <c r="H715" t="s">
        <v>4210</v>
      </c>
      <c r="I715" t="s">
        <v>4210</v>
      </c>
      <c r="N715" t="s">
        <v>4394</v>
      </c>
      <c r="Q715" t="s">
        <v>1002</v>
      </c>
      <c r="T715" t="s">
        <v>992</v>
      </c>
      <c r="U715" t="s">
        <v>4402</v>
      </c>
      <c r="V715" t="s">
        <v>4403</v>
      </c>
      <c r="W715" t="s">
        <v>963</v>
      </c>
      <c r="X715">
        <v>35551</v>
      </c>
      <c r="Y715">
        <v>28</v>
      </c>
      <c r="Z715" t="s">
        <v>4404</v>
      </c>
      <c r="AA715" t="s">
        <v>4405</v>
      </c>
      <c r="AB715" t="s">
        <v>996</v>
      </c>
      <c r="AC715" t="s">
        <v>997</v>
      </c>
      <c r="AD715" t="s">
        <v>246</v>
      </c>
      <c r="AE715" t="s">
        <v>246</v>
      </c>
      <c r="AF715" t="s">
        <v>4393</v>
      </c>
      <c r="AI715" t="s">
        <v>1107</v>
      </c>
    </row>
    <row r="716" spans="1:38">
      <c r="A716">
        <v>721</v>
      </c>
      <c r="B716" t="s">
        <v>4406</v>
      </c>
      <c r="C716">
        <v>1404</v>
      </c>
      <c r="D716" t="s">
        <v>3862</v>
      </c>
      <c r="E716" t="s">
        <v>4407</v>
      </c>
      <c r="F716" t="s">
        <v>4210</v>
      </c>
      <c r="G716" t="s">
        <v>542</v>
      </c>
      <c r="H716" t="s">
        <v>4364</v>
      </c>
      <c r="I716" t="s">
        <v>4406</v>
      </c>
      <c r="J716" t="s">
        <v>4408</v>
      </c>
      <c r="N716" t="s">
        <v>4409</v>
      </c>
      <c r="P716" t="s">
        <v>55</v>
      </c>
      <c r="Q716" t="s">
        <v>178</v>
      </c>
      <c r="T716" t="s">
        <v>1015</v>
      </c>
      <c r="U716" t="s">
        <v>529</v>
      </c>
      <c r="V716" t="s">
        <v>4410</v>
      </c>
      <c r="W716" t="s">
        <v>950</v>
      </c>
      <c r="X716">
        <v>20844</v>
      </c>
      <c r="Y716">
        <v>69</v>
      </c>
      <c r="Z716" t="s">
        <v>4411</v>
      </c>
      <c r="AA716" t="s">
        <v>4412</v>
      </c>
      <c r="AB716" t="s">
        <v>996</v>
      </c>
      <c r="AC716" t="s">
        <v>997</v>
      </c>
      <c r="AD716" t="s">
        <v>246</v>
      </c>
      <c r="AE716" t="s">
        <v>246</v>
      </c>
      <c r="AF716" t="s">
        <v>4413</v>
      </c>
      <c r="AI716" t="s">
        <v>1452</v>
      </c>
      <c r="AK716">
        <v>-3</v>
      </c>
      <c r="AL716" t="s">
        <v>3808</v>
      </c>
    </row>
    <row r="717" spans="1:38">
      <c r="A717">
        <v>712</v>
      </c>
      <c r="B717" t="s">
        <v>4408</v>
      </c>
      <c r="C717">
        <v>1406</v>
      </c>
      <c r="D717" t="s">
        <v>3862</v>
      </c>
      <c r="E717" t="s">
        <v>4407</v>
      </c>
      <c r="F717" t="s">
        <v>4210</v>
      </c>
      <c r="G717" t="s">
        <v>542</v>
      </c>
      <c r="H717" t="s">
        <v>4364</v>
      </c>
      <c r="I717" t="s">
        <v>4406</v>
      </c>
      <c r="J717" t="s">
        <v>4408</v>
      </c>
      <c r="N717" t="s">
        <v>4409</v>
      </c>
      <c r="P717" t="s">
        <v>69</v>
      </c>
      <c r="Q717" t="s">
        <v>562</v>
      </c>
      <c r="T717" t="s">
        <v>1090</v>
      </c>
      <c r="U717" t="s">
        <v>515</v>
      </c>
      <c r="V717" t="s">
        <v>4414</v>
      </c>
      <c r="W717" t="s">
        <v>950</v>
      </c>
      <c r="X717">
        <v>19573</v>
      </c>
      <c r="Y717">
        <v>72</v>
      </c>
      <c r="Z717" t="s">
        <v>4415</v>
      </c>
      <c r="AA717" t="s">
        <v>4416</v>
      </c>
      <c r="AB717" t="s">
        <v>996</v>
      </c>
      <c r="AC717" t="s">
        <v>953</v>
      </c>
      <c r="AD717" t="s">
        <v>246</v>
      </c>
      <c r="AE717" t="s">
        <v>246</v>
      </c>
      <c r="AF717" t="s">
        <v>4417</v>
      </c>
      <c r="AI717" t="s">
        <v>1025</v>
      </c>
    </row>
    <row r="718" spans="1:38">
      <c r="A718">
        <v>714</v>
      </c>
      <c r="B718" t="s">
        <v>4418</v>
      </c>
      <c r="C718">
        <v>1408</v>
      </c>
      <c r="D718" t="s">
        <v>3862</v>
      </c>
      <c r="E718" t="s">
        <v>4407</v>
      </c>
      <c r="F718" t="s">
        <v>4210</v>
      </c>
      <c r="G718" t="s">
        <v>542</v>
      </c>
      <c r="H718" t="s">
        <v>4364</v>
      </c>
      <c r="I718" t="s">
        <v>4406</v>
      </c>
      <c r="J718" t="s">
        <v>4408</v>
      </c>
      <c r="N718" t="s">
        <v>4409</v>
      </c>
      <c r="T718" t="s">
        <v>1015</v>
      </c>
      <c r="U718" t="s">
        <v>644</v>
      </c>
      <c r="V718" t="s">
        <v>4419</v>
      </c>
      <c r="W718" t="s">
        <v>950</v>
      </c>
      <c r="X718">
        <v>23295</v>
      </c>
      <c r="Y718">
        <v>62</v>
      </c>
      <c r="Z718" t="s">
        <v>4420</v>
      </c>
      <c r="AA718" t="s">
        <v>4421</v>
      </c>
      <c r="AB718" t="s">
        <v>996</v>
      </c>
      <c r="AC718" t="s">
        <v>997</v>
      </c>
      <c r="AD718" t="s">
        <v>246</v>
      </c>
      <c r="AE718" t="s">
        <v>246</v>
      </c>
      <c r="AF718" t="s">
        <v>4393</v>
      </c>
      <c r="AI718" t="s">
        <v>1513</v>
      </c>
    </row>
    <row r="719" spans="1:38">
      <c r="A719">
        <v>715</v>
      </c>
      <c r="B719" t="s">
        <v>4422</v>
      </c>
      <c r="C719">
        <v>1410</v>
      </c>
      <c r="D719" t="s">
        <v>3862</v>
      </c>
      <c r="E719" t="s">
        <v>4407</v>
      </c>
      <c r="F719" t="s">
        <v>4210</v>
      </c>
      <c r="G719" t="s">
        <v>542</v>
      </c>
      <c r="H719" t="s">
        <v>4364</v>
      </c>
      <c r="I719" t="s">
        <v>4406</v>
      </c>
      <c r="J719" t="s">
        <v>4408</v>
      </c>
      <c r="N719" t="s">
        <v>4409</v>
      </c>
      <c r="T719" t="s">
        <v>1015</v>
      </c>
      <c r="U719" t="s">
        <v>661</v>
      </c>
      <c r="V719" t="s">
        <v>4423</v>
      </c>
      <c r="W719" t="s">
        <v>950</v>
      </c>
      <c r="X719">
        <v>23392</v>
      </c>
      <c r="Y719">
        <v>62</v>
      </c>
      <c r="Z719" t="s">
        <v>4424</v>
      </c>
      <c r="AA719" t="s">
        <v>4425</v>
      </c>
      <c r="AB719" t="s">
        <v>996</v>
      </c>
      <c r="AC719" t="s">
        <v>1018</v>
      </c>
      <c r="AD719" t="s">
        <v>246</v>
      </c>
      <c r="AE719" t="s">
        <v>246</v>
      </c>
      <c r="AF719" t="s">
        <v>3824</v>
      </c>
      <c r="AI719" t="s">
        <v>1513</v>
      </c>
    </row>
  </sheetData>
  <phoneticPr fontId="15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778"/>
  <sheetViews>
    <sheetView showGridLines="0" workbookViewId="0">
      <pane xSplit="21" ySplit="20" topLeftCell="V21" activePane="bottomRight" state="frozen"/>
      <selection pane="topRight" activeCell="V1" sqref="V1"/>
      <selection pane="bottomLeft" activeCell="A21" sqref="A21"/>
      <selection pane="bottomRight" activeCell="V21" sqref="V21"/>
    </sheetView>
  </sheetViews>
  <sheetFormatPr defaultColWidth="14.44140625" defaultRowHeight="15" customHeight="1"/>
  <cols>
    <col min="1" max="1" width="3.5546875" customWidth="1"/>
    <col min="2" max="2" width="6" customWidth="1"/>
    <col min="3" max="3" width="15.109375" customWidth="1"/>
    <col min="4" max="4" width="7.109375" customWidth="1"/>
    <col min="5" max="5" width="17.88671875" customWidth="1"/>
    <col min="6" max="6" width="9.44140625" customWidth="1"/>
    <col min="7" max="7" width="13.109375" customWidth="1"/>
    <col min="8" max="8" width="11.33203125" customWidth="1"/>
    <col min="9" max="9" width="10" customWidth="1"/>
    <col min="10" max="10" width="11" customWidth="1"/>
    <col min="11" max="11" width="10" customWidth="1"/>
    <col min="12" max="12" width="9.6640625" customWidth="1"/>
    <col min="13" max="14" width="8.5546875" customWidth="1"/>
    <col min="15" max="15" width="10.44140625" customWidth="1"/>
    <col min="16" max="16" width="5.33203125" customWidth="1"/>
    <col min="17" max="17" width="10.44140625" customWidth="1"/>
    <col min="18" max="18" width="9.5546875" customWidth="1"/>
    <col min="19" max="19" width="10.44140625" customWidth="1"/>
    <col min="20" max="20" width="8.5546875" customWidth="1"/>
    <col min="21" max="21" width="33.33203125" customWidth="1"/>
    <col min="22" max="22" width="36.33203125" customWidth="1"/>
    <col min="23" max="23" width="6.5546875" customWidth="1"/>
    <col min="24" max="24" width="11.44140625" customWidth="1"/>
    <col min="25" max="25" width="8.5546875" customWidth="1"/>
    <col min="26" max="26" width="19.44140625" customWidth="1"/>
    <col min="27" max="27" width="14.5546875" customWidth="1"/>
    <col min="28" max="28" width="10.5546875" customWidth="1"/>
    <col min="29" max="29" width="9" customWidth="1"/>
    <col min="30" max="30" width="14.109375" customWidth="1"/>
    <col min="31" max="31" width="18.44140625" customWidth="1"/>
    <col min="32" max="32" width="20.5546875" customWidth="1"/>
    <col min="33" max="33" width="9" customWidth="1"/>
    <col min="34" max="34" width="46" customWidth="1"/>
    <col min="35" max="35" width="9.44140625" customWidth="1"/>
    <col min="36" max="36" width="14.33203125" customWidth="1"/>
    <col min="37" max="38" width="8.6640625" customWidth="1"/>
  </cols>
  <sheetData>
    <row r="1" spans="1:33" ht="18" customHeight="1">
      <c r="A1" s="593"/>
      <c r="B1" s="593"/>
      <c r="C1" s="585"/>
      <c r="D1" s="590"/>
      <c r="E1" s="588"/>
      <c r="F1" s="587"/>
      <c r="G1" s="594"/>
      <c r="H1" s="594"/>
      <c r="I1" s="595"/>
      <c r="J1" s="595"/>
      <c r="K1" s="595"/>
      <c r="L1" s="595"/>
      <c r="M1" s="595"/>
      <c r="N1" s="595"/>
      <c r="P1" s="587"/>
      <c r="Q1" s="587"/>
      <c r="U1" s="589"/>
      <c r="V1" s="589"/>
      <c r="X1" s="590"/>
      <c r="Y1" s="591"/>
      <c r="Z1" s="592"/>
      <c r="AB1" s="588"/>
      <c r="AC1" s="588">
        <v>39</v>
      </c>
      <c r="AD1" s="588">
        <v>2022</v>
      </c>
      <c r="AE1" s="589"/>
      <c r="AF1" s="592"/>
      <c r="AG1" s="587"/>
    </row>
    <row r="2" spans="1:33" ht="18" hidden="1" customHeight="1">
      <c r="A2" s="593"/>
      <c r="B2" s="593"/>
      <c r="C2" s="585"/>
      <c r="D2" s="590"/>
      <c r="E2" s="588"/>
      <c r="F2" s="587"/>
      <c r="G2" s="594"/>
      <c r="H2" s="594"/>
      <c r="I2" s="595"/>
      <c r="J2" s="595"/>
      <c r="K2" s="595"/>
      <c r="L2" s="595"/>
      <c r="M2" s="595"/>
      <c r="N2" s="595"/>
      <c r="P2" s="587"/>
      <c r="Q2" s="587"/>
      <c r="U2" s="589"/>
      <c r="V2" s="589"/>
      <c r="X2" s="590"/>
      <c r="Y2" s="591"/>
      <c r="Z2" s="592"/>
      <c r="AB2" s="588"/>
      <c r="AC2" s="588"/>
      <c r="AD2" s="588">
        <v>2025</v>
      </c>
      <c r="AE2" s="660" t="s">
        <v>4426</v>
      </c>
      <c r="AF2" s="661"/>
      <c r="AG2" s="587"/>
    </row>
    <row r="3" spans="1:33" ht="18" hidden="1" customHeight="1">
      <c r="A3" s="593"/>
      <c r="B3" s="593"/>
      <c r="C3" s="585"/>
      <c r="D3" s="590"/>
      <c r="E3" s="588"/>
      <c r="F3" s="587"/>
      <c r="G3" s="594"/>
      <c r="H3" s="594"/>
      <c r="I3" s="595"/>
      <c r="J3" s="595"/>
      <c r="K3" s="595"/>
      <c r="L3" s="595"/>
      <c r="M3" s="595"/>
      <c r="N3" s="595"/>
      <c r="P3" s="587"/>
      <c r="Q3" s="587"/>
      <c r="U3" s="589"/>
      <c r="V3" s="589"/>
      <c r="X3" s="590"/>
      <c r="Y3" s="591"/>
      <c r="Z3" s="592"/>
      <c r="AB3" s="588"/>
      <c r="AC3" s="588"/>
      <c r="AD3" s="588">
        <v>2025</v>
      </c>
      <c r="AE3" s="662" t="s">
        <v>729</v>
      </c>
      <c r="AF3" s="642" t="s">
        <v>2512</v>
      </c>
      <c r="AG3" s="587"/>
    </row>
    <row r="4" spans="1:33" ht="18" hidden="1" customHeight="1">
      <c r="A4" s="593"/>
      <c r="B4" s="593"/>
      <c r="C4" s="585"/>
      <c r="D4" s="590"/>
      <c r="E4" s="588"/>
      <c r="F4" s="587"/>
      <c r="G4" s="594"/>
      <c r="H4" s="594"/>
      <c r="I4" s="595"/>
      <c r="J4" s="595"/>
      <c r="K4" s="595"/>
      <c r="L4" s="595"/>
      <c r="M4" s="595"/>
      <c r="N4" s="595"/>
      <c r="P4" s="587"/>
      <c r="Q4" s="587"/>
      <c r="U4" s="589"/>
      <c r="V4" s="589"/>
      <c r="X4" s="590"/>
      <c r="Y4" s="591"/>
      <c r="Z4" s="592"/>
      <c r="AB4" s="588"/>
      <c r="AC4" s="588"/>
      <c r="AD4" s="588">
        <v>2025</v>
      </c>
      <c r="AE4" s="662"/>
      <c r="AF4" s="642" t="s">
        <v>4427</v>
      </c>
      <c r="AG4" s="587"/>
    </row>
    <row r="5" spans="1:33" ht="18" hidden="1" customHeight="1">
      <c r="A5" s="593"/>
      <c r="B5" s="593"/>
      <c r="C5" s="585"/>
      <c r="D5" s="590"/>
      <c r="E5" s="588"/>
      <c r="F5" s="587"/>
      <c r="G5" s="594"/>
      <c r="H5" s="594"/>
      <c r="I5" s="595"/>
      <c r="J5" s="595"/>
      <c r="K5" s="595"/>
      <c r="L5" s="595"/>
      <c r="M5" s="595"/>
      <c r="N5" s="595"/>
      <c r="P5" s="587"/>
      <c r="Q5" s="587"/>
      <c r="U5" s="589"/>
      <c r="V5" s="589"/>
      <c r="X5" s="590"/>
      <c r="Y5" s="591"/>
      <c r="Z5" s="592"/>
      <c r="AB5" s="588"/>
      <c r="AC5" s="588"/>
      <c r="AD5" s="588">
        <v>2025</v>
      </c>
      <c r="AE5" s="662"/>
      <c r="AF5" s="642"/>
      <c r="AG5" s="587"/>
    </row>
    <row r="6" spans="1:33" ht="18" hidden="1" customHeight="1">
      <c r="A6" s="593"/>
      <c r="B6" s="593"/>
      <c r="C6" s="585"/>
      <c r="D6" s="590"/>
      <c r="E6" s="588"/>
      <c r="F6" s="587"/>
      <c r="G6" s="594"/>
      <c r="H6" s="594"/>
      <c r="I6" s="595"/>
      <c r="J6" s="595"/>
      <c r="K6" s="595"/>
      <c r="L6" s="595"/>
      <c r="M6" s="595"/>
      <c r="N6" s="595"/>
      <c r="P6" s="587"/>
      <c r="Q6" s="587"/>
      <c r="U6" s="589"/>
      <c r="V6" s="589"/>
      <c r="X6" s="590"/>
      <c r="Y6" s="591"/>
      <c r="Z6" s="592"/>
      <c r="AB6" s="588"/>
      <c r="AC6" s="588"/>
      <c r="AD6" s="588">
        <v>2025</v>
      </c>
      <c r="AE6" s="662"/>
      <c r="AF6" s="642"/>
      <c r="AG6" s="587"/>
    </row>
    <row r="7" spans="1:33" ht="18" hidden="1" customHeight="1">
      <c r="A7" s="593"/>
      <c r="B7" s="593"/>
      <c r="C7" s="585"/>
      <c r="D7" s="590"/>
      <c r="E7" s="588"/>
      <c r="F7" s="587"/>
      <c r="G7" s="594"/>
      <c r="H7" s="594"/>
      <c r="I7" s="595"/>
      <c r="J7" s="595"/>
      <c r="K7" s="595"/>
      <c r="L7" s="595"/>
      <c r="M7" s="595"/>
      <c r="N7" s="595"/>
      <c r="P7" s="587"/>
      <c r="Q7" s="587"/>
      <c r="U7" s="589"/>
      <c r="V7" s="589"/>
      <c r="X7" s="590"/>
      <c r="Y7" s="591"/>
      <c r="Z7" s="592"/>
      <c r="AB7" s="588"/>
      <c r="AC7" s="588"/>
      <c r="AD7" s="588">
        <v>2025</v>
      </c>
      <c r="AE7" s="662" t="s">
        <v>246</v>
      </c>
      <c r="AF7" s="642" t="s">
        <v>3824</v>
      </c>
      <c r="AG7" s="587"/>
    </row>
    <row r="8" spans="1:33" ht="18" hidden="1" customHeight="1">
      <c r="A8" s="593"/>
      <c r="B8" s="593"/>
      <c r="C8" s="585"/>
      <c r="D8" s="590"/>
      <c r="E8" s="588"/>
      <c r="F8" s="587"/>
      <c r="G8" s="594"/>
      <c r="H8" s="594"/>
      <c r="I8" s="595"/>
      <c r="J8" s="595"/>
      <c r="K8" s="595"/>
      <c r="L8" s="595"/>
      <c r="M8" s="595"/>
      <c r="N8" s="595"/>
      <c r="P8" s="587"/>
      <c r="Q8" s="587"/>
      <c r="U8" s="589"/>
      <c r="V8" s="589"/>
      <c r="X8" s="590"/>
      <c r="Y8" s="591"/>
      <c r="Z8" s="592"/>
      <c r="AB8" s="588"/>
      <c r="AC8" s="588"/>
      <c r="AD8" s="588">
        <v>2025</v>
      </c>
      <c r="AE8" s="662"/>
      <c r="AF8" s="642" t="s">
        <v>4064</v>
      </c>
      <c r="AG8" s="587"/>
    </row>
    <row r="9" spans="1:33" ht="18" hidden="1" customHeight="1">
      <c r="A9" s="593"/>
      <c r="B9" s="593"/>
      <c r="C9" s="585"/>
      <c r="D9" s="590"/>
      <c r="E9" s="588"/>
      <c r="F9" s="587"/>
      <c r="G9" s="594"/>
      <c r="H9" s="594"/>
      <c r="I9" s="595"/>
      <c r="J9" s="595"/>
      <c r="K9" s="595"/>
      <c r="L9" s="595"/>
      <c r="M9" s="595"/>
      <c r="N9" s="595"/>
      <c r="P9" s="587"/>
      <c r="Q9" s="587"/>
      <c r="U9" s="589"/>
      <c r="V9" s="589"/>
      <c r="X9" s="590"/>
      <c r="Y9" s="591"/>
      <c r="Z9" s="592"/>
      <c r="AB9" s="588"/>
      <c r="AC9" s="588"/>
      <c r="AD9" s="588">
        <v>2025</v>
      </c>
      <c r="AE9" s="662"/>
      <c r="AF9" s="642"/>
      <c r="AG9" s="587"/>
    </row>
    <row r="10" spans="1:33" ht="18" hidden="1" customHeight="1">
      <c r="A10" s="593"/>
      <c r="B10" s="593"/>
      <c r="C10" s="585"/>
      <c r="D10" s="590"/>
      <c r="E10" s="588"/>
      <c r="F10" s="587"/>
      <c r="G10" s="594"/>
      <c r="H10" s="594"/>
      <c r="I10" s="595"/>
      <c r="J10" s="595"/>
      <c r="K10" s="595"/>
      <c r="L10" s="595"/>
      <c r="M10" s="595"/>
      <c r="N10" s="595"/>
      <c r="P10" s="587"/>
      <c r="Q10" s="587"/>
      <c r="U10" s="589"/>
      <c r="V10" s="589"/>
      <c r="X10" s="590"/>
      <c r="Y10" s="591"/>
      <c r="Z10" s="592"/>
      <c r="AB10" s="588"/>
      <c r="AC10" s="588"/>
      <c r="AD10" s="588">
        <v>2025</v>
      </c>
      <c r="AE10" s="662"/>
      <c r="AF10" s="642"/>
      <c r="AG10" s="587"/>
    </row>
    <row r="11" spans="1:33" ht="18" hidden="1" customHeight="1">
      <c r="A11" s="593"/>
      <c r="B11" s="593"/>
      <c r="C11" s="585"/>
      <c r="D11" s="588"/>
      <c r="E11" s="588"/>
      <c r="F11" s="587"/>
      <c r="G11" s="594"/>
      <c r="H11" s="594"/>
      <c r="I11" s="595"/>
      <c r="J11" s="595"/>
      <c r="K11" s="595"/>
      <c r="L11" s="595"/>
      <c r="M11" s="595"/>
      <c r="N11" s="595"/>
      <c r="P11" s="587"/>
      <c r="Q11" s="587"/>
      <c r="U11" s="589"/>
      <c r="V11" s="589"/>
      <c r="X11" s="590"/>
      <c r="Y11" s="591"/>
      <c r="Z11" s="592"/>
      <c r="AB11" s="588"/>
      <c r="AC11" s="588"/>
      <c r="AD11" s="588">
        <v>2025</v>
      </c>
      <c r="AE11" s="662" t="s">
        <v>4428</v>
      </c>
      <c r="AF11" s="642" t="s">
        <v>4429</v>
      </c>
      <c r="AG11" s="587"/>
    </row>
    <row r="12" spans="1:33" ht="18" hidden="1" customHeight="1">
      <c r="A12" s="593"/>
      <c r="B12" s="593"/>
      <c r="C12" s="585"/>
      <c r="D12" s="588"/>
      <c r="E12" s="588"/>
      <c r="F12" s="587"/>
      <c r="G12" s="594"/>
      <c r="H12" s="594"/>
      <c r="I12" s="595"/>
      <c r="J12" s="595"/>
      <c r="K12" s="595"/>
      <c r="L12" s="595"/>
      <c r="M12" s="595"/>
      <c r="N12" s="595"/>
      <c r="P12" s="587"/>
      <c r="Q12" s="587"/>
      <c r="U12" s="589"/>
      <c r="V12" s="589"/>
      <c r="X12" s="590"/>
      <c r="Y12" s="591"/>
      <c r="Z12" s="592"/>
      <c r="AB12" s="588"/>
      <c r="AC12" s="588"/>
      <c r="AD12" s="588">
        <v>2025</v>
      </c>
      <c r="AE12" s="589"/>
      <c r="AF12" s="592"/>
      <c r="AG12" s="587"/>
    </row>
    <row r="13" spans="1:33" ht="18" hidden="1" customHeight="1">
      <c r="A13" s="593"/>
      <c r="B13" s="593"/>
      <c r="C13" s="585"/>
      <c r="D13" s="588"/>
      <c r="E13" s="588"/>
      <c r="F13" s="587"/>
      <c r="G13" s="594"/>
      <c r="H13" s="594"/>
      <c r="I13" s="595"/>
      <c r="J13" s="595"/>
      <c r="K13" s="595"/>
      <c r="L13" s="595"/>
      <c r="M13" s="595"/>
      <c r="N13" s="595"/>
      <c r="P13" s="587"/>
      <c r="Q13" s="587"/>
      <c r="U13" s="589"/>
      <c r="V13" s="589"/>
      <c r="X13" s="590"/>
      <c r="Y13" s="591"/>
      <c r="Z13" s="592"/>
      <c r="AB13" s="588"/>
      <c r="AC13" s="588"/>
      <c r="AD13" s="588">
        <v>2025</v>
      </c>
      <c r="AE13" s="589"/>
      <c r="AF13" s="592"/>
      <c r="AG13" s="587"/>
    </row>
    <row r="14" spans="1:33" ht="18" hidden="1" customHeight="1">
      <c r="A14" s="593"/>
      <c r="B14" s="593"/>
      <c r="C14" s="585"/>
      <c r="D14" s="588"/>
      <c r="E14" s="588"/>
      <c r="F14" s="587"/>
      <c r="G14" s="594"/>
      <c r="H14" s="594"/>
      <c r="I14" s="595"/>
      <c r="J14" s="595"/>
      <c r="K14" s="595"/>
      <c r="L14" s="595"/>
      <c r="M14" s="595"/>
      <c r="N14" s="595"/>
      <c r="P14" s="587"/>
      <c r="Q14" s="587"/>
      <c r="U14" s="589"/>
      <c r="V14" s="589"/>
      <c r="X14" s="590"/>
      <c r="Y14" s="591"/>
      <c r="Z14" s="592"/>
      <c r="AB14" s="588"/>
      <c r="AC14" s="588"/>
      <c r="AD14" s="588">
        <v>2025</v>
      </c>
      <c r="AE14" s="589"/>
      <c r="AF14" s="592"/>
      <c r="AG14" s="587"/>
    </row>
    <row r="15" spans="1:33" ht="18" hidden="1" customHeight="1">
      <c r="A15" s="593"/>
      <c r="B15" s="593"/>
      <c r="C15" s="585"/>
      <c r="D15" s="588"/>
      <c r="E15" s="588"/>
      <c r="F15" s="587"/>
      <c r="G15" s="594"/>
      <c r="H15" s="594"/>
      <c r="I15" s="595"/>
      <c r="J15" s="595"/>
      <c r="K15" s="595"/>
      <c r="L15" s="595"/>
      <c r="M15" s="595"/>
      <c r="N15" s="595"/>
      <c r="P15" s="587"/>
      <c r="Q15" s="587"/>
      <c r="U15" s="589"/>
      <c r="V15" s="589"/>
      <c r="X15" s="590"/>
      <c r="Y15" s="591"/>
      <c r="Z15" s="592"/>
      <c r="AB15" s="588"/>
      <c r="AC15" s="588"/>
      <c r="AD15" s="588">
        <v>2025</v>
      </c>
      <c r="AE15" s="589"/>
      <c r="AF15" s="592"/>
      <c r="AG15" s="587"/>
    </row>
    <row r="16" spans="1:33" ht="18" customHeight="1">
      <c r="A16" s="593"/>
      <c r="B16" s="593"/>
      <c r="C16" s="585"/>
      <c r="D16" s="588"/>
      <c r="E16" s="588"/>
      <c r="F16" s="587"/>
      <c r="G16" s="594"/>
      <c r="H16" s="594"/>
      <c r="I16" s="595"/>
      <c r="J16" s="595"/>
      <c r="K16" s="595"/>
      <c r="L16" s="595"/>
      <c r="M16" s="595"/>
      <c r="N16" s="595"/>
      <c r="O16" s="588"/>
      <c r="P16" s="587"/>
      <c r="Q16" s="587"/>
      <c r="U16" s="589"/>
      <c r="V16" s="589"/>
      <c r="X16" s="590"/>
      <c r="Y16" s="591"/>
      <c r="Z16" s="592"/>
      <c r="AB16" s="588"/>
      <c r="AC16" s="588">
        <v>40</v>
      </c>
      <c r="AD16" s="588">
        <v>2023</v>
      </c>
      <c r="AE16" s="589"/>
      <c r="AF16" s="592"/>
      <c r="AG16" s="587"/>
    </row>
    <row r="17" spans="1:38" ht="18" customHeight="1">
      <c r="A17" s="593"/>
      <c r="B17" s="593"/>
      <c r="C17" s="585"/>
      <c r="D17" s="588"/>
      <c r="E17" s="588"/>
      <c r="F17" s="587"/>
      <c r="G17" s="594"/>
      <c r="H17" s="594"/>
      <c r="I17" s="595"/>
      <c r="J17" s="595"/>
      <c r="K17" s="595"/>
      <c r="L17" s="595"/>
      <c r="M17" s="595"/>
      <c r="N17" s="595"/>
      <c r="P17" s="587"/>
      <c r="Q17" s="587"/>
      <c r="U17" s="589"/>
      <c r="V17" s="589"/>
      <c r="X17" s="590"/>
      <c r="Y17" s="591"/>
      <c r="Z17" s="592"/>
      <c r="AB17" s="588"/>
      <c r="AC17" s="588">
        <v>41</v>
      </c>
      <c r="AD17" s="588">
        <v>2024</v>
      </c>
      <c r="AE17" s="589"/>
      <c r="AF17" s="592"/>
      <c r="AG17" s="587"/>
    </row>
    <row r="18" spans="1:38" ht="18" customHeight="1">
      <c r="A18" s="593"/>
      <c r="B18" s="585"/>
      <c r="C18" s="585"/>
      <c r="D18" s="588"/>
      <c r="E18" s="588"/>
      <c r="F18" s="587"/>
      <c r="G18" s="594"/>
      <c r="H18" s="594"/>
      <c r="I18" s="595"/>
      <c r="J18" s="595"/>
      <c r="K18" s="595"/>
      <c r="L18" s="595"/>
      <c r="M18" s="595"/>
      <c r="N18" s="595"/>
      <c r="P18" s="587"/>
      <c r="Q18" s="587"/>
      <c r="U18" s="589"/>
      <c r="V18" s="589"/>
      <c r="X18" s="590"/>
      <c r="Y18" s="591"/>
      <c r="Z18" s="592"/>
      <c r="AB18" s="588"/>
      <c r="AC18" s="588">
        <v>42</v>
      </c>
      <c r="AD18" s="588">
        <v>2025</v>
      </c>
      <c r="AE18" s="589"/>
      <c r="AF18" s="592"/>
      <c r="AG18" s="587"/>
    </row>
    <row r="19" spans="1:38" ht="18" customHeight="1">
      <c r="A19" s="585"/>
      <c r="B19" s="585">
        <v>700</v>
      </c>
      <c r="C19" s="597" t="s">
        <v>913</v>
      </c>
      <c r="D19" s="598">
        <f>SUBTOTAL(103,$E$21:E767)</f>
        <v>700</v>
      </c>
      <c r="E19" s="585"/>
      <c r="F19" s="587"/>
      <c r="G19" s="594"/>
      <c r="H19" s="594"/>
      <c r="I19" s="594"/>
      <c r="J19" s="594"/>
      <c r="K19" s="594"/>
      <c r="L19" s="594"/>
      <c r="M19" s="594"/>
      <c r="N19" s="594"/>
      <c r="P19" s="589"/>
      <c r="Q19" s="589"/>
      <c r="R19" s="588"/>
      <c r="S19" s="588"/>
      <c r="T19" s="588"/>
      <c r="U19" s="589"/>
      <c r="V19" s="589"/>
      <c r="W19" s="588"/>
      <c r="X19" s="590"/>
      <c r="Y19" s="591"/>
      <c r="Z19" s="592"/>
      <c r="AB19" s="588"/>
      <c r="AC19" s="588"/>
      <c r="AD19" s="588"/>
      <c r="AE19" s="589"/>
      <c r="AF19" s="592"/>
      <c r="AG19" s="587"/>
    </row>
    <row r="20" spans="1:38" ht="18" customHeight="1">
      <c r="A20" s="593"/>
      <c r="B20" s="600" t="s">
        <v>914</v>
      </c>
      <c r="C20" s="601" t="s">
        <v>912</v>
      </c>
      <c r="D20" s="601" t="s">
        <v>915</v>
      </c>
      <c r="E20" s="602" t="s">
        <v>916</v>
      </c>
      <c r="F20" s="603" t="s">
        <v>917</v>
      </c>
      <c r="G20" s="604" t="s">
        <v>918</v>
      </c>
      <c r="H20" s="605" t="s">
        <v>919</v>
      </c>
      <c r="I20" s="606" t="s">
        <v>173</v>
      </c>
      <c r="J20" s="607" t="s">
        <v>55</v>
      </c>
      <c r="K20" s="608" t="s">
        <v>920</v>
      </c>
      <c r="L20" s="609" t="s">
        <v>921</v>
      </c>
      <c r="M20" s="610" t="s">
        <v>922</v>
      </c>
      <c r="N20" s="611" t="s">
        <v>923</v>
      </c>
      <c r="O20" s="612" t="s">
        <v>924</v>
      </c>
      <c r="P20" s="601" t="s">
        <v>319</v>
      </c>
      <c r="Q20" s="601" t="s">
        <v>925</v>
      </c>
      <c r="R20" s="601" t="s">
        <v>4430</v>
      </c>
      <c r="S20" s="601" t="s">
        <v>4431</v>
      </c>
      <c r="T20" s="602" t="s">
        <v>929</v>
      </c>
      <c r="U20" s="613" t="s">
        <v>930</v>
      </c>
      <c r="V20" s="613" t="s">
        <v>931</v>
      </c>
      <c r="W20" s="601" t="s">
        <v>932</v>
      </c>
      <c r="X20" s="614" t="s">
        <v>933</v>
      </c>
      <c r="Y20" s="601" t="s">
        <v>934</v>
      </c>
      <c r="Z20" s="613" t="s">
        <v>935</v>
      </c>
      <c r="AA20" s="602" t="s">
        <v>936</v>
      </c>
      <c r="AB20" s="601" t="s">
        <v>937</v>
      </c>
      <c r="AC20" s="601" t="s">
        <v>938</v>
      </c>
      <c r="AD20" s="613" t="s">
        <v>939</v>
      </c>
      <c r="AE20" s="613" t="s">
        <v>940</v>
      </c>
      <c r="AF20" s="613" t="s">
        <v>941</v>
      </c>
      <c r="AG20" s="601" t="s">
        <v>942</v>
      </c>
      <c r="AH20" s="601" t="s">
        <v>943</v>
      </c>
      <c r="AI20" s="601" t="s">
        <v>944</v>
      </c>
      <c r="AJ20" s="615" t="s">
        <v>945</v>
      </c>
      <c r="AK20" s="602" t="s">
        <v>946</v>
      </c>
      <c r="AL20" s="601" t="s">
        <v>4432</v>
      </c>
    </row>
    <row r="21" spans="1:38" ht="18" customHeight="1">
      <c r="A21" s="593"/>
      <c r="B21" s="598">
        <v>1</v>
      </c>
      <c r="C21" s="598" t="s">
        <v>1000</v>
      </c>
      <c r="D21" s="598">
        <f t="shared" ref="D21:D241" si="0">SUBTOTAL(103,$T$21:T21)</f>
        <v>1</v>
      </c>
      <c r="E21" s="616" t="s">
        <v>957</v>
      </c>
      <c r="F21" s="616" t="s">
        <v>1001</v>
      </c>
      <c r="G21" s="618" t="s">
        <v>1033</v>
      </c>
      <c r="H21" s="618" t="s">
        <v>64</v>
      </c>
      <c r="I21" s="618" t="s">
        <v>956</v>
      </c>
      <c r="J21" s="618" t="s">
        <v>1000</v>
      </c>
      <c r="K21" s="618" t="s">
        <v>959</v>
      </c>
      <c r="L21" s="619" t="s">
        <v>959</v>
      </c>
      <c r="M21" s="620"/>
      <c r="N21" s="620"/>
      <c r="O21" s="663" t="s">
        <v>1044</v>
      </c>
      <c r="P21" s="621"/>
      <c r="Q21" s="598" t="s">
        <v>55</v>
      </c>
      <c r="R21" s="598" t="s">
        <v>55</v>
      </c>
      <c r="S21" s="598"/>
      <c r="T21" s="598" t="s">
        <v>992</v>
      </c>
      <c r="U21" s="664" t="s">
        <v>53</v>
      </c>
      <c r="V21" s="616" t="s">
        <v>1003</v>
      </c>
      <c r="W21" s="598" t="s">
        <v>963</v>
      </c>
      <c r="X21" s="624">
        <v>32377</v>
      </c>
      <c r="Y21" s="625">
        <f t="shared" ref="Y21:Y33" ca="1" si="1">DATEDIF(X21,TODAY(),"Y")</f>
        <v>37</v>
      </c>
      <c r="Z21" s="616" t="s">
        <v>1004</v>
      </c>
      <c r="AA21" s="598" t="s">
        <v>1005</v>
      </c>
      <c r="AB21" s="598" t="s">
        <v>1006</v>
      </c>
      <c r="AC21" s="598" t="s">
        <v>953</v>
      </c>
      <c r="AD21" s="616" t="s">
        <v>729</v>
      </c>
      <c r="AE21" s="616" t="s">
        <v>954</v>
      </c>
      <c r="AF21" s="616" t="s">
        <v>974</v>
      </c>
      <c r="AG21" s="598"/>
      <c r="AH21" s="598"/>
      <c r="AI21" s="598"/>
      <c r="AJ21" s="598"/>
      <c r="AK21" s="626"/>
      <c r="AL21" s="626"/>
    </row>
    <row r="22" spans="1:38" ht="18" customHeight="1">
      <c r="A22" s="593"/>
      <c r="B22" s="598">
        <v>2</v>
      </c>
      <c r="C22" s="598" t="s">
        <v>956</v>
      </c>
      <c r="D22" s="598">
        <f t="shared" si="0"/>
        <v>2</v>
      </c>
      <c r="E22" s="616" t="s">
        <v>957</v>
      </c>
      <c r="F22" s="616" t="s">
        <v>958</v>
      </c>
      <c r="G22" s="618" t="s">
        <v>1033</v>
      </c>
      <c r="H22" s="618" t="s">
        <v>64</v>
      </c>
      <c r="I22" s="617" t="s">
        <v>956</v>
      </c>
      <c r="J22" s="618" t="s">
        <v>1000</v>
      </c>
      <c r="K22" s="617" t="s">
        <v>959</v>
      </c>
      <c r="L22" s="619" t="s">
        <v>959</v>
      </c>
      <c r="M22" s="620"/>
      <c r="N22" s="620"/>
      <c r="O22" s="663" t="s">
        <v>1044</v>
      </c>
      <c r="P22" s="621"/>
      <c r="Q22" s="598" t="s">
        <v>173</v>
      </c>
      <c r="R22" s="598" t="s">
        <v>4433</v>
      </c>
      <c r="S22" s="598" t="s">
        <v>55</v>
      </c>
      <c r="T22" s="598" t="s">
        <v>962</v>
      </c>
      <c r="U22" s="665" t="s">
        <v>64</v>
      </c>
      <c r="V22" s="616" t="s">
        <v>4434</v>
      </c>
      <c r="W22" s="598" t="s">
        <v>963</v>
      </c>
      <c r="X22" s="624">
        <v>32431</v>
      </c>
      <c r="Y22" s="625">
        <f t="shared" ca="1" si="1"/>
        <v>37</v>
      </c>
      <c r="Z22" s="616" t="s">
        <v>964</v>
      </c>
      <c r="AA22" s="598" t="s">
        <v>965</v>
      </c>
      <c r="AB22" s="598" t="s">
        <v>966</v>
      </c>
      <c r="AC22" s="598" t="s">
        <v>953</v>
      </c>
      <c r="AD22" s="616" t="s">
        <v>967</v>
      </c>
      <c r="AE22" s="616" t="s">
        <v>954</v>
      </c>
      <c r="AF22" s="616" t="s">
        <v>968</v>
      </c>
      <c r="AG22" s="598"/>
      <c r="AH22" s="598"/>
      <c r="AI22" s="598"/>
      <c r="AJ22" s="598"/>
      <c r="AK22" s="626"/>
      <c r="AL22" s="626"/>
    </row>
    <row r="23" spans="1:38" ht="18" customHeight="1">
      <c r="A23" s="593"/>
      <c r="B23" s="598">
        <v>3</v>
      </c>
      <c r="C23" s="598" t="s">
        <v>969</v>
      </c>
      <c r="D23" s="598">
        <f t="shared" si="0"/>
        <v>3</v>
      </c>
      <c r="E23" s="616" t="s">
        <v>957</v>
      </c>
      <c r="F23" s="616" t="s">
        <v>958</v>
      </c>
      <c r="G23" s="618" t="s">
        <v>1033</v>
      </c>
      <c r="H23" s="618" t="s">
        <v>64</v>
      </c>
      <c r="I23" s="618" t="s">
        <v>956</v>
      </c>
      <c r="J23" s="618" t="s">
        <v>1000</v>
      </c>
      <c r="K23" s="618" t="s">
        <v>959</v>
      </c>
      <c r="L23" s="619" t="s">
        <v>959</v>
      </c>
      <c r="M23" s="620"/>
      <c r="N23" s="620"/>
      <c r="O23" s="663" t="s">
        <v>1044</v>
      </c>
      <c r="P23" s="621"/>
      <c r="Q23" s="598"/>
      <c r="R23" s="598"/>
      <c r="S23" s="598"/>
      <c r="T23" s="598" t="s">
        <v>962</v>
      </c>
      <c r="U23" s="663" t="s">
        <v>77</v>
      </c>
      <c r="V23" s="616" t="s">
        <v>970</v>
      </c>
      <c r="W23" s="598" t="s">
        <v>963</v>
      </c>
      <c r="X23" s="624">
        <v>32370</v>
      </c>
      <c r="Y23" s="625">
        <f t="shared" ca="1" si="1"/>
        <v>37</v>
      </c>
      <c r="Z23" s="616" t="s">
        <v>971</v>
      </c>
      <c r="AA23" s="598" t="s">
        <v>972</v>
      </c>
      <c r="AB23" s="598" t="s">
        <v>966</v>
      </c>
      <c r="AC23" s="598" t="s">
        <v>953</v>
      </c>
      <c r="AD23" s="616" t="s">
        <v>973</v>
      </c>
      <c r="AE23" s="616" t="s">
        <v>954</v>
      </c>
      <c r="AF23" s="616" t="s">
        <v>974</v>
      </c>
      <c r="AG23" s="598"/>
      <c r="AH23" s="598"/>
      <c r="AI23" s="598"/>
      <c r="AJ23" s="598"/>
      <c r="AK23" s="626"/>
      <c r="AL23" s="626"/>
    </row>
    <row r="24" spans="1:38" ht="18" customHeight="1">
      <c r="A24" s="593"/>
      <c r="B24" s="598">
        <v>4</v>
      </c>
      <c r="C24" s="598" t="s">
        <v>2655</v>
      </c>
      <c r="D24" s="598">
        <f t="shared" si="0"/>
        <v>4</v>
      </c>
      <c r="E24" s="616" t="s">
        <v>1798</v>
      </c>
      <c r="F24" s="616" t="s">
        <v>958</v>
      </c>
      <c r="G24" s="618" t="s">
        <v>1033</v>
      </c>
      <c r="H24" s="618" t="s">
        <v>64</v>
      </c>
      <c r="I24" s="618" t="s">
        <v>956</v>
      </c>
      <c r="J24" s="618" t="s">
        <v>1000</v>
      </c>
      <c r="K24" s="618" t="s">
        <v>959</v>
      </c>
      <c r="L24" s="619" t="s">
        <v>959</v>
      </c>
      <c r="M24" s="620"/>
      <c r="N24" s="620"/>
      <c r="O24" s="663" t="s">
        <v>1044</v>
      </c>
      <c r="P24" s="621"/>
      <c r="Q24" s="598"/>
      <c r="R24" s="598"/>
      <c r="S24" s="598"/>
      <c r="T24" s="598" t="s">
        <v>962</v>
      </c>
      <c r="U24" s="663" t="s">
        <v>108</v>
      </c>
      <c r="V24" s="616" t="s">
        <v>2656</v>
      </c>
      <c r="W24" s="598" t="s">
        <v>963</v>
      </c>
      <c r="X24" s="624">
        <v>29900</v>
      </c>
      <c r="Y24" s="625">
        <f t="shared" ca="1" si="1"/>
        <v>44</v>
      </c>
      <c r="Z24" s="616" t="s">
        <v>2657</v>
      </c>
      <c r="AA24" s="666" t="s">
        <v>2658</v>
      </c>
      <c r="AB24" s="598" t="s">
        <v>966</v>
      </c>
      <c r="AC24" s="598" t="s">
        <v>953</v>
      </c>
      <c r="AD24" s="616" t="s">
        <v>1041</v>
      </c>
      <c r="AE24" s="616" t="s">
        <v>2659</v>
      </c>
      <c r="AF24" s="616" t="s">
        <v>2660</v>
      </c>
      <c r="AG24" s="598"/>
      <c r="AH24" s="598"/>
      <c r="AI24" s="598"/>
      <c r="AJ24" s="598"/>
      <c r="AK24" s="626"/>
      <c r="AL24" s="626"/>
    </row>
    <row r="25" spans="1:38" ht="18" customHeight="1">
      <c r="A25" s="593"/>
      <c r="B25" s="598">
        <v>5</v>
      </c>
      <c r="C25" s="598" t="s">
        <v>975</v>
      </c>
      <c r="D25" s="598">
        <f t="shared" si="0"/>
        <v>5</v>
      </c>
      <c r="E25" s="616" t="s">
        <v>957</v>
      </c>
      <c r="F25" s="616" t="s">
        <v>958</v>
      </c>
      <c r="G25" s="618" t="s">
        <v>1033</v>
      </c>
      <c r="H25" s="618" t="s">
        <v>64</v>
      </c>
      <c r="I25" s="618" t="s">
        <v>956</v>
      </c>
      <c r="J25" s="618" t="s">
        <v>1000</v>
      </c>
      <c r="K25" s="618" t="s">
        <v>959</v>
      </c>
      <c r="L25" s="619" t="s">
        <v>959</v>
      </c>
      <c r="M25" s="620"/>
      <c r="N25" s="620"/>
      <c r="O25" s="663" t="s">
        <v>1044</v>
      </c>
      <c r="P25" s="621"/>
      <c r="Q25" s="598"/>
      <c r="R25" s="598"/>
      <c r="S25" s="598"/>
      <c r="T25" s="598" t="s">
        <v>962</v>
      </c>
      <c r="U25" s="663" t="s">
        <v>90</v>
      </c>
      <c r="V25" s="616" t="s">
        <v>976</v>
      </c>
      <c r="W25" s="598" t="s">
        <v>963</v>
      </c>
      <c r="X25" s="624">
        <v>32279</v>
      </c>
      <c r="Y25" s="625">
        <f t="shared" ca="1" si="1"/>
        <v>37</v>
      </c>
      <c r="Z25" s="616" t="s">
        <v>977</v>
      </c>
      <c r="AA25" s="598" t="s">
        <v>978</v>
      </c>
      <c r="AB25" s="598" t="s">
        <v>966</v>
      </c>
      <c r="AC25" s="598" t="s">
        <v>953</v>
      </c>
      <c r="AD25" s="616" t="s">
        <v>973</v>
      </c>
      <c r="AE25" s="616" t="s">
        <v>954</v>
      </c>
      <c r="AF25" s="616" t="s">
        <v>974</v>
      </c>
      <c r="AG25" s="598"/>
      <c r="AH25" s="598"/>
      <c r="AI25" s="598"/>
      <c r="AJ25" s="598"/>
      <c r="AK25" s="626"/>
      <c r="AL25" s="626"/>
    </row>
    <row r="26" spans="1:38" ht="18" customHeight="1">
      <c r="A26" s="593"/>
      <c r="B26" s="598">
        <v>6</v>
      </c>
      <c r="C26" s="598" t="s">
        <v>979</v>
      </c>
      <c r="D26" s="598">
        <f t="shared" si="0"/>
        <v>6</v>
      </c>
      <c r="E26" s="616" t="s">
        <v>957</v>
      </c>
      <c r="F26" s="616" t="s">
        <v>958</v>
      </c>
      <c r="G26" s="618" t="s">
        <v>1033</v>
      </c>
      <c r="H26" s="618" t="s">
        <v>64</v>
      </c>
      <c r="I26" s="618" t="s">
        <v>956</v>
      </c>
      <c r="J26" s="618" t="s">
        <v>1000</v>
      </c>
      <c r="K26" s="618" t="s">
        <v>959</v>
      </c>
      <c r="L26" s="619" t="s">
        <v>959</v>
      </c>
      <c r="M26" s="620"/>
      <c r="N26" s="620"/>
      <c r="O26" s="663" t="s">
        <v>1044</v>
      </c>
      <c r="P26" s="621"/>
      <c r="Q26" s="598"/>
      <c r="R26" s="598"/>
      <c r="S26" s="598"/>
      <c r="T26" s="598" t="s">
        <v>962</v>
      </c>
      <c r="U26" s="663" t="s">
        <v>99</v>
      </c>
      <c r="V26" s="616" t="s">
        <v>980</v>
      </c>
      <c r="W26" s="598" t="s">
        <v>963</v>
      </c>
      <c r="X26" s="624">
        <v>31456</v>
      </c>
      <c r="Y26" s="625">
        <f t="shared" ca="1" si="1"/>
        <v>39</v>
      </c>
      <c r="Z26" s="616" t="s">
        <v>981</v>
      </c>
      <c r="AA26" s="598" t="s">
        <v>982</v>
      </c>
      <c r="AB26" s="598" t="s">
        <v>966</v>
      </c>
      <c r="AC26" s="598" t="s">
        <v>953</v>
      </c>
      <c r="AD26" s="616" t="s">
        <v>973</v>
      </c>
      <c r="AE26" s="616" t="s">
        <v>954</v>
      </c>
      <c r="AF26" s="616" t="s">
        <v>974</v>
      </c>
      <c r="AG26" s="598"/>
      <c r="AH26" s="598"/>
      <c r="AI26" s="598"/>
      <c r="AJ26" s="598"/>
      <c r="AK26" s="626"/>
      <c r="AL26" s="626"/>
    </row>
    <row r="27" spans="1:38" ht="18" customHeight="1">
      <c r="A27" s="593"/>
      <c r="B27" s="598">
        <v>7</v>
      </c>
      <c r="C27" s="598" t="s">
        <v>1007</v>
      </c>
      <c r="D27" s="598">
        <f t="shared" si="0"/>
        <v>7</v>
      </c>
      <c r="E27" s="616" t="s">
        <v>957</v>
      </c>
      <c r="F27" s="616" t="s">
        <v>1001</v>
      </c>
      <c r="G27" s="618" t="s">
        <v>1033</v>
      </c>
      <c r="H27" s="618" t="s">
        <v>64</v>
      </c>
      <c r="I27" s="618" t="s">
        <v>956</v>
      </c>
      <c r="J27" s="618" t="s">
        <v>1007</v>
      </c>
      <c r="K27" s="618" t="s">
        <v>986</v>
      </c>
      <c r="L27" s="619" t="s">
        <v>959</v>
      </c>
      <c r="M27" s="620"/>
      <c r="N27" s="620"/>
      <c r="O27" s="667" t="s">
        <v>1074</v>
      </c>
      <c r="P27" s="621"/>
      <c r="Q27" s="598" t="s">
        <v>55</v>
      </c>
      <c r="R27" s="598" t="s">
        <v>55</v>
      </c>
      <c r="S27" s="598"/>
      <c r="T27" s="598" t="s">
        <v>992</v>
      </c>
      <c r="U27" s="667" t="s">
        <v>56</v>
      </c>
      <c r="V27" s="616" t="s">
        <v>1008</v>
      </c>
      <c r="W27" s="598" t="s">
        <v>963</v>
      </c>
      <c r="X27" s="624">
        <v>32305</v>
      </c>
      <c r="Y27" s="625">
        <f t="shared" ca="1" si="1"/>
        <v>37</v>
      </c>
      <c r="Z27" s="616" t="s">
        <v>1009</v>
      </c>
      <c r="AA27" s="598" t="s">
        <v>1010</v>
      </c>
      <c r="AB27" s="598" t="s">
        <v>1006</v>
      </c>
      <c r="AC27" s="598" t="s">
        <v>953</v>
      </c>
      <c r="AD27" s="616" t="s">
        <v>729</v>
      </c>
      <c r="AE27" s="616" t="s">
        <v>954</v>
      </c>
      <c r="AF27" s="616" t="s">
        <v>968</v>
      </c>
      <c r="AG27" s="598"/>
      <c r="AH27" s="598"/>
      <c r="AI27" s="598" t="s">
        <v>1011</v>
      </c>
      <c r="AJ27" s="598"/>
      <c r="AK27" s="626"/>
      <c r="AL27" s="626"/>
    </row>
    <row r="28" spans="1:38" ht="18" customHeight="1">
      <c r="A28" s="593"/>
      <c r="B28" s="598">
        <v>8</v>
      </c>
      <c r="C28" s="598" t="s">
        <v>986</v>
      </c>
      <c r="D28" s="598">
        <f t="shared" si="0"/>
        <v>8</v>
      </c>
      <c r="E28" s="616" t="s">
        <v>957</v>
      </c>
      <c r="F28" s="616" t="s">
        <v>958</v>
      </c>
      <c r="G28" s="618" t="s">
        <v>1033</v>
      </c>
      <c r="H28" s="618" t="s">
        <v>64</v>
      </c>
      <c r="I28" s="618" t="s">
        <v>956</v>
      </c>
      <c r="J28" s="618" t="s">
        <v>1007</v>
      </c>
      <c r="K28" s="618" t="s">
        <v>986</v>
      </c>
      <c r="L28" s="619" t="s">
        <v>959</v>
      </c>
      <c r="M28" s="620"/>
      <c r="N28" s="620"/>
      <c r="O28" s="663" t="s">
        <v>1074</v>
      </c>
      <c r="P28" s="621"/>
      <c r="Q28" s="598" t="s">
        <v>173</v>
      </c>
      <c r="R28" s="598" t="s">
        <v>514</v>
      </c>
      <c r="S28" s="598" t="s">
        <v>55</v>
      </c>
      <c r="T28" s="598" t="s">
        <v>962</v>
      </c>
      <c r="U28" s="668" t="s">
        <v>78</v>
      </c>
      <c r="V28" s="616" t="s">
        <v>987</v>
      </c>
      <c r="W28" s="598" t="s">
        <v>963</v>
      </c>
      <c r="X28" s="624">
        <v>33031</v>
      </c>
      <c r="Y28" s="625">
        <f t="shared" ca="1" si="1"/>
        <v>35</v>
      </c>
      <c r="Z28" s="616" t="s">
        <v>988</v>
      </c>
      <c r="AA28" s="598" t="s">
        <v>989</v>
      </c>
      <c r="AB28" s="598" t="s">
        <v>966</v>
      </c>
      <c r="AC28" s="598" t="s">
        <v>953</v>
      </c>
      <c r="AD28" s="616" t="s">
        <v>729</v>
      </c>
      <c r="AE28" s="616" t="s">
        <v>954</v>
      </c>
      <c r="AF28" s="616" t="s">
        <v>974</v>
      </c>
      <c r="AG28" s="598"/>
      <c r="AH28" s="598"/>
      <c r="AI28" s="598"/>
      <c r="AJ28" s="598"/>
      <c r="AK28" s="626"/>
      <c r="AL28" s="626"/>
    </row>
    <row r="29" spans="1:38" ht="18" customHeight="1">
      <c r="A29" s="593"/>
      <c r="B29" s="598">
        <v>9</v>
      </c>
      <c r="C29" s="598" t="s">
        <v>983</v>
      </c>
      <c r="D29" s="598">
        <f t="shared" si="0"/>
        <v>9</v>
      </c>
      <c r="E29" s="616" t="s">
        <v>957</v>
      </c>
      <c r="F29" s="616" t="s">
        <v>958</v>
      </c>
      <c r="G29" s="618" t="s">
        <v>1033</v>
      </c>
      <c r="H29" s="618" t="s">
        <v>64</v>
      </c>
      <c r="I29" s="618" t="s">
        <v>956</v>
      </c>
      <c r="J29" s="618" t="s">
        <v>1007</v>
      </c>
      <c r="K29" s="618" t="s">
        <v>986</v>
      </c>
      <c r="L29" s="619" t="s">
        <v>959</v>
      </c>
      <c r="M29" s="620"/>
      <c r="N29" s="620"/>
      <c r="O29" s="663" t="s">
        <v>1074</v>
      </c>
      <c r="P29" s="621"/>
      <c r="Q29" s="598"/>
      <c r="R29" s="598"/>
      <c r="S29" s="598"/>
      <c r="T29" s="598" t="s">
        <v>962</v>
      </c>
      <c r="U29" s="663" t="s">
        <v>66</v>
      </c>
      <c r="V29" s="616" t="s">
        <v>984</v>
      </c>
      <c r="W29" s="598" t="s">
        <v>963</v>
      </c>
      <c r="X29" s="624">
        <v>33599</v>
      </c>
      <c r="Y29" s="625">
        <f t="shared" ca="1" si="1"/>
        <v>34</v>
      </c>
      <c r="Z29" s="616" t="s">
        <v>985</v>
      </c>
      <c r="AA29" s="598"/>
      <c r="AB29" s="598" t="s">
        <v>966</v>
      </c>
      <c r="AC29" s="598" t="s">
        <v>953</v>
      </c>
      <c r="AD29" s="616" t="s">
        <v>973</v>
      </c>
      <c r="AE29" s="616" t="s">
        <v>954</v>
      </c>
      <c r="AF29" s="616" t="s">
        <v>974</v>
      </c>
      <c r="AG29" s="598"/>
      <c r="AH29" s="598"/>
      <c r="AI29" s="598"/>
      <c r="AJ29" s="598"/>
      <c r="AK29" s="626"/>
      <c r="AL29" s="626"/>
    </row>
    <row r="30" spans="1:38" ht="18" customHeight="1">
      <c r="A30" s="593"/>
      <c r="B30" s="598">
        <v>10</v>
      </c>
      <c r="C30" s="598" t="s">
        <v>4435</v>
      </c>
      <c r="D30" s="598">
        <f t="shared" si="0"/>
        <v>10</v>
      </c>
      <c r="E30" s="616" t="s">
        <v>957</v>
      </c>
      <c r="F30" s="616" t="s">
        <v>1001</v>
      </c>
      <c r="G30" s="618" t="s">
        <v>1033</v>
      </c>
      <c r="H30" s="618" t="s">
        <v>64</v>
      </c>
      <c r="I30" s="618" t="s">
        <v>956</v>
      </c>
      <c r="J30" s="618" t="s">
        <v>1007</v>
      </c>
      <c r="K30" s="618" t="s">
        <v>986</v>
      </c>
      <c r="L30" s="619" t="s">
        <v>959</v>
      </c>
      <c r="M30" s="620"/>
      <c r="N30" s="620"/>
      <c r="O30" s="663" t="s">
        <v>1074</v>
      </c>
      <c r="P30" s="621"/>
      <c r="Q30" s="598"/>
      <c r="R30" s="598"/>
      <c r="S30" s="598"/>
      <c r="T30" s="598" t="s">
        <v>992</v>
      </c>
      <c r="U30" s="669" t="s">
        <v>91</v>
      </c>
      <c r="V30" s="616" t="s">
        <v>4436</v>
      </c>
      <c r="W30" s="598" t="s">
        <v>963</v>
      </c>
      <c r="X30" s="624">
        <v>36739</v>
      </c>
      <c r="Y30" s="625">
        <f t="shared" ca="1" si="1"/>
        <v>25</v>
      </c>
      <c r="Z30" s="616" t="s">
        <v>4437</v>
      </c>
      <c r="AA30" s="632"/>
      <c r="AB30" s="598" t="s">
        <v>996</v>
      </c>
      <c r="AC30" s="633" t="s">
        <v>1018</v>
      </c>
      <c r="AD30" s="616" t="s">
        <v>973</v>
      </c>
      <c r="AE30" s="616" t="s">
        <v>954</v>
      </c>
      <c r="AF30" s="616" t="s">
        <v>974</v>
      </c>
      <c r="AG30" s="598"/>
      <c r="AH30" s="598"/>
      <c r="AI30" s="598" t="s">
        <v>1440</v>
      </c>
      <c r="AJ30" s="598"/>
      <c r="AK30" s="626"/>
      <c r="AL30" s="626"/>
    </row>
    <row r="31" spans="1:38" ht="18" customHeight="1">
      <c r="A31" s="278"/>
      <c r="B31" s="598">
        <v>11</v>
      </c>
      <c r="C31" s="598" t="s">
        <v>990</v>
      </c>
      <c r="D31" s="598">
        <f t="shared" si="0"/>
        <v>11</v>
      </c>
      <c r="E31" s="670" t="s">
        <v>957</v>
      </c>
      <c r="F31" s="598" t="s">
        <v>991</v>
      </c>
      <c r="G31" s="618" t="s">
        <v>1033</v>
      </c>
      <c r="H31" s="618" t="s">
        <v>64</v>
      </c>
      <c r="I31" s="618" t="s">
        <v>956</v>
      </c>
      <c r="J31" s="618" t="s">
        <v>1007</v>
      </c>
      <c r="K31" s="618" t="s">
        <v>986</v>
      </c>
      <c r="L31" s="619" t="s">
        <v>959</v>
      </c>
      <c r="M31" s="620"/>
      <c r="N31" s="620"/>
      <c r="O31" s="663" t="s">
        <v>1074</v>
      </c>
      <c r="P31" s="621"/>
      <c r="Q31" s="627"/>
      <c r="R31" s="627"/>
      <c r="S31" s="627"/>
      <c r="T31" s="671" t="s">
        <v>992</v>
      </c>
      <c r="U31" s="672" t="s">
        <v>908</v>
      </c>
      <c r="V31" s="598" t="s">
        <v>993</v>
      </c>
      <c r="W31" s="598" t="s">
        <v>963</v>
      </c>
      <c r="X31" s="624">
        <v>32741</v>
      </c>
      <c r="Y31" s="625">
        <f t="shared" ca="1" si="1"/>
        <v>36</v>
      </c>
      <c r="Z31" s="598" t="s">
        <v>994</v>
      </c>
      <c r="AA31" s="598" t="s">
        <v>995</v>
      </c>
      <c r="AB31" s="598" t="s">
        <v>996</v>
      </c>
      <c r="AC31" s="598" t="s">
        <v>997</v>
      </c>
      <c r="AD31" s="598" t="s">
        <v>729</v>
      </c>
      <c r="AE31" s="598" t="s">
        <v>954</v>
      </c>
      <c r="AF31" s="598" t="s">
        <v>998</v>
      </c>
      <c r="AG31" s="627"/>
      <c r="AH31" s="627"/>
      <c r="AI31" s="629" t="s">
        <v>999</v>
      </c>
      <c r="AJ31" s="627"/>
      <c r="AK31" s="627"/>
      <c r="AL31" s="627"/>
    </row>
    <row r="32" spans="1:38" ht="18" customHeight="1">
      <c r="A32" s="593"/>
      <c r="B32" s="598">
        <v>12</v>
      </c>
      <c r="C32" s="598" t="s">
        <v>4438</v>
      </c>
      <c r="D32" s="598">
        <f t="shared" si="0"/>
        <v>12</v>
      </c>
      <c r="E32" s="616" t="s">
        <v>957</v>
      </c>
      <c r="F32" s="616" t="s">
        <v>1001</v>
      </c>
      <c r="G32" s="618" t="s">
        <v>1033</v>
      </c>
      <c r="H32" s="618" t="s">
        <v>64</v>
      </c>
      <c r="I32" s="618" t="s">
        <v>956</v>
      </c>
      <c r="J32" s="618" t="s">
        <v>1007</v>
      </c>
      <c r="K32" s="618" t="s">
        <v>986</v>
      </c>
      <c r="L32" s="619" t="s">
        <v>959</v>
      </c>
      <c r="M32" s="620"/>
      <c r="N32" s="620"/>
      <c r="O32" s="663" t="s">
        <v>1074</v>
      </c>
      <c r="P32" s="621"/>
      <c r="Q32" s="598"/>
      <c r="R32" s="598"/>
      <c r="S32" s="598"/>
      <c r="T32" s="598" t="s">
        <v>992</v>
      </c>
      <c r="U32" s="663" t="s">
        <v>4439</v>
      </c>
      <c r="V32" s="616" t="s">
        <v>4440</v>
      </c>
      <c r="W32" s="598" t="s">
        <v>963</v>
      </c>
      <c r="X32" s="624">
        <v>33538</v>
      </c>
      <c r="Y32" s="625">
        <f t="shared" ca="1" si="1"/>
        <v>34</v>
      </c>
      <c r="Z32" s="616" t="s">
        <v>4441</v>
      </c>
      <c r="AA32" s="632"/>
      <c r="AB32" s="598" t="s">
        <v>996</v>
      </c>
      <c r="AC32" s="633" t="s">
        <v>1018</v>
      </c>
      <c r="AD32" s="616" t="s">
        <v>246</v>
      </c>
      <c r="AE32" s="616" t="s">
        <v>954</v>
      </c>
      <c r="AF32" s="616" t="s">
        <v>4442</v>
      </c>
      <c r="AG32" s="598"/>
      <c r="AH32" s="598" t="s">
        <v>4443</v>
      </c>
      <c r="AI32" s="598"/>
      <c r="AJ32" s="598" t="s">
        <v>1020</v>
      </c>
      <c r="AK32" s="626"/>
      <c r="AL32" s="626"/>
    </row>
    <row r="33" spans="1:38" ht="18" customHeight="1">
      <c r="A33" s="593"/>
      <c r="B33" s="598">
        <v>13</v>
      </c>
      <c r="C33" s="598" t="s">
        <v>4444</v>
      </c>
      <c r="D33" s="598">
        <f t="shared" si="0"/>
        <v>13</v>
      </c>
      <c r="E33" s="616" t="s">
        <v>957</v>
      </c>
      <c r="F33" s="616" t="s">
        <v>1001</v>
      </c>
      <c r="G33" s="618" t="s">
        <v>1033</v>
      </c>
      <c r="H33" s="618" t="s">
        <v>64</v>
      </c>
      <c r="I33" s="618" t="s">
        <v>956</v>
      </c>
      <c r="J33" s="618" t="s">
        <v>1007</v>
      </c>
      <c r="K33" s="618" t="s">
        <v>986</v>
      </c>
      <c r="L33" s="619" t="s">
        <v>959</v>
      </c>
      <c r="M33" s="620"/>
      <c r="N33" s="620"/>
      <c r="O33" s="673" t="s">
        <v>1074</v>
      </c>
      <c r="P33" s="621"/>
      <c r="Q33" s="598"/>
      <c r="R33" s="598"/>
      <c r="S33" s="598"/>
      <c r="T33" s="598" t="s">
        <v>992</v>
      </c>
      <c r="U33" s="673" t="s">
        <v>4445</v>
      </c>
      <c r="V33" s="616" t="s">
        <v>4446</v>
      </c>
      <c r="W33" s="598" t="s">
        <v>963</v>
      </c>
      <c r="X33" s="624">
        <v>33400</v>
      </c>
      <c r="Y33" s="625">
        <f t="shared" ca="1" si="1"/>
        <v>34</v>
      </c>
      <c r="Z33" s="616" t="s">
        <v>3849</v>
      </c>
      <c r="AA33" s="632"/>
      <c r="AB33" s="598" t="s">
        <v>996</v>
      </c>
      <c r="AC33" s="598" t="s">
        <v>1018</v>
      </c>
      <c r="AD33" s="616" t="s">
        <v>246</v>
      </c>
      <c r="AE33" s="616" t="s">
        <v>246</v>
      </c>
      <c r="AF33" s="616" t="s">
        <v>3815</v>
      </c>
      <c r="AG33" s="598"/>
      <c r="AH33" s="598" t="s">
        <v>1019</v>
      </c>
      <c r="AI33" s="598" t="s">
        <v>1025</v>
      </c>
      <c r="AJ33" s="598" t="s">
        <v>1020</v>
      </c>
      <c r="AK33" s="626"/>
      <c r="AL33" s="626"/>
    </row>
    <row r="34" spans="1:38" ht="18" customHeight="1">
      <c r="A34" s="593"/>
      <c r="B34" s="598"/>
      <c r="C34" s="598" t="s">
        <v>4447</v>
      </c>
      <c r="D34" s="598">
        <f t="shared" si="0"/>
        <v>13</v>
      </c>
      <c r="E34" s="616"/>
      <c r="F34" s="616" t="s">
        <v>1013</v>
      </c>
      <c r="G34" s="618" t="s">
        <v>1033</v>
      </c>
      <c r="H34" s="618" t="s">
        <v>4</v>
      </c>
      <c r="I34" s="618" t="s">
        <v>4448</v>
      </c>
      <c r="J34" s="618" t="s">
        <v>4447</v>
      </c>
      <c r="K34" s="619" t="s">
        <v>959</v>
      </c>
      <c r="L34" s="619" t="s">
        <v>959</v>
      </c>
      <c r="M34" s="620"/>
      <c r="N34" s="620"/>
      <c r="O34" s="669" t="s">
        <v>1044</v>
      </c>
      <c r="P34" s="621"/>
      <c r="Q34" s="598" t="s">
        <v>948</v>
      </c>
      <c r="R34" s="598" t="s">
        <v>909</v>
      </c>
      <c r="S34" s="598" t="s">
        <v>55</v>
      </c>
      <c r="T34" s="598"/>
      <c r="U34" s="664" t="s">
        <v>4</v>
      </c>
      <c r="V34" s="674"/>
      <c r="W34" s="598"/>
      <c r="X34" s="624"/>
      <c r="Y34" s="625"/>
      <c r="Z34" s="616"/>
      <c r="AA34" s="598"/>
      <c r="AB34" s="598"/>
      <c r="AC34" s="598" t="s">
        <v>953</v>
      </c>
      <c r="AD34" s="616"/>
      <c r="AE34" s="616"/>
      <c r="AF34" s="616"/>
      <c r="AG34" s="598" t="s">
        <v>955</v>
      </c>
      <c r="AH34" s="598"/>
      <c r="AI34" s="598"/>
      <c r="AJ34" s="598"/>
      <c r="AK34" s="626"/>
      <c r="AL34" s="626"/>
    </row>
    <row r="35" spans="1:38" ht="18" customHeight="1">
      <c r="A35" s="593"/>
      <c r="B35" s="598">
        <v>14</v>
      </c>
      <c r="C35" s="598" t="s">
        <v>1026</v>
      </c>
      <c r="D35" s="598">
        <f t="shared" si="0"/>
        <v>14</v>
      </c>
      <c r="E35" s="616" t="s">
        <v>957</v>
      </c>
      <c r="F35" s="616" t="s">
        <v>1013</v>
      </c>
      <c r="G35" s="618" t="s">
        <v>1033</v>
      </c>
      <c r="H35" s="618" t="s">
        <v>4</v>
      </c>
      <c r="I35" s="618" t="s">
        <v>4447</v>
      </c>
      <c r="J35" s="618" t="s">
        <v>4447</v>
      </c>
      <c r="K35" s="619" t="s">
        <v>959</v>
      </c>
      <c r="L35" s="619" t="s">
        <v>959</v>
      </c>
      <c r="M35" s="620"/>
      <c r="N35" s="620"/>
      <c r="O35" s="663" t="s">
        <v>1044</v>
      </c>
      <c r="P35" s="621"/>
      <c r="Q35" s="598"/>
      <c r="R35" s="598"/>
      <c r="S35" s="598"/>
      <c r="T35" s="598" t="s">
        <v>1015</v>
      </c>
      <c r="U35" s="663" t="s">
        <v>67</v>
      </c>
      <c r="V35" s="616" t="s">
        <v>1027</v>
      </c>
      <c r="W35" s="598" t="s">
        <v>950</v>
      </c>
      <c r="X35" s="624">
        <v>33815</v>
      </c>
      <c r="Y35" s="625">
        <f t="shared" ref="Y35:Y274" ca="1" si="2">DATEDIF(X35,TODAY(),"Y")</f>
        <v>33</v>
      </c>
      <c r="Z35" s="616" t="s">
        <v>1028</v>
      </c>
      <c r="AA35" s="598"/>
      <c r="AB35" s="598" t="s">
        <v>966</v>
      </c>
      <c r="AC35" s="598" t="s">
        <v>953</v>
      </c>
      <c r="AD35" s="616" t="s">
        <v>973</v>
      </c>
      <c r="AE35" s="616" t="s">
        <v>954</v>
      </c>
      <c r="AF35" s="616" t="s">
        <v>998</v>
      </c>
      <c r="AG35" s="598"/>
      <c r="AH35" s="598"/>
      <c r="AI35" s="598"/>
      <c r="AJ35" s="598"/>
      <c r="AK35" s="626"/>
      <c r="AL35" s="626"/>
    </row>
    <row r="36" spans="1:38" ht="18" customHeight="1">
      <c r="A36" s="593"/>
      <c r="B36" s="598">
        <v>15</v>
      </c>
      <c r="C36" s="598" t="s">
        <v>1012</v>
      </c>
      <c r="D36" s="598">
        <f t="shared" si="0"/>
        <v>15</v>
      </c>
      <c r="E36" s="616" t="s">
        <v>957</v>
      </c>
      <c r="F36" s="616" t="s">
        <v>1013</v>
      </c>
      <c r="G36" s="618" t="s">
        <v>1033</v>
      </c>
      <c r="H36" s="618" t="s">
        <v>4</v>
      </c>
      <c r="I36" s="618" t="s">
        <v>4447</v>
      </c>
      <c r="J36" s="618" t="s">
        <v>4447</v>
      </c>
      <c r="K36" s="619" t="s">
        <v>959</v>
      </c>
      <c r="L36" s="619" t="s">
        <v>959</v>
      </c>
      <c r="M36" s="620"/>
      <c r="N36" s="620"/>
      <c r="O36" s="663" t="s">
        <v>1044</v>
      </c>
      <c r="P36" s="621"/>
      <c r="Q36" s="598"/>
      <c r="R36" s="598"/>
      <c r="S36" s="598"/>
      <c r="T36" s="598" t="s">
        <v>1015</v>
      </c>
      <c r="U36" s="663" t="s">
        <v>904</v>
      </c>
      <c r="V36" s="616" t="s">
        <v>1016</v>
      </c>
      <c r="W36" s="598" t="s">
        <v>950</v>
      </c>
      <c r="X36" s="624">
        <v>31075</v>
      </c>
      <c r="Y36" s="625">
        <f t="shared" ca="1" si="2"/>
        <v>41</v>
      </c>
      <c r="Z36" s="616" t="s">
        <v>1017</v>
      </c>
      <c r="AA36" s="598"/>
      <c r="AB36" s="598" t="s">
        <v>966</v>
      </c>
      <c r="AC36" s="633" t="s">
        <v>1018</v>
      </c>
      <c r="AD36" s="616" t="s">
        <v>729</v>
      </c>
      <c r="AE36" s="616" t="s">
        <v>954</v>
      </c>
      <c r="AF36" s="616" t="s">
        <v>974</v>
      </c>
      <c r="AG36" s="598"/>
      <c r="AH36" s="598" t="s">
        <v>1019</v>
      </c>
      <c r="AI36" s="598"/>
      <c r="AJ36" s="598" t="s">
        <v>1020</v>
      </c>
      <c r="AK36" s="626"/>
      <c r="AL36" s="626"/>
    </row>
    <row r="37" spans="1:38" ht="18" customHeight="1">
      <c r="A37" s="593"/>
      <c r="B37" s="598">
        <v>16</v>
      </c>
      <c r="C37" s="598" t="s">
        <v>1029</v>
      </c>
      <c r="D37" s="598">
        <f t="shared" si="0"/>
        <v>16</v>
      </c>
      <c r="E37" s="616" t="s">
        <v>957</v>
      </c>
      <c r="F37" s="616" t="s">
        <v>1013</v>
      </c>
      <c r="G37" s="618" t="s">
        <v>1033</v>
      </c>
      <c r="H37" s="618" t="s">
        <v>4</v>
      </c>
      <c r="I37" s="618" t="s">
        <v>4447</v>
      </c>
      <c r="J37" s="618" t="s">
        <v>4447</v>
      </c>
      <c r="K37" s="619" t="s">
        <v>959</v>
      </c>
      <c r="L37" s="619" t="s">
        <v>959</v>
      </c>
      <c r="M37" s="620"/>
      <c r="N37" s="620"/>
      <c r="O37" s="663" t="s">
        <v>1044</v>
      </c>
      <c r="P37" s="621"/>
      <c r="Q37" s="598"/>
      <c r="R37" s="598"/>
      <c r="S37" s="598"/>
      <c r="T37" s="598" t="s">
        <v>1015</v>
      </c>
      <c r="U37" s="663" t="s">
        <v>79</v>
      </c>
      <c r="V37" s="616" t="s">
        <v>1030</v>
      </c>
      <c r="W37" s="598" t="s">
        <v>950</v>
      </c>
      <c r="X37" s="624">
        <v>32547</v>
      </c>
      <c r="Y37" s="625">
        <f t="shared" ca="1" si="2"/>
        <v>36</v>
      </c>
      <c r="Z37" s="616" t="s">
        <v>1031</v>
      </c>
      <c r="AA37" s="598"/>
      <c r="AB37" s="598" t="s">
        <v>966</v>
      </c>
      <c r="AC37" s="631" t="s">
        <v>1018</v>
      </c>
      <c r="AD37" s="616" t="s">
        <v>973</v>
      </c>
      <c r="AE37" s="616" t="s">
        <v>954</v>
      </c>
      <c r="AF37" s="616" t="s">
        <v>968</v>
      </c>
      <c r="AG37" s="598"/>
      <c r="AH37" s="598"/>
      <c r="AI37" s="598"/>
      <c r="AJ37" s="598"/>
      <c r="AK37" s="626"/>
      <c r="AL37" s="626"/>
    </row>
    <row r="38" spans="1:38" ht="18" customHeight="1">
      <c r="A38" s="593"/>
      <c r="B38" s="598">
        <v>17</v>
      </c>
      <c r="C38" s="598" t="s">
        <v>1068</v>
      </c>
      <c r="D38" s="598">
        <f t="shared" si="0"/>
        <v>17</v>
      </c>
      <c r="E38" s="616" t="s">
        <v>957</v>
      </c>
      <c r="F38" s="616" t="s">
        <v>1013</v>
      </c>
      <c r="G38" s="618" t="s">
        <v>1033</v>
      </c>
      <c r="H38" s="618" t="s">
        <v>4</v>
      </c>
      <c r="I38" s="618" t="s">
        <v>4447</v>
      </c>
      <c r="J38" s="618" t="s">
        <v>4447</v>
      </c>
      <c r="K38" s="619" t="s">
        <v>959</v>
      </c>
      <c r="L38" s="619" t="s">
        <v>959</v>
      </c>
      <c r="M38" s="620"/>
      <c r="N38" s="620"/>
      <c r="O38" s="663" t="s">
        <v>1044</v>
      </c>
      <c r="P38" s="621"/>
      <c r="Q38" s="598"/>
      <c r="R38" s="598"/>
      <c r="S38" s="598"/>
      <c r="T38" s="598" t="s">
        <v>1015</v>
      </c>
      <c r="U38" s="663" t="s">
        <v>101</v>
      </c>
      <c r="V38" s="616" t="s">
        <v>1069</v>
      </c>
      <c r="W38" s="598" t="s">
        <v>950</v>
      </c>
      <c r="X38" s="624">
        <v>31062</v>
      </c>
      <c r="Y38" s="625">
        <f t="shared" ca="1" si="2"/>
        <v>41</v>
      </c>
      <c r="Z38" s="616" t="s">
        <v>1070</v>
      </c>
      <c r="AA38" s="598"/>
      <c r="AB38" s="598" t="s">
        <v>966</v>
      </c>
      <c r="AC38" s="598" t="s">
        <v>953</v>
      </c>
      <c r="AD38" s="616" t="s">
        <v>954</v>
      </c>
      <c r="AE38" s="616" t="s">
        <v>954</v>
      </c>
      <c r="AF38" s="616" t="s">
        <v>974</v>
      </c>
      <c r="AG38" s="598"/>
      <c r="AH38" s="598"/>
      <c r="AI38" s="598"/>
      <c r="AJ38" s="598"/>
      <c r="AK38" s="626"/>
      <c r="AL38" s="626"/>
    </row>
    <row r="39" spans="1:38" ht="18" customHeight="1">
      <c r="A39" s="593"/>
      <c r="B39" s="598">
        <v>18</v>
      </c>
      <c r="C39" s="598" t="s">
        <v>4449</v>
      </c>
      <c r="D39" s="598">
        <f t="shared" si="0"/>
        <v>18</v>
      </c>
      <c r="E39" s="616" t="s">
        <v>957</v>
      </c>
      <c r="F39" s="616" t="s">
        <v>1013</v>
      </c>
      <c r="G39" s="618" t="s">
        <v>1033</v>
      </c>
      <c r="H39" s="618" t="s">
        <v>4</v>
      </c>
      <c r="I39" s="618" t="s">
        <v>4447</v>
      </c>
      <c r="J39" s="618" t="s">
        <v>4447</v>
      </c>
      <c r="K39" s="619" t="s">
        <v>959</v>
      </c>
      <c r="L39" s="619" t="s">
        <v>959</v>
      </c>
      <c r="M39" s="620"/>
      <c r="N39" s="620"/>
      <c r="O39" s="663" t="s">
        <v>1044</v>
      </c>
      <c r="P39" s="621"/>
      <c r="Q39" s="598"/>
      <c r="R39" s="598"/>
      <c r="S39" s="598"/>
      <c r="T39" s="598" t="s">
        <v>1015</v>
      </c>
      <c r="U39" s="664" t="s">
        <v>4450</v>
      </c>
      <c r="V39" s="616" t="s">
        <v>4451</v>
      </c>
      <c r="W39" s="598" t="s">
        <v>950</v>
      </c>
      <c r="X39" s="624">
        <v>31504</v>
      </c>
      <c r="Y39" s="625">
        <f t="shared" ca="1" si="2"/>
        <v>39</v>
      </c>
      <c r="Z39" s="616" t="s">
        <v>4452</v>
      </c>
      <c r="AA39" s="598"/>
      <c r="AB39" s="598" t="s">
        <v>1006</v>
      </c>
      <c r="AC39" s="633" t="s">
        <v>1018</v>
      </c>
      <c r="AD39" s="616" t="s">
        <v>1041</v>
      </c>
      <c r="AE39" s="616" t="s">
        <v>954</v>
      </c>
      <c r="AF39" s="616" t="s">
        <v>974</v>
      </c>
      <c r="AG39" s="598"/>
      <c r="AH39" s="598" t="s">
        <v>1019</v>
      </c>
      <c r="AI39" s="598"/>
      <c r="AJ39" s="598" t="s">
        <v>1020</v>
      </c>
      <c r="AK39" s="626"/>
      <c r="AL39" s="626"/>
    </row>
    <row r="40" spans="1:38" ht="18" customHeight="1">
      <c r="A40" s="593"/>
      <c r="B40" s="598">
        <v>19</v>
      </c>
      <c r="C40" s="598" t="s">
        <v>1021</v>
      </c>
      <c r="D40" s="598">
        <f t="shared" si="0"/>
        <v>19</v>
      </c>
      <c r="E40" s="616" t="s">
        <v>957</v>
      </c>
      <c r="F40" s="616" t="s">
        <v>1013</v>
      </c>
      <c r="G40" s="618" t="s">
        <v>1033</v>
      </c>
      <c r="H40" s="618" t="s">
        <v>4</v>
      </c>
      <c r="I40" s="618" t="s">
        <v>4447</v>
      </c>
      <c r="J40" s="618" t="s">
        <v>4447</v>
      </c>
      <c r="K40" s="619" t="s">
        <v>959</v>
      </c>
      <c r="L40" s="619" t="s">
        <v>959</v>
      </c>
      <c r="M40" s="620"/>
      <c r="N40" s="620"/>
      <c r="O40" s="663" t="s">
        <v>1044</v>
      </c>
      <c r="P40" s="621"/>
      <c r="Q40" s="598"/>
      <c r="R40" s="598"/>
      <c r="S40" s="598"/>
      <c r="T40" s="598" t="s">
        <v>1015</v>
      </c>
      <c r="U40" s="665" t="s">
        <v>906</v>
      </c>
      <c r="V40" s="616" t="s">
        <v>1022</v>
      </c>
      <c r="W40" s="598" t="s">
        <v>950</v>
      </c>
      <c r="X40" s="624">
        <v>23079</v>
      </c>
      <c r="Y40" s="625">
        <f t="shared" ca="1" si="2"/>
        <v>62</v>
      </c>
      <c r="Z40" s="616" t="s">
        <v>1023</v>
      </c>
      <c r="AA40" s="598" t="s">
        <v>1024</v>
      </c>
      <c r="AB40" s="598" t="s">
        <v>996</v>
      </c>
      <c r="AC40" s="598" t="s">
        <v>1018</v>
      </c>
      <c r="AD40" s="616" t="s">
        <v>246</v>
      </c>
      <c r="AE40" s="616" t="s">
        <v>954</v>
      </c>
      <c r="AF40" s="616" t="s">
        <v>968</v>
      </c>
      <c r="AG40" s="598"/>
      <c r="AH40" s="598" t="s">
        <v>1019</v>
      </c>
      <c r="AI40" s="598" t="s">
        <v>1025</v>
      </c>
      <c r="AJ40" s="598" t="s">
        <v>1020</v>
      </c>
      <c r="AK40" s="626"/>
      <c r="AL40" s="626"/>
    </row>
    <row r="41" spans="1:38" ht="18" customHeight="1">
      <c r="A41" s="593"/>
      <c r="B41" s="598">
        <v>20</v>
      </c>
      <c r="C41" s="598" t="s">
        <v>4453</v>
      </c>
      <c r="D41" s="598">
        <f t="shared" si="0"/>
        <v>20</v>
      </c>
      <c r="E41" s="616" t="s">
        <v>957</v>
      </c>
      <c r="F41" s="616" t="s">
        <v>1013</v>
      </c>
      <c r="G41" s="618" t="s">
        <v>1033</v>
      </c>
      <c r="H41" s="618" t="s">
        <v>4</v>
      </c>
      <c r="I41" s="618" t="s">
        <v>4447</v>
      </c>
      <c r="J41" s="618" t="s">
        <v>4447</v>
      </c>
      <c r="K41" s="619" t="s">
        <v>959</v>
      </c>
      <c r="L41" s="619" t="s">
        <v>959</v>
      </c>
      <c r="M41" s="620"/>
      <c r="N41" s="620"/>
      <c r="O41" s="663" t="s">
        <v>1044</v>
      </c>
      <c r="P41" s="621"/>
      <c r="Q41" s="598"/>
      <c r="R41" s="598"/>
      <c r="S41" s="598"/>
      <c r="T41" s="598" t="s">
        <v>1090</v>
      </c>
      <c r="U41" s="668" t="s">
        <v>4454</v>
      </c>
      <c r="V41" s="616" t="s">
        <v>4455</v>
      </c>
      <c r="W41" s="598" t="s">
        <v>950</v>
      </c>
      <c r="X41" s="624">
        <v>19818</v>
      </c>
      <c r="Y41" s="625">
        <f t="shared" ca="1" si="2"/>
        <v>71</v>
      </c>
      <c r="Z41" s="616" t="s">
        <v>4456</v>
      </c>
      <c r="AA41" s="632"/>
      <c r="AB41" s="598" t="s">
        <v>996</v>
      </c>
      <c r="AC41" s="598" t="s">
        <v>1018</v>
      </c>
      <c r="AD41" s="616" t="s">
        <v>973</v>
      </c>
      <c r="AE41" s="616" t="s">
        <v>954</v>
      </c>
      <c r="AF41" s="616" t="s">
        <v>968</v>
      </c>
      <c r="AG41" s="598"/>
      <c r="AH41" s="598" t="s">
        <v>4457</v>
      </c>
      <c r="AI41" s="598" t="s">
        <v>1125</v>
      </c>
      <c r="AJ41" s="598" t="s">
        <v>1020</v>
      </c>
      <c r="AK41" s="626"/>
      <c r="AL41" s="626"/>
    </row>
    <row r="42" spans="1:38" ht="18" customHeight="1">
      <c r="A42" s="593"/>
      <c r="B42" s="598">
        <v>21</v>
      </c>
      <c r="C42" s="598" t="s">
        <v>1032</v>
      </c>
      <c r="D42" s="598">
        <f t="shared" si="0"/>
        <v>21</v>
      </c>
      <c r="E42" s="616" t="s">
        <v>957</v>
      </c>
      <c r="F42" s="616" t="s">
        <v>1013</v>
      </c>
      <c r="G42" s="618" t="s">
        <v>1033</v>
      </c>
      <c r="H42" s="618" t="s">
        <v>4</v>
      </c>
      <c r="I42" s="618" t="s">
        <v>4447</v>
      </c>
      <c r="J42" s="618" t="s">
        <v>4447</v>
      </c>
      <c r="K42" s="619" t="s">
        <v>959</v>
      </c>
      <c r="L42" s="619" t="s">
        <v>959</v>
      </c>
      <c r="M42" s="620"/>
      <c r="N42" s="620"/>
      <c r="O42" s="664" t="s">
        <v>1044</v>
      </c>
      <c r="P42" s="621"/>
      <c r="Q42" s="598"/>
      <c r="R42" s="598"/>
      <c r="S42" s="598"/>
      <c r="T42" s="598" t="s">
        <v>992</v>
      </c>
      <c r="U42" s="675" t="s">
        <v>127</v>
      </c>
      <c r="V42" s="616" t="s">
        <v>1034</v>
      </c>
      <c r="W42" s="598" t="s">
        <v>950</v>
      </c>
      <c r="X42" s="624">
        <v>33012</v>
      </c>
      <c r="Y42" s="625">
        <f t="shared" ca="1" si="2"/>
        <v>35</v>
      </c>
      <c r="Z42" s="616" t="s">
        <v>1035</v>
      </c>
      <c r="AA42" s="632"/>
      <c r="AB42" s="598" t="s">
        <v>996</v>
      </c>
      <c r="AC42" s="633" t="s">
        <v>1018</v>
      </c>
      <c r="AD42" s="616" t="s">
        <v>246</v>
      </c>
      <c r="AE42" s="616" t="s">
        <v>954</v>
      </c>
      <c r="AF42" s="616"/>
      <c r="AG42" s="598"/>
      <c r="AH42" s="598"/>
      <c r="AI42" s="598" t="s">
        <v>1025</v>
      </c>
      <c r="AJ42" s="598"/>
      <c r="AK42" s="626"/>
      <c r="AL42" s="626"/>
    </row>
    <row r="43" spans="1:38" ht="18" customHeight="1">
      <c r="A43" s="593"/>
      <c r="B43" s="598">
        <v>22</v>
      </c>
      <c r="C43" s="598" t="s">
        <v>1042</v>
      </c>
      <c r="D43" s="598">
        <f t="shared" si="0"/>
        <v>22</v>
      </c>
      <c r="E43" s="616" t="s">
        <v>957</v>
      </c>
      <c r="F43" s="616" t="s">
        <v>1013</v>
      </c>
      <c r="G43" s="618" t="s">
        <v>1033</v>
      </c>
      <c r="H43" s="618" t="s">
        <v>4</v>
      </c>
      <c r="I43" s="618" t="s">
        <v>4447</v>
      </c>
      <c r="J43" s="618" t="s">
        <v>1042</v>
      </c>
      <c r="K43" s="618" t="s">
        <v>1043</v>
      </c>
      <c r="L43" s="619" t="s">
        <v>959</v>
      </c>
      <c r="M43" s="620"/>
      <c r="N43" s="620"/>
      <c r="O43" s="667" t="s">
        <v>1074</v>
      </c>
      <c r="P43" s="621"/>
      <c r="Q43" s="598" t="s">
        <v>55</v>
      </c>
      <c r="R43" s="598" t="s">
        <v>55</v>
      </c>
      <c r="S43" s="598"/>
      <c r="T43" s="623" t="s">
        <v>1015</v>
      </c>
      <c r="U43" s="667" t="s">
        <v>58</v>
      </c>
      <c r="V43" s="674" t="s">
        <v>1045</v>
      </c>
      <c r="W43" s="598" t="s">
        <v>950</v>
      </c>
      <c r="X43" s="624">
        <v>33312</v>
      </c>
      <c r="Y43" s="625">
        <f t="shared" ca="1" si="2"/>
        <v>34</v>
      </c>
      <c r="Z43" s="616" t="s">
        <v>1046</v>
      </c>
      <c r="AA43" s="598" t="s">
        <v>1047</v>
      </c>
      <c r="AB43" s="598" t="s">
        <v>966</v>
      </c>
      <c r="AC43" s="598" t="s">
        <v>953</v>
      </c>
      <c r="AD43" s="616" t="s">
        <v>973</v>
      </c>
      <c r="AE43" s="616" t="s">
        <v>954</v>
      </c>
      <c r="AF43" s="616" t="s">
        <v>974</v>
      </c>
      <c r="AG43" s="598"/>
      <c r="AH43" s="598"/>
      <c r="AI43" s="598"/>
      <c r="AJ43" s="598"/>
      <c r="AK43" s="626"/>
      <c r="AL43" s="626"/>
    </row>
    <row r="44" spans="1:38" ht="18" customHeight="1">
      <c r="A44" s="593"/>
      <c r="B44" s="598">
        <v>23</v>
      </c>
      <c r="C44" s="598" t="s">
        <v>1043</v>
      </c>
      <c r="D44" s="598">
        <f t="shared" si="0"/>
        <v>23</v>
      </c>
      <c r="E44" s="616" t="s">
        <v>957</v>
      </c>
      <c r="F44" s="616" t="s">
        <v>1013</v>
      </c>
      <c r="G44" s="618" t="s">
        <v>1033</v>
      </c>
      <c r="H44" s="618" t="s">
        <v>4</v>
      </c>
      <c r="I44" s="618" t="s">
        <v>4447</v>
      </c>
      <c r="J44" s="618" t="s">
        <v>1042</v>
      </c>
      <c r="K44" s="618" t="s">
        <v>1043</v>
      </c>
      <c r="L44" s="619" t="s">
        <v>959</v>
      </c>
      <c r="M44" s="620"/>
      <c r="N44" s="620"/>
      <c r="O44" s="663" t="s">
        <v>1074</v>
      </c>
      <c r="P44" s="621"/>
      <c r="Q44" s="598" t="s">
        <v>69</v>
      </c>
      <c r="R44" s="598" t="s">
        <v>69</v>
      </c>
      <c r="S44" s="598"/>
      <c r="T44" s="623" t="s">
        <v>1015</v>
      </c>
      <c r="U44" s="663" t="s">
        <v>68</v>
      </c>
      <c r="V44" s="674" t="s">
        <v>1048</v>
      </c>
      <c r="W44" s="598" t="s">
        <v>950</v>
      </c>
      <c r="X44" s="624">
        <v>32771</v>
      </c>
      <c r="Y44" s="625">
        <f t="shared" ca="1" si="2"/>
        <v>36</v>
      </c>
      <c r="Z44" s="616" t="s">
        <v>1049</v>
      </c>
      <c r="AA44" s="598" t="s">
        <v>1050</v>
      </c>
      <c r="AB44" s="598" t="s">
        <v>966</v>
      </c>
      <c r="AC44" s="598" t="s">
        <v>953</v>
      </c>
      <c r="AD44" s="616" t="s">
        <v>246</v>
      </c>
      <c r="AE44" s="616" t="s">
        <v>954</v>
      </c>
      <c r="AF44" s="616" t="s">
        <v>974</v>
      </c>
      <c r="AG44" s="598"/>
      <c r="AH44" s="598"/>
      <c r="AI44" s="598"/>
      <c r="AJ44" s="598"/>
      <c r="AK44" s="626"/>
      <c r="AL44" s="626"/>
    </row>
    <row r="45" spans="1:38" ht="18" customHeight="1">
      <c r="A45" s="593"/>
      <c r="B45" s="598">
        <v>24</v>
      </c>
      <c r="C45" s="598" t="s">
        <v>1051</v>
      </c>
      <c r="D45" s="598">
        <f t="shared" si="0"/>
        <v>24</v>
      </c>
      <c r="E45" s="616" t="s">
        <v>957</v>
      </c>
      <c r="F45" s="616" t="s">
        <v>1013</v>
      </c>
      <c r="G45" s="618" t="s">
        <v>1033</v>
      </c>
      <c r="H45" s="618" t="s">
        <v>4</v>
      </c>
      <c r="I45" s="618" t="s">
        <v>4447</v>
      </c>
      <c r="J45" s="618" t="s">
        <v>1042</v>
      </c>
      <c r="K45" s="618" t="s">
        <v>1043</v>
      </c>
      <c r="L45" s="619" t="s">
        <v>959</v>
      </c>
      <c r="M45" s="620"/>
      <c r="N45" s="620"/>
      <c r="O45" s="663" t="s">
        <v>1074</v>
      </c>
      <c r="P45" s="621"/>
      <c r="Q45" s="598" t="s">
        <v>173</v>
      </c>
      <c r="R45" s="598" t="s">
        <v>514</v>
      </c>
      <c r="S45" s="598" t="s">
        <v>55</v>
      </c>
      <c r="T45" s="623" t="s">
        <v>1015</v>
      </c>
      <c r="U45" s="663" t="s">
        <v>80</v>
      </c>
      <c r="V45" s="674" t="s">
        <v>1053</v>
      </c>
      <c r="W45" s="598" t="s">
        <v>950</v>
      </c>
      <c r="X45" s="624">
        <v>31722</v>
      </c>
      <c r="Y45" s="625">
        <f t="shared" ca="1" si="2"/>
        <v>39</v>
      </c>
      <c r="Z45" s="616" t="s">
        <v>1054</v>
      </c>
      <c r="AA45" s="598" t="s">
        <v>1055</v>
      </c>
      <c r="AB45" s="598" t="s">
        <v>966</v>
      </c>
      <c r="AC45" s="598" t="s">
        <v>953</v>
      </c>
      <c r="AD45" s="616" t="s">
        <v>729</v>
      </c>
      <c r="AE45" s="616" t="s">
        <v>954</v>
      </c>
      <c r="AF45" s="616" t="s">
        <v>968</v>
      </c>
      <c r="AG45" s="598" t="s">
        <v>1775</v>
      </c>
      <c r="AH45" s="598" t="s">
        <v>4458</v>
      </c>
      <c r="AI45" s="598"/>
      <c r="AJ45" s="598"/>
      <c r="AK45" s="626"/>
      <c r="AL45" s="626"/>
    </row>
    <row r="46" spans="1:38" ht="18" customHeight="1">
      <c r="A46" s="593"/>
      <c r="B46" s="598">
        <v>25</v>
      </c>
      <c r="C46" s="598" t="s">
        <v>1057</v>
      </c>
      <c r="D46" s="598">
        <f t="shared" si="0"/>
        <v>25</v>
      </c>
      <c r="E46" s="616" t="s">
        <v>957</v>
      </c>
      <c r="F46" s="616" t="s">
        <v>1013</v>
      </c>
      <c r="G46" s="618" t="s">
        <v>1033</v>
      </c>
      <c r="H46" s="618" t="s">
        <v>4</v>
      </c>
      <c r="I46" s="618" t="s">
        <v>4447</v>
      </c>
      <c r="J46" s="618" t="s">
        <v>1042</v>
      </c>
      <c r="K46" s="618" t="s">
        <v>1043</v>
      </c>
      <c r="L46" s="619" t="s">
        <v>959</v>
      </c>
      <c r="M46" s="620"/>
      <c r="N46" s="620"/>
      <c r="O46" s="663" t="s">
        <v>1074</v>
      </c>
      <c r="P46" s="621"/>
      <c r="Q46" s="598"/>
      <c r="R46" s="598"/>
      <c r="S46" s="598"/>
      <c r="T46" s="623" t="s">
        <v>1015</v>
      </c>
      <c r="U46" s="663" t="s">
        <v>92</v>
      </c>
      <c r="V46" s="674" t="s">
        <v>1058</v>
      </c>
      <c r="W46" s="598" t="s">
        <v>950</v>
      </c>
      <c r="X46" s="624">
        <v>30208</v>
      </c>
      <c r="Y46" s="625">
        <f t="shared" ca="1" si="2"/>
        <v>43</v>
      </c>
      <c r="Z46" s="616" t="s">
        <v>1059</v>
      </c>
      <c r="AA46" s="598"/>
      <c r="AB46" s="598" t="s">
        <v>966</v>
      </c>
      <c r="AC46" s="598" t="s">
        <v>953</v>
      </c>
      <c r="AD46" s="616" t="s">
        <v>246</v>
      </c>
      <c r="AE46" s="616" t="s">
        <v>954</v>
      </c>
      <c r="AF46" s="616" t="s">
        <v>974</v>
      </c>
      <c r="AG46" s="598"/>
      <c r="AH46" s="598"/>
      <c r="AI46" s="598"/>
      <c r="AJ46" s="598"/>
      <c r="AK46" s="626"/>
      <c r="AL46" s="626"/>
    </row>
    <row r="47" spans="1:38" ht="18" customHeight="1">
      <c r="A47" s="593"/>
      <c r="B47" s="598">
        <v>26</v>
      </c>
      <c r="C47" s="598" t="s">
        <v>1060</v>
      </c>
      <c r="D47" s="598">
        <f t="shared" si="0"/>
        <v>26</v>
      </c>
      <c r="E47" s="616" t="s">
        <v>957</v>
      </c>
      <c r="F47" s="616" t="s">
        <v>1013</v>
      </c>
      <c r="G47" s="618" t="s">
        <v>1033</v>
      </c>
      <c r="H47" s="618" t="s">
        <v>4</v>
      </c>
      <c r="I47" s="618" t="s">
        <v>4447</v>
      </c>
      <c r="J47" s="618" t="s">
        <v>1042</v>
      </c>
      <c r="K47" s="618" t="s">
        <v>1043</v>
      </c>
      <c r="L47" s="619" t="s">
        <v>959</v>
      </c>
      <c r="M47" s="620"/>
      <c r="N47" s="620"/>
      <c r="O47" s="663" t="s">
        <v>1074</v>
      </c>
      <c r="P47" s="621"/>
      <c r="Q47" s="598"/>
      <c r="R47" s="598"/>
      <c r="S47" s="598"/>
      <c r="T47" s="623" t="s">
        <v>1015</v>
      </c>
      <c r="U47" s="665" t="s">
        <v>102</v>
      </c>
      <c r="V47" s="674" t="s">
        <v>1061</v>
      </c>
      <c r="W47" s="598" t="s">
        <v>950</v>
      </c>
      <c r="X47" s="624">
        <v>31249</v>
      </c>
      <c r="Y47" s="625">
        <f t="shared" ca="1" si="2"/>
        <v>40</v>
      </c>
      <c r="Z47" s="616" t="s">
        <v>1062</v>
      </c>
      <c r="AA47" s="598" t="s">
        <v>1063</v>
      </c>
      <c r="AB47" s="598" t="s">
        <v>966</v>
      </c>
      <c r="AC47" s="598" t="s">
        <v>953</v>
      </c>
      <c r="AD47" s="616" t="s">
        <v>973</v>
      </c>
      <c r="AE47" s="616" t="s">
        <v>954</v>
      </c>
      <c r="AF47" s="616" t="s">
        <v>974</v>
      </c>
      <c r="AG47" s="598"/>
      <c r="AH47" s="598"/>
      <c r="AI47" s="598"/>
      <c r="AJ47" s="598"/>
      <c r="AK47" s="626"/>
      <c r="AL47" s="626"/>
    </row>
    <row r="48" spans="1:38" ht="18" customHeight="1">
      <c r="A48" s="593"/>
      <c r="B48" s="598">
        <v>27</v>
      </c>
      <c r="C48" s="598" t="s">
        <v>1064</v>
      </c>
      <c r="D48" s="598">
        <f t="shared" si="0"/>
        <v>27</v>
      </c>
      <c r="E48" s="616" t="s">
        <v>957</v>
      </c>
      <c r="F48" s="616" t="s">
        <v>1013</v>
      </c>
      <c r="G48" s="618" t="s">
        <v>1033</v>
      </c>
      <c r="H48" s="618" t="s">
        <v>4</v>
      </c>
      <c r="I48" s="618" t="s">
        <v>4447</v>
      </c>
      <c r="J48" s="618" t="s">
        <v>1042</v>
      </c>
      <c r="K48" s="618" t="s">
        <v>1043</v>
      </c>
      <c r="L48" s="619" t="s">
        <v>959</v>
      </c>
      <c r="M48" s="620"/>
      <c r="N48" s="620"/>
      <c r="O48" s="663" t="s">
        <v>1074</v>
      </c>
      <c r="P48" s="621"/>
      <c r="Q48" s="598"/>
      <c r="R48" s="598"/>
      <c r="S48" s="598"/>
      <c r="T48" s="623" t="s">
        <v>1015</v>
      </c>
      <c r="U48" s="668" t="s">
        <v>1065</v>
      </c>
      <c r="V48" s="674" t="s">
        <v>1066</v>
      </c>
      <c r="W48" s="598" t="s">
        <v>950</v>
      </c>
      <c r="X48" s="624">
        <v>31736</v>
      </c>
      <c r="Y48" s="625">
        <f t="shared" ca="1" si="2"/>
        <v>39</v>
      </c>
      <c r="Z48" s="616" t="s">
        <v>1067</v>
      </c>
      <c r="AA48" s="632"/>
      <c r="AB48" s="598" t="s">
        <v>1006</v>
      </c>
      <c r="AC48" s="633" t="s">
        <v>1018</v>
      </c>
      <c r="AD48" s="616" t="s">
        <v>973</v>
      </c>
      <c r="AE48" s="616" t="s">
        <v>954</v>
      </c>
      <c r="AF48" s="616" t="s">
        <v>974</v>
      </c>
      <c r="AG48" s="598"/>
      <c r="AH48" s="598" t="s">
        <v>1019</v>
      </c>
      <c r="AI48" s="598"/>
      <c r="AJ48" s="598" t="s">
        <v>1020</v>
      </c>
      <c r="AK48" s="626"/>
      <c r="AL48" s="626"/>
    </row>
    <row r="49" spans="1:38" ht="18" customHeight="1">
      <c r="A49" s="593"/>
      <c r="B49" s="598">
        <v>28</v>
      </c>
      <c r="C49" s="598" t="s">
        <v>4459</v>
      </c>
      <c r="D49" s="598">
        <f t="shared" si="0"/>
        <v>28</v>
      </c>
      <c r="E49" s="616" t="s">
        <v>957</v>
      </c>
      <c r="F49" s="616" t="s">
        <v>1001</v>
      </c>
      <c r="G49" s="618" t="s">
        <v>1033</v>
      </c>
      <c r="H49" s="618" t="s">
        <v>4</v>
      </c>
      <c r="I49" s="618" t="s">
        <v>4447</v>
      </c>
      <c r="J49" s="618" t="s">
        <v>1042</v>
      </c>
      <c r="K49" s="618" t="s">
        <v>1043</v>
      </c>
      <c r="L49" s="619" t="s">
        <v>959</v>
      </c>
      <c r="M49" s="620"/>
      <c r="N49" s="620"/>
      <c r="O49" s="673" t="s">
        <v>1074</v>
      </c>
      <c r="P49" s="621"/>
      <c r="Q49" s="598"/>
      <c r="R49" s="598"/>
      <c r="S49" s="598"/>
      <c r="T49" s="623" t="s">
        <v>992</v>
      </c>
      <c r="U49" s="676" t="s">
        <v>4460</v>
      </c>
      <c r="V49" s="674" t="s">
        <v>4461</v>
      </c>
      <c r="W49" s="598" t="s">
        <v>950</v>
      </c>
      <c r="X49" s="624">
        <v>33222</v>
      </c>
      <c r="Y49" s="625">
        <f t="shared" ca="1" si="2"/>
        <v>35</v>
      </c>
      <c r="Z49" s="616" t="s">
        <v>4462</v>
      </c>
      <c r="AA49" s="632"/>
      <c r="AB49" s="598" t="s">
        <v>1006</v>
      </c>
      <c r="AC49" s="633" t="s">
        <v>1018</v>
      </c>
      <c r="AD49" s="616" t="s">
        <v>973</v>
      </c>
      <c r="AE49" s="616" t="s">
        <v>954</v>
      </c>
      <c r="AF49" s="616" t="s">
        <v>974</v>
      </c>
      <c r="AG49" s="598"/>
      <c r="AH49" s="598" t="s">
        <v>4443</v>
      </c>
      <c r="AI49" s="598"/>
      <c r="AJ49" s="598" t="s">
        <v>4463</v>
      </c>
      <c r="AK49" s="626"/>
      <c r="AL49" s="626"/>
    </row>
    <row r="50" spans="1:38" ht="18" customHeight="1">
      <c r="A50" s="593"/>
      <c r="B50" s="598">
        <v>29</v>
      </c>
      <c r="C50" s="598" t="s">
        <v>1071</v>
      </c>
      <c r="D50" s="598">
        <f t="shared" si="0"/>
        <v>29</v>
      </c>
      <c r="E50" s="616" t="s">
        <v>957</v>
      </c>
      <c r="F50" s="616" t="s">
        <v>1013</v>
      </c>
      <c r="G50" s="618" t="s">
        <v>1033</v>
      </c>
      <c r="H50" s="618" t="s">
        <v>4</v>
      </c>
      <c r="I50" s="618" t="s">
        <v>4447</v>
      </c>
      <c r="J50" s="618" t="s">
        <v>1071</v>
      </c>
      <c r="K50" s="619" t="s">
        <v>1072</v>
      </c>
      <c r="L50" s="618" t="s">
        <v>1073</v>
      </c>
      <c r="M50" s="620"/>
      <c r="N50" s="620"/>
      <c r="O50" s="669" t="s">
        <v>1115</v>
      </c>
      <c r="P50" s="621"/>
      <c r="Q50" s="598" t="s">
        <v>69</v>
      </c>
      <c r="R50" s="598" t="s">
        <v>69</v>
      </c>
      <c r="S50" s="598"/>
      <c r="T50" s="598" t="s">
        <v>1015</v>
      </c>
      <c r="U50" s="669" t="s">
        <v>117</v>
      </c>
      <c r="V50" s="616" t="s">
        <v>1075</v>
      </c>
      <c r="W50" s="598" t="s">
        <v>950</v>
      </c>
      <c r="X50" s="624">
        <v>24988</v>
      </c>
      <c r="Y50" s="625">
        <f t="shared" ca="1" si="2"/>
        <v>57</v>
      </c>
      <c r="Z50" s="616" t="s">
        <v>1076</v>
      </c>
      <c r="AA50" s="598" t="s">
        <v>1077</v>
      </c>
      <c r="AB50" s="598" t="s">
        <v>996</v>
      </c>
      <c r="AC50" s="598" t="s">
        <v>953</v>
      </c>
      <c r="AD50" s="616" t="s">
        <v>1078</v>
      </c>
      <c r="AE50" s="616" t="s">
        <v>954</v>
      </c>
      <c r="AF50" s="616" t="s">
        <v>1079</v>
      </c>
      <c r="AG50" s="598"/>
      <c r="AH50" s="598"/>
      <c r="AI50" s="598" t="s">
        <v>1011</v>
      </c>
      <c r="AJ50" s="598"/>
      <c r="AK50" s="626"/>
      <c r="AL50" s="626"/>
    </row>
    <row r="51" spans="1:38" ht="18" customHeight="1">
      <c r="A51" s="593"/>
      <c r="B51" s="598">
        <v>30</v>
      </c>
      <c r="C51" s="598" t="s">
        <v>1072</v>
      </c>
      <c r="D51" s="598">
        <f t="shared" si="0"/>
        <v>30</v>
      </c>
      <c r="E51" s="616" t="s">
        <v>957</v>
      </c>
      <c r="F51" s="616" t="s">
        <v>1013</v>
      </c>
      <c r="G51" s="618" t="s">
        <v>1033</v>
      </c>
      <c r="H51" s="618" t="s">
        <v>4</v>
      </c>
      <c r="I51" s="618" t="s">
        <v>4447</v>
      </c>
      <c r="J51" s="618" t="s">
        <v>1071</v>
      </c>
      <c r="K51" s="619" t="s">
        <v>1072</v>
      </c>
      <c r="L51" s="618" t="s">
        <v>1073</v>
      </c>
      <c r="M51" s="620"/>
      <c r="N51" s="620"/>
      <c r="O51" s="663" t="s">
        <v>1115</v>
      </c>
      <c r="P51" s="621"/>
      <c r="Q51" s="598" t="s">
        <v>69</v>
      </c>
      <c r="R51" s="598" t="s">
        <v>69</v>
      </c>
      <c r="S51" s="598"/>
      <c r="T51" s="598" t="s">
        <v>1015</v>
      </c>
      <c r="U51" s="663" t="s">
        <v>81</v>
      </c>
      <c r="V51" s="616" t="s">
        <v>1080</v>
      </c>
      <c r="W51" s="598" t="s">
        <v>950</v>
      </c>
      <c r="X51" s="624">
        <v>30935</v>
      </c>
      <c r="Y51" s="625">
        <f t="shared" ca="1" si="2"/>
        <v>41</v>
      </c>
      <c r="Z51" s="616" t="s">
        <v>1081</v>
      </c>
      <c r="AA51" s="598" t="s">
        <v>1082</v>
      </c>
      <c r="AB51" s="598" t="s">
        <v>966</v>
      </c>
      <c r="AC51" s="598" t="s">
        <v>953</v>
      </c>
      <c r="AD51" s="616" t="s">
        <v>1078</v>
      </c>
      <c r="AE51" s="616" t="s">
        <v>954</v>
      </c>
      <c r="AF51" s="616" t="s">
        <v>974</v>
      </c>
      <c r="AG51" s="598"/>
      <c r="AH51" s="598"/>
      <c r="AI51" s="598"/>
      <c r="AJ51" s="598"/>
      <c r="AK51" s="626"/>
      <c r="AL51" s="626"/>
    </row>
    <row r="52" spans="1:38" ht="18" customHeight="1">
      <c r="A52" s="593"/>
      <c r="B52" s="598">
        <v>31</v>
      </c>
      <c r="C52" s="598" t="s">
        <v>1073</v>
      </c>
      <c r="D52" s="598">
        <f t="shared" si="0"/>
        <v>31</v>
      </c>
      <c r="E52" s="616" t="s">
        <v>957</v>
      </c>
      <c r="F52" s="616" t="s">
        <v>1013</v>
      </c>
      <c r="G52" s="618" t="s">
        <v>1033</v>
      </c>
      <c r="H52" s="618" t="s">
        <v>4</v>
      </c>
      <c r="I52" s="618" t="s">
        <v>4447</v>
      </c>
      <c r="J52" s="618" t="s">
        <v>1071</v>
      </c>
      <c r="K52" s="619" t="s">
        <v>1072</v>
      </c>
      <c r="L52" s="618" t="s">
        <v>1073</v>
      </c>
      <c r="M52" s="620"/>
      <c r="N52" s="620"/>
      <c r="O52" s="663" t="s">
        <v>1115</v>
      </c>
      <c r="P52" s="621"/>
      <c r="Q52" s="598" t="s">
        <v>69</v>
      </c>
      <c r="R52" s="598" t="s">
        <v>69</v>
      </c>
      <c r="S52" s="598"/>
      <c r="T52" s="598" t="s">
        <v>1015</v>
      </c>
      <c r="U52" s="664" t="s">
        <v>70</v>
      </c>
      <c r="V52" s="616" t="s">
        <v>1083</v>
      </c>
      <c r="W52" s="598" t="s">
        <v>950</v>
      </c>
      <c r="X52" s="624">
        <v>29183</v>
      </c>
      <c r="Y52" s="625">
        <f t="shared" ca="1" si="2"/>
        <v>46</v>
      </c>
      <c r="Z52" s="616" t="s">
        <v>1084</v>
      </c>
      <c r="AA52" s="598" t="s">
        <v>1085</v>
      </c>
      <c r="AB52" s="598" t="s">
        <v>966</v>
      </c>
      <c r="AC52" s="598" t="s">
        <v>953</v>
      </c>
      <c r="AD52" s="616" t="s">
        <v>246</v>
      </c>
      <c r="AE52" s="616" t="s">
        <v>954</v>
      </c>
      <c r="AF52" s="616" t="s">
        <v>974</v>
      </c>
      <c r="AG52" s="598"/>
      <c r="AH52" s="598"/>
      <c r="AI52" s="598"/>
      <c r="AJ52" s="598"/>
      <c r="AK52" s="626"/>
      <c r="AL52" s="626"/>
    </row>
    <row r="53" spans="1:38" ht="18" customHeight="1">
      <c r="A53" s="593"/>
      <c r="B53" s="598">
        <v>32</v>
      </c>
      <c r="C53" s="598" t="s">
        <v>1086</v>
      </c>
      <c r="D53" s="598">
        <f t="shared" si="0"/>
        <v>32</v>
      </c>
      <c r="E53" s="616" t="s">
        <v>957</v>
      </c>
      <c r="F53" s="616" t="s">
        <v>1013</v>
      </c>
      <c r="G53" s="618" t="s">
        <v>1033</v>
      </c>
      <c r="H53" s="618" t="s">
        <v>4</v>
      </c>
      <c r="I53" s="618" t="s">
        <v>4447</v>
      </c>
      <c r="J53" s="618" t="s">
        <v>1071</v>
      </c>
      <c r="K53" s="619" t="s">
        <v>1072</v>
      </c>
      <c r="L53" s="618" t="s">
        <v>1073</v>
      </c>
      <c r="M53" s="620"/>
      <c r="N53" s="620"/>
      <c r="O53" s="663" t="s">
        <v>1115</v>
      </c>
      <c r="P53" s="621"/>
      <c r="Q53" s="598"/>
      <c r="R53" s="598"/>
      <c r="S53" s="598"/>
      <c r="T53" s="598" t="s">
        <v>1015</v>
      </c>
      <c r="U53" s="663" t="s">
        <v>93</v>
      </c>
      <c r="V53" s="616" t="s">
        <v>1087</v>
      </c>
      <c r="W53" s="598" t="s">
        <v>950</v>
      </c>
      <c r="X53" s="624">
        <v>33662</v>
      </c>
      <c r="Y53" s="625">
        <f t="shared" ca="1" si="2"/>
        <v>33</v>
      </c>
      <c r="Z53" s="616" t="s">
        <v>1088</v>
      </c>
      <c r="AA53" s="632"/>
      <c r="AB53" s="598" t="s">
        <v>966</v>
      </c>
      <c r="AC53" s="598" t="s">
        <v>953</v>
      </c>
      <c r="AD53" s="616" t="s">
        <v>973</v>
      </c>
      <c r="AE53" s="616" t="s">
        <v>954</v>
      </c>
      <c r="AF53" s="616" t="s">
        <v>974</v>
      </c>
      <c r="AG53" s="598"/>
      <c r="AH53" s="598"/>
      <c r="AI53" s="598"/>
      <c r="AJ53" s="598"/>
      <c r="AK53" s="626"/>
      <c r="AL53" s="626"/>
    </row>
    <row r="54" spans="1:38" ht="18" customHeight="1">
      <c r="A54" s="593"/>
      <c r="B54" s="598">
        <v>33</v>
      </c>
      <c r="C54" s="598" t="s">
        <v>1089</v>
      </c>
      <c r="D54" s="598">
        <f t="shared" si="0"/>
        <v>33</v>
      </c>
      <c r="E54" s="616" t="s">
        <v>957</v>
      </c>
      <c r="F54" s="616" t="s">
        <v>1013</v>
      </c>
      <c r="G54" s="618" t="s">
        <v>1033</v>
      </c>
      <c r="H54" s="618" t="s">
        <v>4</v>
      </c>
      <c r="I54" s="618" t="s">
        <v>4447</v>
      </c>
      <c r="J54" s="618" t="s">
        <v>1071</v>
      </c>
      <c r="K54" s="619" t="s">
        <v>1072</v>
      </c>
      <c r="L54" s="618" t="s">
        <v>1073</v>
      </c>
      <c r="M54" s="620"/>
      <c r="N54" s="620"/>
      <c r="O54" s="663" t="s">
        <v>1115</v>
      </c>
      <c r="P54" s="621"/>
      <c r="Q54" s="598"/>
      <c r="R54" s="598"/>
      <c r="S54" s="598"/>
      <c r="T54" s="598" t="s">
        <v>1090</v>
      </c>
      <c r="U54" s="663" t="s">
        <v>103</v>
      </c>
      <c r="V54" s="616" t="s">
        <v>1091</v>
      </c>
      <c r="W54" s="598" t="s">
        <v>950</v>
      </c>
      <c r="X54" s="624">
        <v>18173</v>
      </c>
      <c r="Y54" s="625">
        <f t="shared" ca="1" si="2"/>
        <v>76</v>
      </c>
      <c r="Z54" s="616" t="s">
        <v>1092</v>
      </c>
      <c r="AA54" s="598" t="s">
        <v>1093</v>
      </c>
      <c r="AB54" s="598" t="s">
        <v>996</v>
      </c>
      <c r="AC54" s="598" t="s">
        <v>953</v>
      </c>
      <c r="AD54" s="616" t="s">
        <v>973</v>
      </c>
      <c r="AE54" s="616" t="s">
        <v>954</v>
      </c>
      <c r="AF54" s="616" t="s">
        <v>968</v>
      </c>
      <c r="AG54" s="598"/>
      <c r="AH54" s="598"/>
      <c r="AI54" s="598"/>
      <c r="AJ54" s="598"/>
      <c r="AK54" s="626"/>
      <c r="AL54" s="626"/>
    </row>
    <row r="55" spans="1:38" ht="18" customHeight="1">
      <c r="A55" s="593"/>
      <c r="B55" s="598">
        <v>34</v>
      </c>
      <c r="C55" s="598" t="s">
        <v>1094</v>
      </c>
      <c r="D55" s="598">
        <f t="shared" si="0"/>
        <v>34</v>
      </c>
      <c r="E55" s="616" t="s">
        <v>957</v>
      </c>
      <c r="F55" s="616" t="s">
        <v>1013</v>
      </c>
      <c r="G55" s="618" t="s">
        <v>1033</v>
      </c>
      <c r="H55" s="618" t="s">
        <v>4</v>
      </c>
      <c r="I55" s="618" t="s">
        <v>4447</v>
      </c>
      <c r="J55" s="618" t="s">
        <v>1071</v>
      </c>
      <c r="K55" s="619" t="s">
        <v>1072</v>
      </c>
      <c r="L55" s="618" t="s">
        <v>1073</v>
      </c>
      <c r="M55" s="620"/>
      <c r="N55" s="620"/>
      <c r="O55" s="663" t="s">
        <v>1115</v>
      </c>
      <c r="P55" s="621"/>
      <c r="Q55" s="598"/>
      <c r="R55" s="598"/>
      <c r="S55" s="598"/>
      <c r="T55" s="598" t="s">
        <v>1015</v>
      </c>
      <c r="U55" s="663" t="s">
        <v>111</v>
      </c>
      <c r="V55" s="616" t="s">
        <v>1095</v>
      </c>
      <c r="W55" s="598" t="s">
        <v>950</v>
      </c>
      <c r="X55" s="624">
        <v>21465</v>
      </c>
      <c r="Y55" s="625">
        <f t="shared" ca="1" si="2"/>
        <v>67</v>
      </c>
      <c r="Z55" s="616" t="s">
        <v>1096</v>
      </c>
      <c r="AA55" s="598" t="s">
        <v>1097</v>
      </c>
      <c r="AB55" s="598" t="s">
        <v>966</v>
      </c>
      <c r="AC55" s="598" t="s">
        <v>953</v>
      </c>
      <c r="AD55" s="616" t="s">
        <v>729</v>
      </c>
      <c r="AE55" s="616" t="s">
        <v>954</v>
      </c>
      <c r="AF55" s="616" t="s">
        <v>974</v>
      </c>
      <c r="AG55" s="598"/>
      <c r="AH55" s="598"/>
      <c r="AI55" s="598"/>
      <c r="AJ55" s="598"/>
      <c r="AK55" s="626"/>
      <c r="AL55" s="626"/>
    </row>
    <row r="56" spans="1:38" ht="18" customHeight="1">
      <c r="A56" s="593"/>
      <c r="B56" s="598">
        <v>35</v>
      </c>
      <c r="C56" s="598" t="s">
        <v>1098</v>
      </c>
      <c r="D56" s="598">
        <f t="shared" si="0"/>
        <v>35</v>
      </c>
      <c r="E56" s="616" t="s">
        <v>957</v>
      </c>
      <c r="F56" s="616" t="s">
        <v>1013</v>
      </c>
      <c r="G56" s="618" t="s">
        <v>1033</v>
      </c>
      <c r="H56" s="618" t="s">
        <v>4</v>
      </c>
      <c r="I56" s="618" t="s">
        <v>4447</v>
      </c>
      <c r="J56" s="618" t="s">
        <v>1071</v>
      </c>
      <c r="K56" s="619" t="s">
        <v>1072</v>
      </c>
      <c r="L56" s="618" t="s">
        <v>1073</v>
      </c>
      <c r="M56" s="620"/>
      <c r="N56" s="620"/>
      <c r="O56" s="663" t="s">
        <v>1115</v>
      </c>
      <c r="P56" s="621"/>
      <c r="Q56" s="598"/>
      <c r="R56" s="598"/>
      <c r="S56" s="598"/>
      <c r="T56" s="598" t="s">
        <v>1015</v>
      </c>
      <c r="U56" s="663" t="s">
        <v>905</v>
      </c>
      <c r="V56" s="616" t="s">
        <v>1099</v>
      </c>
      <c r="W56" s="598" t="s">
        <v>950</v>
      </c>
      <c r="X56" s="624">
        <v>25896</v>
      </c>
      <c r="Y56" s="625">
        <f t="shared" ca="1" si="2"/>
        <v>55</v>
      </c>
      <c r="Z56" s="616" t="s">
        <v>1100</v>
      </c>
      <c r="AA56" s="598" t="s">
        <v>1101</v>
      </c>
      <c r="AB56" s="598" t="s">
        <v>996</v>
      </c>
      <c r="AC56" s="598" t="s">
        <v>953</v>
      </c>
      <c r="AD56" s="616" t="s">
        <v>1078</v>
      </c>
      <c r="AE56" s="616" t="s">
        <v>954</v>
      </c>
      <c r="AF56" s="616" t="s">
        <v>998</v>
      </c>
      <c r="AG56" s="598"/>
      <c r="AH56" s="598"/>
      <c r="AI56" s="598" t="s">
        <v>1011</v>
      </c>
      <c r="AJ56" s="598"/>
      <c r="AK56" s="626"/>
      <c r="AL56" s="626"/>
    </row>
    <row r="57" spans="1:38" ht="18" customHeight="1">
      <c r="A57" s="593"/>
      <c r="B57" s="598">
        <v>36</v>
      </c>
      <c r="C57" s="598" t="s">
        <v>1102</v>
      </c>
      <c r="D57" s="598">
        <f t="shared" si="0"/>
        <v>36</v>
      </c>
      <c r="E57" s="616" t="s">
        <v>957</v>
      </c>
      <c r="F57" s="616" t="s">
        <v>1013</v>
      </c>
      <c r="G57" s="618" t="s">
        <v>1033</v>
      </c>
      <c r="H57" s="618" t="s">
        <v>4</v>
      </c>
      <c r="I57" s="618" t="s">
        <v>4447</v>
      </c>
      <c r="J57" s="618" t="s">
        <v>1071</v>
      </c>
      <c r="K57" s="619" t="s">
        <v>1072</v>
      </c>
      <c r="L57" s="618" t="s">
        <v>1073</v>
      </c>
      <c r="M57" s="620"/>
      <c r="N57" s="620"/>
      <c r="O57" s="663" t="s">
        <v>1115</v>
      </c>
      <c r="P57" s="621" t="s">
        <v>319</v>
      </c>
      <c r="Q57" s="598"/>
      <c r="R57" s="598"/>
      <c r="S57" s="598"/>
      <c r="T57" s="598" t="s">
        <v>1015</v>
      </c>
      <c r="U57" s="663" t="s">
        <v>131</v>
      </c>
      <c r="V57" s="616" t="s">
        <v>1103</v>
      </c>
      <c r="W57" s="598" t="s">
        <v>950</v>
      </c>
      <c r="X57" s="624">
        <v>35278</v>
      </c>
      <c r="Y57" s="625">
        <f t="shared" ca="1" si="2"/>
        <v>29</v>
      </c>
      <c r="Z57" s="616" t="s">
        <v>1104</v>
      </c>
      <c r="AA57" s="598" t="s">
        <v>1105</v>
      </c>
      <c r="AB57" s="598" t="s">
        <v>996</v>
      </c>
      <c r="AC57" s="598" t="s">
        <v>997</v>
      </c>
      <c r="AD57" s="616" t="s">
        <v>729</v>
      </c>
      <c r="AE57" s="616" t="s">
        <v>954</v>
      </c>
      <c r="AF57" s="616" t="s">
        <v>1106</v>
      </c>
      <c r="AG57" s="598"/>
      <c r="AH57" s="598"/>
      <c r="AI57" s="598" t="s">
        <v>1107</v>
      </c>
      <c r="AJ57" s="598"/>
      <c r="AK57" s="626"/>
      <c r="AL57" s="626"/>
    </row>
    <row r="58" spans="1:38" ht="18" customHeight="1">
      <c r="A58" s="593"/>
      <c r="B58" s="598">
        <v>37</v>
      </c>
      <c r="C58" s="598" t="s">
        <v>1111</v>
      </c>
      <c r="D58" s="598">
        <f t="shared" si="0"/>
        <v>37</v>
      </c>
      <c r="E58" s="616" t="s">
        <v>957</v>
      </c>
      <c r="F58" s="616" t="s">
        <v>1013</v>
      </c>
      <c r="G58" s="618" t="s">
        <v>1033</v>
      </c>
      <c r="H58" s="618" t="s">
        <v>4</v>
      </c>
      <c r="I58" s="618" t="s">
        <v>4447</v>
      </c>
      <c r="J58" s="618" t="s">
        <v>1071</v>
      </c>
      <c r="K58" s="619" t="s">
        <v>1072</v>
      </c>
      <c r="L58" s="618" t="s">
        <v>1073</v>
      </c>
      <c r="M58" s="620"/>
      <c r="N58" s="620"/>
      <c r="O58" s="663" t="s">
        <v>1115</v>
      </c>
      <c r="P58" s="621"/>
      <c r="Q58" s="598"/>
      <c r="R58" s="598"/>
      <c r="S58" s="598"/>
      <c r="T58" s="598" t="s">
        <v>1015</v>
      </c>
      <c r="U58" s="663" t="s">
        <v>907</v>
      </c>
      <c r="V58" s="616" t="s">
        <v>1112</v>
      </c>
      <c r="W58" s="598" t="s">
        <v>950</v>
      </c>
      <c r="X58" s="624">
        <v>22442</v>
      </c>
      <c r="Y58" s="625">
        <f t="shared" ca="1" si="2"/>
        <v>64</v>
      </c>
      <c r="Z58" s="616" t="s">
        <v>1113</v>
      </c>
      <c r="AA58" s="632"/>
      <c r="AB58" s="598" t="s">
        <v>996</v>
      </c>
      <c r="AC58" s="598" t="s">
        <v>1018</v>
      </c>
      <c r="AD58" s="616" t="s">
        <v>729</v>
      </c>
      <c r="AE58" s="616" t="s">
        <v>954</v>
      </c>
      <c r="AF58" s="616" t="s">
        <v>968</v>
      </c>
      <c r="AG58" s="598"/>
      <c r="AH58" s="598" t="s">
        <v>1019</v>
      </c>
      <c r="AI58" s="598" t="s">
        <v>1114</v>
      </c>
      <c r="AJ58" s="598" t="s">
        <v>1020</v>
      </c>
      <c r="AK58" s="626"/>
      <c r="AL58" s="626"/>
    </row>
    <row r="59" spans="1:38" ht="18" customHeight="1">
      <c r="A59" s="593"/>
      <c r="B59" s="598">
        <v>38</v>
      </c>
      <c r="C59" s="598" t="s">
        <v>4447</v>
      </c>
      <c r="D59" s="598">
        <f t="shared" si="0"/>
        <v>37</v>
      </c>
      <c r="E59" s="616"/>
      <c r="F59" s="616" t="s">
        <v>1013</v>
      </c>
      <c r="G59" s="618" t="s">
        <v>1033</v>
      </c>
      <c r="H59" s="618" t="s">
        <v>4</v>
      </c>
      <c r="I59" s="618" t="s">
        <v>4447</v>
      </c>
      <c r="J59" s="618" t="s">
        <v>4447</v>
      </c>
      <c r="K59" s="618" t="s">
        <v>4464</v>
      </c>
      <c r="L59" s="619" t="s">
        <v>959</v>
      </c>
      <c r="M59" s="620"/>
      <c r="N59" s="620"/>
      <c r="O59" s="667" t="s">
        <v>1127</v>
      </c>
      <c r="P59" s="621"/>
      <c r="Q59" s="598" t="s">
        <v>948</v>
      </c>
      <c r="R59" s="598" t="s">
        <v>3</v>
      </c>
      <c r="S59" s="598" t="s">
        <v>55</v>
      </c>
      <c r="T59" s="623"/>
      <c r="U59" s="677" t="s">
        <v>4</v>
      </c>
      <c r="V59" s="674"/>
      <c r="W59" s="598" t="s">
        <v>963</v>
      </c>
      <c r="X59" s="624">
        <v>31732</v>
      </c>
      <c r="Y59" s="625">
        <f t="shared" ca="1" si="2"/>
        <v>39</v>
      </c>
      <c r="Z59" s="616" t="s">
        <v>4465</v>
      </c>
      <c r="AA59" s="598" t="s">
        <v>4466</v>
      </c>
      <c r="AB59" s="598" t="s">
        <v>60</v>
      </c>
      <c r="AC59" s="598" t="s">
        <v>953</v>
      </c>
      <c r="AD59" s="616"/>
      <c r="AE59" s="616" t="s">
        <v>954</v>
      </c>
      <c r="AF59" s="616" t="s">
        <v>968</v>
      </c>
      <c r="AG59" s="598"/>
      <c r="AH59" s="598"/>
      <c r="AI59" s="598"/>
      <c r="AJ59" s="598"/>
      <c r="AK59" s="626"/>
      <c r="AL59" s="626"/>
    </row>
    <row r="60" spans="1:38" ht="18" customHeight="1">
      <c r="A60" s="593"/>
      <c r="B60" s="598">
        <v>39</v>
      </c>
      <c r="C60" s="598"/>
      <c r="D60" s="598">
        <f t="shared" si="0"/>
        <v>38</v>
      </c>
      <c r="E60" s="616" t="s">
        <v>1798</v>
      </c>
      <c r="F60" s="616" t="s">
        <v>1013</v>
      </c>
      <c r="G60" s="618" t="s">
        <v>1033</v>
      </c>
      <c r="H60" s="618" t="s">
        <v>4</v>
      </c>
      <c r="I60" s="618" t="s">
        <v>4447</v>
      </c>
      <c r="J60" s="618" t="s">
        <v>4447</v>
      </c>
      <c r="K60" s="618" t="s">
        <v>4464</v>
      </c>
      <c r="L60" s="619" t="s">
        <v>959</v>
      </c>
      <c r="M60" s="620"/>
      <c r="N60" s="620"/>
      <c r="O60" s="663" t="s">
        <v>1127</v>
      </c>
      <c r="P60" s="621"/>
      <c r="Q60" s="598" t="s">
        <v>1227</v>
      </c>
      <c r="R60" s="598"/>
      <c r="S60" s="598" t="s">
        <v>4467</v>
      </c>
      <c r="T60" s="623" t="s">
        <v>3309</v>
      </c>
      <c r="U60" s="665" t="s">
        <v>71</v>
      </c>
      <c r="V60" s="674" t="s">
        <v>3310</v>
      </c>
      <c r="W60" s="598" t="s">
        <v>963</v>
      </c>
      <c r="X60" s="624">
        <v>28737</v>
      </c>
      <c r="Y60" s="625">
        <f t="shared" ca="1" si="2"/>
        <v>47</v>
      </c>
      <c r="Z60" s="616" t="s">
        <v>4468</v>
      </c>
      <c r="AA60" s="598" t="s">
        <v>4469</v>
      </c>
      <c r="AB60" s="598" t="s">
        <v>60</v>
      </c>
      <c r="AC60" s="598" t="s">
        <v>953</v>
      </c>
      <c r="AD60" s="616" t="s">
        <v>954</v>
      </c>
      <c r="AE60" s="616" t="s">
        <v>954</v>
      </c>
      <c r="AF60" s="616" t="s">
        <v>974</v>
      </c>
      <c r="AG60" s="598"/>
      <c r="AH60" s="598"/>
      <c r="AI60" s="598"/>
      <c r="AJ60" s="598"/>
      <c r="AK60" s="626"/>
      <c r="AL60" s="626"/>
    </row>
    <row r="61" spans="1:38" ht="18" customHeight="1">
      <c r="A61" s="593"/>
      <c r="B61" s="598">
        <v>42</v>
      </c>
      <c r="C61" s="598" t="s">
        <v>1122</v>
      </c>
      <c r="D61" s="598">
        <f t="shared" si="0"/>
        <v>39</v>
      </c>
      <c r="E61" s="616" t="s">
        <v>957</v>
      </c>
      <c r="F61" s="616" t="s">
        <v>1013</v>
      </c>
      <c r="G61" s="618" t="s">
        <v>1033</v>
      </c>
      <c r="H61" s="618" t="s">
        <v>4</v>
      </c>
      <c r="I61" s="618" t="s">
        <v>4447</v>
      </c>
      <c r="J61" s="618" t="s">
        <v>4447</v>
      </c>
      <c r="K61" s="618" t="s">
        <v>4464</v>
      </c>
      <c r="L61" s="619" t="s">
        <v>959</v>
      </c>
      <c r="M61" s="620"/>
      <c r="N61" s="620"/>
      <c r="O61" s="663" t="s">
        <v>1127</v>
      </c>
      <c r="P61" s="621"/>
      <c r="Q61" s="598"/>
      <c r="R61" s="598"/>
      <c r="S61" s="598"/>
      <c r="T61" s="623" t="s">
        <v>1090</v>
      </c>
      <c r="U61" s="663" t="s">
        <v>104</v>
      </c>
      <c r="V61" s="674" t="s">
        <v>1123</v>
      </c>
      <c r="W61" s="598" t="s">
        <v>963</v>
      </c>
      <c r="X61" s="624">
        <v>19784</v>
      </c>
      <c r="Y61" s="625">
        <f t="shared" ca="1" si="2"/>
        <v>71</v>
      </c>
      <c r="Z61" s="616" t="s">
        <v>1124</v>
      </c>
      <c r="AA61" s="598"/>
      <c r="AB61" s="598" t="s">
        <v>966</v>
      </c>
      <c r="AC61" s="598" t="s">
        <v>953</v>
      </c>
      <c r="AD61" s="616" t="s">
        <v>973</v>
      </c>
      <c r="AE61" s="616" t="s">
        <v>954</v>
      </c>
      <c r="AF61" s="616" t="s">
        <v>968</v>
      </c>
      <c r="AG61" s="598"/>
      <c r="AH61" s="598"/>
      <c r="AI61" s="598" t="s">
        <v>1125</v>
      </c>
      <c r="AJ61" s="598"/>
      <c r="AK61" s="626"/>
      <c r="AL61" s="626"/>
    </row>
    <row r="62" spans="1:38" ht="18" customHeight="1">
      <c r="A62" s="593"/>
      <c r="B62" s="598">
        <v>43</v>
      </c>
      <c r="C62" s="598" t="s">
        <v>1036</v>
      </c>
      <c r="D62" s="598">
        <f t="shared" si="0"/>
        <v>40</v>
      </c>
      <c r="E62" s="616" t="s">
        <v>957</v>
      </c>
      <c r="F62" s="616" t="s">
        <v>1013</v>
      </c>
      <c r="G62" s="618" t="s">
        <v>1033</v>
      </c>
      <c r="H62" s="618" t="s">
        <v>4</v>
      </c>
      <c r="I62" s="618" t="s">
        <v>4447</v>
      </c>
      <c r="J62" s="618" t="s">
        <v>4447</v>
      </c>
      <c r="K62" s="618" t="s">
        <v>4464</v>
      </c>
      <c r="L62" s="619" t="s">
        <v>959</v>
      </c>
      <c r="M62" s="620"/>
      <c r="N62" s="620"/>
      <c r="O62" s="663" t="s">
        <v>1127</v>
      </c>
      <c r="P62" s="621"/>
      <c r="Q62" s="598"/>
      <c r="R62" s="598"/>
      <c r="S62" s="598"/>
      <c r="T62" s="623" t="s">
        <v>1015</v>
      </c>
      <c r="U62" s="663" t="s">
        <v>112</v>
      </c>
      <c r="V62" s="674" t="s">
        <v>1039</v>
      </c>
      <c r="W62" s="598" t="s">
        <v>950</v>
      </c>
      <c r="X62" s="624">
        <v>22276</v>
      </c>
      <c r="Y62" s="625">
        <f t="shared" ca="1" si="2"/>
        <v>65</v>
      </c>
      <c r="Z62" s="616" t="s">
        <v>1040</v>
      </c>
      <c r="AA62" s="598"/>
      <c r="AB62" s="598" t="s">
        <v>996</v>
      </c>
      <c r="AC62" s="598" t="s">
        <v>953</v>
      </c>
      <c r="AD62" s="616" t="s">
        <v>1041</v>
      </c>
      <c r="AE62" s="616" t="s">
        <v>954</v>
      </c>
      <c r="AF62" s="616" t="s">
        <v>974</v>
      </c>
      <c r="AG62" s="598"/>
      <c r="AH62" s="598"/>
      <c r="AI62" s="598"/>
      <c r="AJ62" s="598"/>
      <c r="AK62" s="626"/>
      <c r="AL62" s="626"/>
    </row>
    <row r="63" spans="1:38" ht="18" customHeight="1">
      <c r="A63" s="593"/>
      <c r="B63" s="598">
        <v>44</v>
      </c>
      <c r="C63" s="598" t="s">
        <v>4038</v>
      </c>
      <c r="D63" s="598">
        <f t="shared" si="0"/>
        <v>41</v>
      </c>
      <c r="E63" s="616" t="s">
        <v>3808</v>
      </c>
      <c r="F63" s="616" t="s">
        <v>1013</v>
      </c>
      <c r="G63" s="618" t="s">
        <v>1033</v>
      </c>
      <c r="H63" s="618" t="s">
        <v>4</v>
      </c>
      <c r="I63" s="618" t="s">
        <v>4447</v>
      </c>
      <c r="J63" s="618" t="s">
        <v>4447</v>
      </c>
      <c r="K63" s="618" t="s">
        <v>4464</v>
      </c>
      <c r="L63" s="619" t="s">
        <v>959</v>
      </c>
      <c r="M63" s="620"/>
      <c r="N63" s="620"/>
      <c r="O63" s="663" t="s">
        <v>1127</v>
      </c>
      <c r="P63" s="621"/>
      <c r="Q63" s="598"/>
      <c r="R63" s="598"/>
      <c r="S63" s="598"/>
      <c r="T63" s="623" t="s">
        <v>1015</v>
      </c>
      <c r="U63" s="668" t="s">
        <v>4039</v>
      </c>
      <c r="V63" s="674" t="s">
        <v>4040</v>
      </c>
      <c r="W63" s="598" t="s">
        <v>950</v>
      </c>
      <c r="X63" s="624">
        <v>33959</v>
      </c>
      <c r="Y63" s="625">
        <f t="shared" ca="1" si="2"/>
        <v>33</v>
      </c>
      <c r="Z63" s="616" t="s">
        <v>4041</v>
      </c>
      <c r="AA63" s="598"/>
      <c r="AB63" s="598" t="s">
        <v>996</v>
      </c>
      <c r="AC63" s="598" t="s">
        <v>1018</v>
      </c>
      <c r="AD63" s="616" t="s">
        <v>246</v>
      </c>
      <c r="AE63" s="616" t="s">
        <v>246</v>
      </c>
      <c r="AF63" s="616" t="s">
        <v>3815</v>
      </c>
      <c r="AG63" s="598"/>
      <c r="AH63" s="598" t="s">
        <v>1019</v>
      </c>
      <c r="AI63" s="598"/>
      <c r="AJ63" s="598" t="s">
        <v>1020</v>
      </c>
      <c r="AK63" s="626">
        <v>-3</v>
      </c>
      <c r="AL63" s="626"/>
    </row>
    <row r="64" spans="1:38" ht="19.5" customHeight="1">
      <c r="A64" s="593"/>
      <c r="B64" s="598">
        <v>45</v>
      </c>
      <c r="C64" s="598" t="s">
        <v>4470</v>
      </c>
      <c r="D64" s="598">
        <f t="shared" si="0"/>
        <v>42</v>
      </c>
      <c r="E64" s="616" t="s">
        <v>3808</v>
      </c>
      <c r="F64" s="616" t="s">
        <v>1001</v>
      </c>
      <c r="G64" s="618" t="s">
        <v>1033</v>
      </c>
      <c r="H64" s="618" t="s">
        <v>4</v>
      </c>
      <c r="I64" s="618" t="s">
        <v>4447</v>
      </c>
      <c r="J64" s="618" t="s">
        <v>4447</v>
      </c>
      <c r="K64" s="618" t="s">
        <v>4464</v>
      </c>
      <c r="L64" s="619" t="s">
        <v>959</v>
      </c>
      <c r="M64" s="620"/>
      <c r="N64" s="620"/>
      <c r="O64" s="673" t="s">
        <v>1127</v>
      </c>
      <c r="P64" s="621"/>
      <c r="Q64" s="598"/>
      <c r="R64" s="598"/>
      <c r="S64" s="598"/>
      <c r="T64" s="623" t="s">
        <v>992</v>
      </c>
      <c r="U64" s="676" t="s">
        <v>4471</v>
      </c>
      <c r="V64" s="674" t="s">
        <v>4472</v>
      </c>
      <c r="W64" s="598" t="s">
        <v>963</v>
      </c>
      <c r="X64" s="624">
        <v>33674</v>
      </c>
      <c r="Y64" s="625">
        <f t="shared" ca="1" si="2"/>
        <v>33</v>
      </c>
      <c r="Z64" s="616" t="s">
        <v>4473</v>
      </c>
      <c r="AA64" s="598"/>
      <c r="AB64" s="598" t="s">
        <v>1006</v>
      </c>
      <c r="AC64" s="598" t="s">
        <v>953</v>
      </c>
      <c r="AD64" s="616" t="s">
        <v>973</v>
      </c>
      <c r="AE64" s="616" t="s">
        <v>246</v>
      </c>
      <c r="AF64" s="616" t="s">
        <v>3815</v>
      </c>
      <c r="AG64" s="598"/>
      <c r="AH64" s="598" t="s">
        <v>1019</v>
      </c>
      <c r="AI64" s="598"/>
      <c r="AJ64" s="598"/>
      <c r="AK64" s="626">
        <v>-3</v>
      </c>
      <c r="AL64" s="626"/>
    </row>
    <row r="65" spans="1:38" ht="18" customHeight="1">
      <c r="A65" s="593"/>
      <c r="B65" s="598">
        <v>46</v>
      </c>
      <c r="C65" s="598" t="s">
        <v>1141</v>
      </c>
      <c r="D65" s="598">
        <f t="shared" si="0"/>
        <v>43</v>
      </c>
      <c r="E65" s="616" t="s">
        <v>957</v>
      </c>
      <c r="F65" s="616" t="s">
        <v>1013</v>
      </c>
      <c r="G65" s="618" t="s">
        <v>1033</v>
      </c>
      <c r="H65" s="618" t="s">
        <v>9</v>
      </c>
      <c r="I65" s="618" t="s">
        <v>1033</v>
      </c>
      <c r="J65" s="618" t="s">
        <v>1141</v>
      </c>
      <c r="K65" s="618" t="s">
        <v>1126</v>
      </c>
      <c r="L65" s="619" t="s">
        <v>959</v>
      </c>
      <c r="M65" s="620"/>
      <c r="N65" s="620"/>
      <c r="O65" s="669" t="s">
        <v>1157</v>
      </c>
      <c r="P65" s="621"/>
      <c r="Q65" s="598" t="s">
        <v>55</v>
      </c>
      <c r="R65" s="598" t="s">
        <v>55</v>
      </c>
      <c r="S65" s="598"/>
      <c r="T65" s="598" t="s">
        <v>1015</v>
      </c>
      <c r="U65" s="667" t="s">
        <v>61</v>
      </c>
      <c r="V65" s="616" t="s">
        <v>1158</v>
      </c>
      <c r="W65" s="598" t="s">
        <v>950</v>
      </c>
      <c r="X65" s="624">
        <v>29276</v>
      </c>
      <c r="Y65" s="625">
        <f t="shared" ca="1" si="2"/>
        <v>45</v>
      </c>
      <c r="Z65" s="616" t="s">
        <v>1159</v>
      </c>
      <c r="AA65" s="598"/>
      <c r="AB65" s="598" t="s">
        <v>966</v>
      </c>
      <c r="AC65" s="598" t="s">
        <v>953</v>
      </c>
      <c r="AD65" s="616" t="s">
        <v>954</v>
      </c>
      <c r="AE65" s="616" t="s">
        <v>954</v>
      </c>
      <c r="AF65" s="616" t="s">
        <v>968</v>
      </c>
      <c r="AG65" s="598"/>
      <c r="AH65" s="598"/>
      <c r="AI65" s="598"/>
      <c r="AJ65" s="598"/>
      <c r="AK65" s="626"/>
      <c r="AL65" s="626"/>
    </row>
    <row r="66" spans="1:38" ht="18" customHeight="1">
      <c r="A66" s="593"/>
      <c r="B66" s="598">
        <v>47</v>
      </c>
      <c r="C66" s="598" t="s">
        <v>1126</v>
      </c>
      <c r="D66" s="598">
        <f t="shared" si="0"/>
        <v>44</v>
      </c>
      <c r="E66" s="616" t="s">
        <v>957</v>
      </c>
      <c r="F66" s="616" t="s">
        <v>1013</v>
      </c>
      <c r="G66" s="618" t="s">
        <v>1033</v>
      </c>
      <c r="H66" s="618" t="s">
        <v>9</v>
      </c>
      <c r="I66" s="618" t="s">
        <v>1033</v>
      </c>
      <c r="J66" s="618" t="s">
        <v>1141</v>
      </c>
      <c r="K66" s="618" t="s">
        <v>1126</v>
      </c>
      <c r="L66" s="619" t="s">
        <v>959</v>
      </c>
      <c r="M66" s="620"/>
      <c r="N66" s="620"/>
      <c r="O66" s="663" t="s">
        <v>1157</v>
      </c>
      <c r="P66" s="621"/>
      <c r="Q66" s="598" t="s">
        <v>69</v>
      </c>
      <c r="R66" s="598" t="s">
        <v>69</v>
      </c>
      <c r="S66" s="598"/>
      <c r="T66" s="598" t="s">
        <v>1015</v>
      </c>
      <c r="U66" s="663" t="s">
        <v>22</v>
      </c>
      <c r="V66" s="616" t="s">
        <v>1128</v>
      </c>
      <c r="W66" s="598" t="s">
        <v>950</v>
      </c>
      <c r="X66" s="624">
        <v>30920</v>
      </c>
      <c r="Y66" s="625">
        <f t="shared" ca="1" si="2"/>
        <v>41</v>
      </c>
      <c r="Z66" s="616" t="s">
        <v>1129</v>
      </c>
      <c r="AA66" s="598" t="s">
        <v>1130</v>
      </c>
      <c r="AB66" s="598" t="s">
        <v>966</v>
      </c>
      <c r="AC66" s="598" t="s">
        <v>953</v>
      </c>
      <c r="AD66" s="616" t="s">
        <v>954</v>
      </c>
      <c r="AE66" s="616" t="s">
        <v>954</v>
      </c>
      <c r="AF66" s="616" t="s">
        <v>968</v>
      </c>
      <c r="AG66" s="598"/>
      <c r="AH66" s="598"/>
      <c r="AI66" s="598"/>
      <c r="AJ66" s="598"/>
      <c r="AK66" s="626"/>
      <c r="AL66" s="626"/>
    </row>
    <row r="67" spans="1:38" ht="18" customHeight="1">
      <c r="A67" s="593"/>
      <c r="B67" s="598">
        <v>48</v>
      </c>
      <c r="C67" s="598" t="s">
        <v>1131</v>
      </c>
      <c r="D67" s="598">
        <f t="shared" si="0"/>
        <v>45</v>
      </c>
      <c r="E67" s="616" t="s">
        <v>957</v>
      </c>
      <c r="F67" s="616" t="s">
        <v>1013</v>
      </c>
      <c r="G67" s="618" t="s">
        <v>1033</v>
      </c>
      <c r="H67" s="618" t="s">
        <v>9</v>
      </c>
      <c r="I67" s="618" t="s">
        <v>1033</v>
      </c>
      <c r="J67" s="618" t="s">
        <v>1141</v>
      </c>
      <c r="K67" s="618" t="s">
        <v>1126</v>
      </c>
      <c r="L67" s="619" t="s">
        <v>959</v>
      </c>
      <c r="M67" s="620"/>
      <c r="N67" s="620"/>
      <c r="O67" s="663" t="s">
        <v>1157</v>
      </c>
      <c r="P67" s="621"/>
      <c r="Q67" s="598" t="s">
        <v>910</v>
      </c>
      <c r="R67" s="598" t="s">
        <v>1132</v>
      </c>
      <c r="S67" s="598"/>
      <c r="T67" s="598" t="s">
        <v>1015</v>
      </c>
      <c r="U67" s="663" t="s">
        <v>84</v>
      </c>
      <c r="V67" s="616" t="s">
        <v>1133</v>
      </c>
      <c r="W67" s="598" t="s">
        <v>950</v>
      </c>
      <c r="X67" s="624">
        <v>31700</v>
      </c>
      <c r="Y67" s="625">
        <f t="shared" ca="1" si="2"/>
        <v>39</v>
      </c>
      <c r="Z67" s="616" t="s">
        <v>1134</v>
      </c>
      <c r="AA67" s="598" t="s">
        <v>1135</v>
      </c>
      <c r="AB67" s="598" t="s">
        <v>966</v>
      </c>
      <c r="AC67" s="598" t="s">
        <v>953</v>
      </c>
      <c r="AD67" s="616" t="s">
        <v>973</v>
      </c>
      <c r="AE67" s="616" t="s">
        <v>954</v>
      </c>
      <c r="AF67" s="616" t="s">
        <v>974</v>
      </c>
      <c r="AG67" s="598"/>
      <c r="AH67" s="598"/>
      <c r="AI67" s="598"/>
      <c r="AJ67" s="598"/>
      <c r="AK67" s="626"/>
      <c r="AL67" s="626"/>
    </row>
    <row r="68" spans="1:38" ht="18" customHeight="1">
      <c r="A68" s="593"/>
      <c r="B68" s="598">
        <v>49</v>
      </c>
      <c r="C68" s="598" t="s">
        <v>1136</v>
      </c>
      <c r="D68" s="598">
        <f t="shared" si="0"/>
        <v>46</v>
      </c>
      <c r="E68" s="616" t="s">
        <v>957</v>
      </c>
      <c r="F68" s="616" t="s">
        <v>1013</v>
      </c>
      <c r="G68" s="618" t="s">
        <v>1033</v>
      </c>
      <c r="H68" s="618" t="s">
        <v>9</v>
      </c>
      <c r="I68" s="618" t="s">
        <v>1033</v>
      </c>
      <c r="J68" s="618" t="s">
        <v>1141</v>
      </c>
      <c r="K68" s="618" t="s">
        <v>1126</v>
      </c>
      <c r="L68" s="619" t="s">
        <v>959</v>
      </c>
      <c r="M68" s="620"/>
      <c r="N68" s="620"/>
      <c r="O68" s="663" t="s">
        <v>1157</v>
      </c>
      <c r="P68" s="621"/>
      <c r="Q68" s="598" t="s">
        <v>910</v>
      </c>
      <c r="R68" s="598" t="s">
        <v>18</v>
      </c>
      <c r="S68" s="598"/>
      <c r="T68" s="598" t="s">
        <v>1015</v>
      </c>
      <c r="U68" s="663" t="s">
        <v>19</v>
      </c>
      <c r="V68" s="616" t="s">
        <v>1137</v>
      </c>
      <c r="W68" s="598" t="s">
        <v>950</v>
      </c>
      <c r="X68" s="624">
        <v>30683</v>
      </c>
      <c r="Y68" s="625">
        <f t="shared" ca="1" si="2"/>
        <v>42</v>
      </c>
      <c r="Z68" s="616" t="s">
        <v>1138</v>
      </c>
      <c r="AA68" s="598" t="s">
        <v>1139</v>
      </c>
      <c r="AB68" s="598" t="s">
        <v>966</v>
      </c>
      <c r="AC68" s="598" t="s">
        <v>953</v>
      </c>
      <c r="AD68" s="616" t="s">
        <v>954</v>
      </c>
      <c r="AE68" s="616" t="s">
        <v>954</v>
      </c>
      <c r="AF68" s="616" t="s">
        <v>968</v>
      </c>
      <c r="AG68" s="598"/>
      <c r="AH68" s="598"/>
      <c r="AI68" s="598"/>
      <c r="AJ68" s="598"/>
      <c r="AK68" s="626"/>
      <c r="AL68" s="626"/>
    </row>
    <row r="69" spans="1:38" ht="18" customHeight="1">
      <c r="A69" s="593"/>
      <c r="B69" s="598">
        <v>50</v>
      </c>
      <c r="C69" s="598" t="s">
        <v>1140</v>
      </c>
      <c r="D69" s="598">
        <f t="shared" si="0"/>
        <v>47</v>
      </c>
      <c r="E69" s="616" t="s">
        <v>957</v>
      </c>
      <c r="F69" s="616" t="s">
        <v>1013</v>
      </c>
      <c r="G69" s="618" t="s">
        <v>1033</v>
      </c>
      <c r="H69" s="618" t="s">
        <v>9</v>
      </c>
      <c r="I69" s="618" t="s">
        <v>1033</v>
      </c>
      <c r="J69" s="618" t="s">
        <v>1141</v>
      </c>
      <c r="K69" s="618" t="s">
        <v>1126</v>
      </c>
      <c r="L69" s="619" t="s">
        <v>959</v>
      </c>
      <c r="M69" s="620"/>
      <c r="N69" s="620"/>
      <c r="O69" s="663" t="s">
        <v>1157</v>
      </c>
      <c r="P69" s="621"/>
      <c r="Q69" s="598" t="s">
        <v>16</v>
      </c>
      <c r="R69" s="598" t="s">
        <v>16</v>
      </c>
      <c r="S69" s="598" t="s">
        <v>1142</v>
      </c>
      <c r="T69" s="598" t="s">
        <v>1015</v>
      </c>
      <c r="U69" s="663" t="s">
        <v>12</v>
      </c>
      <c r="V69" s="616" t="s">
        <v>1143</v>
      </c>
      <c r="W69" s="598" t="s">
        <v>950</v>
      </c>
      <c r="X69" s="624">
        <v>29107</v>
      </c>
      <c r="Y69" s="625">
        <f t="shared" ca="1" si="2"/>
        <v>46</v>
      </c>
      <c r="Z69" s="616" t="s">
        <v>1144</v>
      </c>
      <c r="AA69" s="598" t="s">
        <v>965</v>
      </c>
      <c r="AB69" s="598" t="s">
        <v>966</v>
      </c>
      <c r="AC69" s="598" t="s">
        <v>953</v>
      </c>
      <c r="AD69" s="616" t="s">
        <v>954</v>
      </c>
      <c r="AE69" s="616" t="s">
        <v>954</v>
      </c>
      <c r="AF69" s="616" t="s">
        <v>974</v>
      </c>
      <c r="AG69" s="598"/>
      <c r="AH69" s="598"/>
      <c r="AI69" s="598"/>
      <c r="AJ69" s="598"/>
      <c r="AK69" s="626"/>
      <c r="AL69" s="626"/>
    </row>
    <row r="70" spans="1:38" ht="18" customHeight="1">
      <c r="A70" s="593"/>
      <c r="B70" s="598">
        <v>51</v>
      </c>
      <c r="C70" s="598" t="s">
        <v>1145</v>
      </c>
      <c r="D70" s="598">
        <f t="shared" si="0"/>
        <v>48</v>
      </c>
      <c r="E70" s="616" t="s">
        <v>957</v>
      </c>
      <c r="F70" s="616" t="s">
        <v>1013</v>
      </c>
      <c r="G70" s="618" t="s">
        <v>1033</v>
      </c>
      <c r="H70" s="618" t="s">
        <v>9</v>
      </c>
      <c r="I70" s="618" t="s">
        <v>1033</v>
      </c>
      <c r="J70" s="618" t="s">
        <v>1141</v>
      </c>
      <c r="K70" s="618" t="s">
        <v>1126</v>
      </c>
      <c r="L70" s="619" t="s">
        <v>959</v>
      </c>
      <c r="M70" s="620"/>
      <c r="N70" s="620"/>
      <c r="O70" s="663" t="s">
        <v>1157</v>
      </c>
      <c r="P70" s="621"/>
      <c r="Q70" s="598" t="s">
        <v>16</v>
      </c>
      <c r="R70" s="598" t="s">
        <v>16</v>
      </c>
      <c r="S70" s="598" t="s">
        <v>1142</v>
      </c>
      <c r="T70" s="598" t="s">
        <v>1015</v>
      </c>
      <c r="U70" s="663" t="s">
        <v>15</v>
      </c>
      <c r="V70" s="616" t="s">
        <v>1146</v>
      </c>
      <c r="W70" s="598" t="s">
        <v>950</v>
      </c>
      <c r="X70" s="624">
        <v>29445</v>
      </c>
      <c r="Y70" s="625">
        <f t="shared" ca="1" si="2"/>
        <v>45</v>
      </c>
      <c r="Z70" s="616" t="s">
        <v>1147</v>
      </c>
      <c r="AA70" s="598" t="s">
        <v>1148</v>
      </c>
      <c r="AB70" s="598" t="s">
        <v>966</v>
      </c>
      <c r="AC70" s="598" t="s">
        <v>953</v>
      </c>
      <c r="AD70" s="616" t="s">
        <v>954</v>
      </c>
      <c r="AE70" s="616" t="s">
        <v>954</v>
      </c>
      <c r="AF70" s="616" t="s">
        <v>974</v>
      </c>
      <c r="AG70" s="598"/>
      <c r="AH70" s="598"/>
      <c r="AI70" s="598"/>
      <c r="AJ70" s="598"/>
      <c r="AK70" s="626"/>
      <c r="AL70" s="626"/>
    </row>
    <row r="71" spans="1:38" ht="18" customHeight="1">
      <c r="A71" s="596" t="s">
        <v>1149</v>
      </c>
      <c r="B71" s="598">
        <v>52</v>
      </c>
      <c r="C71" s="598" t="s">
        <v>1150</v>
      </c>
      <c r="D71" s="598">
        <f t="shared" si="0"/>
        <v>49</v>
      </c>
      <c r="E71" s="616" t="s">
        <v>957</v>
      </c>
      <c r="F71" s="616" t="s">
        <v>1013</v>
      </c>
      <c r="G71" s="618" t="s">
        <v>1033</v>
      </c>
      <c r="H71" s="618" t="s">
        <v>9</v>
      </c>
      <c r="I71" s="618" t="s">
        <v>1033</v>
      </c>
      <c r="J71" s="618" t="s">
        <v>1141</v>
      </c>
      <c r="K71" s="618" t="s">
        <v>1126</v>
      </c>
      <c r="L71" s="619" t="s">
        <v>959</v>
      </c>
      <c r="M71" s="620"/>
      <c r="N71" s="620"/>
      <c r="O71" s="663" t="s">
        <v>1157</v>
      </c>
      <c r="P71" s="621"/>
      <c r="Q71" s="598"/>
      <c r="R71" s="598"/>
      <c r="S71" s="598" t="s">
        <v>1151</v>
      </c>
      <c r="T71" s="598" t="s">
        <v>1015</v>
      </c>
      <c r="U71" s="669" t="s">
        <v>119</v>
      </c>
      <c r="V71" s="616" t="s">
        <v>1153</v>
      </c>
      <c r="W71" s="598" t="s">
        <v>950</v>
      </c>
      <c r="X71" s="624">
        <v>29529</v>
      </c>
      <c r="Y71" s="625">
        <f t="shared" ca="1" si="2"/>
        <v>45</v>
      </c>
      <c r="Z71" s="616" t="s">
        <v>1154</v>
      </c>
      <c r="AA71" s="616" t="s">
        <v>1154</v>
      </c>
      <c r="AB71" s="598" t="s">
        <v>966</v>
      </c>
      <c r="AC71" s="598" t="s">
        <v>953</v>
      </c>
      <c r="AD71" s="616" t="s">
        <v>954</v>
      </c>
      <c r="AE71" s="616" t="s">
        <v>954</v>
      </c>
      <c r="AF71" s="616" t="s">
        <v>974</v>
      </c>
      <c r="AG71" s="598"/>
      <c r="AH71" s="598"/>
      <c r="AI71" s="598"/>
      <c r="AJ71" s="598" t="s">
        <v>4474</v>
      </c>
      <c r="AK71" s="626"/>
      <c r="AL71" s="626"/>
    </row>
    <row r="72" spans="1:38" ht="18" customHeight="1">
      <c r="A72" s="593"/>
      <c r="B72" s="598">
        <v>53</v>
      </c>
      <c r="C72" s="598" t="s">
        <v>4475</v>
      </c>
      <c r="D72" s="598">
        <f t="shared" si="0"/>
        <v>50</v>
      </c>
      <c r="E72" s="616" t="s">
        <v>957</v>
      </c>
      <c r="F72" s="616" t="s">
        <v>1013</v>
      </c>
      <c r="G72" s="618" t="s">
        <v>1033</v>
      </c>
      <c r="H72" s="618" t="s">
        <v>9</v>
      </c>
      <c r="I72" s="618" t="s">
        <v>1033</v>
      </c>
      <c r="J72" s="618" t="s">
        <v>1141</v>
      </c>
      <c r="K72" s="618" t="s">
        <v>4475</v>
      </c>
      <c r="L72" s="619" t="s">
        <v>959</v>
      </c>
      <c r="M72" s="620"/>
      <c r="N72" s="620"/>
      <c r="O72" s="667" t="s">
        <v>1480</v>
      </c>
      <c r="P72" s="621"/>
      <c r="Q72" s="598" t="s">
        <v>69</v>
      </c>
      <c r="R72" s="598" t="s">
        <v>69</v>
      </c>
      <c r="S72" s="598" t="s">
        <v>4476</v>
      </c>
      <c r="T72" s="598" t="s">
        <v>1015</v>
      </c>
      <c r="U72" s="667" t="s">
        <v>72</v>
      </c>
      <c r="V72" s="616" t="s">
        <v>4477</v>
      </c>
      <c r="W72" s="598" t="s">
        <v>950</v>
      </c>
      <c r="X72" s="624">
        <v>27958</v>
      </c>
      <c r="Y72" s="625">
        <f t="shared" ca="1" si="2"/>
        <v>49</v>
      </c>
      <c r="Z72" s="616" t="s">
        <v>4478</v>
      </c>
      <c r="AA72" s="598" t="s">
        <v>4479</v>
      </c>
      <c r="AB72" s="598" t="s">
        <v>966</v>
      </c>
      <c r="AC72" s="598" t="s">
        <v>953</v>
      </c>
      <c r="AD72" s="616" t="s">
        <v>954</v>
      </c>
      <c r="AE72" s="616" t="s">
        <v>954</v>
      </c>
      <c r="AF72" s="616" t="s">
        <v>968</v>
      </c>
      <c r="AG72" s="598"/>
      <c r="AH72" s="598"/>
      <c r="AI72" s="598"/>
      <c r="AJ72" s="598"/>
      <c r="AK72" s="626"/>
      <c r="AL72" s="626"/>
    </row>
    <row r="73" spans="1:38" ht="18" customHeight="1">
      <c r="A73" s="593"/>
      <c r="B73" s="598">
        <v>54</v>
      </c>
      <c r="C73" s="598" t="s">
        <v>1160</v>
      </c>
      <c r="D73" s="598">
        <f t="shared" si="0"/>
        <v>51</v>
      </c>
      <c r="E73" s="616" t="s">
        <v>957</v>
      </c>
      <c r="F73" s="616" t="s">
        <v>1013</v>
      </c>
      <c r="G73" s="618" t="s">
        <v>1033</v>
      </c>
      <c r="H73" s="618" t="s">
        <v>9</v>
      </c>
      <c r="I73" s="618" t="s">
        <v>1033</v>
      </c>
      <c r="J73" s="618" t="s">
        <v>1141</v>
      </c>
      <c r="K73" s="618" t="s">
        <v>4475</v>
      </c>
      <c r="L73" s="619" t="s">
        <v>959</v>
      </c>
      <c r="M73" s="620"/>
      <c r="N73" s="620"/>
      <c r="O73" s="663" t="s">
        <v>1480</v>
      </c>
      <c r="P73" s="621"/>
      <c r="Q73" s="598"/>
      <c r="R73" s="598"/>
      <c r="S73" s="598" t="s">
        <v>1161</v>
      </c>
      <c r="T73" s="598" t="s">
        <v>1015</v>
      </c>
      <c r="U73" s="663" t="s">
        <v>85</v>
      </c>
      <c r="V73" s="616" t="s">
        <v>1162</v>
      </c>
      <c r="W73" s="598" t="s">
        <v>950</v>
      </c>
      <c r="X73" s="624">
        <v>30623</v>
      </c>
      <c r="Y73" s="625">
        <f t="shared" ca="1" si="2"/>
        <v>42</v>
      </c>
      <c r="Z73" s="616" t="s">
        <v>1163</v>
      </c>
      <c r="AA73" s="598" t="s">
        <v>1164</v>
      </c>
      <c r="AB73" s="598" t="s">
        <v>966</v>
      </c>
      <c r="AC73" s="598" t="s">
        <v>953</v>
      </c>
      <c r="AD73" s="616" t="s">
        <v>954</v>
      </c>
      <c r="AE73" s="616" t="s">
        <v>954</v>
      </c>
      <c r="AF73" s="616" t="s">
        <v>974</v>
      </c>
      <c r="AG73" s="598"/>
      <c r="AH73" s="598"/>
      <c r="AI73" s="598"/>
      <c r="AJ73" s="598"/>
      <c r="AK73" s="626"/>
      <c r="AL73" s="626"/>
    </row>
    <row r="74" spans="1:38" ht="18" customHeight="1">
      <c r="A74" s="593"/>
      <c r="B74" s="598">
        <v>56</v>
      </c>
      <c r="C74" s="598" t="s">
        <v>1165</v>
      </c>
      <c r="D74" s="598">
        <f t="shared" si="0"/>
        <v>52</v>
      </c>
      <c r="E74" s="616" t="s">
        <v>957</v>
      </c>
      <c r="F74" s="616" t="s">
        <v>1013</v>
      </c>
      <c r="G74" s="618" t="s">
        <v>1033</v>
      </c>
      <c r="H74" s="618" t="s">
        <v>9</v>
      </c>
      <c r="I74" s="618" t="s">
        <v>1033</v>
      </c>
      <c r="J74" s="618" t="s">
        <v>1141</v>
      </c>
      <c r="K74" s="618" t="s">
        <v>4475</v>
      </c>
      <c r="L74" s="619" t="s">
        <v>959</v>
      </c>
      <c r="M74" s="620"/>
      <c r="N74" s="620"/>
      <c r="O74" s="663" t="s">
        <v>1480</v>
      </c>
      <c r="P74" s="621"/>
      <c r="Q74" s="598"/>
      <c r="R74" s="598"/>
      <c r="S74" s="598"/>
      <c r="T74" s="598" t="s">
        <v>1015</v>
      </c>
      <c r="U74" s="663" t="s">
        <v>105</v>
      </c>
      <c r="V74" s="616" t="s">
        <v>1167</v>
      </c>
      <c r="W74" s="598" t="s">
        <v>950</v>
      </c>
      <c r="X74" s="624">
        <v>26302</v>
      </c>
      <c r="Y74" s="625">
        <f t="shared" ca="1" si="2"/>
        <v>54</v>
      </c>
      <c r="Z74" s="616" t="s">
        <v>1168</v>
      </c>
      <c r="AA74" s="598" t="s">
        <v>1169</v>
      </c>
      <c r="AB74" s="598" t="s">
        <v>966</v>
      </c>
      <c r="AC74" s="598" t="s">
        <v>953</v>
      </c>
      <c r="AD74" s="616" t="s">
        <v>954</v>
      </c>
      <c r="AE74" s="616" t="s">
        <v>954</v>
      </c>
      <c r="AF74" s="616" t="s">
        <v>968</v>
      </c>
      <c r="AG74" s="598"/>
      <c r="AH74" s="598"/>
      <c r="AI74" s="598"/>
      <c r="AJ74" s="598"/>
      <c r="AK74" s="626"/>
      <c r="AL74" s="626"/>
    </row>
    <row r="75" spans="1:38" ht="18" customHeight="1">
      <c r="A75" s="593"/>
      <c r="B75" s="598">
        <v>57</v>
      </c>
      <c r="C75" s="598" t="s">
        <v>1170</v>
      </c>
      <c r="D75" s="598">
        <f t="shared" si="0"/>
        <v>53</v>
      </c>
      <c r="E75" s="616" t="s">
        <v>957</v>
      </c>
      <c r="F75" s="616" t="s">
        <v>1013</v>
      </c>
      <c r="G75" s="618" t="s">
        <v>1033</v>
      </c>
      <c r="H75" s="618" t="s">
        <v>9</v>
      </c>
      <c r="I75" s="618" t="s">
        <v>1033</v>
      </c>
      <c r="J75" s="618" t="s">
        <v>1141</v>
      </c>
      <c r="K75" s="618" t="s">
        <v>4475</v>
      </c>
      <c r="L75" s="619" t="s">
        <v>959</v>
      </c>
      <c r="M75" s="620"/>
      <c r="N75" s="620"/>
      <c r="O75" s="663" t="s">
        <v>1480</v>
      </c>
      <c r="P75" s="621"/>
      <c r="Q75" s="598"/>
      <c r="R75" s="598"/>
      <c r="S75" s="598"/>
      <c r="T75" s="598" t="s">
        <v>1015</v>
      </c>
      <c r="U75" s="663" t="s">
        <v>113</v>
      </c>
      <c r="V75" s="616" t="s">
        <v>1171</v>
      </c>
      <c r="W75" s="598" t="s">
        <v>950</v>
      </c>
      <c r="X75" s="624">
        <v>29493</v>
      </c>
      <c r="Y75" s="625">
        <f t="shared" ca="1" si="2"/>
        <v>45</v>
      </c>
      <c r="Z75" s="616" t="s">
        <v>1172</v>
      </c>
      <c r="AA75" s="598" t="s">
        <v>1173</v>
      </c>
      <c r="AB75" s="598" t="s">
        <v>966</v>
      </c>
      <c r="AC75" s="598" t="s">
        <v>953</v>
      </c>
      <c r="AD75" s="616" t="s">
        <v>954</v>
      </c>
      <c r="AE75" s="616" t="s">
        <v>954</v>
      </c>
      <c r="AF75" s="616" t="s">
        <v>968</v>
      </c>
      <c r="AG75" s="598"/>
      <c r="AH75" s="598"/>
      <c r="AI75" s="598"/>
      <c r="AJ75" s="598"/>
      <c r="AK75" s="626"/>
      <c r="AL75" s="626"/>
    </row>
    <row r="76" spans="1:38" ht="18" customHeight="1">
      <c r="A76" s="593"/>
      <c r="B76" s="598">
        <v>58</v>
      </c>
      <c r="C76" s="598" t="s">
        <v>1174</v>
      </c>
      <c r="D76" s="598">
        <f t="shared" si="0"/>
        <v>54</v>
      </c>
      <c r="E76" s="616" t="s">
        <v>957</v>
      </c>
      <c r="F76" s="616" t="s">
        <v>1013</v>
      </c>
      <c r="G76" s="618" t="s">
        <v>1033</v>
      </c>
      <c r="H76" s="618" t="s">
        <v>9</v>
      </c>
      <c r="I76" s="618" t="s">
        <v>1033</v>
      </c>
      <c r="J76" s="618" t="s">
        <v>1141</v>
      </c>
      <c r="K76" s="618" t="s">
        <v>4475</v>
      </c>
      <c r="L76" s="619" t="s">
        <v>959</v>
      </c>
      <c r="M76" s="620"/>
      <c r="N76" s="620"/>
      <c r="O76" s="663" t="s">
        <v>1480</v>
      </c>
      <c r="P76" s="621"/>
      <c r="Q76" s="598"/>
      <c r="R76" s="598"/>
      <c r="S76" s="598"/>
      <c r="T76" s="598" t="s">
        <v>1015</v>
      </c>
      <c r="U76" s="663" t="s">
        <v>120</v>
      </c>
      <c r="V76" s="616" t="s">
        <v>1175</v>
      </c>
      <c r="W76" s="598" t="s">
        <v>950</v>
      </c>
      <c r="X76" s="624">
        <v>28181</v>
      </c>
      <c r="Y76" s="625">
        <f t="shared" ca="1" si="2"/>
        <v>48</v>
      </c>
      <c r="Z76" s="616" t="s">
        <v>1176</v>
      </c>
      <c r="AA76" s="598" t="s">
        <v>1177</v>
      </c>
      <c r="AB76" s="598" t="s">
        <v>966</v>
      </c>
      <c r="AC76" s="598" t="s">
        <v>953</v>
      </c>
      <c r="AD76" s="616" t="s">
        <v>954</v>
      </c>
      <c r="AE76" s="616" t="s">
        <v>954</v>
      </c>
      <c r="AF76" s="616" t="s">
        <v>968</v>
      </c>
      <c r="AG76" s="598"/>
      <c r="AH76" s="598"/>
      <c r="AI76" s="598"/>
      <c r="AJ76" s="598"/>
      <c r="AK76" s="626"/>
      <c r="AL76" s="626"/>
    </row>
    <row r="77" spans="1:38" ht="18" customHeight="1">
      <c r="A77" s="593"/>
      <c r="B77" s="598">
        <v>59</v>
      </c>
      <c r="C77" s="598" t="s">
        <v>1156</v>
      </c>
      <c r="D77" s="598">
        <f t="shared" si="0"/>
        <v>55</v>
      </c>
      <c r="E77" s="616" t="s">
        <v>957</v>
      </c>
      <c r="F77" s="616" t="s">
        <v>1013</v>
      </c>
      <c r="G77" s="618" t="s">
        <v>1033</v>
      </c>
      <c r="H77" s="618" t="s">
        <v>9</v>
      </c>
      <c r="I77" s="618" t="s">
        <v>1033</v>
      </c>
      <c r="J77" s="618" t="s">
        <v>1141</v>
      </c>
      <c r="K77" s="618" t="s">
        <v>4475</v>
      </c>
      <c r="L77" s="619" t="s">
        <v>959</v>
      </c>
      <c r="M77" s="620"/>
      <c r="N77" s="620"/>
      <c r="O77" s="663" t="s">
        <v>1480</v>
      </c>
      <c r="P77" s="621"/>
      <c r="Q77" s="598"/>
      <c r="R77" s="598"/>
      <c r="S77" s="598"/>
      <c r="T77" s="598" t="s">
        <v>1015</v>
      </c>
      <c r="U77" s="663" t="s">
        <v>125</v>
      </c>
      <c r="V77" s="616" t="s">
        <v>1178</v>
      </c>
      <c r="W77" s="598" t="s">
        <v>950</v>
      </c>
      <c r="X77" s="624">
        <v>30002</v>
      </c>
      <c r="Y77" s="625">
        <f t="shared" ca="1" si="2"/>
        <v>43</v>
      </c>
      <c r="Z77" s="616" t="s">
        <v>1179</v>
      </c>
      <c r="AA77" s="598" t="s">
        <v>1180</v>
      </c>
      <c r="AB77" s="598" t="s">
        <v>966</v>
      </c>
      <c r="AC77" s="598" t="s">
        <v>953</v>
      </c>
      <c r="AD77" s="616" t="s">
        <v>954</v>
      </c>
      <c r="AE77" s="616" t="s">
        <v>954</v>
      </c>
      <c r="AF77" s="616" t="s">
        <v>968</v>
      </c>
      <c r="AG77" s="598"/>
      <c r="AH77" s="598"/>
      <c r="AI77" s="598"/>
      <c r="AJ77" s="598"/>
      <c r="AK77" s="626"/>
      <c r="AL77" s="626"/>
    </row>
    <row r="78" spans="1:38" ht="18" customHeight="1">
      <c r="A78" s="593"/>
      <c r="B78" s="598">
        <v>60</v>
      </c>
      <c r="C78" s="598" t="s">
        <v>4480</v>
      </c>
      <c r="D78" s="598">
        <f t="shared" si="0"/>
        <v>56</v>
      </c>
      <c r="E78" s="616" t="s">
        <v>957</v>
      </c>
      <c r="F78" s="616" t="s">
        <v>1013</v>
      </c>
      <c r="G78" s="618" t="s">
        <v>1033</v>
      </c>
      <c r="H78" s="618" t="s">
        <v>9</v>
      </c>
      <c r="I78" s="618" t="s">
        <v>1033</v>
      </c>
      <c r="J78" s="618" t="s">
        <v>1141</v>
      </c>
      <c r="K78" s="618" t="s">
        <v>4475</v>
      </c>
      <c r="L78" s="619" t="s">
        <v>959</v>
      </c>
      <c r="M78" s="620"/>
      <c r="N78" s="620"/>
      <c r="O78" s="663" t="s">
        <v>1480</v>
      </c>
      <c r="P78" s="621"/>
      <c r="Q78" s="598"/>
      <c r="R78" s="598"/>
      <c r="S78" s="598"/>
      <c r="T78" s="598" t="s">
        <v>1015</v>
      </c>
      <c r="U78" s="669" t="s">
        <v>129</v>
      </c>
      <c r="V78" s="616" t="s">
        <v>4481</v>
      </c>
      <c r="W78" s="598" t="s">
        <v>950</v>
      </c>
      <c r="X78" s="624">
        <v>30562</v>
      </c>
      <c r="Y78" s="625">
        <f t="shared" ca="1" si="2"/>
        <v>42</v>
      </c>
      <c r="Z78" s="616" t="s">
        <v>4482</v>
      </c>
      <c r="AA78" s="598"/>
      <c r="AB78" s="598" t="s">
        <v>966</v>
      </c>
      <c r="AC78" s="598" t="s">
        <v>953</v>
      </c>
      <c r="AD78" s="616" t="s">
        <v>954</v>
      </c>
      <c r="AE78" s="616" t="s">
        <v>954</v>
      </c>
      <c r="AF78" s="616"/>
      <c r="AG78" s="598"/>
      <c r="AH78" s="598"/>
      <c r="AI78" s="598"/>
      <c r="AJ78" s="598"/>
      <c r="AK78" s="626"/>
      <c r="AL78" s="626"/>
    </row>
    <row r="79" spans="1:38" ht="18" customHeight="1">
      <c r="A79" s="593"/>
      <c r="B79" s="598">
        <v>61</v>
      </c>
      <c r="C79" s="598" t="s">
        <v>1037</v>
      </c>
      <c r="D79" s="598">
        <f t="shared" si="0"/>
        <v>57</v>
      </c>
      <c r="E79" s="616" t="s">
        <v>957</v>
      </c>
      <c r="F79" s="616" t="s">
        <v>1013</v>
      </c>
      <c r="G79" s="618" t="s">
        <v>1033</v>
      </c>
      <c r="H79" s="618" t="s">
        <v>4</v>
      </c>
      <c r="I79" s="618" t="s">
        <v>4447</v>
      </c>
      <c r="J79" s="618" t="s">
        <v>1037</v>
      </c>
      <c r="K79" s="618" t="s">
        <v>1038</v>
      </c>
      <c r="L79" s="619" t="s">
        <v>959</v>
      </c>
      <c r="M79" s="620"/>
      <c r="N79" s="620"/>
      <c r="O79" s="667" t="s">
        <v>1515</v>
      </c>
      <c r="P79" s="621"/>
      <c r="Q79" s="598" t="s">
        <v>55</v>
      </c>
      <c r="R79" s="598" t="s">
        <v>55</v>
      </c>
      <c r="S79" s="598"/>
      <c r="T79" s="598" t="s">
        <v>1015</v>
      </c>
      <c r="U79" s="667" t="s">
        <v>62</v>
      </c>
      <c r="V79" s="616" t="s">
        <v>1116</v>
      </c>
      <c r="W79" s="598" t="s">
        <v>950</v>
      </c>
      <c r="X79" s="624">
        <v>20944</v>
      </c>
      <c r="Y79" s="625">
        <f t="shared" ca="1" si="2"/>
        <v>68</v>
      </c>
      <c r="Z79" s="616" t="s">
        <v>1117</v>
      </c>
      <c r="AA79" s="598" t="s">
        <v>1118</v>
      </c>
      <c r="AB79" s="598" t="s">
        <v>966</v>
      </c>
      <c r="AC79" s="598" t="s">
        <v>953</v>
      </c>
      <c r="AD79" s="616" t="s">
        <v>973</v>
      </c>
      <c r="AE79" s="616" t="s">
        <v>954</v>
      </c>
      <c r="AF79" s="616" t="s">
        <v>974</v>
      </c>
      <c r="AG79" s="598"/>
      <c r="AH79" s="598"/>
      <c r="AI79" s="598"/>
      <c r="AJ79" s="598"/>
      <c r="AK79" s="626"/>
      <c r="AL79" s="626"/>
    </row>
    <row r="80" spans="1:38" ht="18" customHeight="1">
      <c r="A80" s="593"/>
      <c r="B80" s="598">
        <v>62</v>
      </c>
      <c r="C80" s="598" t="s">
        <v>1038</v>
      </c>
      <c r="D80" s="598">
        <f t="shared" si="0"/>
        <v>58</v>
      </c>
      <c r="E80" s="616" t="s">
        <v>957</v>
      </c>
      <c r="F80" s="616" t="s">
        <v>1013</v>
      </c>
      <c r="G80" s="618" t="s">
        <v>1033</v>
      </c>
      <c r="H80" s="618" t="s">
        <v>4</v>
      </c>
      <c r="I80" s="618" t="s">
        <v>4447</v>
      </c>
      <c r="J80" s="618" t="s">
        <v>1037</v>
      </c>
      <c r="K80" s="618" t="s">
        <v>1038</v>
      </c>
      <c r="L80" s="619" t="s">
        <v>959</v>
      </c>
      <c r="M80" s="620"/>
      <c r="N80" s="620"/>
      <c r="O80" s="663" t="s">
        <v>1515</v>
      </c>
      <c r="P80" s="621" t="s">
        <v>319</v>
      </c>
      <c r="Q80" s="598" t="s">
        <v>69</v>
      </c>
      <c r="R80" s="598" t="s">
        <v>69</v>
      </c>
      <c r="S80" s="598"/>
      <c r="T80" s="598" t="s">
        <v>1015</v>
      </c>
      <c r="U80" s="663" t="s">
        <v>73</v>
      </c>
      <c r="V80" s="616" t="s">
        <v>1119</v>
      </c>
      <c r="W80" s="598" t="s">
        <v>950</v>
      </c>
      <c r="X80" s="624">
        <v>23254</v>
      </c>
      <c r="Y80" s="625">
        <f t="shared" ca="1" si="2"/>
        <v>62</v>
      </c>
      <c r="Z80" s="616" t="s">
        <v>1120</v>
      </c>
      <c r="AA80" s="598"/>
      <c r="AB80" s="598" t="s">
        <v>996</v>
      </c>
      <c r="AC80" s="598" t="s">
        <v>997</v>
      </c>
      <c r="AD80" s="616" t="s">
        <v>973</v>
      </c>
      <c r="AE80" s="616" t="s">
        <v>954</v>
      </c>
      <c r="AF80" s="616"/>
      <c r="AG80" s="598"/>
      <c r="AH80" s="598"/>
      <c r="AI80" s="634" t="s">
        <v>999</v>
      </c>
      <c r="AJ80" s="598" t="s">
        <v>1121</v>
      </c>
      <c r="AK80" s="626"/>
      <c r="AL80" s="626"/>
    </row>
    <row r="81" spans="1:38" ht="18" customHeight="1">
      <c r="A81" s="593"/>
      <c r="B81" s="598">
        <v>63</v>
      </c>
      <c r="C81" s="598" t="s">
        <v>2513</v>
      </c>
      <c r="D81" s="598">
        <f t="shared" si="0"/>
        <v>59</v>
      </c>
      <c r="E81" s="616" t="s">
        <v>1351</v>
      </c>
      <c r="F81" s="616" t="s">
        <v>1013</v>
      </c>
      <c r="G81" s="618" t="s">
        <v>1033</v>
      </c>
      <c r="H81" s="618" t="s">
        <v>4</v>
      </c>
      <c r="I81" s="618" t="s">
        <v>4447</v>
      </c>
      <c r="J81" s="618" t="s">
        <v>1037</v>
      </c>
      <c r="K81" s="618" t="s">
        <v>1038</v>
      </c>
      <c r="L81" s="619" t="s">
        <v>959</v>
      </c>
      <c r="M81" s="620"/>
      <c r="N81" s="620"/>
      <c r="O81" s="663" t="s">
        <v>1515</v>
      </c>
      <c r="P81" s="621" t="s">
        <v>319</v>
      </c>
      <c r="Q81" s="598"/>
      <c r="R81" s="598"/>
      <c r="S81" s="598"/>
      <c r="T81" s="598" t="s">
        <v>1015</v>
      </c>
      <c r="U81" s="663" t="s">
        <v>86</v>
      </c>
      <c r="V81" s="616" t="s">
        <v>2514</v>
      </c>
      <c r="W81" s="598" t="s">
        <v>950</v>
      </c>
      <c r="X81" s="624">
        <v>22122</v>
      </c>
      <c r="Y81" s="625">
        <f t="shared" ca="1" si="2"/>
        <v>65</v>
      </c>
      <c r="Z81" s="616" t="s">
        <v>1806</v>
      </c>
      <c r="AA81" s="598"/>
      <c r="AB81" s="598" t="s">
        <v>996</v>
      </c>
      <c r="AC81" s="598" t="s">
        <v>997</v>
      </c>
      <c r="AD81" s="616" t="s">
        <v>729</v>
      </c>
      <c r="AE81" s="640" t="s">
        <v>729</v>
      </c>
      <c r="AF81" s="616" t="s">
        <v>2512</v>
      </c>
      <c r="AG81" s="598"/>
      <c r="AH81" s="598"/>
      <c r="AI81" s="634" t="s">
        <v>1359</v>
      </c>
      <c r="AJ81" s="598"/>
      <c r="AK81" s="678">
        <v>2</v>
      </c>
      <c r="AL81" s="626"/>
    </row>
    <row r="82" spans="1:38" ht="18" customHeight="1">
      <c r="A82" s="593"/>
      <c r="B82" s="598">
        <v>64</v>
      </c>
      <c r="C82" s="598" t="s">
        <v>2515</v>
      </c>
      <c r="D82" s="598">
        <f t="shared" si="0"/>
        <v>60</v>
      </c>
      <c r="E82" s="616" t="s">
        <v>1351</v>
      </c>
      <c r="F82" s="616" t="s">
        <v>1013</v>
      </c>
      <c r="G82" s="618" t="s">
        <v>1033</v>
      </c>
      <c r="H82" s="618" t="s">
        <v>4</v>
      </c>
      <c r="I82" s="618" t="s">
        <v>4447</v>
      </c>
      <c r="J82" s="618" t="s">
        <v>1037</v>
      </c>
      <c r="K82" s="618" t="s">
        <v>1038</v>
      </c>
      <c r="L82" s="619" t="s">
        <v>959</v>
      </c>
      <c r="M82" s="620"/>
      <c r="N82" s="620"/>
      <c r="O82" s="663" t="s">
        <v>1515</v>
      </c>
      <c r="P82" s="621" t="s">
        <v>319</v>
      </c>
      <c r="Q82" s="598"/>
      <c r="R82" s="598"/>
      <c r="S82" s="598"/>
      <c r="T82" s="598" t="s">
        <v>1015</v>
      </c>
      <c r="U82" s="663" t="s">
        <v>96</v>
      </c>
      <c r="V82" s="616" t="s">
        <v>2516</v>
      </c>
      <c r="W82" s="598" t="s">
        <v>950</v>
      </c>
      <c r="X82" s="624">
        <v>23214</v>
      </c>
      <c r="Y82" s="625">
        <f t="shared" ca="1" si="2"/>
        <v>62</v>
      </c>
      <c r="Z82" s="616" t="s">
        <v>2517</v>
      </c>
      <c r="AA82" s="598"/>
      <c r="AB82" s="598" t="s">
        <v>996</v>
      </c>
      <c r="AC82" s="598" t="s">
        <v>997</v>
      </c>
      <c r="AD82" s="616" t="s">
        <v>729</v>
      </c>
      <c r="AE82" s="640" t="s">
        <v>729</v>
      </c>
      <c r="AF82" s="616" t="s">
        <v>2512</v>
      </c>
      <c r="AG82" s="598"/>
      <c r="AH82" s="598"/>
      <c r="AI82" s="634" t="s">
        <v>1359</v>
      </c>
      <c r="AJ82" s="598"/>
      <c r="AK82" s="678">
        <v>2</v>
      </c>
      <c r="AL82" s="626"/>
    </row>
    <row r="83" spans="1:38" ht="18" customHeight="1">
      <c r="A83" s="593"/>
      <c r="B83" s="598">
        <v>65</v>
      </c>
      <c r="C83" s="598" t="s">
        <v>2518</v>
      </c>
      <c r="D83" s="598">
        <f t="shared" si="0"/>
        <v>61</v>
      </c>
      <c r="E83" s="616" t="s">
        <v>1351</v>
      </c>
      <c r="F83" s="616" t="s">
        <v>1013</v>
      </c>
      <c r="G83" s="618" t="s">
        <v>1033</v>
      </c>
      <c r="H83" s="618" t="s">
        <v>4</v>
      </c>
      <c r="I83" s="618" t="s">
        <v>4447</v>
      </c>
      <c r="J83" s="618" t="s">
        <v>1037</v>
      </c>
      <c r="K83" s="618" t="s">
        <v>1038</v>
      </c>
      <c r="L83" s="619" t="s">
        <v>959</v>
      </c>
      <c r="M83" s="620"/>
      <c r="N83" s="620"/>
      <c r="O83" s="673" t="s">
        <v>1515</v>
      </c>
      <c r="P83" s="621" t="s">
        <v>319</v>
      </c>
      <c r="Q83" s="598"/>
      <c r="R83" s="598"/>
      <c r="S83" s="598"/>
      <c r="T83" s="598" t="s">
        <v>1015</v>
      </c>
      <c r="U83" s="673" t="s">
        <v>106</v>
      </c>
      <c r="V83" s="616" t="s">
        <v>2519</v>
      </c>
      <c r="W83" s="598" t="s">
        <v>950</v>
      </c>
      <c r="X83" s="624">
        <v>24232</v>
      </c>
      <c r="Y83" s="625">
        <f t="shared" ca="1" si="2"/>
        <v>59</v>
      </c>
      <c r="Z83" s="616" t="s">
        <v>2520</v>
      </c>
      <c r="AA83" s="598"/>
      <c r="AB83" s="598" t="s">
        <v>996</v>
      </c>
      <c r="AC83" s="644" t="s">
        <v>997</v>
      </c>
      <c r="AD83" s="616" t="s">
        <v>729</v>
      </c>
      <c r="AE83" s="640" t="s">
        <v>729</v>
      </c>
      <c r="AF83" s="616" t="s">
        <v>2463</v>
      </c>
      <c r="AG83" s="598"/>
      <c r="AH83" s="598"/>
      <c r="AI83" s="634" t="s">
        <v>1359</v>
      </c>
      <c r="AJ83" s="598"/>
      <c r="AK83" s="678">
        <v>-2</v>
      </c>
      <c r="AL83" s="626"/>
    </row>
    <row r="84" spans="1:38" ht="18" customHeight="1">
      <c r="A84" s="593"/>
      <c r="B84" s="598">
        <v>66</v>
      </c>
      <c r="C84" s="598" t="s">
        <v>1033</v>
      </c>
      <c r="D84" s="598">
        <f t="shared" si="0"/>
        <v>62</v>
      </c>
      <c r="E84" s="616" t="s">
        <v>957</v>
      </c>
      <c r="F84" s="616" t="s">
        <v>1001</v>
      </c>
      <c r="G84" s="618" t="s">
        <v>1033</v>
      </c>
      <c r="H84" s="618" t="s">
        <v>9</v>
      </c>
      <c r="I84" s="618" t="s">
        <v>1033</v>
      </c>
      <c r="J84" s="618" t="s">
        <v>1033</v>
      </c>
      <c r="K84" s="619" t="s">
        <v>959</v>
      </c>
      <c r="L84" s="619" t="s">
        <v>959</v>
      </c>
      <c r="M84" s="620"/>
      <c r="N84" s="620"/>
      <c r="O84" s="667" t="s">
        <v>1044</v>
      </c>
      <c r="P84" s="621"/>
      <c r="Q84" s="598" t="s">
        <v>948</v>
      </c>
      <c r="R84" s="598" t="s">
        <v>10</v>
      </c>
      <c r="S84" s="598" t="s">
        <v>55</v>
      </c>
      <c r="T84" s="598" t="s">
        <v>992</v>
      </c>
      <c r="U84" s="667" t="s">
        <v>9</v>
      </c>
      <c r="V84" s="616" t="s">
        <v>1184</v>
      </c>
      <c r="W84" s="598" t="s">
        <v>950</v>
      </c>
      <c r="X84" s="624">
        <v>31799</v>
      </c>
      <c r="Y84" s="625">
        <f t="shared" ca="1" si="2"/>
        <v>39</v>
      </c>
      <c r="Z84" s="616" t="s">
        <v>1185</v>
      </c>
      <c r="AA84" s="598" t="s">
        <v>1186</v>
      </c>
      <c r="AB84" s="598" t="s">
        <v>1006</v>
      </c>
      <c r="AC84" s="598" t="s">
        <v>953</v>
      </c>
      <c r="AD84" s="616" t="s">
        <v>954</v>
      </c>
      <c r="AE84" s="616" t="s">
        <v>954</v>
      </c>
      <c r="AF84" s="616" t="s">
        <v>974</v>
      </c>
      <c r="AG84" s="598"/>
      <c r="AH84" s="598"/>
      <c r="AI84" s="598"/>
      <c r="AJ84" s="598"/>
      <c r="AK84" s="626"/>
      <c r="AL84" s="626"/>
    </row>
    <row r="85" spans="1:38" ht="18" customHeight="1">
      <c r="A85" s="593"/>
      <c r="B85" s="598">
        <v>67</v>
      </c>
      <c r="C85" s="598" t="s">
        <v>1187</v>
      </c>
      <c r="D85" s="598">
        <f t="shared" si="0"/>
        <v>63</v>
      </c>
      <c r="E85" s="616" t="s">
        <v>957</v>
      </c>
      <c r="F85" s="616" t="s">
        <v>1001</v>
      </c>
      <c r="G85" s="618" t="s">
        <v>1033</v>
      </c>
      <c r="H85" s="618" t="s">
        <v>9</v>
      </c>
      <c r="I85" s="618" t="s">
        <v>1033</v>
      </c>
      <c r="J85" s="618" t="s">
        <v>1033</v>
      </c>
      <c r="K85" s="619" t="s">
        <v>959</v>
      </c>
      <c r="L85" s="619" t="s">
        <v>959</v>
      </c>
      <c r="M85" s="620"/>
      <c r="N85" s="620"/>
      <c r="O85" s="663" t="s">
        <v>1044</v>
      </c>
      <c r="P85" s="621"/>
      <c r="Q85" s="598"/>
      <c r="R85" s="598"/>
      <c r="S85" s="598"/>
      <c r="T85" s="598" t="s">
        <v>992</v>
      </c>
      <c r="U85" s="663" t="s">
        <v>74</v>
      </c>
      <c r="V85" s="616" t="s">
        <v>1188</v>
      </c>
      <c r="W85" s="598" t="s">
        <v>950</v>
      </c>
      <c r="X85" s="624">
        <v>33947</v>
      </c>
      <c r="Y85" s="625">
        <f t="shared" ca="1" si="2"/>
        <v>33</v>
      </c>
      <c r="Z85" s="616" t="s">
        <v>1189</v>
      </c>
      <c r="AA85" s="598" t="s">
        <v>1190</v>
      </c>
      <c r="AB85" s="598" t="s">
        <v>1006</v>
      </c>
      <c r="AC85" s="598" t="s">
        <v>953</v>
      </c>
      <c r="AD85" s="616" t="s">
        <v>973</v>
      </c>
      <c r="AE85" s="616" t="s">
        <v>954</v>
      </c>
      <c r="AF85" s="616" t="s">
        <v>968</v>
      </c>
      <c r="AG85" s="598"/>
      <c r="AH85" s="598"/>
      <c r="AI85" s="598"/>
      <c r="AJ85" s="598"/>
      <c r="AK85" s="626"/>
      <c r="AL85" s="626"/>
    </row>
    <row r="86" spans="1:38" ht="18" customHeight="1">
      <c r="A86" s="593"/>
      <c r="B86" s="598">
        <v>68</v>
      </c>
      <c r="C86" s="598" t="s">
        <v>1191</v>
      </c>
      <c r="D86" s="598">
        <f t="shared" si="0"/>
        <v>64</v>
      </c>
      <c r="E86" s="616" t="s">
        <v>957</v>
      </c>
      <c r="F86" s="616" t="s">
        <v>1001</v>
      </c>
      <c r="G86" s="618" t="s">
        <v>1033</v>
      </c>
      <c r="H86" s="618" t="s">
        <v>9</v>
      </c>
      <c r="I86" s="618" t="s">
        <v>1033</v>
      </c>
      <c r="J86" s="618" t="s">
        <v>1033</v>
      </c>
      <c r="K86" s="619" t="s">
        <v>959</v>
      </c>
      <c r="L86" s="619" t="s">
        <v>959</v>
      </c>
      <c r="M86" s="620"/>
      <c r="N86" s="620"/>
      <c r="O86" s="663" t="s">
        <v>1044</v>
      </c>
      <c r="P86" s="621"/>
      <c r="Q86" s="598"/>
      <c r="R86" s="598"/>
      <c r="S86" s="598"/>
      <c r="T86" s="598" t="s">
        <v>992</v>
      </c>
      <c r="U86" s="663" t="s">
        <v>97</v>
      </c>
      <c r="V86" s="616" t="s">
        <v>1192</v>
      </c>
      <c r="W86" s="598" t="s">
        <v>950</v>
      </c>
      <c r="X86" s="624">
        <v>33488</v>
      </c>
      <c r="Y86" s="625">
        <f t="shared" ca="1" si="2"/>
        <v>34</v>
      </c>
      <c r="Z86" s="616" t="s">
        <v>1193</v>
      </c>
      <c r="AA86" s="598" t="s">
        <v>1194</v>
      </c>
      <c r="AB86" s="598" t="s">
        <v>1006</v>
      </c>
      <c r="AC86" s="598" t="s">
        <v>953</v>
      </c>
      <c r="AD86" s="616" t="s">
        <v>973</v>
      </c>
      <c r="AE86" s="616" t="s">
        <v>954</v>
      </c>
      <c r="AF86" s="616" t="s">
        <v>968</v>
      </c>
      <c r="AG86" s="598"/>
      <c r="AH86" s="598"/>
      <c r="AI86" s="598"/>
      <c r="AJ86" s="598"/>
      <c r="AK86" s="626"/>
      <c r="AL86" s="626"/>
    </row>
    <row r="87" spans="1:38" ht="18" customHeight="1">
      <c r="A87" s="593"/>
      <c r="B87" s="598">
        <v>69</v>
      </c>
      <c r="C87" s="598" t="s">
        <v>1195</v>
      </c>
      <c r="D87" s="598">
        <f t="shared" si="0"/>
        <v>65</v>
      </c>
      <c r="E87" s="616" t="s">
        <v>957</v>
      </c>
      <c r="F87" s="616" t="s">
        <v>1001</v>
      </c>
      <c r="G87" s="618" t="s">
        <v>1033</v>
      </c>
      <c r="H87" s="618" t="s">
        <v>9</v>
      </c>
      <c r="I87" s="618" t="s">
        <v>1033</v>
      </c>
      <c r="J87" s="618" t="s">
        <v>1033</v>
      </c>
      <c r="K87" s="619" t="s">
        <v>959</v>
      </c>
      <c r="L87" s="619" t="s">
        <v>959</v>
      </c>
      <c r="M87" s="620"/>
      <c r="N87" s="620"/>
      <c r="O87" s="663" t="s">
        <v>1044</v>
      </c>
      <c r="P87" s="621"/>
      <c r="Q87" s="598" t="s">
        <v>173</v>
      </c>
      <c r="R87" s="598" t="s">
        <v>514</v>
      </c>
      <c r="S87" s="598"/>
      <c r="T87" s="598" t="s">
        <v>992</v>
      </c>
      <c r="U87" s="663" t="s">
        <v>87</v>
      </c>
      <c r="V87" s="616" t="s">
        <v>1196</v>
      </c>
      <c r="W87" s="598" t="s">
        <v>950</v>
      </c>
      <c r="X87" s="624">
        <v>34403</v>
      </c>
      <c r="Y87" s="625">
        <f t="shared" ca="1" si="2"/>
        <v>31</v>
      </c>
      <c r="Z87" s="616" t="s">
        <v>1197</v>
      </c>
      <c r="AA87" s="598" t="s">
        <v>1198</v>
      </c>
      <c r="AB87" s="598" t="s">
        <v>1006</v>
      </c>
      <c r="AC87" s="598" t="s">
        <v>953</v>
      </c>
      <c r="AD87" s="616" t="s">
        <v>729</v>
      </c>
      <c r="AE87" s="616" t="s">
        <v>954</v>
      </c>
      <c r="AF87" s="616" t="s">
        <v>974</v>
      </c>
      <c r="AG87" s="598"/>
      <c r="AH87" s="598"/>
      <c r="AI87" s="598"/>
      <c r="AJ87" s="598"/>
      <c r="AK87" s="626"/>
      <c r="AL87" s="626"/>
    </row>
    <row r="88" spans="1:38" ht="18" customHeight="1">
      <c r="A88" s="596" t="s">
        <v>1149</v>
      </c>
      <c r="B88" s="598">
        <v>70</v>
      </c>
      <c r="C88" s="598" t="s">
        <v>1199</v>
      </c>
      <c r="D88" s="598">
        <f t="shared" si="0"/>
        <v>66</v>
      </c>
      <c r="E88" s="616" t="s">
        <v>957</v>
      </c>
      <c r="F88" s="616" t="s">
        <v>1001</v>
      </c>
      <c r="G88" s="618" t="s">
        <v>1033</v>
      </c>
      <c r="H88" s="618" t="s">
        <v>9</v>
      </c>
      <c r="I88" s="618" t="s">
        <v>1033</v>
      </c>
      <c r="J88" s="618" t="s">
        <v>1033</v>
      </c>
      <c r="K88" s="619" t="s">
        <v>959</v>
      </c>
      <c r="L88" s="619" t="s">
        <v>959</v>
      </c>
      <c r="M88" s="620"/>
      <c r="N88" s="620"/>
      <c r="O88" s="663" t="s">
        <v>1044</v>
      </c>
      <c r="P88" s="621"/>
      <c r="Q88" s="598" t="s">
        <v>910</v>
      </c>
      <c r="R88" s="598" t="s">
        <v>4483</v>
      </c>
      <c r="S88" s="598" t="s">
        <v>1151</v>
      </c>
      <c r="T88" s="598" t="s">
        <v>992</v>
      </c>
      <c r="U88" s="664" t="s">
        <v>36</v>
      </c>
      <c r="V88" s="616" t="s">
        <v>1201</v>
      </c>
      <c r="W88" s="598" t="s">
        <v>963</v>
      </c>
      <c r="X88" s="624">
        <v>33643</v>
      </c>
      <c r="Y88" s="625">
        <f t="shared" ca="1" si="2"/>
        <v>33</v>
      </c>
      <c r="Z88" s="616" t="s">
        <v>1154</v>
      </c>
      <c r="AA88" s="616" t="s">
        <v>1154</v>
      </c>
      <c r="AB88" s="598" t="s">
        <v>1006</v>
      </c>
      <c r="AC88" s="598" t="s">
        <v>953</v>
      </c>
      <c r="AD88" s="616" t="s">
        <v>954</v>
      </c>
      <c r="AE88" s="616" t="s">
        <v>954</v>
      </c>
      <c r="AF88" s="616" t="s">
        <v>974</v>
      </c>
      <c r="AG88" s="598"/>
      <c r="AH88" s="598"/>
      <c r="AI88" s="598"/>
      <c r="AJ88" s="598" t="s">
        <v>4474</v>
      </c>
      <c r="AK88" s="626"/>
      <c r="AL88" s="626"/>
    </row>
    <row r="89" spans="1:38" ht="18" customHeight="1">
      <c r="A89" s="586" t="s">
        <v>4484</v>
      </c>
      <c r="B89" s="598">
        <v>71</v>
      </c>
      <c r="C89" s="598" t="s">
        <v>4485</v>
      </c>
      <c r="D89" s="598">
        <f t="shared" si="0"/>
        <v>66</v>
      </c>
      <c r="E89" s="616"/>
      <c r="F89" s="616" t="s">
        <v>1001</v>
      </c>
      <c r="G89" s="618" t="s">
        <v>4486</v>
      </c>
      <c r="H89" s="618" t="s">
        <v>9</v>
      </c>
      <c r="I89" s="618" t="s">
        <v>4486</v>
      </c>
      <c r="J89" s="618" t="s">
        <v>4486</v>
      </c>
      <c r="K89" s="619" t="s">
        <v>959</v>
      </c>
      <c r="L89" s="619" t="s">
        <v>959</v>
      </c>
      <c r="M89" s="620"/>
      <c r="N89" s="620"/>
      <c r="O89" s="663" t="s">
        <v>1044</v>
      </c>
      <c r="P89" s="621"/>
      <c r="Q89" s="598"/>
      <c r="R89" s="598"/>
      <c r="S89" s="598"/>
      <c r="T89" s="598"/>
      <c r="U89" s="664" t="s">
        <v>121</v>
      </c>
      <c r="V89" s="616"/>
      <c r="W89" s="598" t="s">
        <v>963</v>
      </c>
      <c r="X89" s="624">
        <v>34445</v>
      </c>
      <c r="Y89" s="625">
        <f t="shared" ca="1" si="2"/>
        <v>31</v>
      </c>
      <c r="Z89" s="616"/>
      <c r="AA89" s="598" t="s">
        <v>4487</v>
      </c>
      <c r="AB89" s="598" t="s">
        <v>1006</v>
      </c>
      <c r="AC89" s="598" t="s">
        <v>953</v>
      </c>
      <c r="AD89" s="616" t="s">
        <v>954</v>
      </c>
      <c r="AE89" s="616" t="s">
        <v>973</v>
      </c>
      <c r="AF89" s="616" t="s">
        <v>4488</v>
      </c>
      <c r="AG89" s="598"/>
      <c r="AH89" s="598"/>
      <c r="AI89" s="598"/>
      <c r="AJ89" s="598"/>
      <c r="AK89" s="626"/>
      <c r="AL89" s="626"/>
    </row>
    <row r="90" spans="1:38" ht="18" customHeight="1">
      <c r="A90" s="593"/>
      <c r="B90" s="598">
        <v>72</v>
      </c>
      <c r="C90" s="598" t="s">
        <v>1202</v>
      </c>
      <c r="D90" s="598">
        <f t="shared" si="0"/>
        <v>66</v>
      </c>
      <c r="E90" s="616"/>
      <c r="F90" s="616" t="s">
        <v>1001</v>
      </c>
      <c r="G90" s="618" t="s">
        <v>1033</v>
      </c>
      <c r="H90" s="618" t="s">
        <v>9</v>
      </c>
      <c r="I90" s="618" t="s">
        <v>1033</v>
      </c>
      <c r="J90" s="618" t="s">
        <v>1033</v>
      </c>
      <c r="K90" s="619" t="s">
        <v>959</v>
      </c>
      <c r="L90" s="619" t="s">
        <v>959</v>
      </c>
      <c r="M90" s="620"/>
      <c r="N90" s="620"/>
      <c r="O90" s="673" t="s">
        <v>1044</v>
      </c>
      <c r="P90" s="621"/>
      <c r="Q90" s="598" t="s">
        <v>55</v>
      </c>
      <c r="R90" s="598" t="s">
        <v>173</v>
      </c>
      <c r="S90" s="598" t="s">
        <v>55</v>
      </c>
      <c r="T90" s="598"/>
      <c r="U90" s="673" t="s">
        <v>30</v>
      </c>
      <c r="V90" s="616" t="s">
        <v>1203</v>
      </c>
      <c r="W90" s="598" t="s">
        <v>950</v>
      </c>
      <c r="X90" s="624">
        <v>33065</v>
      </c>
      <c r="Y90" s="625">
        <f t="shared" ca="1" si="2"/>
        <v>35</v>
      </c>
      <c r="Z90" s="616" t="s">
        <v>1204</v>
      </c>
      <c r="AA90" s="598" t="s">
        <v>1205</v>
      </c>
      <c r="AB90" s="598" t="s">
        <v>1006</v>
      </c>
      <c r="AC90" s="598" t="s">
        <v>953</v>
      </c>
      <c r="AD90" s="616" t="s">
        <v>729</v>
      </c>
      <c r="AE90" s="616" t="s">
        <v>954</v>
      </c>
      <c r="AF90" s="616" t="s">
        <v>974</v>
      </c>
      <c r="AG90" s="598" t="s">
        <v>955</v>
      </c>
      <c r="AH90" s="598"/>
      <c r="AI90" s="598"/>
      <c r="AJ90" s="598"/>
      <c r="AK90" s="626"/>
      <c r="AL90" s="626"/>
    </row>
    <row r="91" spans="1:38" ht="18" customHeight="1">
      <c r="A91" s="593"/>
      <c r="B91" s="598">
        <v>73</v>
      </c>
      <c r="C91" s="598" t="s">
        <v>1206</v>
      </c>
      <c r="D91" s="598">
        <f t="shared" si="0"/>
        <v>67</v>
      </c>
      <c r="E91" s="616" t="s">
        <v>957</v>
      </c>
      <c r="F91" s="616" t="s">
        <v>1001</v>
      </c>
      <c r="G91" s="618" t="s">
        <v>1033</v>
      </c>
      <c r="H91" s="618" t="s">
        <v>9</v>
      </c>
      <c r="I91" s="618" t="s">
        <v>1033</v>
      </c>
      <c r="J91" s="618" t="s">
        <v>1206</v>
      </c>
      <c r="K91" s="618" t="s">
        <v>1207</v>
      </c>
      <c r="L91" s="619" t="s">
        <v>959</v>
      </c>
      <c r="M91" s="620"/>
      <c r="N91" s="620"/>
      <c r="O91" s="667" t="s">
        <v>1074</v>
      </c>
      <c r="P91" s="621"/>
      <c r="Q91" s="598" t="s">
        <v>948</v>
      </c>
      <c r="R91" s="598" t="s">
        <v>6</v>
      </c>
      <c r="S91" s="598" t="s">
        <v>55</v>
      </c>
      <c r="T91" s="598" t="s">
        <v>992</v>
      </c>
      <c r="U91" s="667" t="s">
        <v>7</v>
      </c>
      <c r="V91" s="616" t="s">
        <v>1210</v>
      </c>
      <c r="W91" s="598" t="s">
        <v>950</v>
      </c>
      <c r="X91" s="624">
        <v>31978</v>
      </c>
      <c r="Y91" s="625">
        <f t="shared" ca="1" si="2"/>
        <v>38</v>
      </c>
      <c r="Z91" s="616" t="s">
        <v>1211</v>
      </c>
      <c r="AA91" s="598" t="s">
        <v>1212</v>
      </c>
      <c r="AB91" s="598" t="s">
        <v>1006</v>
      </c>
      <c r="AC91" s="598" t="s">
        <v>953</v>
      </c>
      <c r="AD91" s="616" t="s">
        <v>954</v>
      </c>
      <c r="AE91" s="616" t="s">
        <v>954</v>
      </c>
      <c r="AF91" s="616" t="s">
        <v>974</v>
      </c>
      <c r="AG91" s="598"/>
      <c r="AH91" s="598"/>
      <c r="AI91" s="598"/>
      <c r="AJ91" s="598"/>
      <c r="AK91" s="626"/>
      <c r="AL91" s="626"/>
    </row>
    <row r="92" spans="1:38" ht="18" customHeight="1">
      <c r="A92" s="593"/>
      <c r="B92" s="598">
        <v>74</v>
      </c>
      <c r="C92" s="598" t="s">
        <v>1207</v>
      </c>
      <c r="D92" s="598">
        <f t="shared" si="0"/>
        <v>68</v>
      </c>
      <c r="E92" s="616" t="s">
        <v>957</v>
      </c>
      <c r="F92" s="616" t="s">
        <v>1001</v>
      </c>
      <c r="G92" s="618" t="s">
        <v>1033</v>
      </c>
      <c r="H92" s="618" t="s">
        <v>9</v>
      </c>
      <c r="I92" s="618" t="s">
        <v>1033</v>
      </c>
      <c r="J92" s="618" t="s">
        <v>1206</v>
      </c>
      <c r="K92" s="618" t="s">
        <v>1207</v>
      </c>
      <c r="L92" s="619" t="s">
        <v>959</v>
      </c>
      <c r="M92" s="620"/>
      <c r="N92" s="620"/>
      <c r="O92" s="663" t="s">
        <v>1074</v>
      </c>
      <c r="P92" s="621"/>
      <c r="Q92" s="598" t="s">
        <v>69</v>
      </c>
      <c r="R92" s="598" t="s">
        <v>69</v>
      </c>
      <c r="S92" s="598"/>
      <c r="T92" s="598" t="s">
        <v>992</v>
      </c>
      <c r="U92" s="663" t="s">
        <v>75</v>
      </c>
      <c r="V92" s="616" t="s">
        <v>1213</v>
      </c>
      <c r="W92" s="598" t="s">
        <v>950</v>
      </c>
      <c r="X92" s="624">
        <v>32578</v>
      </c>
      <c r="Y92" s="625">
        <f t="shared" ca="1" si="2"/>
        <v>36</v>
      </c>
      <c r="Z92" s="616" t="s">
        <v>1214</v>
      </c>
      <c r="AA92" s="598"/>
      <c r="AB92" s="598" t="s">
        <v>1006</v>
      </c>
      <c r="AC92" s="598" t="s">
        <v>953</v>
      </c>
      <c r="AD92" s="616" t="s">
        <v>729</v>
      </c>
      <c r="AE92" s="616" t="s">
        <v>954</v>
      </c>
      <c r="AF92" s="616" t="s">
        <v>974</v>
      </c>
      <c r="AG92" s="598"/>
      <c r="AH92" s="598"/>
      <c r="AI92" s="598"/>
      <c r="AJ92" s="598"/>
      <c r="AK92" s="626"/>
      <c r="AL92" s="626"/>
    </row>
    <row r="93" spans="1:38" ht="18" customHeight="1">
      <c r="A93" s="593"/>
      <c r="B93" s="598">
        <v>75</v>
      </c>
      <c r="C93" s="598" t="s">
        <v>1215</v>
      </c>
      <c r="D93" s="598">
        <f t="shared" si="0"/>
        <v>69</v>
      </c>
      <c r="E93" s="616" t="s">
        <v>957</v>
      </c>
      <c r="F93" s="616" t="s">
        <v>1001</v>
      </c>
      <c r="G93" s="618" t="s">
        <v>1033</v>
      </c>
      <c r="H93" s="618" t="s">
        <v>9</v>
      </c>
      <c r="I93" s="618" t="s">
        <v>1033</v>
      </c>
      <c r="J93" s="618" t="s">
        <v>1206</v>
      </c>
      <c r="K93" s="618" t="s">
        <v>1207</v>
      </c>
      <c r="L93" s="619" t="s">
        <v>959</v>
      </c>
      <c r="M93" s="620"/>
      <c r="N93" s="620"/>
      <c r="O93" s="663" t="s">
        <v>1044</v>
      </c>
      <c r="P93" s="621"/>
      <c r="Q93" s="598"/>
      <c r="R93" s="598"/>
      <c r="S93" s="598" t="s">
        <v>1216</v>
      </c>
      <c r="T93" s="598" t="s">
        <v>992</v>
      </c>
      <c r="U93" s="663" t="s">
        <v>88</v>
      </c>
      <c r="V93" s="616" t="s">
        <v>1217</v>
      </c>
      <c r="W93" s="598" t="s">
        <v>950</v>
      </c>
      <c r="X93" s="624">
        <v>34867</v>
      </c>
      <c r="Y93" s="625">
        <f t="shared" ca="1" si="2"/>
        <v>30</v>
      </c>
      <c r="Z93" s="616" t="s">
        <v>1218</v>
      </c>
      <c r="AA93" s="598" t="s">
        <v>1219</v>
      </c>
      <c r="AB93" s="598" t="s">
        <v>1006</v>
      </c>
      <c r="AC93" s="598" t="s">
        <v>953</v>
      </c>
      <c r="AD93" s="616" t="s">
        <v>1220</v>
      </c>
      <c r="AE93" s="616" t="s">
        <v>954</v>
      </c>
      <c r="AF93" s="616" t="s">
        <v>974</v>
      </c>
      <c r="AG93" s="598"/>
      <c r="AH93" s="598"/>
      <c r="AI93" s="598"/>
      <c r="AJ93" s="598"/>
      <c r="AK93" s="626"/>
      <c r="AL93" s="626"/>
    </row>
    <row r="94" spans="1:38" ht="18" customHeight="1">
      <c r="A94" s="593"/>
      <c r="B94" s="598">
        <v>76</v>
      </c>
      <c r="C94" s="598" t="s">
        <v>1221</v>
      </c>
      <c r="D94" s="598">
        <f t="shared" si="0"/>
        <v>70</v>
      </c>
      <c r="E94" s="616" t="s">
        <v>957</v>
      </c>
      <c r="F94" s="616" t="s">
        <v>1001</v>
      </c>
      <c r="G94" s="618" t="s">
        <v>1033</v>
      </c>
      <c r="H94" s="618" t="s">
        <v>9</v>
      </c>
      <c r="I94" s="618" t="s">
        <v>1033</v>
      </c>
      <c r="J94" s="618" t="s">
        <v>1206</v>
      </c>
      <c r="K94" s="618" t="s">
        <v>1207</v>
      </c>
      <c r="L94" s="619" t="s">
        <v>959</v>
      </c>
      <c r="M94" s="620"/>
      <c r="N94" s="620"/>
      <c r="O94" s="663" t="s">
        <v>1074</v>
      </c>
      <c r="P94" s="621"/>
      <c r="Q94" s="598" t="s">
        <v>910</v>
      </c>
      <c r="R94" s="598"/>
      <c r="S94" s="598" t="s">
        <v>1151</v>
      </c>
      <c r="T94" s="598" t="s">
        <v>992</v>
      </c>
      <c r="U94" s="663" t="s">
        <v>20</v>
      </c>
      <c r="V94" s="616" t="s">
        <v>1222</v>
      </c>
      <c r="W94" s="598" t="s">
        <v>963</v>
      </c>
      <c r="X94" s="624">
        <v>33136</v>
      </c>
      <c r="Y94" s="625">
        <f t="shared" ca="1" si="2"/>
        <v>35</v>
      </c>
      <c r="Z94" s="616" t="s">
        <v>1223</v>
      </c>
      <c r="AA94" s="598" t="s">
        <v>1224</v>
      </c>
      <c r="AB94" s="598" t="s">
        <v>1006</v>
      </c>
      <c r="AC94" s="598" t="s">
        <v>953</v>
      </c>
      <c r="AD94" s="616" t="s">
        <v>954</v>
      </c>
      <c r="AE94" s="616" t="s">
        <v>954</v>
      </c>
      <c r="AF94" s="616" t="s">
        <v>968</v>
      </c>
      <c r="AG94" s="598"/>
      <c r="AH94" s="598"/>
      <c r="AI94" s="598"/>
      <c r="AJ94" s="598"/>
      <c r="AK94" s="626"/>
      <c r="AL94" s="626"/>
    </row>
    <row r="95" spans="1:38" ht="18" customHeight="1">
      <c r="A95" s="593"/>
      <c r="B95" s="598">
        <v>78</v>
      </c>
      <c r="C95" s="598" t="s">
        <v>1225</v>
      </c>
      <c r="D95" s="598">
        <f t="shared" si="0"/>
        <v>71</v>
      </c>
      <c r="E95" s="616" t="s">
        <v>957</v>
      </c>
      <c r="F95" s="616" t="s">
        <v>1001</v>
      </c>
      <c r="G95" s="618" t="s">
        <v>1033</v>
      </c>
      <c r="H95" s="618" t="s">
        <v>9</v>
      </c>
      <c r="I95" s="618" t="s">
        <v>1033</v>
      </c>
      <c r="J95" s="618" t="s">
        <v>1206</v>
      </c>
      <c r="K95" s="618" t="s">
        <v>1207</v>
      </c>
      <c r="L95" s="619" t="s">
        <v>959</v>
      </c>
      <c r="M95" s="620"/>
      <c r="N95" s="620"/>
      <c r="O95" s="663" t="s">
        <v>1074</v>
      </c>
      <c r="P95" s="621"/>
      <c r="Q95" s="598" t="s">
        <v>173</v>
      </c>
      <c r="R95" s="598" t="s">
        <v>1228</v>
      </c>
      <c r="S95" s="598" t="s">
        <v>55</v>
      </c>
      <c r="T95" s="598" t="s">
        <v>992</v>
      </c>
      <c r="U95" s="669" t="s">
        <v>114</v>
      </c>
      <c r="V95" s="616" t="s">
        <v>1229</v>
      </c>
      <c r="W95" s="598" t="s">
        <v>950</v>
      </c>
      <c r="X95" s="624">
        <v>34746</v>
      </c>
      <c r="Y95" s="625">
        <f t="shared" ca="1" si="2"/>
        <v>30</v>
      </c>
      <c r="Z95" s="616" t="s">
        <v>1230</v>
      </c>
      <c r="AA95" s="598" t="s">
        <v>1231</v>
      </c>
      <c r="AB95" s="598" t="s">
        <v>1006</v>
      </c>
      <c r="AC95" s="598" t="s">
        <v>953</v>
      </c>
      <c r="AD95" s="616" t="s">
        <v>1041</v>
      </c>
      <c r="AE95" s="616" t="s">
        <v>954</v>
      </c>
      <c r="AF95" s="616" t="s">
        <v>974</v>
      </c>
      <c r="AG95" s="598"/>
      <c r="AH95" s="598"/>
      <c r="AI95" s="598"/>
      <c r="AJ95" s="598"/>
      <c r="AK95" s="626"/>
      <c r="AL95" s="626"/>
    </row>
    <row r="96" spans="1:38" ht="18" customHeight="1">
      <c r="A96" s="593"/>
      <c r="B96" s="598">
        <v>79</v>
      </c>
      <c r="C96" s="598" t="s">
        <v>4489</v>
      </c>
      <c r="D96" s="598">
        <f t="shared" si="0"/>
        <v>72</v>
      </c>
      <c r="E96" s="616" t="s">
        <v>957</v>
      </c>
      <c r="F96" s="616" t="s">
        <v>1001</v>
      </c>
      <c r="G96" s="618" t="s">
        <v>1033</v>
      </c>
      <c r="H96" s="618" t="s">
        <v>9</v>
      </c>
      <c r="I96" s="618" t="s">
        <v>1033</v>
      </c>
      <c r="J96" s="618" t="s">
        <v>1206</v>
      </c>
      <c r="K96" s="618" t="s">
        <v>1207</v>
      </c>
      <c r="L96" s="619" t="s">
        <v>959</v>
      </c>
      <c r="M96" s="620"/>
      <c r="N96" s="620"/>
      <c r="O96" s="663" t="s">
        <v>1074</v>
      </c>
      <c r="P96" s="621"/>
      <c r="Q96" s="598"/>
      <c r="R96" s="598"/>
      <c r="S96" s="598"/>
      <c r="T96" s="598" t="s">
        <v>992</v>
      </c>
      <c r="U96" s="668" t="s">
        <v>4490</v>
      </c>
      <c r="V96" s="616" t="s">
        <v>4491</v>
      </c>
      <c r="W96" s="598" t="s">
        <v>950</v>
      </c>
      <c r="X96" s="624">
        <v>32025</v>
      </c>
      <c r="Y96" s="625">
        <f t="shared" ca="1" si="2"/>
        <v>38</v>
      </c>
      <c r="Z96" s="616" t="s">
        <v>4492</v>
      </c>
      <c r="AA96" s="632"/>
      <c r="AB96" s="598" t="s">
        <v>1006</v>
      </c>
      <c r="AC96" s="633" t="s">
        <v>1018</v>
      </c>
      <c r="AD96" s="616" t="s">
        <v>973</v>
      </c>
      <c r="AE96" s="616" t="s">
        <v>954</v>
      </c>
      <c r="AF96" s="616" t="s">
        <v>974</v>
      </c>
      <c r="AG96" s="598"/>
      <c r="AH96" s="598" t="s">
        <v>4443</v>
      </c>
      <c r="AI96" s="598"/>
      <c r="AJ96" s="598" t="s">
        <v>1020</v>
      </c>
      <c r="AK96" s="626"/>
      <c r="AL96" s="626"/>
    </row>
    <row r="97" spans="1:38" ht="18" customHeight="1">
      <c r="A97" s="593"/>
      <c r="B97" s="598">
        <v>80</v>
      </c>
      <c r="C97" s="598" t="s">
        <v>4493</v>
      </c>
      <c r="D97" s="598">
        <f t="shared" si="0"/>
        <v>73</v>
      </c>
      <c r="E97" s="616" t="s">
        <v>957</v>
      </c>
      <c r="F97" s="616" t="s">
        <v>1001</v>
      </c>
      <c r="G97" s="618" t="s">
        <v>1033</v>
      </c>
      <c r="H97" s="618" t="s">
        <v>9</v>
      </c>
      <c r="I97" s="618" t="s">
        <v>1033</v>
      </c>
      <c r="J97" s="618" t="s">
        <v>1206</v>
      </c>
      <c r="K97" s="618" t="s">
        <v>1207</v>
      </c>
      <c r="L97" s="619" t="s">
        <v>959</v>
      </c>
      <c r="M97" s="620"/>
      <c r="N97" s="620"/>
      <c r="O97" s="663" t="s">
        <v>1074</v>
      </c>
      <c r="P97" s="621"/>
      <c r="Q97" s="598"/>
      <c r="R97" s="598"/>
      <c r="S97" s="598"/>
      <c r="T97" s="598" t="s">
        <v>992</v>
      </c>
      <c r="U97" s="663" t="s">
        <v>122</v>
      </c>
      <c r="V97" s="616" t="s">
        <v>4494</v>
      </c>
      <c r="W97" s="598" t="s">
        <v>950</v>
      </c>
      <c r="X97" s="624">
        <v>37287</v>
      </c>
      <c r="Y97" s="625">
        <f t="shared" ca="1" si="2"/>
        <v>24</v>
      </c>
      <c r="Z97" s="616" t="s">
        <v>4495</v>
      </c>
      <c r="AA97" s="632"/>
      <c r="AB97" s="598" t="s">
        <v>1006</v>
      </c>
      <c r="AC97" s="598" t="s">
        <v>953</v>
      </c>
      <c r="AD97" s="616" t="s">
        <v>246</v>
      </c>
      <c r="AE97" s="616" t="s">
        <v>954</v>
      </c>
      <c r="AF97" s="616" t="s">
        <v>974</v>
      </c>
      <c r="AG97" s="598"/>
      <c r="AH97" s="598"/>
      <c r="AI97" s="598"/>
      <c r="AJ97" s="598"/>
      <c r="AK97" s="626"/>
      <c r="AL97" s="626"/>
    </row>
    <row r="98" spans="1:38" ht="18" customHeight="1">
      <c r="A98" s="593"/>
      <c r="B98" s="598">
        <v>81</v>
      </c>
      <c r="C98" s="598" t="s">
        <v>1232</v>
      </c>
      <c r="D98" s="598">
        <f t="shared" si="0"/>
        <v>74</v>
      </c>
      <c r="E98" s="616" t="s">
        <v>1233</v>
      </c>
      <c r="F98" s="616" t="s">
        <v>1234</v>
      </c>
      <c r="G98" s="618" t="s">
        <v>1232</v>
      </c>
      <c r="H98" s="618" t="s">
        <v>172</v>
      </c>
      <c r="I98" s="618" t="s">
        <v>1232</v>
      </c>
      <c r="J98" s="618" t="s">
        <v>1232</v>
      </c>
      <c r="K98" s="618" t="s">
        <v>1514</v>
      </c>
      <c r="L98" s="619" t="s">
        <v>959</v>
      </c>
      <c r="M98" s="620"/>
      <c r="N98" s="620"/>
      <c r="O98" s="667" t="s">
        <v>1044</v>
      </c>
      <c r="P98" s="621"/>
      <c r="Q98" s="598" t="s">
        <v>1227</v>
      </c>
      <c r="R98" s="598" t="s">
        <v>173</v>
      </c>
      <c r="S98" s="598" t="s">
        <v>55</v>
      </c>
      <c r="T98" s="598" t="s">
        <v>1090</v>
      </c>
      <c r="U98" s="667" t="s">
        <v>172</v>
      </c>
      <c r="V98" s="616" t="s">
        <v>1236</v>
      </c>
      <c r="W98" s="598" t="s">
        <v>950</v>
      </c>
      <c r="X98" s="624">
        <v>18512</v>
      </c>
      <c r="Y98" s="625">
        <f t="shared" ca="1" si="2"/>
        <v>75</v>
      </c>
      <c r="Z98" s="616" t="s">
        <v>1237</v>
      </c>
      <c r="AA98" s="598" t="s">
        <v>1238</v>
      </c>
      <c r="AB98" s="598" t="s">
        <v>966</v>
      </c>
      <c r="AC98" s="598" t="s">
        <v>953</v>
      </c>
      <c r="AD98" s="616" t="s">
        <v>729</v>
      </c>
      <c r="AE98" s="616" t="s">
        <v>1239</v>
      </c>
      <c r="AF98" s="616" t="s">
        <v>1240</v>
      </c>
      <c r="AG98" s="598"/>
      <c r="AH98" s="598"/>
      <c r="AI98" s="598"/>
      <c r="AJ98" s="598"/>
      <c r="AK98" s="626"/>
      <c r="AL98" s="626"/>
    </row>
    <row r="99" spans="1:38" ht="18" customHeight="1">
      <c r="A99" s="593"/>
      <c r="B99" s="598">
        <v>82</v>
      </c>
      <c r="C99" s="598" t="s">
        <v>1514</v>
      </c>
      <c r="D99" s="598">
        <f t="shared" si="0"/>
        <v>75</v>
      </c>
      <c r="E99" s="616" t="s">
        <v>1233</v>
      </c>
      <c r="F99" s="616" t="s">
        <v>1234</v>
      </c>
      <c r="G99" s="618" t="s">
        <v>1232</v>
      </c>
      <c r="H99" s="618" t="s">
        <v>172</v>
      </c>
      <c r="I99" s="618" t="s">
        <v>1232</v>
      </c>
      <c r="J99" s="618" t="s">
        <v>1232</v>
      </c>
      <c r="K99" s="618" t="s">
        <v>1514</v>
      </c>
      <c r="L99" s="619" t="s">
        <v>959</v>
      </c>
      <c r="M99" s="620"/>
      <c r="N99" s="620"/>
      <c r="O99" s="663" t="s">
        <v>1044</v>
      </c>
      <c r="P99" s="621"/>
      <c r="Q99" s="598" t="s">
        <v>55</v>
      </c>
      <c r="R99" s="598" t="s">
        <v>178</v>
      </c>
      <c r="S99" s="598" t="s">
        <v>69</v>
      </c>
      <c r="T99" s="598" t="s">
        <v>1090</v>
      </c>
      <c r="U99" s="663" t="s">
        <v>191</v>
      </c>
      <c r="V99" s="616" t="s">
        <v>1516</v>
      </c>
      <c r="W99" s="598" t="s">
        <v>963</v>
      </c>
      <c r="X99" s="624">
        <v>19232</v>
      </c>
      <c r="Y99" s="625">
        <f t="shared" ca="1" si="2"/>
        <v>73</v>
      </c>
      <c r="Z99" s="616" t="s">
        <v>1517</v>
      </c>
      <c r="AA99" s="598" t="s">
        <v>1518</v>
      </c>
      <c r="AB99" s="598" t="s">
        <v>966</v>
      </c>
      <c r="AC99" s="598" t="s">
        <v>953</v>
      </c>
      <c r="AD99" s="616" t="s">
        <v>729</v>
      </c>
      <c r="AE99" s="616" t="s">
        <v>1239</v>
      </c>
      <c r="AF99" s="616" t="s">
        <v>1240</v>
      </c>
      <c r="AG99" s="598"/>
      <c r="AH99" s="598"/>
      <c r="AI99" s="598"/>
      <c r="AJ99" s="598"/>
      <c r="AK99" s="626"/>
      <c r="AL99" s="626"/>
    </row>
    <row r="100" spans="1:38" ht="18" customHeight="1">
      <c r="A100" s="593"/>
      <c r="B100" s="598">
        <v>83</v>
      </c>
      <c r="C100" s="598" t="s">
        <v>1550</v>
      </c>
      <c r="D100" s="598">
        <f t="shared" si="0"/>
        <v>76</v>
      </c>
      <c r="E100" s="616" t="s">
        <v>1233</v>
      </c>
      <c r="F100" s="616" t="s">
        <v>1234</v>
      </c>
      <c r="G100" s="618" t="s">
        <v>1232</v>
      </c>
      <c r="H100" s="618" t="s">
        <v>172</v>
      </c>
      <c r="I100" s="618" t="s">
        <v>1232</v>
      </c>
      <c r="J100" s="618" t="s">
        <v>1232</v>
      </c>
      <c r="K100" s="618" t="s">
        <v>1514</v>
      </c>
      <c r="L100" s="619" t="s">
        <v>959</v>
      </c>
      <c r="M100" s="620"/>
      <c r="N100" s="620"/>
      <c r="O100" s="663" t="s">
        <v>1044</v>
      </c>
      <c r="P100" s="621"/>
      <c r="Q100" s="598" t="s">
        <v>55</v>
      </c>
      <c r="R100" s="598" t="s">
        <v>178</v>
      </c>
      <c r="S100" s="598"/>
      <c r="T100" s="598" t="s">
        <v>1090</v>
      </c>
      <c r="U100" s="663" t="s">
        <v>181</v>
      </c>
      <c r="V100" s="616" t="s">
        <v>1553</v>
      </c>
      <c r="W100" s="598" t="s">
        <v>950</v>
      </c>
      <c r="X100" s="624">
        <v>19598</v>
      </c>
      <c r="Y100" s="625">
        <f t="shared" ca="1" si="2"/>
        <v>72</v>
      </c>
      <c r="Z100" s="616" t="s">
        <v>1554</v>
      </c>
      <c r="AA100" s="598" t="s">
        <v>1555</v>
      </c>
      <c r="AB100" s="598" t="s">
        <v>966</v>
      </c>
      <c r="AC100" s="598" t="s">
        <v>953</v>
      </c>
      <c r="AD100" s="616" t="s">
        <v>729</v>
      </c>
      <c r="AE100" s="616" t="s">
        <v>1239</v>
      </c>
      <c r="AF100" s="616" t="s">
        <v>1258</v>
      </c>
      <c r="AG100" s="598"/>
      <c r="AH100" s="598"/>
      <c r="AI100" s="598"/>
      <c r="AJ100" s="598"/>
      <c r="AK100" s="626"/>
      <c r="AL100" s="626"/>
    </row>
    <row r="101" spans="1:38" ht="18" customHeight="1">
      <c r="A101" s="593"/>
      <c r="B101" s="598">
        <v>84</v>
      </c>
      <c r="C101" s="598" t="s">
        <v>1528</v>
      </c>
      <c r="D101" s="598">
        <f t="shared" si="0"/>
        <v>77</v>
      </c>
      <c r="E101" s="616" t="s">
        <v>1233</v>
      </c>
      <c r="F101" s="616" t="s">
        <v>1234</v>
      </c>
      <c r="G101" s="618" t="s">
        <v>1232</v>
      </c>
      <c r="H101" s="618" t="s">
        <v>172</v>
      </c>
      <c r="I101" s="618" t="s">
        <v>1232</v>
      </c>
      <c r="J101" s="618" t="s">
        <v>1232</v>
      </c>
      <c r="K101" s="618" t="s">
        <v>1514</v>
      </c>
      <c r="L101" s="619" t="s">
        <v>959</v>
      </c>
      <c r="M101" s="620"/>
      <c r="N101" s="620"/>
      <c r="O101" s="663" t="s">
        <v>1044</v>
      </c>
      <c r="P101" s="621"/>
      <c r="Q101" s="598" t="s">
        <v>55</v>
      </c>
      <c r="R101" s="598" t="s">
        <v>178</v>
      </c>
      <c r="S101" s="598"/>
      <c r="T101" s="598" t="s">
        <v>962</v>
      </c>
      <c r="U101" s="663" t="s">
        <v>179</v>
      </c>
      <c r="V101" s="616" t="s">
        <v>1530</v>
      </c>
      <c r="W101" s="598" t="s">
        <v>963</v>
      </c>
      <c r="X101" s="624">
        <v>31834</v>
      </c>
      <c r="Y101" s="625">
        <f t="shared" ca="1" si="2"/>
        <v>38</v>
      </c>
      <c r="Z101" s="616" t="s">
        <v>1531</v>
      </c>
      <c r="AA101" s="598" t="s">
        <v>1532</v>
      </c>
      <c r="AB101" s="598" t="s">
        <v>966</v>
      </c>
      <c r="AC101" s="598" t="s">
        <v>953</v>
      </c>
      <c r="AD101" s="616" t="s">
        <v>729</v>
      </c>
      <c r="AE101" s="616" t="s">
        <v>1239</v>
      </c>
      <c r="AF101" s="616" t="s">
        <v>1533</v>
      </c>
      <c r="AG101" s="598"/>
      <c r="AH101" s="598"/>
      <c r="AI101" s="598"/>
      <c r="AJ101" s="598"/>
      <c r="AK101" s="626"/>
      <c r="AL101" s="626"/>
    </row>
    <row r="102" spans="1:38" ht="18" customHeight="1">
      <c r="A102" s="593"/>
      <c r="B102" s="598">
        <v>85</v>
      </c>
      <c r="C102" s="598" t="s">
        <v>1241</v>
      </c>
      <c r="D102" s="598">
        <f t="shared" si="0"/>
        <v>78</v>
      </c>
      <c r="E102" s="616" t="s">
        <v>1233</v>
      </c>
      <c r="F102" s="616" t="s">
        <v>1234</v>
      </c>
      <c r="G102" s="618" t="s">
        <v>1232</v>
      </c>
      <c r="H102" s="618" t="s">
        <v>172</v>
      </c>
      <c r="I102" s="618" t="s">
        <v>1232</v>
      </c>
      <c r="J102" s="618" t="s">
        <v>1232</v>
      </c>
      <c r="K102" s="618" t="s">
        <v>1514</v>
      </c>
      <c r="L102" s="619" t="s">
        <v>959</v>
      </c>
      <c r="M102" s="620"/>
      <c r="N102" s="620"/>
      <c r="O102" s="663" t="s">
        <v>1044</v>
      </c>
      <c r="P102" s="621"/>
      <c r="Q102" s="598" t="s">
        <v>173</v>
      </c>
      <c r="R102" s="598" t="s">
        <v>514</v>
      </c>
      <c r="S102" s="598"/>
      <c r="T102" s="598" t="s">
        <v>1090</v>
      </c>
      <c r="U102" s="663" t="s">
        <v>254</v>
      </c>
      <c r="V102" s="616" t="s">
        <v>1242</v>
      </c>
      <c r="W102" s="598" t="s">
        <v>950</v>
      </c>
      <c r="X102" s="624">
        <v>20283</v>
      </c>
      <c r="Y102" s="625">
        <f t="shared" ca="1" si="2"/>
        <v>70</v>
      </c>
      <c r="Z102" s="616" t="s">
        <v>1243</v>
      </c>
      <c r="AA102" s="598" t="s">
        <v>1244</v>
      </c>
      <c r="AB102" s="598" t="s">
        <v>966</v>
      </c>
      <c r="AC102" s="598" t="s">
        <v>953</v>
      </c>
      <c r="AD102" s="616" t="s">
        <v>729</v>
      </c>
      <c r="AE102" s="616" t="s">
        <v>1239</v>
      </c>
      <c r="AF102" s="616" t="s">
        <v>1240</v>
      </c>
      <c r="AG102" s="598"/>
      <c r="AH102" s="598"/>
      <c r="AI102" s="598"/>
      <c r="AJ102" s="598"/>
      <c r="AK102" s="626"/>
      <c r="AL102" s="626"/>
    </row>
    <row r="103" spans="1:38" ht="18" customHeight="1">
      <c r="A103" s="593"/>
      <c r="B103" s="598">
        <v>86</v>
      </c>
      <c r="C103" s="598" t="s">
        <v>1506</v>
      </c>
      <c r="D103" s="598">
        <f t="shared" si="0"/>
        <v>79</v>
      </c>
      <c r="E103" s="616" t="s">
        <v>1233</v>
      </c>
      <c r="F103" s="616" t="s">
        <v>1234</v>
      </c>
      <c r="G103" s="618" t="s">
        <v>1232</v>
      </c>
      <c r="H103" s="618" t="s">
        <v>172</v>
      </c>
      <c r="I103" s="618" t="s">
        <v>1232</v>
      </c>
      <c r="J103" s="618" t="s">
        <v>1232</v>
      </c>
      <c r="K103" s="618" t="s">
        <v>1514</v>
      </c>
      <c r="L103" s="619" t="s">
        <v>959</v>
      </c>
      <c r="M103" s="620"/>
      <c r="N103" s="620"/>
      <c r="O103" s="663" t="s">
        <v>1044</v>
      </c>
      <c r="P103" s="621"/>
      <c r="Q103" s="598" t="s">
        <v>173</v>
      </c>
      <c r="R103" s="598" t="s">
        <v>514</v>
      </c>
      <c r="S103" s="598"/>
      <c r="T103" s="598" t="s">
        <v>1015</v>
      </c>
      <c r="U103" s="663" t="s">
        <v>271</v>
      </c>
      <c r="V103" s="616" t="s">
        <v>1597</v>
      </c>
      <c r="W103" s="598" t="s">
        <v>950</v>
      </c>
      <c r="X103" s="624">
        <v>29437</v>
      </c>
      <c r="Y103" s="625">
        <f t="shared" ca="1" si="2"/>
        <v>45</v>
      </c>
      <c r="Z103" s="616" t="s">
        <v>1598</v>
      </c>
      <c r="AA103" s="598" t="s">
        <v>1599</v>
      </c>
      <c r="AB103" s="598" t="s">
        <v>966</v>
      </c>
      <c r="AC103" s="598" t="s">
        <v>953</v>
      </c>
      <c r="AD103" s="616" t="s">
        <v>729</v>
      </c>
      <c r="AE103" s="616" t="s">
        <v>1239</v>
      </c>
      <c r="AF103" s="616" t="s">
        <v>1258</v>
      </c>
      <c r="AG103" s="598"/>
      <c r="AH103" s="598"/>
      <c r="AI103" s="598"/>
      <c r="AJ103" s="598"/>
      <c r="AK103" s="626"/>
      <c r="AL103" s="626"/>
    </row>
    <row r="104" spans="1:38" ht="18" customHeight="1">
      <c r="A104" s="593"/>
      <c r="B104" s="598">
        <v>87</v>
      </c>
      <c r="C104" s="598" t="s">
        <v>1658</v>
      </c>
      <c r="D104" s="598">
        <f t="shared" si="0"/>
        <v>80</v>
      </c>
      <c r="E104" s="616" t="s">
        <v>1233</v>
      </c>
      <c r="F104" s="616" t="s">
        <v>1234</v>
      </c>
      <c r="G104" s="618" t="s">
        <v>1232</v>
      </c>
      <c r="H104" s="618" t="s">
        <v>172</v>
      </c>
      <c r="I104" s="618" t="s">
        <v>1232</v>
      </c>
      <c r="J104" s="618" t="s">
        <v>1232</v>
      </c>
      <c r="K104" s="618" t="s">
        <v>1514</v>
      </c>
      <c r="L104" s="619" t="s">
        <v>959</v>
      </c>
      <c r="M104" s="620"/>
      <c r="N104" s="620"/>
      <c r="O104" s="663" t="s">
        <v>1044</v>
      </c>
      <c r="P104" s="621"/>
      <c r="Q104" s="598" t="s">
        <v>55</v>
      </c>
      <c r="R104" s="598" t="s">
        <v>178</v>
      </c>
      <c r="S104" s="598"/>
      <c r="T104" s="598" t="s">
        <v>1015</v>
      </c>
      <c r="U104" s="663" t="s">
        <v>286</v>
      </c>
      <c r="V104" s="616" t="s">
        <v>1660</v>
      </c>
      <c r="W104" s="598" t="s">
        <v>950</v>
      </c>
      <c r="X104" s="624">
        <v>29090</v>
      </c>
      <c r="Y104" s="625">
        <f t="shared" ca="1" si="2"/>
        <v>46</v>
      </c>
      <c r="Z104" s="616" t="s">
        <v>1661</v>
      </c>
      <c r="AA104" s="598" t="s">
        <v>1662</v>
      </c>
      <c r="AB104" s="598" t="s">
        <v>966</v>
      </c>
      <c r="AC104" s="598" t="s">
        <v>953</v>
      </c>
      <c r="AD104" s="616" t="s">
        <v>729</v>
      </c>
      <c r="AE104" s="616" t="s">
        <v>1239</v>
      </c>
      <c r="AF104" s="616" t="s">
        <v>1258</v>
      </c>
      <c r="AG104" s="598"/>
      <c r="AH104" s="598"/>
      <c r="AI104" s="598"/>
      <c r="AJ104" s="598"/>
      <c r="AK104" s="626"/>
      <c r="AL104" s="626"/>
    </row>
    <row r="105" spans="1:38" ht="18" customHeight="1">
      <c r="A105" s="593"/>
      <c r="B105" s="598">
        <v>88</v>
      </c>
      <c r="C105" s="598" t="s">
        <v>1260</v>
      </c>
      <c r="D105" s="598">
        <f t="shared" si="0"/>
        <v>81</v>
      </c>
      <c r="E105" s="616" t="s">
        <v>1233</v>
      </c>
      <c r="F105" s="616" t="s">
        <v>1234</v>
      </c>
      <c r="G105" s="618" t="s">
        <v>1232</v>
      </c>
      <c r="H105" s="618" t="s">
        <v>172</v>
      </c>
      <c r="I105" s="618" t="s">
        <v>1232</v>
      </c>
      <c r="J105" s="618" t="s">
        <v>1232</v>
      </c>
      <c r="K105" s="618" t="s">
        <v>1514</v>
      </c>
      <c r="L105" s="619" t="s">
        <v>959</v>
      </c>
      <c r="M105" s="620"/>
      <c r="N105" s="620"/>
      <c r="O105" s="663" t="s">
        <v>1044</v>
      </c>
      <c r="P105" s="621"/>
      <c r="Q105" s="598" t="s">
        <v>55</v>
      </c>
      <c r="R105" s="598" t="s">
        <v>178</v>
      </c>
      <c r="S105" s="598"/>
      <c r="T105" s="598" t="s">
        <v>1015</v>
      </c>
      <c r="U105" s="663" t="s">
        <v>297</v>
      </c>
      <c r="V105" s="616" t="s">
        <v>1261</v>
      </c>
      <c r="W105" s="598" t="s">
        <v>950</v>
      </c>
      <c r="X105" s="624">
        <v>24204</v>
      </c>
      <c r="Y105" s="625">
        <f t="shared" ca="1" si="2"/>
        <v>59</v>
      </c>
      <c r="Z105" s="616" t="s">
        <v>1262</v>
      </c>
      <c r="AA105" s="598" t="s">
        <v>1263</v>
      </c>
      <c r="AB105" s="598" t="s">
        <v>966</v>
      </c>
      <c r="AC105" s="598" t="s">
        <v>953</v>
      </c>
      <c r="AD105" s="616" t="s">
        <v>729</v>
      </c>
      <c r="AE105" s="616" t="s">
        <v>1239</v>
      </c>
      <c r="AF105" s="616" t="s">
        <v>1240</v>
      </c>
      <c r="AG105" s="598"/>
      <c r="AH105" s="598"/>
      <c r="AI105" s="598"/>
      <c r="AJ105" s="598"/>
      <c r="AK105" s="626"/>
      <c r="AL105" s="626"/>
    </row>
    <row r="106" spans="1:38" ht="18" customHeight="1">
      <c r="A106" s="593"/>
      <c r="B106" s="598">
        <v>89</v>
      </c>
      <c r="C106" s="598" t="s">
        <v>1360</v>
      </c>
      <c r="D106" s="598">
        <f t="shared" si="0"/>
        <v>82</v>
      </c>
      <c r="E106" s="616" t="s">
        <v>1233</v>
      </c>
      <c r="F106" s="616" t="s">
        <v>1234</v>
      </c>
      <c r="G106" s="618" t="s">
        <v>1232</v>
      </c>
      <c r="H106" s="618" t="s">
        <v>172</v>
      </c>
      <c r="I106" s="618" t="s">
        <v>1232</v>
      </c>
      <c r="J106" s="618" t="s">
        <v>1232</v>
      </c>
      <c r="K106" s="618" t="s">
        <v>1514</v>
      </c>
      <c r="L106" s="619" t="s">
        <v>959</v>
      </c>
      <c r="M106" s="620"/>
      <c r="N106" s="620"/>
      <c r="O106" s="673" t="s">
        <v>1044</v>
      </c>
      <c r="P106" s="621"/>
      <c r="Q106" s="598" t="s">
        <v>55</v>
      </c>
      <c r="R106" s="598" t="s">
        <v>178</v>
      </c>
      <c r="S106" s="598"/>
      <c r="T106" s="598" t="s">
        <v>1015</v>
      </c>
      <c r="U106" s="673" t="s">
        <v>305</v>
      </c>
      <c r="V106" s="616" t="s">
        <v>1362</v>
      </c>
      <c r="W106" s="598" t="s">
        <v>950</v>
      </c>
      <c r="X106" s="624">
        <v>25307</v>
      </c>
      <c r="Y106" s="625">
        <f t="shared" ca="1" si="2"/>
        <v>56</v>
      </c>
      <c r="Z106" s="616" t="s">
        <v>1363</v>
      </c>
      <c r="AA106" s="598" t="s">
        <v>1364</v>
      </c>
      <c r="AB106" s="598" t="s">
        <v>966</v>
      </c>
      <c r="AC106" s="598" t="s">
        <v>953</v>
      </c>
      <c r="AD106" s="616" t="s">
        <v>729</v>
      </c>
      <c r="AE106" s="616" t="s">
        <v>1239</v>
      </c>
      <c r="AF106" s="616" t="s">
        <v>1240</v>
      </c>
      <c r="AG106" s="598"/>
      <c r="AH106" s="598"/>
      <c r="AI106" s="598"/>
      <c r="AJ106" s="598"/>
      <c r="AK106" s="626"/>
      <c r="AL106" s="626"/>
    </row>
    <row r="107" spans="1:38" ht="18" customHeight="1">
      <c r="A107" s="593"/>
      <c r="B107" s="598">
        <v>90</v>
      </c>
      <c r="C107" s="598" t="s">
        <v>1276</v>
      </c>
      <c r="D107" s="598">
        <f t="shared" si="0"/>
        <v>83</v>
      </c>
      <c r="E107" s="616" t="s">
        <v>1233</v>
      </c>
      <c r="F107" s="616" t="s">
        <v>1234</v>
      </c>
      <c r="G107" s="618" t="s">
        <v>1232</v>
      </c>
      <c r="H107" s="618" t="s">
        <v>172</v>
      </c>
      <c r="I107" s="618" t="s">
        <v>1232</v>
      </c>
      <c r="J107" s="618" t="s">
        <v>1276</v>
      </c>
      <c r="K107" s="618" t="s">
        <v>1278</v>
      </c>
      <c r="L107" s="619"/>
      <c r="M107" s="620"/>
      <c r="N107" s="620"/>
      <c r="O107" s="667" t="s">
        <v>1074</v>
      </c>
      <c r="P107" s="621"/>
      <c r="Q107" s="598" t="s">
        <v>55</v>
      </c>
      <c r="R107" s="598" t="s">
        <v>55</v>
      </c>
      <c r="S107" s="598"/>
      <c r="T107" s="598" t="s">
        <v>1090</v>
      </c>
      <c r="U107" s="667" t="s">
        <v>174</v>
      </c>
      <c r="V107" s="616" t="s">
        <v>1279</v>
      </c>
      <c r="W107" s="598" t="s">
        <v>950</v>
      </c>
      <c r="X107" s="624">
        <v>18745</v>
      </c>
      <c r="Y107" s="625">
        <f t="shared" ca="1" si="2"/>
        <v>74</v>
      </c>
      <c r="Z107" s="616" t="s">
        <v>1280</v>
      </c>
      <c r="AA107" s="598" t="s">
        <v>1281</v>
      </c>
      <c r="AB107" s="598" t="s">
        <v>966</v>
      </c>
      <c r="AC107" s="598" t="s">
        <v>953</v>
      </c>
      <c r="AD107" s="616" t="s">
        <v>729</v>
      </c>
      <c r="AE107" s="616" t="s">
        <v>1239</v>
      </c>
      <c r="AF107" s="616" t="s">
        <v>1240</v>
      </c>
      <c r="AG107" s="598"/>
      <c r="AH107" s="598"/>
      <c r="AI107" s="598"/>
      <c r="AJ107" s="598"/>
      <c r="AK107" s="626"/>
      <c r="AL107" s="626"/>
    </row>
    <row r="108" spans="1:38" ht="18" customHeight="1">
      <c r="A108" s="593"/>
      <c r="B108" s="598">
        <v>91</v>
      </c>
      <c r="C108" s="598" t="s">
        <v>1278</v>
      </c>
      <c r="D108" s="598">
        <f t="shared" si="0"/>
        <v>84</v>
      </c>
      <c r="E108" s="616" t="s">
        <v>1233</v>
      </c>
      <c r="F108" s="616" t="s">
        <v>1234</v>
      </c>
      <c r="G108" s="618" t="s">
        <v>1232</v>
      </c>
      <c r="H108" s="618" t="s">
        <v>172</v>
      </c>
      <c r="I108" s="618" t="s">
        <v>1232</v>
      </c>
      <c r="J108" s="618" t="s">
        <v>1276</v>
      </c>
      <c r="K108" s="618" t="s">
        <v>1278</v>
      </c>
      <c r="L108" s="619"/>
      <c r="M108" s="620"/>
      <c r="N108" s="620"/>
      <c r="O108" s="663" t="s">
        <v>1074</v>
      </c>
      <c r="P108" s="621"/>
      <c r="Q108" s="598" t="s">
        <v>69</v>
      </c>
      <c r="R108" s="598" t="s">
        <v>69</v>
      </c>
      <c r="S108" s="598"/>
      <c r="T108" s="598" t="s">
        <v>1090</v>
      </c>
      <c r="U108" s="663" t="s">
        <v>193</v>
      </c>
      <c r="V108" s="616" t="s">
        <v>1282</v>
      </c>
      <c r="W108" s="598" t="s">
        <v>950</v>
      </c>
      <c r="X108" s="624">
        <v>18004</v>
      </c>
      <c r="Y108" s="625">
        <f t="shared" ca="1" si="2"/>
        <v>76</v>
      </c>
      <c r="Z108" s="616" t="s">
        <v>1283</v>
      </c>
      <c r="AA108" s="598" t="s">
        <v>1284</v>
      </c>
      <c r="AB108" s="598" t="s">
        <v>966</v>
      </c>
      <c r="AC108" s="598" t="s">
        <v>953</v>
      </c>
      <c r="AD108" s="616" t="s">
        <v>729</v>
      </c>
      <c r="AE108" s="616" t="s">
        <v>1239</v>
      </c>
      <c r="AF108" s="616" t="s">
        <v>1258</v>
      </c>
      <c r="AG108" s="598"/>
      <c r="AH108" s="598"/>
      <c r="AI108" s="598"/>
      <c r="AJ108" s="598"/>
      <c r="AK108" s="626"/>
      <c r="AL108" s="626"/>
    </row>
    <row r="109" spans="1:38" ht="18" customHeight="1">
      <c r="A109" s="593"/>
      <c r="B109" s="598">
        <v>92</v>
      </c>
      <c r="C109" s="598" t="s">
        <v>1291</v>
      </c>
      <c r="D109" s="598">
        <f t="shared" si="0"/>
        <v>85</v>
      </c>
      <c r="E109" s="616" t="s">
        <v>1233</v>
      </c>
      <c r="F109" s="616" t="s">
        <v>1234</v>
      </c>
      <c r="G109" s="618" t="s">
        <v>1232</v>
      </c>
      <c r="H109" s="618" t="s">
        <v>172</v>
      </c>
      <c r="I109" s="618" t="s">
        <v>1232</v>
      </c>
      <c r="J109" s="618" t="s">
        <v>1276</v>
      </c>
      <c r="K109" s="618" t="s">
        <v>1278</v>
      </c>
      <c r="L109" s="619"/>
      <c r="M109" s="620"/>
      <c r="N109" s="620"/>
      <c r="O109" s="663" t="s">
        <v>1074</v>
      </c>
      <c r="P109" s="621"/>
      <c r="Q109" s="598"/>
      <c r="R109" s="598"/>
      <c r="S109" s="598"/>
      <c r="T109" s="598" t="s">
        <v>1090</v>
      </c>
      <c r="U109" s="663" t="s">
        <v>212</v>
      </c>
      <c r="V109" s="616" t="s">
        <v>1292</v>
      </c>
      <c r="W109" s="598" t="s">
        <v>950</v>
      </c>
      <c r="X109" s="624">
        <v>19128</v>
      </c>
      <c r="Y109" s="625">
        <f t="shared" ca="1" si="2"/>
        <v>73</v>
      </c>
      <c r="Z109" s="616" t="s">
        <v>1293</v>
      </c>
      <c r="AA109" s="598" t="s">
        <v>1294</v>
      </c>
      <c r="AB109" s="598" t="s">
        <v>966</v>
      </c>
      <c r="AC109" s="598" t="s">
        <v>953</v>
      </c>
      <c r="AD109" s="616" t="s">
        <v>729</v>
      </c>
      <c r="AE109" s="616" t="s">
        <v>1239</v>
      </c>
      <c r="AF109" s="616" t="s">
        <v>1258</v>
      </c>
      <c r="AG109" s="598"/>
      <c r="AH109" s="598"/>
      <c r="AI109" s="598"/>
      <c r="AJ109" s="598"/>
      <c r="AK109" s="626"/>
      <c r="AL109" s="626"/>
    </row>
    <row r="110" spans="1:38" ht="18" customHeight="1">
      <c r="A110" s="593"/>
      <c r="B110" s="598">
        <v>93</v>
      </c>
      <c r="C110" s="598" t="s">
        <v>1299</v>
      </c>
      <c r="D110" s="598">
        <f t="shared" si="0"/>
        <v>86</v>
      </c>
      <c r="E110" s="616" t="s">
        <v>1233</v>
      </c>
      <c r="F110" s="616" t="s">
        <v>1234</v>
      </c>
      <c r="G110" s="618" t="s">
        <v>1232</v>
      </c>
      <c r="H110" s="618" t="s">
        <v>172</v>
      </c>
      <c r="I110" s="618" t="s">
        <v>1232</v>
      </c>
      <c r="J110" s="618" t="s">
        <v>1276</v>
      </c>
      <c r="K110" s="618" t="s">
        <v>1278</v>
      </c>
      <c r="L110" s="619"/>
      <c r="M110" s="620"/>
      <c r="N110" s="620"/>
      <c r="O110" s="663" t="s">
        <v>1074</v>
      </c>
      <c r="P110" s="621"/>
      <c r="Q110" s="598"/>
      <c r="R110" s="598"/>
      <c r="S110" s="598"/>
      <c r="T110" s="598" t="s">
        <v>1090</v>
      </c>
      <c r="U110" s="663" t="s">
        <v>234</v>
      </c>
      <c r="V110" s="616" t="s">
        <v>1300</v>
      </c>
      <c r="W110" s="598" t="s">
        <v>950</v>
      </c>
      <c r="X110" s="624">
        <v>18579</v>
      </c>
      <c r="Y110" s="625">
        <f t="shared" ca="1" si="2"/>
        <v>75</v>
      </c>
      <c r="Z110" s="616" t="s">
        <v>1301</v>
      </c>
      <c r="AA110" s="598" t="s">
        <v>1302</v>
      </c>
      <c r="AB110" s="598" t="s">
        <v>966</v>
      </c>
      <c r="AC110" s="598" t="s">
        <v>953</v>
      </c>
      <c r="AD110" s="616" t="s">
        <v>729</v>
      </c>
      <c r="AE110" s="616" t="s">
        <v>1239</v>
      </c>
      <c r="AF110" s="616" t="s">
        <v>1258</v>
      </c>
      <c r="AG110" s="598"/>
      <c r="AH110" s="598"/>
      <c r="AI110" s="598"/>
      <c r="AJ110" s="598"/>
      <c r="AK110" s="626"/>
      <c r="AL110" s="626"/>
    </row>
    <row r="111" spans="1:38" ht="18" customHeight="1">
      <c r="A111" s="593"/>
      <c r="B111" s="598">
        <v>94</v>
      </c>
      <c r="C111" s="598" t="s">
        <v>4496</v>
      </c>
      <c r="D111" s="598">
        <f t="shared" si="0"/>
        <v>87</v>
      </c>
      <c r="E111" s="616" t="s">
        <v>1233</v>
      </c>
      <c r="F111" s="616" t="s">
        <v>1234</v>
      </c>
      <c r="G111" s="618" t="s">
        <v>1232</v>
      </c>
      <c r="H111" s="618" t="s">
        <v>172</v>
      </c>
      <c r="I111" s="618" t="s">
        <v>1232</v>
      </c>
      <c r="J111" s="618" t="s">
        <v>1276</v>
      </c>
      <c r="K111" s="618" t="s">
        <v>1278</v>
      </c>
      <c r="L111" s="619"/>
      <c r="M111" s="620"/>
      <c r="N111" s="620"/>
      <c r="O111" s="663" t="s">
        <v>1074</v>
      </c>
      <c r="P111" s="621"/>
      <c r="Q111" s="598"/>
      <c r="R111" s="598"/>
      <c r="S111" s="598"/>
      <c r="T111" s="598" t="s">
        <v>1015</v>
      </c>
      <c r="U111" s="663" t="s">
        <v>255</v>
      </c>
      <c r="V111" s="616" t="s">
        <v>4497</v>
      </c>
      <c r="W111" s="598" t="s">
        <v>950</v>
      </c>
      <c r="X111" s="624">
        <v>20739</v>
      </c>
      <c r="Y111" s="625">
        <f t="shared" ca="1" si="2"/>
        <v>69</v>
      </c>
      <c r="Z111" s="616" t="s">
        <v>4498</v>
      </c>
      <c r="AA111" s="598" t="s">
        <v>4499</v>
      </c>
      <c r="AB111" s="598" t="s">
        <v>966</v>
      </c>
      <c r="AC111" s="598" t="s">
        <v>953</v>
      </c>
      <c r="AD111" s="616" t="s">
        <v>729</v>
      </c>
      <c r="AE111" s="616" t="s">
        <v>1239</v>
      </c>
      <c r="AF111" s="616" t="s">
        <v>1258</v>
      </c>
      <c r="AG111" s="598"/>
      <c r="AH111" s="598"/>
      <c r="AI111" s="598"/>
      <c r="AJ111" s="598"/>
      <c r="AK111" s="626"/>
      <c r="AL111" s="626"/>
    </row>
    <row r="112" spans="1:38" ht="18" customHeight="1">
      <c r="A112" s="593"/>
      <c r="B112" s="598">
        <v>95</v>
      </c>
      <c r="C112" s="598" t="s">
        <v>1556</v>
      </c>
      <c r="D112" s="598">
        <f t="shared" si="0"/>
        <v>88</v>
      </c>
      <c r="E112" s="616" t="s">
        <v>1233</v>
      </c>
      <c r="F112" s="616" t="s">
        <v>1234</v>
      </c>
      <c r="G112" s="618" t="s">
        <v>1232</v>
      </c>
      <c r="H112" s="618" t="s">
        <v>172</v>
      </c>
      <c r="I112" s="618" t="s">
        <v>1232</v>
      </c>
      <c r="J112" s="618" t="s">
        <v>1276</v>
      </c>
      <c r="K112" s="618" t="s">
        <v>1278</v>
      </c>
      <c r="L112" s="619"/>
      <c r="M112" s="620"/>
      <c r="N112" s="620"/>
      <c r="O112" s="663" t="s">
        <v>1074</v>
      </c>
      <c r="P112" s="621"/>
      <c r="Q112" s="598"/>
      <c r="R112" s="598"/>
      <c r="S112" s="598"/>
      <c r="T112" s="598" t="s">
        <v>1090</v>
      </c>
      <c r="U112" s="663" t="s">
        <v>1557</v>
      </c>
      <c r="V112" s="616" t="s">
        <v>1558</v>
      </c>
      <c r="W112" s="598" t="s">
        <v>950</v>
      </c>
      <c r="X112" s="624">
        <v>17513</v>
      </c>
      <c r="Y112" s="625">
        <f t="shared" ca="1" si="2"/>
        <v>78</v>
      </c>
      <c r="Z112" s="616" t="s">
        <v>1559</v>
      </c>
      <c r="AA112" s="598" t="s">
        <v>1560</v>
      </c>
      <c r="AB112" s="598" t="s">
        <v>996</v>
      </c>
      <c r="AC112" s="644" t="s">
        <v>997</v>
      </c>
      <c r="AD112" s="616" t="s">
        <v>729</v>
      </c>
      <c r="AE112" s="616" t="s">
        <v>729</v>
      </c>
      <c r="AF112" s="616" t="s">
        <v>1561</v>
      </c>
      <c r="AG112" s="598"/>
      <c r="AH112" s="598"/>
      <c r="AI112" s="647" t="s">
        <v>1513</v>
      </c>
      <c r="AJ112" s="598"/>
      <c r="AK112" s="626">
        <v>-7</v>
      </c>
      <c r="AL112" s="626"/>
    </row>
    <row r="113" spans="1:38" ht="18" customHeight="1">
      <c r="A113" s="593"/>
      <c r="B113" s="598">
        <v>96</v>
      </c>
      <c r="C113" s="598" t="s">
        <v>1567</v>
      </c>
      <c r="D113" s="598">
        <f t="shared" si="0"/>
        <v>89</v>
      </c>
      <c r="E113" s="616" t="s">
        <v>1233</v>
      </c>
      <c r="F113" s="616" t="s">
        <v>1234</v>
      </c>
      <c r="G113" s="618" t="s">
        <v>1232</v>
      </c>
      <c r="H113" s="618" t="s">
        <v>172</v>
      </c>
      <c r="I113" s="618" t="s">
        <v>1232</v>
      </c>
      <c r="J113" s="618" t="s">
        <v>1276</v>
      </c>
      <c r="K113" s="618" t="s">
        <v>1278</v>
      </c>
      <c r="L113" s="619"/>
      <c r="M113" s="620"/>
      <c r="N113" s="620"/>
      <c r="O113" s="673" t="s">
        <v>1074</v>
      </c>
      <c r="P113" s="621"/>
      <c r="Q113" s="598"/>
      <c r="R113" s="598"/>
      <c r="S113" s="598"/>
      <c r="T113" s="598" t="s">
        <v>1015</v>
      </c>
      <c r="U113" s="673" t="s">
        <v>287</v>
      </c>
      <c r="V113" s="616" t="s">
        <v>1568</v>
      </c>
      <c r="W113" s="598" t="s">
        <v>950</v>
      </c>
      <c r="X113" s="624">
        <v>21846</v>
      </c>
      <c r="Y113" s="625">
        <f t="shared" ca="1" si="2"/>
        <v>66</v>
      </c>
      <c r="Z113" s="616" t="s">
        <v>1569</v>
      </c>
      <c r="AA113" s="598" t="s">
        <v>1570</v>
      </c>
      <c r="AB113" s="598" t="s">
        <v>996</v>
      </c>
      <c r="AC113" s="598" t="s">
        <v>1018</v>
      </c>
      <c r="AD113" s="616" t="s">
        <v>729</v>
      </c>
      <c r="AE113" s="616" t="s">
        <v>729</v>
      </c>
      <c r="AF113" s="616" t="s">
        <v>1323</v>
      </c>
      <c r="AG113" s="598"/>
      <c r="AH113" s="598"/>
      <c r="AI113" s="647" t="s">
        <v>1513</v>
      </c>
      <c r="AJ113" s="598"/>
      <c r="AK113" s="626">
        <v>-6</v>
      </c>
      <c r="AL113" s="626"/>
    </row>
    <row r="114" spans="1:38" ht="18" customHeight="1">
      <c r="A114" s="593"/>
      <c r="B114" s="598">
        <v>97</v>
      </c>
      <c r="C114" s="598" t="s">
        <v>1478</v>
      </c>
      <c r="D114" s="598">
        <f t="shared" si="0"/>
        <v>90</v>
      </c>
      <c r="E114" s="616" t="s">
        <v>1233</v>
      </c>
      <c r="F114" s="616" t="s">
        <v>1234</v>
      </c>
      <c r="G114" s="618" t="s">
        <v>1232</v>
      </c>
      <c r="H114" s="618" t="s">
        <v>172</v>
      </c>
      <c r="I114" s="618" t="s">
        <v>1232</v>
      </c>
      <c r="J114" s="618" t="s">
        <v>1478</v>
      </c>
      <c r="K114" s="618" t="s">
        <v>1507</v>
      </c>
      <c r="L114" s="619"/>
      <c r="M114" s="620"/>
      <c r="N114" s="620"/>
      <c r="O114" s="667" t="s">
        <v>1115</v>
      </c>
      <c r="P114" s="621"/>
      <c r="Q114" s="598" t="s">
        <v>55</v>
      </c>
      <c r="R114" s="598" t="s">
        <v>55</v>
      </c>
      <c r="S114" s="598"/>
      <c r="T114" s="598" t="s">
        <v>962</v>
      </c>
      <c r="U114" s="667" t="s">
        <v>175</v>
      </c>
      <c r="V114" s="616" t="s">
        <v>1481</v>
      </c>
      <c r="W114" s="598" t="s">
        <v>963</v>
      </c>
      <c r="X114" s="624">
        <v>27259</v>
      </c>
      <c r="Y114" s="625">
        <f t="shared" ca="1" si="2"/>
        <v>51</v>
      </c>
      <c r="Z114" s="616" t="s">
        <v>1482</v>
      </c>
      <c r="AA114" s="598" t="s">
        <v>1483</v>
      </c>
      <c r="AB114" s="598" t="s">
        <v>966</v>
      </c>
      <c r="AC114" s="598" t="s">
        <v>953</v>
      </c>
      <c r="AD114" s="616" t="s">
        <v>729</v>
      </c>
      <c r="AE114" s="616" t="s">
        <v>1239</v>
      </c>
      <c r="AF114" s="616" t="s">
        <v>1258</v>
      </c>
      <c r="AG114" s="598"/>
      <c r="AH114" s="598"/>
      <c r="AI114" s="598"/>
      <c r="AJ114" s="598"/>
      <c r="AK114" s="626"/>
      <c r="AL114" s="626"/>
    </row>
    <row r="115" spans="1:38" ht="18" customHeight="1">
      <c r="A115" s="593"/>
      <c r="B115" s="598">
        <v>98</v>
      </c>
      <c r="C115" s="598" t="s">
        <v>1507</v>
      </c>
      <c r="D115" s="598">
        <f t="shared" si="0"/>
        <v>91</v>
      </c>
      <c r="E115" s="616" t="s">
        <v>1233</v>
      </c>
      <c r="F115" s="616" t="s">
        <v>1234</v>
      </c>
      <c r="G115" s="618" t="s">
        <v>1232</v>
      </c>
      <c r="H115" s="618" t="s">
        <v>172</v>
      </c>
      <c r="I115" s="618" t="s">
        <v>1232</v>
      </c>
      <c r="J115" s="618" t="s">
        <v>1478</v>
      </c>
      <c r="K115" s="618" t="s">
        <v>1507</v>
      </c>
      <c r="L115" s="619"/>
      <c r="M115" s="620"/>
      <c r="N115" s="620"/>
      <c r="O115" s="663" t="s">
        <v>1115</v>
      </c>
      <c r="P115" s="621"/>
      <c r="Q115" s="598" t="s">
        <v>69</v>
      </c>
      <c r="R115" s="598" t="s">
        <v>69</v>
      </c>
      <c r="S115" s="598"/>
      <c r="T115" s="598" t="s">
        <v>992</v>
      </c>
      <c r="U115" s="663" t="s">
        <v>194</v>
      </c>
      <c r="V115" s="616" t="s">
        <v>1640</v>
      </c>
      <c r="W115" s="598" t="s">
        <v>963</v>
      </c>
      <c r="X115" s="624">
        <v>34694</v>
      </c>
      <c r="Y115" s="625">
        <f t="shared" ca="1" si="2"/>
        <v>31</v>
      </c>
      <c r="Z115" s="616" t="s">
        <v>1641</v>
      </c>
      <c r="AA115" s="598" t="s">
        <v>1642</v>
      </c>
      <c r="AB115" s="598" t="s">
        <v>1006</v>
      </c>
      <c r="AC115" s="598" t="s">
        <v>953</v>
      </c>
      <c r="AD115" s="616" t="s">
        <v>1041</v>
      </c>
      <c r="AE115" s="616" t="s">
        <v>1239</v>
      </c>
      <c r="AF115" s="616" t="s">
        <v>1258</v>
      </c>
      <c r="AG115" s="598"/>
      <c r="AH115" s="598"/>
      <c r="AI115" s="598"/>
      <c r="AJ115" s="598"/>
      <c r="AK115" s="626"/>
      <c r="AL115" s="626"/>
    </row>
    <row r="116" spans="1:38" ht="18" customHeight="1">
      <c r="A116" s="593"/>
      <c r="B116" s="598">
        <v>99</v>
      </c>
      <c r="C116" s="598" t="s">
        <v>1519</v>
      </c>
      <c r="D116" s="598">
        <f t="shared" si="0"/>
        <v>92</v>
      </c>
      <c r="E116" s="616" t="s">
        <v>1233</v>
      </c>
      <c r="F116" s="616" t="s">
        <v>1234</v>
      </c>
      <c r="G116" s="618" t="s">
        <v>1232</v>
      </c>
      <c r="H116" s="618" t="s">
        <v>172</v>
      </c>
      <c r="I116" s="618" t="s">
        <v>1232</v>
      </c>
      <c r="J116" s="618" t="s">
        <v>1478</v>
      </c>
      <c r="K116" s="618" t="s">
        <v>1507</v>
      </c>
      <c r="L116" s="619"/>
      <c r="M116" s="620"/>
      <c r="N116" s="620"/>
      <c r="O116" s="663" t="s">
        <v>1115</v>
      </c>
      <c r="P116" s="621"/>
      <c r="Q116" s="598"/>
      <c r="R116" s="598"/>
      <c r="S116" s="598"/>
      <c r="T116" s="598" t="s">
        <v>1090</v>
      </c>
      <c r="U116" s="663" t="s">
        <v>213</v>
      </c>
      <c r="V116" s="616" t="s">
        <v>1520</v>
      </c>
      <c r="W116" s="598" t="s">
        <v>963</v>
      </c>
      <c r="X116" s="624">
        <v>19028</v>
      </c>
      <c r="Y116" s="625">
        <f t="shared" ca="1" si="2"/>
        <v>73</v>
      </c>
      <c r="Z116" s="616" t="s">
        <v>1521</v>
      </c>
      <c r="AA116" s="598" t="s">
        <v>1522</v>
      </c>
      <c r="AB116" s="598" t="s">
        <v>966</v>
      </c>
      <c r="AC116" s="598" t="s">
        <v>953</v>
      </c>
      <c r="AD116" s="616" t="s">
        <v>729</v>
      </c>
      <c r="AE116" s="616" t="s">
        <v>1239</v>
      </c>
      <c r="AF116" s="616" t="s">
        <v>1240</v>
      </c>
      <c r="AG116" s="598"/>
      <c r="AH116" s="598"/>
      <c r="AI116" s="598"/>
      <c r="AJ116" s="598"/>
      <c r="AK116" s="626"/>
      <c r="AL116" s="626"/>
    </row>
    <row r="117" spans="1:38" ht="18" customHeight="1">
      <c r="A117" s="593"/>
      <c r="B117" s="598">
        <v>100</v>
      </c>
      <c r="C117" s="598" t="s">
        <v>1496</v>
      </c>
      <c r="D117" s="598">
        <f t="shared" si="0"/>
        <v>93</v>
      </c>
      <c r="E117" s="616" t="s">
        <v>1233</v>
      </c>
      <c r="F117" s="616" t="s">
        <v>1234</v>
      </c>
      <c r="G117" s="618" t="s">
        <v>1232</v>
      </c>
      <c r="H117" s="618" t="s">
        <v>172</v>
      </c>
      <c r="I117" s="618" t="s">
        <v>1232</v>
      </c>
      <c r="J117" s="618" t="s">
        <v>1478</v>
      </c>
      <c r="K117" s="618" t="s">
        <v>1507</v>
      </c>
      <c r="L117" s="619"/>
      <c r="M117" s="620"/>
      <c r="N117" s="620"/>
      <c r="O117" s="663" t="s">
        <v>1115</v>
      </c>
      <c r="P117" s="621"/>
      <c r="Q117" s="598"/>
      <c r="R117" s="598"/>
      <c r="S117" s="598"/>
      <c r="T117" s="598" t="s">
        <v>962</v>
      </c>
      <c r="U117" s="663" t="s">
        <v>235</v>
      </c>
      <c r="V117" s="616" t="s">
        <v>1497</v>
      </c>
      <c r="W117" s="598" t="s">
        <v>963</v>
      </c>
      <c r="X117" s="624">
        <v>28966</v>
      </c>
      <c r="Y117" s="625">
        <f t="shared" ca="1" si="2"/>
        <v>46</v>
      </c>
      <c r="Z117" s="616" t="s">
        <v>1498</v>
      </c>
      <c r="AA117" s="598" t="s">
        <v>1499</v>
      </c>
      <c r="AB117" s="598" t="s">
        <v>996</v>
      </c>
      <c r="AC117" s="598" t="s">
        <v>953</v>
      </c>
      <c r="AD117" s="616" t="s">
        <v>1041</v>
      </c>
      <c r="AE117" s="616" t="s">
        <v>1239</v>
      </c>
      <c r="AF117" s="616" t="s">
        <v>1258</v>
      </c>
      <c r="AG117" s="598"/>
      <c r="AH117" s="598"/>
      <c r="AI117" s="598"/>
      <c r="AJ117" s="598"/>
      <c r="AK117" s="626"/>
      <c r="AL117" s="626"/>
    </row>
    <row r="118" spans="1:38" ht="18" customHeight="1">
      <c r="A118" s="593"/>
      <c r="B118" s="598">
        <v>101</v>
      </c>
      <c r="C118" s="598" t="s">
        <v>1484</v>
      </c>
      <c r="D118" s="598">
        <f t="shared" si="0"/>
        <v>94</v>
      </c>
      <c r="E118" s="616" t="s">
        <v>1233</v>
      </c>
      <c r="F118" s="616" t="s">
        <v>1234</v>
      </c>
      <c r="G118" s="618" t="s">
        <v>1232</v>
      </c>
      <c r="H118" s="618" t="s">
        <v>172</v>
      </c>
      <c r="I118" s="618" t="s">
        <v>1232</v>
      </c>
      <c r="J118" s="618" t="s">
        <v>1478</v>
      </c>
      <c r="K118" s="618" t="s">
        <v>1507</v>
      </c>
      <c r="L118" s="619"/>
      <c r="M118" s="620"/>
      <c r="N118" s="620"/>
      <c r="O118" s="663" t="s">
        <v>1115</v>
      </c>
      <c r="P118" s="621"/>
      <c r="Q118" s="598"/>
      <c r="R118" s="598"/>
      <c r="S118" s="598"/>
      <c r="T118" s="598" t="s">
        <v>962</v>
      </c>
      <c r="U118" s="663" t="s">
        <v>256</v>
      </c>
      <c r="V118" s="616" t="s">
        <v>1485</v>
      </c>
      <c r="W118" s="598" t="s">
        <v>963</v>
      </c>
      <c r="X118" s="624">
        <v>30074</v>
      </c>
      <c r="Y118" s="625">
        <f t="shared" ca="1" si="2"/>
        <v>43</v>
      </c>
      <c r="Z118" s="616" t="s">
        <v>1486</v>
      </c>
      <c r="AA118" s="598" t="s">
        <v>1487</v>
      </c>
      <c r="AB118" s="598" t="s">
        <v>966</v>
      </c>
      <c r="AC118" s="598" t="s">
        <v>953</v>
      </c>
      <c r="AD118" s="616" t="s">
        <v>729</v>
      </c>
      <c r="AE118" s="616" t="s">
        <v>1239</v>
      </c>
      <c r="AF118" s="616" t="s">
        <v>1488</v>
      </c>
      <c r="AG118" s="598"/>
      <c r="AH118" s="598"/>
      <c r="AI118" s="598" t="s">
        <v>1025</v>
      </c>
      <c r="AJ118" s="598"/>
      <c r="AK118" s="626"/>
      <c r="AL118" s="626"/>
    </row>
    <row r="119" spans="1:38" ht="18" customHeight="1">
      <c r="A119" s="593"/>
      <c r="B119" s="598">
        <v>102</v>
      </c>
      <c r="C119" s="598" t="s">
        <v>1489</v>
      </c>
      <c r="D119" s="598">
        <f t="shared" si="0"/>
        <v>95</v>
      </c>
      <c r="E119" s="616" t="s">
        <v>1233</v>
      </c>
      <c r="F119" s="616" t="s">
        <v>1234</v>
      </c>
      <c r="G119" s="618" t="s">
        <v>1232</v>
      </c>
      <c r="H119" s="618" t="s">
        <v>172</v>
      </c>
      <c r="I119" s="618" t="s">
        <v>1232</v>
      </c>
      <c r="J119" s="618" t="s">
        <v>1478</v>
      </c>
      <c r="K119" s="618" t="s">
        <v>1507</v>
      </c>
      <c r="L119" s="619"/>
      <c r="M119" s="620"/>
      <c r="N119" s="620"/>
      <c r="O119" s="673" t="s">
        <v>1115</v>
      </c>
      <c r="P119" s="621"/>
      <c r="Q119" s="598"/>
      <c r="R119" s="598"/>
      <c r="S119" s="598"/>
      <c r="T119" s="598" t="s">
        <v>962</v>
      </c>
      <c r="U119" s="673" t="s">
        <v>1490</v>
      </c>
      <c r="V119" s="616" t="s">
        <v>1491</v>
      </c>
      <c r="W119" s="598" t="s">
        <v>963</v>
      </c>
      <c r="X119" s="624">
        <v>33779</v>
      </c>
      <c r="Y119" s="625">
        <f t="shared" ca="1" si="2"/>
        <v>33</v>
      </c>
      <c r="Z119" s="616" t="s">
        <v>1492</v>
      </c>
      <c r="AA119" s="598" t="s">
        <v>1493</v>
      </c>
      <c r="AB119" s="598" t="s">
        <v>996</v>
      </c>
      <c r="AC119" s="598" t="s">
        <v>997</v>
      </c>
      <c r="AD119" s="616" t="s">
        <v>1494</v>
      </c>
      <c r="AE119" s="616" t="s">
        <v>1494</v>
      </c>
      <c r="AF119" s="616" t="s">
        <v>1495</v>
      </c>
      <c r="AG119" s="598"/>
      <c r="AH119" s="598"/>
      <c r="AI119" s="598" t="s">
        <v>1025</v>
      </c>
      <c r="AJ119" s="598"/>
      <c r="AK119" s="626"/>
      <c r="AL119" s="626"/>
    </row>
    <row r="120" spans="1:38" ht="18" customHeight="1">
      <c r="A120" s="593"/>
      <c r="B120" s="598">
        <v>103</v>
      </c>
      <c r="C120" s="598" t="s">
        <v>1303</v>
      </c>
      <c r="D120" s="598">
        <f t="shared" si="0"/>
        <v>96</v>
      </c>
      <c r="E120" s="616" t="s">
        <v>1233</v>
      </c>
      <c r="F120" s="616" t="s">
        <v>1234</v>
      </c>
      <c r="G120" s="618" t="s">
        <v>1232</v>
      </c>
      <c r="H120" s="618" t="s">
        <v>172</v>
      </c>
      <c r="I120" s="618" t="s">
        <v>1232</v>
      </c>
      <c r="J120" s="618" t="s">
        <v>1303</v>
      </c>
      <c r="K120" s="618" t="s">
        <v>2981</v>
      </c>
      <c r="L120" s="679" t="s">
        <v>2972</v>
      </c>
      <c r="M120" s="620"/>
      <c r="N120" s="620"/>
      <c r="O120" s="667" t="s">
        <v>1127</v>
      </c>
      <c r="P120" s="621"/>
      <c r="Q120" s="598" t="s">
        <v>55</v>
      </c>
      <c r="R120" s="598" t="s">
        <v>55</v>
      </c>
      <c r="S120" s="598"/>
      <c r="T120" s="598" t="s">
        <v>1015</v>
      </c>
      <c r="U120" s="664" t="s">
        <v>176</v>
      </c>
      <c r="V120" s="616" t="s">
        <v>1305</v>
      </c>
      <c r="W120" s="598" t="s">
        <v>950</v>
      </c>
      <c r="X120" s="624">
        <v>21384</v>
      </c>
      <c r="Y120" s="625">
        <f t="shared" ca="1" si="2"/>
        <v>67</v>
      </c>
      <c r="Z120" s="616" t="s">
        <v>1306</v>
      </c>
      <c r="AA120" s="598" t="s">
        <v>1307</v>
      </c>
      <c r="AB120" s="598" t="s">
        <v>966</v>
      </c>
      <c r="AC120" s="598" t="s">
        <v>953</v>
      </c>
      <c r="AD120" s="616" t="s">
        <v>729</v>
      </c>
      <c r="AE120" s="616" t="s">
        <v>1239</v>
      </c>
      <c r="AF120" s="616" t="s">
        <v>1258</v>
      </c>
      <c r="AG120" s="598"/>
      <c r="AH120" s="598"/>
      <c r="AI120" s="598"/>
      <c r="AJ120" s="598"/>
      <c r="AK120" s="626"/>
      <c r="AL120" s="626"/>
    </row>
    <row r="121" spans="1:38" ht="18" customHeight="1">
      <c r="A121" s="593"/>
      <c r="B121" s="598">
        <v>104</v>
      </c>
      <c r="C121" s="598" t="s">
        <v>2981</v>
      </c>
      <c r="D121" s="598">
        <f t="shared" si="0"/>
        <v>97</v>
      </c>
      <c r="E121" s="616" t="s">
        <v>1233</v>
      </c>
      <c r="F121" s="616" t="s">
        <v>1234</v>
      </c>
      <c r="G121" s="618" t="s">
        <v>1232</v>
      </c>
      <c r="H121" s="618" t="s">
        <v>172</v>
      </c>
      <c r="I121" s="618" t="s">
        <v>1232</v>
      </c>
      <c r="J121" s="618" t="s">
        <v>1303</v>
      </c>
      <c r="K121" s="618" t="s">
        <v>2981</v>
      </c>
      <c r="L121" s="679" t="s">
        <v>2972</v>
      </c>
      <c r="M121" s="620"/>
      <c r="N121" s="620"/>
      <c r="O121" s="663" t="s">
        <v>1127</v>
      </c>
      <c r="P121" s="621"/>
      <c r="Q121" s="598" t="s">
        <v>69</v>
      </c>
      <c r="R121" s="598" t="s">
        <v>562</v>
      </c>
      <c r="S121" s="598"/>
      <c r="T121" s="598" t="s">
        <v>1015</v>
      </c>
      <c r="U121" s="665" t="s">
        <v>195</v>
      </c>
      <c r="V121" s="616" t="s">
        <v>2982</v>
      </c>
      <c r="W121" s="598" t="s">
        <v>950</v>
      </c>
      <c r="X121" s="624">
        <v>28476</v>
      </c>
      <c r="Y121" s="625">
        <f t="shared" ca="1" si="2"/>
        <v>48</v>
      </c>
      <c r="Z121" s="616" t="s">
        <v>2983</v>
      </c>
      <c r="AA121" s="598" t="s">
        <v>2984</v>
      </c>
      <c r="AB121" s="598" t="s">
        <v>966</v>
      </c>
      <c r="AC121" s="598" t="s">
        <v>953</v>
      </c>
      <c r="AD121" s="616" t="s">
        <v>1041</v>
      </c>
      <c r="AE121" s="616" t="s">
        <v>2985</v>
      </c>
      <c r="AF121" s="616" t="s">
        <v>2986</v>
      </c>
      <c r="AG121" s="598"/>
      <c r="AH121" s="598"/>
      <c r="AI121" s="598"/>
      <c r="AJ121" s="598"/>
      <c r="AK121" s="626">
        <v>-3</v>
      </c>
      <c r="AL121" s="626"/>
    </row>
    <row r="122" spans="1:38" ht="18" customHeight="1">
      <c r="A122" s="593"/>
      <c r="B122" s="598">
        <v>106</v>
      </c>
      <c r="C122" s="598" t="s">
        <v>2972</v>
      </c>
      <c r="D122" s="598">
        <f t="shared" si="0"/>
        <v>98</v>
      </c>
      <c r="E122" s="616" t="s">
        <v>1233</v>
      </c>
      <c r="F122" s="616" t="s">
        <v>1234</v>
      </c>
      <c r="G122" s="618" t="s">
        <v>1232</v>
      </c>
      <c r="H122" s="618" t="s">
        <v>172</v>
      </c>
      <c r="I122" s="618" t="s">
        <v>1232</v>
      </c>
      <c r="J122" s="618" t="s">
        <v>1303</v>
      </c>
      <c r="K122" s="618" t="s">
        <v>2981</v>
      </c>
      <c r="L122" s="679" t="s">
        <v>2972</v>
      </c>
      <c r="M122" s="620"/>
      <c r="N122" s="620"/>
      <c r="O122" s="663" t="s">
        <v>1127</v>
      </c>
      <c r="P122" s="621"/>
      <c r="Q122" s="598" t="s">
        <v>69</v>
      </c>
      <c r="R122" s="598" t="s">
        <v>69</v>
      </c>
      <c r="S122" s="598"/>
      <c r="T122" s="598" t="s">
        <v>1015</v>
      </c>
      <c r="U122" s="663" t="s">
        <v>236</v>
      </c>
      <c r="V122" s="616" t="s">
        <v>2976</v>
      </c>
      <c r="W122" s="598" t="s">
        <v>950</v>
      </c>
      <c r="X122" s="624">
        <v>28476</v>
      </c>
      <c r="Y122" s="625">
        <f t="shared" ca="1" si="2"/>
        <v>48</v>
      </c>
      <c r="Z122" s="616" t="s">
        <v>2977</v>
      </c>
      <c r="AA122" s="598" t="s">
        <v>2978</v>
      </c>
      <c r="AB122" s="598" t="s">
        <v>966</v>
      </c>
      <c r="AC122" s="598" t="s">
        <v>953</v>
      </c>
      <c r="AD122" s="616" t="s">
        <v>1041</v>
      </c>
      <c r="AE122" s="616" t="s">
        <v>2979</v>
      </c>
      <c r="AF122" s="616" t="s">
        <v>2980</v>
      </c>
      <c r="AG122" s="598"/>
      <c r="AH122" s="598"/>
      <c r="AI122" s="598"/>
      <c r="AJ122" s="598"/>
      <c r="AK122" s="626">
        <v>-3</v>
      </c>
      <c r="AL122" s="626"/>
    </row>
    <row r="123" spans="1:38" ht="18" customHeight="1">
      <c r="A123" s="593"/>
      <c r="B123" s="598">
        <v>105</v>
      </c>
      <c r="C123" s="598" t="s">
        <v>1295</v>
      </c>
      <c r="D123" s="598">
        <f t="shared" si="0"/>
        <v>99</v>
      </c>
      <c r="E123" s="616" t="s">
        <v>1233</v>
      </c>
      <c r="F123" s="616" t="s">
        <v>1234</v>
      </c>
      <c r="G123" s="618" t="s">
        <v>1232</v>
      </c>
      <c r="H123" s="618" t="s">
        <v>172</v>
      </c>
      <c r="I123" s="618" t="s">
        <v>1232</v>
      </c>
      <c r="J123" s="618" t="s">
        <v>1303</v>
      </c>
      <c r="K123" s="618" t="s">
        <v>2981</v>
      </c>
      <c r="L123" s="679" t="s">
        <v>2972</v>
      </c>
      <c r="M123" s="620"/>
      <c r="N123" s="620"/>
      <c r="O123" s="663" t="s">
        <v>1127</v>
      </c>
      <c r="P123" s="621"/>
      <c r="Q123" s="598"/>
      <c r="R123" s="598"/>
      <c r="S123" s="598"/>
      <c r="T123" s="598" t="s">
        <v>1090</v>
      </c>
      <c r="U123" s="663" t="s">
        <v>214</v>
      </c>
      <c r="V123" s="616" t="s">
        <v>1296</v>
      </c>
      <c r="W123" s="598" t="s">
        <v>950</v>
      </c>
      <c r="X123" s="624">
        <v>18355</v>
      </c>
      <c r="Y123" s="625">
        <f t="shared" ca="1" si="2"/>
        <v>75</v>
      </c>
      <c r="Z123" s="616" t="s">
        <v>1297</v>
      </c>
      <c r="AA123" s="598" t="s">
        <v>1298</v>
      </c>
      <c r="AB123" s="598" t="s">
        <v>966</v>
      </c>
      <c r="AC123" s="598" t="s">
        <v>953</v>
      </c>
      <c r="AD123" s="616" t="s">
        <v>729</v>
      </c>
      <c r="AE123" s="616" t="s">
        <v>1239</v>
      </c>
      <c r="AF123" s="616" t="s">
        <v>1258</v>
      </c>
      <c r="AG123" s="598"/>
      <c r="AH123" s="598"/>
      <c r="AI123" s="598"/>
      <c r="AJ123" s="598"/>
      <c r="AK123" s="626"/>
      <c r="AL123" s="626"/>
    </row>
    <row r="124" spans="1:38" ht="18" customHeight="1">
      <c r="A124" s="593"/>
      <c r="B124" s="598">
        <v>107</v>
      </c>
      <c r="C124" s="598" t="s">
        <v>4500</v>
      </c>
      <c r="D124" s="598">
        <f t="shared" si="0"/>
        <v>100</v>
      </c>
      <c r="E124" s="616" t="s">
        <v>1233</v>
      </c>
      <c r="F124" s="616" t="s">
        <v>1234</v>
      </c>
      <c r="G124" s="618" t="s">
        <v>1232</v>
      </c>
      <c r="H124" s="618" t="s">
        <v>172</v>
      </c>
      <c r="I124" s="618" t="s">
        <v>1232</v>
      </c>
      <c r="J124" s="618" t="s">
        <v>1303</v>
      </c>
      <c r="K124" s="618" t="s">
        <v>2981</v>
      </c>
      <c r="L124" s="679" t="s">
        <v>2972</v>
      </c>
      <c r="M124" s="620"/>
      <c r="N124" s="620"/>
      <c r="O124" s="673" t="s">
        <v>1127</v>
      </c>
      <c r="P124" s="621"/>
      <c r="Q124" s="598"/>
      <c r="R124" s="598"/>
      <c r="S124" s="598"/>
      <c r="T124" s="598" t="s">
        <v>992</v>
      </c>
      <c r="U124" s="673" t="s">
        <v>4501</v>
      </c>
      <c r="V124" s="616" t="s">
        <v>4502</v>
      </c>
      <c r="W124" s="598" t="s">
        <v>950</v>
      </c>
      <c r="X124" s="624">
        <v>32287</v>
      </c>
      <c r="Y124" s="625">
        <f t="shared" ca="1" si="2"/>
        <v>37</v>
      </c>
      <c r="Z124" s="616" t="s">
        <v>4503</v>
      </c>
      <c r="AA124" s="652"/>
      <c r="AB124" s="598" t="s">
        <v>996</v>
      </c>
      <c r="AC124" s="598" t="s">
        <v>1018</v>
      </c>
      <c r="AD124" s="616" t="s">
        <v>1041</v>
      </c>
      <c r="AE124" s="616" t="s">
        <v>1041</v>
      </c>
      <c r="AF124" s="616" t="s">
        <v>2672</v>
      </c>
      <c r="AG124" s="598"/>
      <c r="AH124" s="598" t="s">
        <v>4504</v>
      </c>
      <c r="AI124" s="598"/>
      <c r="AJ124" s="680" t="s">
        <v>4505</v>
      </c>
      <c r="AK124" s="626">
        <v>-3</v>
      </c>
      <c r="AL124" s="626"/>
    </row>
    <row r="125" spans="1:38" ht="18" customHeight="1">
      <c r="A125" s="593"/>
      <c r="B125" s="598">
        <v>108</v>
      </c>
      <c r="C125" s="598" t="s">
        <v>2838</v>
      </c>
      <c r="D125" s="598">
        <f t="shared" si="0"/>
        <v>101</v>
      </c>
      <c r="E125" s="616" t="s">
        <v>1798</v>
      </c>
      <c r="F125" s="616" t="s">
        <v>1234</v>
      </c>
      <c r="G125" s="618" t="s">
        <v>1232</v>
      </c>
      <c r="H125" s="618" t="s">
        <v>172</v>
      </c>
      <c r="I125" s="618" t="s">
        <v>1232</v>
      </c>
      <c r="J125" s="681" t="s">
        <v>2838</v>
      </c>
      <c r="K125" s="618"/>
      <c r="L125" s="619"/>
      <c r="M125" s="620"/>
      <c r="N125" s="620"/>
      <c r="O125" s="663" t="s">
        <v>1157</v>
      </c>
      <c r="P125" s="621" t="s">
        <v>319</v>
      </c>
      <c r="Q125" s="650" t="s">
        <v>69</v>
      </c>
      <c r="R125" s="650" t="s">
        <v>55</v>
      </c>
      <c r="S125" s="598"/>
      <c r="T125" s="623" t="s">
        <v>1015</v>
      </c>
      <c r="U125" s="677" t="s">
        <v>215</v>
      </c>
      <c r="V125" s="674" t="s">
        <v>2839</v>
      </c>
      <c r="W125" s="598" t="s">
        <v>950</v>
      </c>
      <c r="X125" s="624">
        <v>27696</v>
      </c>
      <c r="Y125" s="625">
        <f t="shared" ca="1" si="2"/>
        <v>50</v>
      </c>
      <c r="Z125" s="616" t="s">
        <v>2840</v>
      </c>
      <c r="AA125" s="598" t="s">
        <v>2841</v>
      </c>
      <c r="AB125" s="598" t="s">
        <v>996</v>
      </c>
      <c r="AC125" s="598" t="s">
        <v>997</v>
      </c>
      <c r="AD125" s="616" t="s">
        <v>1041</v>
      </c>
      <c r="AE125" s="616" t="s">
        <v>2069</v>
      </c>
      <c r="AF125" s="616" t="s">
        <v>2842</v>
      </c>
      <c r="AG125" s="598"/>
      <c r="AH125" s="598"/>
      <c r="AI125" s="598" t="s">
        <v>1107</v>
      </c>
      <c r="AJ125" s="598"/>
      <c r="AK125" s="626"/>
      <c r="AL125" s="626"/>
    </row>
    <row r="126" spans="1:38" ht="18" customHeight="1">
      <c r="A126" s="593"/>
      <c r="B126" s="598">
        <v>109</v>
      </c>
      <c r="C126" s="598" t="s">
        <v>2228</v>
      </c>
      <c r="D126" s="598">
        <f t="shared" si="0"/>
        <v>102</v>
      </c>
      <c r="E126" s="616" t="s">
        <v>1351</v>
      </c>
      <c r="F126" s="616" t="s">
        <v>1234</v>
      </c>
      <c r="G126" s="618" t="s">
        <v>1232</v>
      </c>
      <c r="H126" s="618" t="s">
        <v>172</v>
      </c>
      <c r="I126" s="618" t="s">
        <v>1232</v>
      </c>
      <c r="J126" s="681" t="s">
        <v>2838</v>
      </c>
      <c r="K126" s="618"/>
      <c r="L126" s="619"/>
      <c r="M126" s="620"/>
      <c r="N126" s="620"/>
      <c r="O126" s="663" t="s">
        <v>1157</v>
      </c>
      <c r="P126" s="621" t="s">
        <v>319</v>
      </c>
      <c r="Q126" s="598"/>
      <c r="R126" s="598"/>
      <c r="S126" s="598"/>
      <c r="T126" s="623" t="s">
        <v>1015</v>
      </c>
      <c r="U126" s="578" t="s">
        <v>744</v>
      </c>
      <c r="V126" s="674" t="s">
        <v>2229</v>
      </c>
      <c r="W126" s="598" t="s">
        <v>950</v>
      </c>
      <c r="X126" s="648">
        <v>21195</v>
      </c>
      <c r="Y126" s="625">
        <f t="shared" ca="1" si="2"/>
        <v>68</v>
      </c>
      <c r="Z126" s="649" t="s">
        <v>2230</v>
      </c>
      <c r="AA126" s="598"/>
      <c r="AB126" s="598" t="s">
        <v>996</v>
      </c>
      <c r="AC126" s="598" t="s">
        <v>1018</v>
      </c>
      <c r="AD126" s="616" t="s">
        <v>729</v>
      </c>
      <c r="AE126" s="616" t="s">
        <v>729</v>
      </c>
      <c r="AF126" s="616" t="s">
        <v>2390</v>
      </c>
      <c r="AG126" s="598"/>
      <c r="AH126" s="598"/>
      <c r="AI126" s="650" t="s">
        <v>1575</v>
      </c>
      <c r="AJ126" s="598"/>
      <c r="AK126" s="626"/>
      <c r="AL126" s="626"/>
    </row>
    <row r="127" spans="1:38" ht="18" customHeight="1">
      <c r="A127" s="593"/>
      <c r="B127" s="598">
        <v>110</v>
      </c>
      <c r="C127" s="598" t="s">
        <v>1571</v>
      </c>
      <c r="D127" s="598">
        <f t="shared" si="0"/>
        <v>103</v>
      </c>
      <c r="E127" s="616" t="s">
        <v>1233</v>
      </c>
      <c r="F127" s="616" t="s">
        <v>1234</v>
      </c>
      <c r="G127" s="618" t="s">
        <v>1232</v>
      </c>
      <c r="H127" s="618" t="s">
        <v>172</v>
      </c>
      <c r="I127" s="618" t="s">
        <v>1232</v>
      </c>
      <c r="J127" s="681" t="s">
        <v>2838</v>
      </c>
      <c r="K127" s="618"/>
      <c r="L127" s="619"/>
      <c r="M127" s="620"/>
      <c r="N127" s="620"/>
      <c r="O127" s="663" t="s">
        <v>1157</v>
      </c>
      <c r="P127" s="621" t="s">
        <v>319</v>
      </c>
      <c r="Q127" s="598"/>
      <c r="R127" s="598"/>
      <c r="S127" s="598"/>
      <c r="T127" s="623" t="s">
        <v>1015</v>
      </c>
      <c r="U127" s="574" t="s">
        <v>752</v>
      </c>
      <c r="V127" s="674" t="s">
        <v>1572</v>
      </c>
      <c r="W127" s="598" t="s">
        <v>950</v>
      </c>
      <c r="X127" s="648">
        <v>23137</v>
      </c>
      <c r="Y127" s="625">
        <f t="shared" ca="1" si="2"/>
        <v>62</v>
      </c>
      <c r="Z127" s="649" t="s">
        <v>1573</v>
      </c>
      <c r="AA127" s="598"/>
      <c r="AB127" s="598" t="s">
        <v>996</v>
      </c>
      <c r="AC127" s="598" t="s">
        <v>1018</v>
      </c>
      <c r="AD127" s="616" t="s">
        <v>729</v>
      </c>
      <c r="AE127" s="616" t="s">
        <v>729</v>
      </c>
      <c r="AF127" s="616" t="s">
        <v>1574</v>
      </c>
      <c r="AG127" s="598"/>
      <c r="AH127" s="598"/>
      <c r="AI127" s="650" t="s">
        <v>1575</v>
      </c>
      <c r="AJ127" s="598"/>
      <c r="AK127" s="626"/>
      <c r="AL127" s="626"/>
    </row>
    <row r="128" spans="1:38" ht="18" customHeight="1">
      <c r="A128" s="593"/>
      <c r="B128" s="598">
        <v>111</v>
      </c>
      <c r="C128" s="598" t="s">
        <v>2232</v>
      </c>
      <c r="D128" s="598">
        <f t="shared" si="0"/>
        <v>104</v>
      </c>
      <c r="E128" s="616" t="s">
        <v>1351</v>
      </c>
      <c r="F128" s="616" t="s">
        <v>1234</v>
      </c>
      <c r="G128" s="618" t="s">
        <v>1232</v>
      </c>
      <c r="H128" s="618" t="s">
        <v>172</v>
      </c>
      <c r="I128" s="618" t="s">
        <v>1232</v>
      </c>
      <c r="J128" s="681" t="s">
        <v>2838</v>
      </c>
      <c r="K128" s="618"/>
      <c r="L128" s="619"/>
      <c r="M128" s="620"/>
      <c r="N128" s="620"/>
      <c r="O128" s="663" t="s">
        <v>1157</v>
      </c>
      <c r="P128" s="621" t="s">
        <v>319</v>
      </c>
      <c r="Q128" s="598"/>
      <c r="R128" s="598"/>
      <c r="S128" s="598"/>
      <c r="T128" s="623" t="s">
        <v>1015</v>
      </c>
      <c r="U128" s="578" t="s">
        <v>758</v>
      </c>
      <c r="V128" s="674" t="s">
        <v>2233</v>
      </c>
      <c r="W128" s="598" t="s">
        <v>950</v>
      </c>
      <c r="X128" s="682">
        <v>24001</v>
      </c>
      <c r="Y128" s="625">
        <f t="shared" ca="1" si="2"/>
        <v>60</v>
      </c>
      <c r="Z128" s="649" t="s">
        <v>2234</v>
      </c>
      <c r="AA128" s="598"/>
      <c r="AB128" s="598" t="s">
        <v>996</v>
      </c>
      <c r="AC128" s="598" t="s">
        <v>1018</v>
      </c>
      <c r="AD128" s="616" t="s">
        <v>729</v>
      </c>
      <c r="AE128" s="616" t="s">
        <v>729</v>
      </c>
      <c r="AF128" s="616" t="s">
        <v>2107</v>
      </c>
      <c r="AG128" s="598"/>
      <c r="AH128" s="598"/>
      <c r="AI128" s="650" t="s">
        <v>1575</v>
      </c>
      <c r="AJ128" s="598"/>
      <c r="AK128" s="626"/>
      <c r="AL128" s="626"/>
    </row>
    <row r="129" spans="1:38" ht="18" customHeight="1">
      <c r="A129" s="593"/>
      <c r="B129" s="598">
        <v>112</v>
      </c>
      <c r="C129" s="598" t="s">
        <v>2224</v>
      </c>
      <c r="D129" s="598">
        <f t="shared" si="0"/>
        <v>105</v>
      </c>
      <c r="E129" s="616" t="s">
        <v>1351</v>
      </c>
      <c r="F129" s="616" t="s">
        <v>1234</v>
      </c>
      <c r="G129" s="618" t="s">
        <v>1232</v>
      </c>
      <c r="H129" s="618" t="s">
        <v>172</v>
      </c>
      <c r="I129" s="618" t="s">
        <v>1232</v>
      </c>
      <c r="J129" s="681" t="s">
        <v>2838</v>
      </c>
      <c r="K129" s="618"/>
      <c r="L129" s="619"/>
      <c r="M129" s="620"/>
      <c r="N129" s="620"/>
      <c r="O129" s="664" t="s">
        <v>1157</v>
      </c>
      <c r="P129" s="621" t="s">
        <v>319</v>
      </c>
      <c r="Q129" s="598"/>
      <c r="R129" s="598"/>
      <c r="S129" s="598"/>
      <c r="T129" s="623" t="s">
        <v>1015</v>
      </c>
      <c r="U129" s="581" t="s">
        <v>766</v>
      </c>
      <c r="V129" s="674" t="s">
        <v>2225</v>
      </c>
      <c r="W129" s="598" t="s">
        <v>950</v>
      </c>
      <c r="X129" s="682">
        <v>25944</v>
      </c>
      <c r="Y129" s="625">
        <f t="shared" ca="1" si="2"/>
        <v>55</v>
      </c>
      <c r="Z129" s="616" t="s">
        <v>2226</v>
      </c>
      <c r="AA129" s="598"/>
      <c r="AB129" s="598" t="s">
        <v>996</v>
      </c>
      <c r="AC129" s="598" t="s">
        <v>1018</v>
      </c>
      <c r="AD129" s="616" t="s">
        <v>729</v>
      </c>
      <c r="AE129" s="616" t="s">
        <v>729</v>
      </c>
      <c r="AF129" s="616" t="s">
        <v>4506</v>
      </c>
      <c r="AG129" s="598"/>
      <c r="AH129" s="598"/>
      <c r="AI129" s="650" t="s">
        <v>1575</v>
      </c>
      <c r="AJ129" s="598"/>
      <c r="AK129" s="626"/>
      <c r="AL129" s="626"/>
    </row>
    <row r="130" spans="1:38" ht="18" customHeight="1">
      <c r="A130" s="593"/>
      <c r="B130" s="598">
        <v>113</v>
      </c>
      <c r="C130" s="598" t="s">
        <v>1232</v>
      </c>
      <c r="D130" s="598">
        <f t="shared" si="0"/>
        <v>105</v>
      </c>
      <c r="E130" s="616"/>
      <c r="F130" s="616" t="s">
        <v>1234</v>
      </c>
      <c r="G130" s="618" t="s">
        <v>1232</v>
      </c>
      <c r="H130" s="618" t="s">
        <v>172</v>
      </c>
      <c r="I130" s="618" t="s">
        <v>1232</v>
      </c>
      <c r="J130" s="618"/>
      <c r="K130" s="618"/>
      <c r="L130" s="619"/>
      <c r="M130" s="620"/>
      <c r="N130" s="620"/>
      <c r="O130" s="667" t="s">
        <v>1480</v>
      </c>
      <c r="P130" s="621" t="s">
        <v>4507</v>
      </c>
      <c r="Q130" s="598" t="s">
        <v>55</v>
      </c>
      <c r="R130" s="598" t="s">
        <v>173</v>
      </c>
      <c r="S130" s="598" t="s">
        <v>55</v>
      </c>
      <c r="T130" s="598"/>
      <c r="U130" s="667" t="s">
        <v>172</v>
      </c>
      <c r="V130" s="616" t="s">
        <v>1236</v>
      </c>
      <c r="W130" s="598" t="s">
        <v>950</v>
      </c>
      <c r="X130" s="624">
        <v>18512</v>
      </c>
      <c r="Y130" s="625">
        <f t="shared" ca="1" si="2"/>
        <v>75</v>
      </c>
      <c r="Z130" s="616" t="s">
        <v>1237</v>
      </c>
      <c r="AA130" s="598"/>
      <c r="AB130" s="598" t="s">
        <v>966</v>
      </c>
      <c r="AC130" s="598" t="s">
        <v>953</v>
      </c>
      <c r="AD130" s="616" t="s">
        <v>729</v>
      </c>
      <c r="AE130" s="616" t="s">
        <v>1239</v>
      </c>
      <c r="AF130" s="616" t="s">
        <v>1240</v>
      </c>
      <c r="AG130" s="598" t="s">
        <v>955</v>
      </c>
      <c r="AH130" s="598"/>
      <c r="AI130" s="598"/>
      <c r="AJ130" s="598"/>
      <c r="AK130" s="626"/>
      <c r="AL130" s="626"/>
    </row>
    <row r="131" spans="1:38" ht="18" customHeight="1">
      <c r="A131" s="593"/>
      <c r="B131" s="598">
        <v>114</v>
      </c>
      <c r="C131" s="598" t="s">
        <v>4508</v>
      </c>
      <c r="D131" s="598">
        <f t="shared" si="0"/>
        <v>106</v>
      </c>
      <c r="E131" s="616" t="s">
        <v>1351</v>
      </c>
      <c r="F131" s="616" t="s">
        <v>1234</v>
      </c>
      <c r="G131" s="618" t="s">
        <v>1232</v>
      </c>
      <c r="H131" s="618" t="s">
        <v>172</v>
      </c>
      <c r="I131" s="618" t="s">
        <v>1232</v>
      </c>
      <c r="J131" s="618" t="s">
        <v>1232</v>
      </c>
      <c r="K131" s="618" t="s">
        <v>959</v>
      </c>
      <c r="L131" s="619"/>
      <c r="M131" s="620"/>
      <c r="N131" s="620"/>
      <c r="O131" s="663" t="s">
        <v>1480</v>
      </c>
      <c r="P131" s="621" t="s">
        <v>319</v>
      </c>
      <c r="Q131" s="598"/>
      <c r="R131" s="598"/>
      <c r="S131" s="598"/>
      <c r="T131" s="598" t="s">
        <v>1015</v>
      </c>
      <c r="U131" s="663" t="s">
        <v>196</v>
      </c>
      <c r="V131" s="616" t="s">
        <v>4509</v>
      </c>
      <c r="W131" s="598" t="s">
        <v>950</v>
      </c>
      <c r="X131" s="624">
        <v>22348</v>
      </c>
      <c r="Y131" s="625">
        <f t="shared" ca="1" si="2"/>
        <v>64</v>
      </c>
      <c r="Z131" s="616" t="s">
        <v>4510</v>
      </c>
      <c r="AA131" s="652"/>
      <c r="AB131" s="598" t="s">
        <v>996</v>
      </c>
      <c r="AC131" s="598" t="s">
        <v>1018</v>
      </c>
      <c r="AD131" s="616" t="s">
        <v>729</v>
      </c>
      <c r="AE131" s="616" t="s">
        <v>729</v>
      </c>
      <c r="AF131" s="616" t="s">
        <v>1252</v>
      </c>
      <c r="AG131" s="598"/>
      <c r="AH131" s="598"/>
      <c r="AI131" s="598" t="s">
        <v>1107</v>
      </c>
      <c r="AJ131" s="598"/>
      <c r="AK131" s="626"/>
      <c r="AL131" s="626"/>
    </row>
    <row r="132" spans="1:38" ht="18" customHeight="1">
      <c r="A132" s="593"/>
      <c r="B132" s="598">
        <v>115</v>
      </c>
      <c r="C132" s="598" t="s">
        <v>4511</v>
      </c>
      <c r="D132" s="598">
        <f t="shared" si="0"/>
        <v>107</v>
      </c>
      <c r="E132" s="616" t="s">
        <v>1351</v>
      </c>
      <c r="F132" s="616" t="s">
        <v>1234</v>
      </c>
      <c r="G132" s="618" t="s">
        <v>1232</v>
      </c>
      <c r="H132" s="618" t="s">
        <v>172</v>
      </c>
      <c r="I132" s="618" t="s">
        <v>1232</v>
      </c>
      <c r="J132" s="618" t="s">
        <v>1232</v>
      </c>
      <c r="K132" s="618" t="s">
        <v>959</v>
      </c>
      <c r="L132" s="619"/>
      <c r="M132" s="620"/>
      <c r="N132" s="620"/>
      <c r="O132" s="673" t="s">
        <v>1480</v>
      </c>
      <c r="P132" s="621" t="s">
        <v>319</v>
      </c>
      <c r="Q132" s="598"/>
      <c r="R132" s="598"/>
      <c r="S132" s="598"/>
      <c r="T132" s="598" t="s">
        <v>1015</v>
      </c>
      <c r="U132" s="663" t="s">
        <v>4512</v>
      </c>
      <c r="V132" s="616" t="s">
        <v>4513</v>
      </c>
      <c r="W132" s="598" t="s">
        <v>950</v>
      </c>
      <c r="X132" s="624">
        <v>25612</v>
      </c>
      <c r="Y132" s="625">
        <f t="shared" ca="1" si="2"/>
        <v>55</v>
      </c>
      <c r="Z132" s="616" t="s">
        <v>4514</v>
      </c>
      <c r="AA132" s="652"/>
      <c r="AB132" s="598" t="s">
        <v>996</v>
      </c>
      <c r="AC132" s="598" t="s">
        <v>1018</v>
      </c>
      <c r="AD132" s="616" t="s">
        <v>729</v>
      </c>
      <c r="AE132" s="616" t="s">
        <v>729</v>
      </c>
      <c r="AF132" s="616" t="s">
        <v>1252</v>
      </c>
      <c r="AG132" s="598"/>
      <c r="AH132" s="598"/>
      <c r="AI132" s="598" t="s">
        <v>1107</v>
      </c>
      <c r="AJ132" s="598"/>
      <c r="AK132" s="626"/>
      <c r="AL132" s="626"/>
    </row>
    <row r="133" spans="1:38" ht="18" customHeight="1">
      <c r="A133" s="593"/>
      <c r="B133" s="598">
        <v>116</v>
      </c>
      <c r="C133" s="598" t="s">
        <v>1506</v>
      </c>
      <c r="D133" s="598">
        <f t="shared" si="0"/>
        <v>107</v>
      </c>
      <c r="E133" s="616"/>
      <c r="F133" s="616" t="s">
        <v>4515</v>
      </c>
      <c r="G133" s="618" t="s">
        <v>1232</v>
      </c>
      <c r="H133" s="618" t="s">
        <v>271</v>
      </c>
      <c r="I133" s="618" t="s">
        <v>1506</v>
      </c>
      <c r="J133" s="618" t="s">
        <v>1506</v>
      </c>
      <c r="K133" s="618" t="s">
        <v>1454</v>
      </c>
      <c r="L133" s="619" t="s">
        <v>1464</v>
      </c>
      <c r="M133" s="620"/>
      <c r="N133" s="620"/>
      <c r="O133" s="667" t="s">
        <v>1044</v>
      </c>
      <c r="P133" s="621"/>
      <c r="Q133" s="598" t="s">
        <v>173</v>
      </c>
      <c r="R133" s="598" t="s">
        <v>514</v>
      </c>
      <c r="S133" s="598" t="s">
        <v>55</v>
      </c>
      <c r="T133" s="598"/>
      <c r="U133" s="667" t="s">
        <v>271</v>
      </c>
      <c r="V133" s="616" t="s">
        <v>1597</v>
      </c>
      <c r="W133" s="598" t="s">
        <v>950</v>
      </c>
      <c r="X133" s="624">
        <v>29437</v>
      </c>
      <c r="Y133" s="625">
        <f t="shared" ca="1" si="2"/>
        <v>45</v>
      </c>
      <c r="Z133" s="616" t="s">
        <v>1598</v>
      </c>
      <c r="AA133" s="598"/>
      <c r="AB133" s="598" t="s">
        <v>966</v>
      </c>
      <c r="AC133" s="598" t="s">
        <v>953</v>
      </c>
      <c r="AD133" s="616" t="s">
        <v>729</v>
      </c>
      <c r="AE133" s="616" t="s">
        <v>1239</v>
      </c>
      <c r="AF133" s="616" t="s">
        <v>1258</v>
      </c>
      <c r="AG133" s="598" t="s">
        <v>955</v>
      </c>
      <c r="AH133" s="598"/>
      <c r="AI133" s="598"/>
      <c r="AJ133" s="598"/>
      <c r="AK133" s="626"/>
      <c r="AL133" s="626"/>
    </row>
    <row r="134" spans="1:38" ht="18" customHeight="1">
      <c r="A134" s="593"/>
      <c r="B134" s="598">
        <v>117</v>
      </c>
      <c r="C134" s="598" t="s">
        <v>1454</v>
      </c>
      <c r="D134" s="598">
        <f t="shared" si="0"/>
        <v>108</v>
      </c>
      <c r="E134" s="616" t="s">
        <v>1233</v>
      </c>
      <c r="F134" s="616" t="s">
        <v>4515</v>
      </c>
      <c r="G134" s="618" t="s">
        <v>1232</v>
      </c>
      <c r="H134" s="618" t="s">
        <v>271</v>
      </c>
      <c r="I134" s="618" t="s">
        <v>1506</v>
      </c>
      <c r="J134" s="618" t="s">
        <v>1506</v>
      </c>
      <c r="K134" s="618" t="s">
        <v>1454</v>
      </c>
      <c r="L134" s="619" t="s">
        <v>1464</v>
      </c>
      <c r="M134" s="620"/>
      <c r="N134" s="620"/>
      <c r="O134" s="663" t="s">
        <v>1044</v>
      </c>
      <c r="P134" s="621"/>
      <c r="Q134" s="598" t="s">
        <v>69</v>
      </c>
      <c r="R134" s="598" t="s">
        <v>562</v>
      </c>
      <c r="S134" s="598"/>
      <c r="T134" s="598" t="s">
        <v>992</v>
      </c>
      <c r="U134" s="663" t="s">
        <v>358</v>
      </c>
      <c r="V134" s="616" t="s">
        <v>1460</v>
      </c>
      <c r="W134" s="598" t="s">
        <v>950</v>
      </c>
      <c r="X134" s="624">
        <v>33229</v>
      </c>
      <c r="Y134" s="625">
        <f t="shared" ca="1" si="2"/>
        <v>35</v>
      </c>
      <c r="Z134" s="616" t="s">
        <v>1461</v>
      </c>
      <c r="AA134" s="598" t="s">
        <v>1462</v>
      </c>
      <c r="AB134" s="598" t="s">
        <v>996</v>
      </c>
      <c r="AC134" s="598" t="s">
        <v>997</v>
      </c>
      <c r="AD134" s="616" t="s">
        <v>729</v>
      </c>
      <c r="AE134" s="616" t="s">
        <v>1239</v>
      </c>
      <c r="AF134" s="616" t="s">
        <v>1463</v>
      </c>
      <c r="AG134" s="598"/>
      <c r="AH134" s="598"/>
      <c r="AI134" s="598" t="s">
        <v>1025</v>
      </c>
      <c r="AJ134" s="598"/>
      <c r="AK134" s="626"/>
      <c r="AL134" s="626"/>
    </row>
    <row r="135" spans="1:38" ht="18" customHeight="1">
      <c r="A135" s="593"/>
      <c r="B135" s="598">
        <v>118</v>
      </c>
      <c r="C135" s="598" t="s">
        <v>1464</v>
      </c>
      <c r="D135" s="598">
        <f t="shared" si="0"/>
        <v>109</v>
      </c>
      <c r="E135" s="616" t="s">
        <v>1233</v>
      </c>
      <c r="F135" s="616" t="s">
        <v>4515</v>
      </c>
      <c r="G135" s="618" t="s">
        <v>1232</v>
      </c>
      <c r="H135" s="618" t="s">
        <v>271</v>
      </c>
      <c r="I135" s="618" t="s">
        <v>1506</v>
      </c>
      <c r="J135" s="618" t="s">
        <v>1506</v>
      </c>
      <c r="K135" s="618" t="s">
        <v>1454</v>
      </c>
      <c r="L135" s="619" t="s">
        <v>1464</v>
      </c>
      <c r="M135" s="620"/>
      <c r="N135" s="620"/>
      <c r="O135" s="663" t="s">
        <v>1044</v>
      </c>
      <c r="P135" s="621"/>
      <c r="Q135" s="598" t="s">
        <v>69</v>
      </c>
      <c r="R135" s="598" t="s">
        <v>562</v>
      </c>
      <c r="S135" s="598"/>
      <c r="T135" s="598" t="s">
        <v>1015</v>
      </c>
      <c r="U135" s="663" t="s">
        <v>1465</v>
      </c>
      <c r="V135" s="616" t="s">
        <v>1466</v>
      </c>
      <c r="W135" s="598" t="s">
        <v>950</v>
      </c>
      <c r="X135" s="624">
        <v>34252</v>
      </c>
      <c r="Y135" s="625">
        <f t="shared" ca="1" si="2"/>
        <v>32</v>
      </c>
      <c r="Z135" s="616" t="s">
        <v>1467</v>
      </c>
      <c r="AA135" s="598" t="s">
        <v>1468</v>
      </c>
      <c r="AB135" s="598" t="s">
        <v>996</v>
      </c>
      <c r="AC135" s="598" t="s">
        <v>997</v>
      </c>
      <c r="AD135" s="616" t="s">
        <v>729</v>
      </c>
      <c r="AE135" s="616" t="s">
        <v>729</v>
      </c>
      <c r="AF135" s="616" t="s">
        <v>1323</v>
      </c>
      <c r="AG135" s="598"/>
      <c r="AH135" s="598"/>
      <c r="AI135" s="598" t="s">
        <v>1025</v>
      </c>
      <c r="AJ135" s="598"/>
      <c r="AK135" s="626"/>
      <c r="AL135" s="626"/>
    </row>
    <row r="136" spans="1:38" ht="18" customHeight="1">
      <c r="A136" s="593"/>
      <c r="B136" s="598">
        <v>119</v>
      </c>
      <c r="C136" s="598" t="s">
        <v>4516</v>
      </c>
      <c r="D136" s="598">
        <f t="shared" si="0"/>
        <v>110</v>
      </c>
      <c r="E136" s="616" t="s">
        <v>1233</v>
      </c>
      <c r="F136" s="616" t="s">
        <v>4515</v>
      </c>
      <c r="G136" s="618" t="s">
        <v>1232</v>
      </c>
      <c r="H136" s="618" t="s">
        <v>271</v>
      </c>
      <c r="I136" s="618" t="s">
        <v>1506</v>
      </c>
      <c r="J136" s="618" t="s">
        <v>1506</v>
      </c>
      <c r="K136" s="618" t="s">
        <v>1454</v>
      </c>
      <c r="L136" s="619" t="s">
        <v>1464</v>
      </c>
      <c r="M136" s="620"/>
      <c r="N136" s="620"/>
      <c r="O136" s="663" t="s">
        <v>1044</v>
      </c>
      <c r="P136" s="621"/>
      <c r="Q136" s="598"/>
      <c r="R136" s="598"/>
      <c r="S136" s="598"/>
      <c r="T136" s="598" t="s">
        <v>1015</v>
      </c>
      <c r="U136" s="663" t="s">
        <v>372</v>
      </c>
      <c r="V136" s="616" t="s">
        <v>4517</v>
      </c>
      <c r="W136" s="598" t="s">
        <v>950</v>
      </c>
      <c r="X136" s="624">
        <v>30747</v>
      </c>
      <c r="Y136" s="625">
        <f t="shared" ca="1" si="2"/>
        <v>41</v>
      </c>
      <c r="Z136" s="616" t="s">
        <v>4518</v>
      </c>
      <c r="AA136" s="598" t="s">
        <v>4519</v>
      </c>
      <c r="AB136" s="598" t="s">
        <v>996</v>
      </c>
      <c r="AC136" s="598" t="s">
        <v>997</v>
      </c>
      <c r="AD136" s="616" t="s">
        <v>729</v>
      </c>
      <c r="AE136" s="616" t="s">
        <v>729</v>
      </c>
      <c r="AF136" s="616" t="s">
        <v>1252</v>
      </c>
      <c r="AG136" s="598"/>
      <c r="AH136" s="598"/>
      <c r="AI136" s="598" t="s">
        <v>1025</v>
      </c>
      <c r="AJ136" s="598"/>
      <c r="AK136" s="626"/>
      <c r="AL136" s="626"/>
    </row>
    <row r="137" spans="1:38" ht="18" customHeight="1">
      <c r="A137" s="593"/>
      <c r="B137" s="598">
        <v>120</v>
      </c>
      <c r="C137" s="598" t="s">
        <v>1619</v>
      </c>
      <c r="D137" s="598">
        <f t="shared" si="0"/>
        <v>111</v>
      </c>
      <c r="E137" s="616" t="s">
        <v>1233</v>
      </c>
      <c r="F137" s="616" t="s">
        <v>4515</v>
      </c>
      <c r="G137" s="618" t="s">
        <v>1232</v>
      </c>
      <c r="H137" s="618" t="s">
        <v>271</v>
      </c>
      <c r="I137" s="618" t="s">
        <v>1506</v>
      </c>
      <c r="J137" s="618" t="s">
        <v>1506</v>
      </c>
      <c r="K137" s="618" t="s">
        <v>1454</v>
      </c>
      <c r="L137" s="619" t="s">
        <v>1464</v>
      </c>
      <c r="M137" s="620"/>
      <c r="N137" s="620"/>
      <c r="O137" s="663" t="s">
        <v>1044</v>
      </c>
      <c r="P137" s="621"/>
      <c r="Q137" s="598"/>
      <c r="R137" s="598"/>
      <c r="S137" s="598"/>
      <c r="T137" s="598" t="s">
        <v>992</v>
      </c>
      <c r="U137" s="663" t="s">
        <v>385</v>
      </c>
      <c r="V137" s="616" t="s">
        <v>1620</v>
      </c>
      <c r="W137" s="598" t="s">
        <v>950</v>
      </c>
      <c r="X137" s="624">
        <v>31903</v>
      </c>
      <c r="Y137" s="625">
        <f t="shared" ca="1" si="2"/>
        <v>38</v>
      </c>
      <c r="Z137" s="616" t="s">
        <v>1621</v>
      </c>
      <c r="AA137" s="598" t="s">
        <v>1622</v>
      </c>
      <c r="AB137" s="598" t="s">
        <v>996</v>
      </c>
      <c r="AC137" s="598" t="s">
        <v>997</v>
      </c>
      <c r="AD137" s="616" t="s">
        <v>1494</v>
      </c>
      <c r="AE137" s="616" t="s">
        <v>1494</v>
      </c>
      <c r="AF137" s="616" t="s">
        <v>1623</v>
      </c>
      <c r="AG137" s="598"/>
      <c r="AH137" s="598"/>
      <c r="AI137" s="598" t="s">
        <v>1025</v>
      </c>
      <c r="AJ137" s="598"/>
      <c r="AK137" s="626"/>
      <c r="AL137" s="626"/>
    </row>
    <row r="138" spans="1:38" ht="18" customHeight="1">
      <c r="A138" s="593"/>
      <c r="B138" s="598">
        <v>121</v>
      </c>
      <c r="C138" s="598" t="s">
        <v>1624</v>
      </c>
      <c r="D138" s="598">
        <f t="shared" si="0"/>
        <v>112</v>
      </c>
      <c r="E138" s="616" t="s">
        <v>1233</v>
      </c>
      <c r="F138" s="616" t="s">
        <v>4515</v>
      </c>
      <c r="G138" s="618" t="s">
        <v>1232</v>
      </c>
      <c r="H138" s="618" t="s">
        <v>271</v>
      </c>
      <c r="I138" s="618" t="s">
        <v>1506</v>
      </c>
      <c r="J138" s="618" t="s">
        <v>1506</v>
      </c>
      <c r="K138" s="618" t="s">
        <v>1454</v>
      </c>
      <c r="L138" s="619" t="s">
        <v>1464</v>
      </c>
      <c r="M138" s="620"/>
      <c r="N138" s="620"/>
      <c r="O138" s="663" t="s">
        <v>1044</v>
      </c>
      <c r="P138" s="621"/>
      <c r="Q138" s="598"/>
      <c r="R138" s="598"/>
      <c r="S138" s="598"/>
      <c r="T138" s="598" t="s">
        <v>992</v>
      </c>
      <c r="U138" s="663" t="s">
        <v>398</v>
      </c>
      <c r="V138" s="616" t="s">
        <v>1625</v>
      </c>
      <c r="W138" s="598" t="s">
        <v>950</v>
      </c>
      <c r="X138" s="624">
        <v>31903</v>
      </c>
      <c r="Y138" s="625">
        <f t="shared" ca="1" si="2"/>
        <v>38</v>
      </c>
      <c r="Z138" s="616" t="s">
        <v>1626</v>
      </c>
      <c r="AA138" s="598" t="s">
        <v>1627</v>
      </c>
      <c r="AB138" s="598" t="s">
        <v>1006</v>
      </c>
      <c r="AC138" s="598" t="s">
        <v>953</v>
      </c>
      <c r="AD138" s="616" t="s">
        <v>1494</v>
      </c>
      <c r="AE138" s="616" t="s">
        <v>1494</v>
      </c>
      <c r="AF138" s="616" t="s">
        <v>1623</v>
      </c>
      <c r="AG138" s="598"/>
      <c r="AH138" s="598"/>
      <c r="AI138" s="598" t="s">
        <v>1025</v>
      </c>
      <c r="AJ138" s="598"/>
      <c r="AK138" s="626"/>
      <c r="AL138" s="626"/>
    </row>
    <row r="139" spans="1:38" ht="18" customHeight="1">
      <c r="A139" s="593"/>
      <c r="B139" s="598">
        <v>122</v>
      </c>
      <c r="C139" s="598" t="s">
        <v>4520</v>
      </c>
      <c r="D139" s="598">
        <f t="shared" si="0"/>
        <v>113</v>
      </c>
      <c r="E139" s="616" t="s">
        <v>1233</v>
      </c>
      <c r="F139" s="616" t="s">
        <v>4515</v>
      </c>
      <c r="G139" s="618" t="s">
        <v>1232</v>
      </c>
      <c r="H139" s="618" t="s">
        <v>271</v>
      </c>
      <c r="I139" s="618" t="s">
        <v>1506</v>
      </c>
      <c r="J139" s="618" t="s">
        <v>1506</v>
      </c>
      <c r="K139" s="618" t="s">
        <v>1454</v>
      </c>
      <c r="L139" s="619" t="s">
        <v>1464</v>
      </c>
      <c r="M139" s="620"/>
      <c r="N139" s="620"/>
      <c r="O139" s="663" t="s">
        <v>1044</v>
      </c>
      <c r="P139" s="621"/>
      <c r="Q139" s="598"/>
      <c r="R139" s="598"/>
      <c r="S139" s="598"/>
      <c r="T139" s="598" t="s">
        <v>992</v>
      </c>
      <c r="U139" s="663" t="s">
        <v>410</v>
      </c>
      <c r="V139" s="616" t="s">
        <v>4521</v>
      </c>
      <c r="W139" s="598" t="s">
        <v>950</v>
      </c>
      <c r="X139" s="624">
        <v>38235</v>
      </c>
      <c r="Y139" s="625">
        <f t="shared" ca="1" si="2"/>
        <v>21</v>
      </c>
      <c r="Z139" s="616" t="s">
        <v>4522</v>
      </c>
      <c r="AA139" s="598" t="s">
        <v>4523</v>
      </c>
      <c r="AB139" s="598" t="s">
        <v>996</v>
      </c>
      <c r="AC139" s="598" t="s">
        <v>1018</v>
      </c>
      <c r="AD139" s="616" t="s">
        <v>1041</v>
      </c>
      <c r="AE139" s="616" t="s">
        <v>729</v>
      </c>
      <c r="AF139" s="616" t="s">
        <v>4524</v>
      </c>
      <c r="AG139" s="598"/>
      <c r="AH139" s="598"/>
      <c r="AI139" s="598" t="s">
        <v>1025</v>
      </c>
      <c r="AJ139" s="598"/>
      <c r="AK139" s="626"/>
      <c r="AL139" s="626"/>
    </row>
    <row r="140" spans="1:38" ht="18" customHeight="1">
      <c r="A140" s="593"/>
      <c r="B140" s="598">
        <v>123</v>
      </c>
      <c r="C140" s="598" t="s">
        <v>1469</v>
      </c>
      <c r="D140" s="598">
        <f t="shared" si="0"/>
        <v>114</v>
      </c>
      <c r="E140" s="616" t="s">
        <v>1233</v>
      </c>
      <c r="F140" s="616" t="s">
        <v>4515</v>
      </c>
      <c r="G140" s="618" t="s">
        <v>1232</v>
      </c>
      <c r="H140" s="618" t="s">
        <v>271</v>
      </c>
      <c r="I140" s="618" t="s">
        <v>1506</v>
      </c>
      <c r="J140" s="618" t="s">
        <v>1506</v>
      </c>
      <c r="K140" s="618" t="s">
        <v>1454</v>
      </c>
      <c r="L140" s="619" t="s">
        <v>1464</v>
      </c>
      <c r="M140" s="620"/>
      <c r="N140" s="620"/>
      <c r="O140" s="663" t="s">
        <v>1044</v>
      </c>
      <c r="P140" s="621" t="s">
        <v>319</v>
      </c>
      <c r="Q140" s="598"/>
      <c r="R140" s="598"/>
      <c r="S140" s="598"/>
      <c r="T140" s="598" t="s">
        <v>1015</v>
      </c>
      <c r="U140" s="663" t="s">
        <v>422</v>
      </c>
      <c r="V140" s="616" t="s">
        <v>1470</v>
      </c>
      <c r="W140" s="598" t="s">
        <v>950</v>
      </c>
      <c r="X140" s="624">
        <v>29402</v>
      </c>
      <c r="Y140" s="625">
        <f t="shared" ca="1" si="2"/>
        <v>45</v>
      </c>
      <c r="Z140" s="616" t="s">
        <v>4525</v>
      </c>
      <c r="AA140" s="598" t="s">
        <v>1472</v>
      </c>
      <c r="AB140" s="598" t="s">
        <v>996</v>
      </c>
      <c r="AC140" s="598" t="s">
        <v>997</v>
      </c>
      <c r="AD140" s="616" t="s">
        <v>729</v>
      </c>
      <c r="AE140" s="640" t="s">
        <v>729</v>
      </c>
      <c r="AF140" s="616" t="s">
        <v>1473</v>
      </c>
      <c r="AG140" s="598"/>
      <c r="AH140" s="598"/>
      <c r="AI140" s="634" t="s">
        <v>1359</v>
      </c>
      <c r="AJ140" s="598"/>
      <c r="AK140" s="626">
        <v>-6</v>
      </c>
      <c r="AL140" s="626"/>
    </row>
    <row r="141" spans="1:38" ht="18" customHeight="1">
      <c r="A141" s="593"/>
      <c r="B141" s="598">
        <v>124</v>
      </c>
      <c r="C141" s="598" t="s">
        <v>3678</v>
      </c>
      <c r="D141" s="598">
        <f t="shared" si="0"/>
        <v>115</v>
      </c>
      <c r="E141" s="616" t="s">
        <v>1810</v>
      </c>
      <c r="F141" s="616" t="s">
        <v>4515</v>
      </c>
      <c r="G141" s="618" t="s">
        <v>1232</v>
      </c>
      <c r="H141" s="618" t="s">
        <v>271</v>
      </c>
      <c r="I141" s="618" t="s">
        <v>1506</v>
      </c>
      <c r="J141" s="618" t="s">
        <v>1506</v>
      </c>
      <c r="K141" s="618" t="s">
        <v>1454</v>
      </c>
      <c r="L141" s="619" t="s">
        <v>1464</v>
      </c>
      <c r="M141" s="620"/>
      <c r="N141" s="620"/>
      <c r="O141" s="663" t="s">
        <v>1044</v>
      </c>
      <c r="P141" s="621" t="s">
        <v>319</v>
      </c>
      <c r="Q141" s="598"/>
      <c r="R141" s="598"/>
      <c r="S141" s="598"/>
      <c r="T141" s="598" t="s">
        <v>992</v>
      </c>
      <c r="U141" s="663" t="s">
        <v>430</v>
      </c>
      <c r="V141" s="616" t="s">
        <v>3679</v>
      </c>
      <c r="W141" s="598" t="s">
        <v>950</v>
      </c>
      <c r="X141" s="624">
        <v>32595</v>
      </c>
      <c r="Y141" s="625">
        <f t="shared" ca="1" si="2"/>
        <v>36</v>
      </c>
      <c r="Z141" s="616" t="s">
        <v>3680</v>
      </c>
      <c r="AA141" s="598" t="s">
        <v>3681</v>
      </c>
      <c r="AB141" s="598" t="s">
        <v>996</v>
      </c>
      <c r="AC141" s="644" t="s">
        <v>997</v>
      </c>
      <c r="AD141" s="616" t="s">
        <v>1078</v>
      </c>
      <c r="AE141" s="640" t="s">
        <v>729</v>
      </c>
      <c r="AF141" s="640" t="s">
        <v>1252</v>
      </c>
      <c r="AG141" s="598"/>
      <c r="AH141" s="598"/>
      <c r="AI141" s="634" t="s">
        <v>1359</v>
      </c>
      <c r="AJ141" s="598"/>
      <c r="AK141" s="626">
        <v>-6</v>
      </c>
      <c r="AL141" s="626"/>
    </row>
    <row r="142" spans="1:38" ht="18" customHeight="1">
      <c r="A142" s="593"/>
      <c r="B142" s="598">
        <v>125</v>
      </c>
      <c r="C142" s="598" t="s">
        <v>1474</v>
      </c>
      <c r="D142" s="598">
        <f t="shared" si="0"/>
        <v>116</v>
      </c>
      <c r="E142" s="616" t="s">
        <v>1233</v>
      </c>
      <c r="F142" s="616" t="s">
        <v>4515</v>
      </c>
      <c r="G142" s="618" t="s">
        <v>1232</v>
      </c>
      <c r="H142" s="618" t="s">
        <v>271</v>
      </c>
      <c r="I142" s="618" t="s">
        <v>1506</v>
      </c>
      <c r="J142" s="618" t="s">
        <v>1506</v>
      </c>
      <c r="K142" s="618" t="s">
        <v>1454</v>
      </c>
      <c r="L142" s="619" t="s">
        <v>1464</v>
      </c>
      <c r="M142" s="620"/>
      <c r="N142" s="620"/>
      <c r="O142" s="663" t="s">
        <v>1044</v>
      </c>
      <c r="P142" s="621" t="s">
        <v>319</v>
      </c>
      <c r="Q142" s="598"/>
      <c r="R142" s="598"/>
      <c r="S142" s="598"/>
      <c r="T142" s="598" t="s">
        <v>992</v>
      </c>
      <c r="U142" s="663" t="s">
        <v>438</v>
      </c>
      <c r="V142" s="616" t="s">
        <v>1475</v>
      </c>
      <c r="W142" s="598" t="s">
        <v>950</v>
      </c>
      <c r="X142" s="624">
        <v>36641</v>
      </c>
      <c r="Y142" s="625">
        <f t="shared" ca="1" si="2"/>
        <v>25</v>
      </c>
      <c r="Z142" s="616" t="s">
        <v>1476</v>
      </c>
      <c r="AA142" s="598" t="s">
        <v>1477</v>
      </c>
      <c r="AB142" s="598" t="s">
        <v>996</v>
      </c>
      <c r="AC142" s="644" t="s">
        <v>997</v>
      </c>
      <c r="AD142" s="616" t="s">
        <v>729</v>
      </c>
      <c r="AE142" s="640" t="s">
        <v>729</v>
      </c>
      <c r="AF142" s="616" t="s">
        <v>1329</v>
      </c>
      <c r="AG142" s="598"/>
      <c r="AH142" s="598"/>
      <c r="AI142" s="634" t="s">
        <v>1359</v>
      </c>
      <c r="AJ142" s="598"/>
      <c r="AK142" s="626">
        <v>-7</v>
      </c>
      <c r="AL142" s="626"/>
    </row>
    <row r="143" spans="1:38" ht="18" customHeight="1">
      <c r="A143" s="593"/>
      <c r="B143" s="598">
        <v>126</v>
      </c>
      <c r="C143" s="598" t="s">
        <v>4526</v>
      </c>
      <c r="D143" s="598">
        <f t="shared" si="0"/>
        <v>117</v>
      </c>
      <c r="E143" s="616" t="s">
        <v>1351</v>
      </c>
      <c r="F143" s="616" t="s">
        <v>4515</v>
      </c>
      <c r="G143" s="618" t="s">
        <v>1232</v>
      </c>
      <c r="H143" s="618" t="s">
        <v>271</v>
      </c>
      <c r="I143" s="618" t="s">
        <v>1506</v>
      </c>
      <c r="J143" s="618" t="s">
        <v>1506</v>
      </c>
      <c r="K143" s="618" t="s">
        <v>1454</v>
      </c>
      <c r="L143" s="619" t="s">
        <v>1464</v>
      </c>
      <c r="M143" s="620"/>
      <c r="N143" s="620"/>
      <c r="O143" s="663" t="s">
        <v>1044</v>
      </c>
      <c r="P143" s="621" t="s">
        <v>319</v>
      </c>
      <c r="Q143" s="598"/>
      <c r="R143" s="598"/>
      <c r="S143" s="598"/>
      <c r="T143" s="598" t="s">
        <v>992</v>
      </c>
      <c r="U143" s="663" t="s">
        <v>444</v>
      </c>
      <c r="V143" s="616" t="s">
        <v>4527</v>
      </c>
      <c r="W143" s="598" t="s">
        <v>950</v>
      </c>
      <c r="X143" s="624">
        <v>36882</v>
      </c>
      <c r="Y143" s="625">
        <f t="shared" ca="1" si="2"/>
        <v>25</v>
      </c>
      <c r="Z143" s="616" t="s">
        <v>4528</v>
      </c>
      <c r="AA143" s="598" t="s">
        <v>4529</v>
      </c>
      <c r="AB143" s="598" t="s">
        <v>996</v>
      </c>
      <c r="AC143" s="598" t="s">
        <v>1018</v>
      </c>
      <c r="AD143" s="616" t="s">
        <v>246</v>
      </c>
      <c r="AE143" s="616" t="s">
        <v>1494</v>
      </c>
      <c r="AF143" s="653" t="s">
        <v>1623</v>
      </c>
      <c r="AG143" s="598"/>
      <c r="AH143" s="598"/>
      <c r="AI143" s="634"/>
      <c r="AJ143" s="598"/>
      <c r="AK143" s="626"/>
      <c r="AL143" s="626"/>
    </row>
    <row r="144" spans="1:38" ht="18" customHeight="1">
      <c r="A144" s="593"/>
      <c r="B144" s="598">
        <v>127</v>
      </c>
      <c r="C144" s="598" t="s">
        <v>1600</v>
      </c>
      <c r="D144" s="598">
        <f t="shared" si="0"/>
        <v>118</v>
      </c>
      <c r="E144" s="616" t="s">
        <v>1233</v>
      </c>
      <c r="F144" s="616" t="s">
        <v>4515</v>
      </c>
      <c r="G144" s="618" t="s">
        <v>1232</v>
      </c>
      <c r="H144" s="618" t="s">
        <v>271</v>
      </c>
      <c r="I144" s="618" t="s">
        <v>1506</v>
      </c>
      <c r="J144" s="618" t="s">
        <v>1506</v>
      </c>
      <c r="K144" s="618" t="s">
        <v>1454</v>
      </c>
      <c r="L144" s="619" t="s">
        <v>1464</v>
      </c>
      <c r="M144" s="620"/>
      <c r="N144" s="620"/>
      <c r="O144" s="663" t="s">
        <v>1044</v>
      </c>
      <c r="P144" s="621" t="s">
        <v>319</v>
      </c>
      <c r="Q144" s="598"/>
      <c r="R144" s="598"/>
      <c r="S144" s="598"/>
      <c r="T144" s="598" t="s">
        <v>1015</v>
      </c>
      <c r="U144" s="663" t="s">
        <v>447</v>
      </c>
      <c r="V144" s="616" t="s">
        <v>1601</v>
      </c>
      <c r="W144" s="598" t="s">
        <v>950</v>
      </c>
      <c r="X144" s="624">
        <v>30868</v>
      </c>
      <c r="Y144" s="625">
        <f t="shared" ca="1" si="2"/>
        <v>41</v>
      </c>
      <c r="Z144" s="616" t="s">
        <v>1602</v>
      </c>
      <c r="AA144" s="598" t="s">
        <v>1603</v>
      </c>
      <c r="AB144" s="598" t="s">
        <v>996</v>
      </c>
      <c r="AC144" s="644" t="s">
        <v>997</v>
      </c>
      <c r="AD144" s="616" t="s">
        <v>729</v>
      </c>
      <c r="AE144" s="616" t="s">
        <v>729</v>
      </c>
      <c r="AF144" s="616" t="s">
        <v>1323</v>
      </c>
      <c r="AG144" s="598"/>
      <c r="AH144" s="598"/>
      <c r="AI144" s="647" t="s">
        <v>1513</v>
      </c>
      <c r="AJ144" s="598"/>
      <c r="AK144" s="626">
        <v>-6</v>
      </c>
      <c r="AL144" s="626"/>
    </row>
    <row r="145" spans="1:38" ht="18" customHeight="1">
      <c r="A145" s="593"/>
      <c r="B145" s="598">
        <v>128</v>
      </c>
      <c r="C145" s="598" t="s">
        <v>2139</v>
      </c>
      <c r="D145" s="598">
        <f t="shared" si="0"/>
        <v>119</v>
      </c>
      <c r="E145" s="616" t="s">
        <v>1351</v>
      </c>
      <c r="F145" s="616" t="s">
        <v>4515</v>
      </c>
      <c r="G145" s="618" t="s">
        <v>1232</v>
      </c>
      <c r="H145" s="618" t="s">
        <v>271</v>
      </c>
      <c r="I145" s="618" t="s">
        <v>1506</v>
      </c>
      <c r="J145" s="618" t="s">
        <v>1506</v>
      </c>
      <c r="K145" s="618" t="s">
        <v>1454</v>
      </c>
      <c r="L145" s="619" t="s">
        <v>1464</v>
      </c>
      <c r="M145" s="620"/>
      <c r="N145" s="620"/>
      <c r="O145" s="663" t="s">
        <v>1044</v>
      </c>
      <c r="P145" s="621" t="s">
        <v>319</v>
      </c>
      <c r="Q145" s="598"/>
      <c r="R145" s="598"/>
      <c r="S145" s="598"/>
      <c r="T145" s="598" t="s">
        <v>992</v>
      </c>
      <c r="U145" s="663" t="s">
        <v>449</v>
      </c>
      <c r="V145" s="616" t="s">
        <v>2140</v>
      </c>
      <c r="W145" s="598" t="s">
        <v>950</v>
      </c>
      <c r="X145" s="624">
        <v>32006</v>
      </c>
      <c r="Y145" s="625">
        <f t="shared" ca="1" si="2"/>
        <v>38</v>
      </c>
      <c r="Z145" s="616" t="s">
        <v>2141</v>
      </c>
      <c r="AA145" s="598"/>
      <c r="AB145" s="598" t="s">
        <v>996</v>
      </c>
      <c r="AC145" s="644" t="s">
        <v>997</v>
      </c>
      <c r="AD145" s="616" t="s">
        <v>729</v>
      </c>
      <c r="AE145" s="616" t="s">
        <v>729</v>
      </c>
      <c r="AF145" s="616" t="s">
        <v>2142</v>
      </c>
      <c r="AG145" s="598"/>
      <c r="AH145" s="598"/>
      <c r="AI145" s="647" t="s">
        <v>1513</v>
      </c>
      <c r="AJ145" s="598"/>
      <c r="AK145" s="626">
        <v>-6</v>
      </c>
      <c r="AL145" s="626"/>
    </row>
    <row r="146" spans="1:38" ht="18" customHeight="1">
      <c r="A146" s="593"/>
      <c r="B146" s="598">
        <v>129</v>
      </c>
      <c r="C146" s="598" t="s">
        <v>4530</v>
      </c>
      <c r="D146" s="598">
        <f t="shared" si="0"/>
        <v>120</v>
      </c>
      <c r="E146" s="616" t="s">
        <v>1233</v>
      </c>
      <c r="F146" s="616" t="s">
        <v>4515</v>
      </c>
      <c r="G146" s="618" t="s">
        <v>1232</v>
      </c>
      <c r="H146" s="618" t="s">
        <v>271</v>
      </c>
      <c r="I146" s="618" t="s">
        <v>1506</v>
      </c>
      <c r="J146" s="618" t="s">
        <v>1506</v>
      </c>
      <c r="K146" s="618" t="s">
        <v>1454</v>
      </c>
      <c r="L146" s="619" t="s">
        <v>1464</v>
      </c>
      <c r="M146" s="620"/>
      <c r="N146" s="620"/>
      <c r="O146" s="663" t="s">
        <v>1044</v>
      </c>
      <c r="P146" s="621"/>
      <c r="Q146" s="598"/>
      <c r="R146" s="598"/>
      <c r="S146" s="598"/>
      <c r="T146" s="598" t="s">
        <v>1015</v>
      </c>
      <c r="U146" s="663" t="s">
        <v>4531</v>
      </c>
      <c r="V146" s="616" t="s">
        <v>4532</v>
      </c>
      <c r="W146" s="598" t="s">
        <v>950</v>
      </c>
      <c r="X146" s="624">
        <v>34187</v>
      </c>
      <c r="Y146" s="625">
        <f t="shared" ca="1" si="2"/>
        <v>32</v>
      </c>
      <c r="Z146" s="616" t="s">
        <v>4533</v>
      </c>
      <c r="AA146" s="598" t="s">
        <v>4534</v>
      </c>
      <c r="AB146" s="598" t="s">
        <v>996</v>
      </c>
      <c r="AC146" s="598" t="s">
        <v>1018</v>
      </c>
      <c r="AD146" s="616" t="s">
        <v>729</v>
      </c>
      <c r="AE146" s="616" t="s">
        <v>729</v>
      </c>
      <c r="AF146" s="616" t="s">
        <v>1533</v>
      </c>
      <c r="AG146" s="598"/>
      <c r="AH146" s="598" t="s">
        <v>4535</v>
      </c>
      <c r="AI146" s="598" t="s">
        <v>1025</v>
      </c>
      <c r="AJ146" s="598"/>
      <c r="AK146" s="626"/>
      <c r="AL146" s="626"/>
    </row>
    <row r="147" spans="1:38" ht="18" customHeight="1">
      <c r="A147" s="593"/>
      <c r="B147" s="598">
        <v>130</v>
      </c>
      <c r="C147" s="598" t="s">
        <v>4536</v>
      </c>
      <c r="D147" s="598">
        <f t="shared" si="0"/>
        <v>121</v>
      </c>
      <c r="E147" s="616" t="s">
        <v>1233</v>
      </c>
      <c r="F147" s="616" t="s">
        <v>4515</v>
      </c>
      <c r="G147" s="618" t="s">
        <v>1232</v>
      </c>
      <c r="H147" s="618" t="s">
        <v>271</v>
      </c>
      <c r="I147" s="618" t="s">
        <v>1506</v>
      </c>
      <c r="J147" s="618" t="s">
        <v>1506</v>
      </c>
      <c r="K147" s="618" t="s">
        <v>1454</v>
      </c>
      <c r="L147" s="619" t="s">
        <v>1464</v>
      </c>
      <c r="M147" s="620"/>
      <c r="N147" s="620"/>
      <c r="O147" s="663" t="s">
        <v>1044</v>
      </c>
      <c r="P147" s="621"/>
      <c r="Q147" s="598"/>
      <c r="R147" s="598"/>
      <c r="S147" s="598"/>
      <c r="T147" s="598" t="s">
        <v>992</v>
      </c>
      <c r="U147" s="663" t="s">
        <v>4537</v>
      </c>
      <c r="V147" s="616" t="s">
        <v>4538</v>
      </c>
      <c r="W147" s="598" t="s">
        <v>950</v>
      </c>
      <c r="X147" s="624">
        <v>37337</v>
      </c>
      <c r="Y147" s="625">
        <f t="shared" ca="1" si="2"/>
        <v>23</v>
      </c>
      <c r="Z147" s="616" t="s">
        <v>4539</v>
      </c>
      <c r="AA147" s="598" t="s">
        <v>4540</v>
      </c>
      <c r="AB147" s="598" t="s">
        <v>996</v>
      </c>
      <c r="AC147" s="598" t="s">
        <v>1018</v>
      </c>
      <c r="AD147" s="616" t="s">
        <v>729</v>
      </c>
      <c r="AE147" s="616" t="s">
        <v>729</v>
      </c>
      <c r="AF147" s="616" t="s">
        <v>4541</v>
      </c>
      <c r="AG147" s="598"/>
      <c r="AH147" s="598" t="s">
        <v>4542</v>
      </c>
      <c r="AI147" s="598" t="s">
        <v>1025</v>
      </c>
      <c r="AJ147" s="598"/>
      <c r="AK147" s="626"/>
      <c r="AL147" s="626"/>
    </row>
    <row r="148" spans="1:38" ht="18" customHeight="1">
      <c r="A148" s="593"/>
      <c r="B148" s="598">
        <v>131</v>
      </c>
      <c r="C148" s="598" t="s">
        <v>4543</v>
      </c>
      <c r="D148" s="598">
        <f t="shared" si="0"/>
        <v>122</v>
      </c>
      <c r="E148" s="616" t="s">
        <v>1233</v>
      </c>
      <c r="F148" s="616" t="s">
        <v>4515</v>
      </c>
      <c r="G148" s="618" t="s">
        <v>1232</v>
      </c>
      <c r="H148" s="618" t="s">
        <v>271</v>
      </c>
      <c r="I148" s="618" t="s">
        <v>1506</v>
      </c>
      <c r="J148" s="618" t="s">
        <v>1506</v>
      </c>
      <c r="K148" s="618" t="s">
        <v>1454</v>
      </c>
      <c r="L148" s="619" t="s">
        <v>1464</v>
      </c>
      <c r="M148" s="620"/>
      <c r="N148" s="620"/>
      <c r="O148" s="673" t="s">
        <v>1044</v>
      </c>
      <c r="P148" s="621"/>
      <c r="Q148" s="598"/>
      <c r="R148" s="598"/>
      <c r="S148" s="598"/>
      <c r="T148" s="598" t="s">
        <v>992</v>
      </c>
      <c r="U148" s="673" t="s">
        <v>4544</v>
      </c>
      <c r="V148" s="616" t="s">
        <v>4545</v>
      </c>
      <c r="W148" s="598" t="s">
        <v>950</v>
      </c>
      <c r="X148" s="624">
        <v>35479</v>
      </c>
      <c r="Y148" s="625">
        <f t="shared" ca="1" si="2"/>
        <v>28</v>
      </c>
      <c r="Z148" s="616" t="s">
        <v>4546</v>
      </c>
      <c r="AA148" s="598"/>
      <c r="AB148" s="598" t="s">
        <v>996</v>
      </c>
      <c r="AC148" s="598" t="s">
        <v>1018</v>
      </c>
      <c r="AD148" s="616" t="s">
        <v>729</v>
      </c>
      <c r="AE148" s="616" t="s">
        <v>729</v>
      </c>
      <c r="AF148" s="616" t="s">
        <v>1317</v>
      </c>
      <c r="AG148" s="598"/>
      <c r="AH148" s="598" t="s">
        <v>4547</v>
      </c>
      <c r="AI148" s="598" t="s">
        <v>1025</v>
      </c>
      <c r="AJ148" s="598"/>
      <c r="AK148" s="626"/>
      <c r="AL148" s="626"/>
    </row>
    <row r="149" spans="1:38" ht="18" customHeight="1">
      <c r="A149" s="593"/>
      <c r="B149" s="598">
        <v>132</v>
      </c>
      <c r="C149" s="598" t="s">
        <v>1245</v>
      </c>
      <c r="D149" s="598">
        <f t="shared" si="0"/>
        <v>123</v>
      </c>
      <c r="E149" s="616" t="s">
        <v>1233</v>
      </c>
      <c r="F149" s="616" t="s">
        <v>4515</v>
      </c>
      <c r="G149" s="618" t="s">
        <v>1232</v>
      </c>
      <c r="H149" s="618" t="s">
        <v>271</v>
      </c>
      <c r="I149" s="618" t="s">
        <v>1506</v>
      </c>
      <c r="J149" s="618" t="s">
        <v>1245</v>
      </c>
      <c r="K149" s="618" t="s">
        <v>1736</v>
      </c>
      <c r="L149" s="619" t="s">
        <v>1505</v>
      </c>
      <c r="M149" s="620"/>
      <c r="N149" s="620"/>
      <c r="O149" s="667" t="s">
        <v>1074</v>
      </c>
      <c r="P149" s="621"/>
      <c r="Q149" s="598" t="s">
        <v>55</v>
      </c>
      <c r="R149" s="598" t="s">
        <v>178</v>
      </c>
      <c r="S149" s="598"/>
      <c r="T149" s="598" t="s">
        <v>962</v>
      </c>
      <c r="U149" s="667" t="s">
        <v>1246</v>
      </c>
      <c r="V149" s="616" t="s">
        <v>1247</v>
      </c>
      <c r="W149" s="598" t="s">
        <v>963</v>
      </c>
      <c r="X149" s="624">
        <v>32406</v>
      </c>
      <c r="Y149" s="625">
        <f t="shared" ca="1" si="2"/>
        <v>37</v>
      </c>
      <c r="Z149" s="616" t="s">
        <v>1248</v>
      </c>
      <c r="AA149" s="598" t="s">
        <v>1249</v>
      </c>
      <c r="AB149" s="598" t="s">
        <v>966</v>
      </c>
      <c r="AC149" s="598" t="s">
        <v>953</v>
      </c>
      <c r="AD149" s="616" t="s">
        <v>729</v>
      </c>
      <c r="AE149" s="616" t="s">
        <v>1250</v>
      </c>
      <c r="AF149" s="616" t="s">
        <v>1251</v>
      </c>
      <c r="AG149" s="598"/>
      <c r="AH149" s="598"/>
      <c r="AI149" s="598" t="s">
        <v>1125</v>
      </c>
      <c r="AJ149" s="598"/>
      <c r="AK149" s="626"/>
      <c r="AL149" s="626"/>
    </row>
    <row r="150" spans="1:38" ht="18" customHeight="1">
      <c r="A150" s="593"/>
      <c r="B150" s="598">
        <v>133</v>
      </c>
      <c r="C150" s="598" t="s">
        <v>1736</v>
      </c>
      <c r="D150" s="598">
        <f t="shared" si="0"/>
        <v>124</v>
      </c>
      <c r="E150" s="616" t="s">
        <v>1233</v>
      </c>
      <c r="F150" s="616" t="s">
        <v>4515</v>
      </c>
      <c r="G150" s="618" t="s">
        <v>1232</v>
      </c>
      <c r="H150" s="618" t="s">
        <v>271</v>
      </c>
      <c r="I150" s="618" t="s">
        <v>1506</v>
      </c>
      <c r="J150" s="618" t="s">
        <v>1245</v>
      </c>
      <c r="K150" s="618" t="s">
        <v>1736</v>
      </c>
      <c r="L150" s="619" t="s">
        <v>1505</v>
      </c>
      <c r="M150" s="620"/>
      <c r="N150" s="620"/>
      <c r="O150" s="663" t="s">
        <v>1074</v>
      </c>
      <c r="P150" s="621"/>
      <c r="Q150" s="598" t="s">
        <v>69</v>
      </c>
      <c r="R150" s="598" t="s">
        <v>562</v>
      </c>
      <c r="S150" s="598"/>
      <c r="T150" s="598" t="s">
        <v>962</v>
      </c>
      <c r="U150" s="663" t="s">
        <v>1741</v>
      </c>
      <c r="V150" s="616" t="s">
        <v>1742</v>
      </c>
      <c r="W150" s="598" t="s">
        <v>963</v>
      </c>
      <c r="X150" s="624">
        <v>27898</v>
      </c>
      <c r="Y150" s="625">
        <f t="shared" ca="1" si="2"/>
        <v>49</v>
      </c>
      <c r="Z150" s="616" t="s">
        <v>1743</v>
      </c>
      <c r="AA150" s="598" t="s">
        <v>1744</v>
      </c>
      <c r="AB150" s="598" t="s">
        <v>996</v>
      </c>
      <c r="AC150" s="598" t="s">
        <v>997</v>
      </c>
      <c r="AD150" s="616" t="s">
        <v>729</v>
      </c>
      <c r="AE150" s="616" t="s">
        <v>729</v>
      </c>
      <c r="AF150" s="616" t="s">
        <v>4548</v>
      </c>
      <c r="AG150" s="598"/>
      <c r="AH150" s="598"/>
      <c r="AI150" s="598" t="s">
        <v>1125</v>
      </c>
      <c r="AJ150" s="598"/>
      <c r="AK150" s="626"/>
      <c r="AL150" s="626"/>
    </row>
    <row r="151" spans="1:38" ht="18" customHeight="1">
      <c r="A151" s="593"/>
      <c r="B151" s="598">
        <v>134</v>
      </c>
      <c r="C151" s="598" t="s">
        <v>1505</v>
      </c>
      <c r="D151" s="598">
        <f t="shared" si="0"/>
        <v>125</v>
      </c>
      <c r="E151" s="616" t="s">
        <v>1233</v>
      </c>
      <c r="F151" s="616" t="s">
        <v>4515</v>
      </c>
      <c r="G151" s="618" t="s">
        <v>1232</v>
      </c>
      <c r="H151" s="618" t="s">
        <v>271</v>
      </c>
      <c r="I151" s="618" t="s">
        <v>1506</v>
      </c>
      <c r="J151" s="618" t="s">
        <v>1245</v>
      </c>
      <c r="K151" s="618" t="s">
        <v>1736</v>
      </c>
      <c r="L151" s="619" t="s">
        <v>1505</v>
      </c>
      <c r="M151" s="620"/>
      <c r="N151" s="620"/>
      <c r="O151" s="663" t="s">
        <v>1074</v>
      </c>
      <c r="P151" s="621"/>
      <c r="Q151" s="598" t="s">
        <v>69</v>
      </c>
      <c r="R151" s="598" t="s">
        <v>562</v>
      </c>
      <c r="S151" s="598"/>
      <c r="T151" s="598" t="s">
        <v>962</v>
      </c>
      <c r="U151" s="668" t="s">
        <v>1508</v>
      </c>
      <c r="V151" s="616" t="s">
        <v>1509</v>
      </c>
      <c r="W151" s="598" t="s">
        <v>963</v>
      </c>
      <c r="X151" s="624">
        <v>31125</v>
      </c>
      <c r="Y151" s="625">
        <f t="shared" ca="1" si="2"/>
        <v>40</v>
      </c>
      <c r="Z151" s="616" t="s">
        <v>1510</v>
      </c>
      <c r="AA151" s="598" t="s">
        <v>1511</v>
      </c>
      <c r="AB151" s="598" t="s">
        <v>996</v>
      </c>
      <c r="AC151" s="644" t="s">
        <v>997</v>
      </c>
      <c r="AD151" s="616" t="s">
        <v>1512</v>
      </c>
      <c r="AE151" s="616" t="s">
        <v>729</v>
      </c>
      <c r="AF151" s="616" t="s">
        <v>1052</v>
      </c>
      <c r="AG151" s="598"/>
      <c r="AH151" s="598"/>
      <c r="AI151" s="647" t="s">
        <v>1513</v>
      </c>
      <c r="AJ151" s="598"/>
      <c r="AK151" s="626"/>
      <c r="AL151" s="626"/>
    </row>
    <row r="152" spans="1:38" ht="18" customHeight="1">
      <c r="A152" s="593"/>
      <c r="B152" s="598">
        <v>135</v>
      </c>
      <c r="C152" s="598" t="s">
        <v>2585</v>
      </c>
      <c r="D152" s="598">
        <f t="shared" si="0"/>
        <v>126</v>
      </c>
      <c r="E152" s="616" t="s">
        <v>1233</v>
      </c>
      <c r="F152" s="616" t="s">
        <v>4515</v>
      </c>
      <c r="G152" s="618" t="s">
        <v>1232</v>
      </c>
      <c r="H152" s="618" t="s">
        <v>271</v>
      </c>
      <c r="I152" s="618" t="s">
        <v>1506</v>
      </c>
      <c r="J152" s="618" t="s">
        <v>1245</v>
      </c>
      <c r="K152" s="618" t="s">
        <v>1736</v>
      </c>
      <c r="L152" s="619" t="s">
        <v>1505</v>
      </c>
      <c r="M152" s="620"/>
      <c r="N152" s="620"/>
      <c r="O152" s="663" t="s">
        <v>1074</v>
      </c>
      <c r="P152" s="621"/>
      <c r="Q152" s="598"/>
      <c r="R152" s="598"/>
      <c r="S152" s="598"/>
      <c r="T152" s="598" t="s">
        <v>962</v>
      </c>
      <c r="U152" s="663" t="s">
        <v>2586</v>
      </c>
      <c r="V152" s="616" t="s">
        <v>2587</v>
      </c>
      <c r="W152" s="598" t="s">
        <v>963</v>
      </c>
      <c r="X152" s="624">
        <v>27770</v>
      </c>
      <c r="Y152" s="625">
        <f t="shared" ca="1" si="2"/>
        <v>50</v>
      </c>
      <c r="Z152" s="616" t="s">
        <v>2588</v>
      </c>
      <c r="AA152" s="598"/>
      <c r="AB152" s="598" t="s">
        <v>966</v>
      </c>
      <c r="AC152" s="598" t="s">
        <v>953</v>
      </c>
      <c r="AD152" s="616" t="s">
        <v>729</v>
      </c>
      <c r="AE152" s="616" t="s">
        <v>729</v>
      </c>
      <c r="AF152" s="616" t="s">
        <v>2589</v>
      </c>
      <c r="AG152" s="598"/>
      <c r="AH152" s="598"/>
      <c r="AI152" s="598" t="s">
        <v>1125</v>
      </c>
      <c r="AJ152" s="598"/>
      <c r="AK152" s="626">
        <v>-1</v>
      </c>
      <c r="AL152" s="626"/>
    </row>
    <row r="153" spans="1:38" ht="18" customHeight="1">
      <c r="A153" s="593"/>
      <c r="B153" s="598">
        <v>136</v>
      </c>
      <c r="C153" s="598" t="s">
        <v>3880</v>
      </c>
      <c r="D153" s="598">
        <f t="shared" si="0"/>
        <v>127</v>
      </c>
      <c r="E153" s="616" t="s">
        <v>1233</v>
      </c>
      <c r="F153" s="616" t="s">
        <v>4515</v>
      </c>
      <c r="G153" s="618" t="s">
        <v>1232</v>
      </c>
      <c r="H153" s="618" t="s">
        <v>271</v>
      </c>
      <c r="I153" s="618" t="s">
        <v>1506</v>
      </c>
      <c r="J153" s="618" t="s">
        <v>1245</v>
      </c>
      <c r="K153" s="618" t="s">
        <v>1736</v>
      </c>
      <c r="L153" s="619" t="s">
        <v>1505</v>
      </c>
      <c r="M153" s="620"/>
      <c r="N153" s="620"/>
      <c r="O153" s="663" t="s">
        <v>1074</v>
      </c>
      <c r="P153" s="621"/>
      <c r="Q153" s="598"/>
      <c r="R153" s="598"/>
      <c r="S153" s="598"/>
      <c r="T153" s="598" t="s">
        <v>962</v>
      </c>
      <c r="U153" s="663" t="s">
        <v>3882</v>
      </c>
      <c r="V153" s="616" t="s">
        <v>3883</v>
      </c>
      <c r="W153" s="598" t="s">
        <v>963</v>
      </c>
      <c r="X153" s="624">
        <v>31231</v>
      </c>
      <c r="Y153" s="625">
        <f t="shared" ca="1" si="2"/>
        <v>40</v>
      </c>
      <c r="Z153" s="616" t="s">
        <v>3884</v>
      </c>
      <c r="AA153" s="652"/>
      <c r="AB153" s="598" t="s">
        <v>996</v>
      </c>
      <c r="AC153" s="598" t="s">
        <v>953</v>
      </c>
      <c r="AD153" s="616" t="s">
        <v>729</v>
      </c>
      <c r="AE153" s="616" t="s">
        <v>246</v>
      </c>
      <c r="AF153" s="616" t="s">
        <v>3885</v>
      </c>
      <c r="AG153" s="598"/>
      <c r="AH153" s="598"/>
      <c r="AI153" s="598" t="s">
        <v>1125</v>
      </c>
      <c r="AJ153" s="598"/>
      <c r="AK153" s="626"/>
      <c r="AL153" s="626"/>
    </row>
    <row r="154" spans="1:38" ht="18" customHeight="1">
      <c r="A154" s="593"/>
      <c r="B154" s="598">
        <v>137</v>
      </c>
      <c r="C154" s="598" t="s">
        <v>1756</v>
      </c>
      <c r="D154" s="598">
        <f t="shared" si="0"/>
        <v>128</v>
      </c>
      <c r="E154" s="616" t="s">
        <v>1351</v>
      </c>
      <c r="F154" s="616" t="s">
        <v>4515</v>
      </c>
      <c r="G154" s="618" t="s">
        <v>1232</v>
      </c>
      <c r="H154" s="618" t="s">
        <v>271</v>
      </c>
      <c r="I154" s="618" t="s">
        <v>1506</v>
      </c>
      <c r="J154" s="618" t="s">
        <v>1245</v>
      </c>
      <c r="K154" s="618" t="s">
        <v>1736</v>
      </c>
      <c r="L154" s="619" t="s">
        <v>1505</v>
      </c>
      <c r="M154" s="620"/>
      <c r="N154" s="620"/>
      <c r="O154" s="663" t="s">
        <v>1074</v>
      </c>
      <c r="P154" s="621"/>
      <c r="Q154" s="598"/>
      <c r="R154" s="598"/>
      <c r="S154" s="598"/>
      <c r="T154" s="598" t="s">
        <v>962</v>
      </c>
      <c r="U154" s="663" t="s">
        <v>386</v>
      </c>
      <c r="V154" s="616" t="s">
        <v>1757</v>
      </c>
      <c r="W154" s="598" t="s">
        <v>963</v>
      </c>
      <c r="X154" s="624">
        <v>24666</v>
      </c>
      <c r="Y154" s="625">
        <f t="shared" ca="1" si="2"/>
        <v>58</v>
      </c>
      <c r="Z154" s="616" t="s">
        <v>1758</v>
      </c>
      <c r="AA154" s="598" t="s">
        <v>1759</v>
      </c>
      <c r="AB154" s="598" t="s">
        <v>996</v>
      </c>
      <c r="AC154" s="598" t="s">
        <v>1018</v>
      </c>
      <c r="AD154" s="616" t="s">
        <v>729</v>
      </c>
      <c r="AE154" s="616" t="s">
        <v>729</v>
      </c>
      <c r="AF154" s="616" t="s">
        <v>1760</v>
      </c>
      <c r="AG154" s="598"/>
      <c r="AH154" s="598"/>
      <c r="AI154" s="647" t="s">
        <v>1513</v>
      </c>
      <c r="AJ154" s="598"/>
      <c r="AK154" s="626">
        <v>-4</v>
      </c>
      <c r="AL154" s="626"/>
    </row>
    <row r="155" spans="1:38" ht="18" customHeight="1">
      <c r="A155" s="593"/>
      <c r="B155" s="598">
        <v>138</v>
      </c>
      <c r="C155" s="598" t="s">
        <v>1761</v>
      </c>
      <c r="D155" s="598">
        <f t="shared" si="0"/>
        <v>129</v>
      </c>
      <c r="E155" s="616" t="s">
        <v>1351</v>
      </c>
      <c r="F155" s="616" t="s">
        <v>4515</v>
      </c>
      <c r="G155" s="618" t="s">
        <v>1232</v>
      </c>
      <c r="H155" s="618" t="s">
        <v>271</v>
      </c>
      <c r="I155" s="618" t="s">
        <v>1506</v>
      </c>
      <c r="J155" s="618" t="s">
        <v>1245</v>
      </c>
      <c r="K155" s="618" t="s">
        <v>1736</v>
      </c>
      <c r="L155" s="619" t="s">
        <v>1505</v>
      </c>
      <c r="M155" s="620"/>
      <c r="N155" s="620"/>
      <c r="O155" s="663" t="s">
        <v>1074</v>
      </c>
      <c r="P155" s="621"/>
      <c r="Q155" s="598"/>
      <c r="R155" s="598"/>
      <c r="S155" s="598"/>
      <c r="T155" s="598" t="s">
        <v>962</v>
      </c>
      <c r="U155" s="663" t="s">
        <v>411</v>
      </c>
      <c r="V155" s="616" t="s">
        <v>1762</v>
      </c>
      <c r="W155" s="598" t="s">
        <v>963</v>
      </c>
      <c r="X155" s="624">
        <v>26465</v>
      </c>
      <c r="Y155" s="625">
        <f t="shared" ca="1" si="2"/>
        <v>53</v>
      </c>
      <c r="Z155" s="616" t="s">
        <v>1763</v>
      </c>
      <c r="AA155" s="598"/>
      <c r="AB155" s="598" t="s">
        <v>996</v>
      </c>
      <c r="AC155" s="598" t="s">
        <v>1018</v>
      </c>
      <c r="AD155" s="616" t="s">
        <v>729</v>
      </c>
      <c r="AE155" s="616" t="s">
        <v>729</v>
      </c>
      <c r="AF155" s="616" t="s">
        <v>1764</v>
      </c>
      <c r="AG155" s="598"/>
      <c r="AH155" s="598"/>
      <c r="AI155" s="647" t="s">
        <v>1513</v>
      </c>
      <c r="AJ155" s="598"/>
      <c r="AK155" s="626">
        <v>-6</v>
      </c>
      <c r="AL155" s="626"/>
    </row>
    <row r="156" spans="1:38" ht="18" customHeight="1">
      <c r="A156" s="593"/>
      <c r="B156" s="598">
        <v>139</v>
      </c>
      <c r="C156" s="598" t="s">
        <v>1643</v>
      </c>
      <c r="D156" s="598">
        <f t="shared" si="0"/>
        <v>130</v>
      </c>
      <c r="E156" s="616" t="s">
        <v>1233</v>
      </c>
      <c r="F156" s="616" t="s">
        <v>4515</v>
      </c>
      <c r="G156" s="618" t="s">
        <v>1232</v>
      </c>
      <c r="H156" s="618" t="s">
        <v>271</v>
      </c>
      <c r="I156" s="618" t="s">
        <v>1506</v>
      </c>
      <c r="J156" s="618" t="s">
        <v>1245</v>
      </c>
      <c r="K156" s="618" t="s">
        <v>1736</v>
      </c>
      <c r="L156" s="619" t="s">
        <v>1505</v>
      </c>
      <c r="M156" s="620"/>
      <c r="N156" s="620"/>
      <c r="O156" s="663" t="s">
        <v>1074</v>
      </c>
      <c r="P156" s="621" t="s">
        <v>319</v>
      </c>
      <c r="Q156" s="598"/>
      <c r="R156" s="598"/>
      <c r="S156" s="598"/>
      <c r="T156" s="598" t="s">
        <v>962</v>
      </c>
      <c r="U156" s="675" t="s">
        <v>423</v>
      </c>
      <c r="V156" s="616" t="s">
        <v>1644</v>
      </c>
      <c r="W156" s="598" t="s">
        <v>963</v>
      </c>
      <c r="X156" s="624">
        <v>23557</v>
      </c>
      <c r="Y156" s="625">
        <f t="shared" ca="1" si="2"/>
        <v>61</v>
      </c>
      <c r="Z156" s="616" t="s">
        <v>1645</v>
      </c>
      <c r="AA156" s="598" t="s">
        <v>1646</v>
      </c>
      <c r="AB156" s="598" t="s">
        <v>996</v>
      </c>
      <c r="AC156" s="598" t="s">
        <v>1018</v>
      </c>
      <c r="AD156" s="616" t="s">
        <v>729</v>
      </c>
      <c r="AE156" s="616" t="s">
        <v>1357</v>
      </c>
      <c r="AF156" s="616" t="s">
        <v>1358</v>
      </c>
      <c r="AG156" s="598"/>
      <c r="AH156" s="598"/>
      <c r="AI156" s="683" t="s">
        <v>1566</v>
      </c>
      <c r="AJ156" s="598"/>
      <c r="AK156" s="626"/>
      <c r="AL156" s="626"/>
    </row>
    <row r="157" spans="1:38" ht="18" customHeight="1">
      <c r="A157" s="593"/>
      <c r="B157" s="598">
        <v>140</v>
      </c>
      <c r="C157" s="598" t="s">
        <v>1270</v>
      </c>
      <c r="D157" s="598">
        <f t="shared" si="0"/>
        <v>131</v>
      </c>
      <c r="E157" s="616" t="s">
        <v>1233</v>
      </c>
      <c r="F157" s="616" t="s">
        <v>4515</v>
      </c>
      <c r="G157" s="618" t="s">
        <v>1232</v>
      </c>
      <c r="H157" s="618" t="s">
        <v>271</v>
      </c>
      <c r="I157" s="618" t="s">
        <v>1506</v>
      </c>
      <c r="J157" s="618" t="s">
        <v>1270</v>
      </c>
      <c r="K157" s="618" t="s">
        <v>1285</v>
      </c>
      <c r="L157" s="619"/>
      <c r="M157" s="620"/>
      <c r="N157" s="620"/>
      <c r="O157" s="667" t="s">
        <v>1115</v>
      </c>
      <c r="P157" s="621"/>
      <c r="Q157" s="598" t="s">
        <v>55</v>
      </c>
      <c r="R157" s="598" t="s">
        <v>178</v>
      </c>
      <c r="S157" s="598"/>
      <c r="T157" s="598" t="s">
        <v>1015</v>
      </c>
      <c r="U157" s="667" t="s">
        <v>609</v>
      </c>
      <c r="V157" s="616" t="s">
        <v>1271</v>
      </c>
      <c r="W157" s="598" t="s">
        <v>950</v>
      </c>
      <c r="X157" s="624">
        <v>23479</v>
      </c>
      <c r="Y157" s="625">
        <f t="shared" ca="1" si="2"/>
        <v>61</v>
      </c>
      <c r="Z157" s="616" t="s">
        <v>1272</v>
      </c>
      <c r="AA157" s="598" t="s">
        <v>1273</v>
      </c>
      <c r="AB157" s="598" t="s">
        <v>966</v>
      </c>
      <c r="AC157" s="598" t="s">
        <v>953</v>
      </c>
      <c r="AD157" s="616" t="s">
        <v>729</v>
      </c>
      <c r="AE157" s="616" t="s">
        <v>1239</v>
      </c>
      <c r="AF157" s="616" t="s">
        <v>1274</v>
      </c>
      <c r="AG157" s="598"/>
      <c r="AH157" s="598"/>
      <c r="AI157" s="598" t="s">
        <v>1125</v>
      </c>
      <c r="AJ157" s="598"/>
      <c r="AK157" s="626"/>
      <c r="AL157" s="626"/>
    </row>
    <row r="158" spans="1:38" ht="18" customHeight="1">
      <c r="A158" s="593"/>
      <c r="B158" s="598">
        <v>141</v>
      </c>
      <c r="C158" s="598" t="s">
        <v>1285</v>
      </c>
      <c r="D158" s="598">
        <f t="shared" si="0"/>
        <v>132</v>
      </c>
      <c r="E158" s="616" t="s">
        <v>1233</v>
      </c>
      <c r="F158" s="616" t="s">
        <v>4515</v>
      </c>
      <c r="G158" s="618" t="s">
        <v>1232</v>
      </c>
      <c r="H158" s="618" t="s">
        <v>271</v>
      </c>
      <c r="I158" s="618" t="s">
        <v>1506</v>
      </c>
      <c r="J158" s="618" t="s">
        <v>1270</v>
      </c>
      <c r="K158" s="618" t="s">
        <v>1285</v>
      </c>
      <c r="L158" s="619"/>
      <c r="M158" s="620"/>
      <c r="N158" s="620"/>
      <c r="O158" s="663" t="s">
        <v>1115</v>
      </c>
      <c r="P158" s="621"/>
      <c r="Q158" s="598" t="s">
        <v>69</v>
      </c>
      <c r="R158" s="598" t="s">
        <v>562</v>
      </c>
      <c r="S158" s="598"/>
      <c r="T158" s="598" t="s">
        <v>1090</v>
      </c>
      <c r="U158" s="663" t="s">
        <v>1287</v>
      </c>
      <c r="V158" s="616" t="s">
        <v>1288</v>
      </c>
      <c r="W158" s="598" t="s">
        <v>950</v>
      </c>
      <c r="X158" s="624">
        <v>20169</v>
      </c>
      <c r="Y158" s="625">
        <f t="shared" ca="1" si="2"/>
        <v>70</v>
      </c>
      <c r="Z158" s="616" t="s">
        <v>1289</v>
      </c>
      <c r="AA158" s="598" t="s">
        <v>1290</v>
      </c>
      <c r="AB158" s="598" t="s">
        <v>966</v>
      </c>
      <c r="AC158" s="598" t="s">
        <v>953</v>
      </c>
      <c r="AD158" s="616" t="s">
        <v>729</v>
      </c>
      <c r="AE158" s="616" t="s">
        <v>729</v>
      </c>
      <c r="AF158" s="616" t="s">
        <v>1269</v>
      </c>
      <c r="AG158" s="598"/>
      <c r="AH158" s="598"/>
      <c r="AI158" s="598" t="s">
        <v>1125</v>
      </c>
      <c r="AJ158" s="598"/>
      <c r="AK158" s="626"/>
      <c r="AL158" s="626"/>
    </row>
    <row r="159" spans="1:38" ht="18" customHeight="1">
      <c r="A159" s="593"/>
      <c r="B159" s="598">
        <v>142</v>
      </c>
      <c r="C159" s="598" t="s">
        <v>2017</v>
      </c>
      <c r="D159" s="598">
        <f t="shared" si="0"/>
        <v>133</v>
      </c>
      <c r="E159" s="616" t="s">
        <v>1233</v>
      </c>
      <c r="F159" s="616" t="s">
        <v>4515</v>
      </c>
      <c r="G159" s="618" t="s">
        <v>1232</v>
      </c>
      <c r="H159" s="618" t="s">
        <v>271</v>
      </c>
      <c r="I159" s="618" t="s">
        <v>1506</v>
      </c>
      <c r="J159" s="618" t="s">
        <v>1270</v>
      </c>
      <c r="K159" s="618" t="s">
        <v>1285</v>
      </c>
      <c r="L159" s="619"/>
      <c r="M159" s="620"/>
      <c r="N159" s="620"/>
      <c r="O159" s="663" t="s">
        <v>1115</v>
      </c>
      <c r="P159" s="621"/>
      <c r="Q159" s="598"/>
      <c r="R159" s="598"/>
      <c r="S159" s="598"/>
      <c r="T159" s="598" t="s">
        <v>1015</v>
      </c>
      <c r="U159" s="663" t="s">
        <v>2018</v>
      </c>
      <c r="V159" s="616" t="s">
        <v>2019</v>
      </c>
      <c r="W159" s="598" t="s">
        <v>950</v>
      </c>
      <c r="X159" s="624">
        <v>28954</v>
      </c>
      <c r="Y159" s="625">
        <f t="shared" ca="1" si="2"/>
        <v>46</v>
      </c>
      <c r="Z159" s="616" t="s">
        <v>2020</v>
      </c>
      <c r="AA159" s="598" t="s">
        <v>2021</v>
      </c>
      <c r="AB159" s="598" t="s">
        <v>996</v>
      </c>
      <c r="AC159" s="598" t="s">
        <v>997</v>
      </c>
      <c r="AD159" s="616" t="s">
        <v>1494</v>
      </c>
      <c r="AE159" s="616" t="s">
        <v>1494</v>
      </c>
      <c r="AF159" s="616" t="s">
        <v>2016</v>
      </c>
      <c r="AG159" s="598"/>
      <c r="AH159" s="598" t="s">
        <v>2022</v>
      </c>
      <c r="AI159" s="598" t="s">
        <v>1125</v>
      </c>
      <c r="AJ159" s="598" t="s">
        <v>1020</v>
      </c>
      <c r="AK159" s="626"/>
      <c r="AL159" s="626"/>
    </row>
    <row r="160" spans="1:38" ht="18" customHeight="1">
      <c r="A160" s="593"/>
      <c r="B160" s="598">
        <v>143</v>
      </c>
      <c r="C160" s="598" t="s">
        <v>1985</v>
      </c>
      <c r="D160" s="598">
        <f t="shared" si="0"/>
        <v>134</v>
      </c>
      <c r="E160" s="616" t="s">
        <v>1233</v>
      </c>
      <c r="F160" s="616" t="s">
        <v>4515</v>
      </c>
      <c r="G160" s="618" t="s">
        <v>1232</v>
      </c>
      <c r="H160" s="618" t="s">
        <v>271</v>
      </c>
      <c r="I160" s="618" t="s">
        <v>1506</v>
      </c>
      <c r="J160" s="618" t="s">
        <v>1270</v>
      </c>
      <c r="K160" s="618" t="s">
        <v>1285</v>
      </c>
      <c r="L160" s="619"/>
      <c r="M160" s="620"/>
      <c r="N160" s="620"/>
      <c r="O160" s="663" t="s">
        <v>1115</v>
      </c>
      <c r="P160" s="621"/>
      <c r="Q160" s="598"/>
      <c r="R160" s="598"/>
      <c r="S160" s="598"/>
      <c r="T160" s="598" t="s">
        <v>1015</v>
      </c>
      <c r="U160" s="663" t="s">
        <v>1986</v>
      </c>
      <c r="V160" s="616" t="s">
        <v>1987</v>
      </c>
      <c r="W160" s="598" t="s">
        <v>950</v>
      </c>
      <c r="X160" s="624">
        <v>21997</v>
      </c>
      <c r="Y160" s="625">
        <f t="shared" ca="1" si="2"/>
        <v>65</v>
      </c>
      <c r="Z160" s="616" t="s">
        <v>1988</v>
      </c>
      <c r="AA160" s="598" t="s">
        <v>1989</v>
      </c>
      <c r="AB160" s="598" t="s">
        <v>966</v>
      </c>
      <c r="AC160" s="598" t="s">
        <v>953</v>
      </c>
      <c r="AD160" s="616" t="s">
        <v>729</v>
      </c>
      <c r="AE160" s="616" t="s">
        <v>729</v>
      </c>
      <c r="AF160" s="616" t="s">
        <v>1990</v>
      </c>
      <c r="AG160" s="598"/>
      <c r="AH160" s="598"/>
      <c r="AI160" s="598" t="s">
        <v>1125</v>
      </c>
      <c r="AJ160" s="598"/>
      <c r="AK160" s="626"/>
      <c r="AL160" s="626"/>
    </row>
    <row r="161" spans="1:38" ht="18" customHeight="1">
      <c r="A161" s="593"/>
      <c r="B161" s="598">
        <v>144</v>
      </c>
      <c r="C161" s="598" t="s">
        <v>1330</v>
      </c>
      <c r="D161" s="598">
        <f t="shared" si="0"/>
        <v>135</v>
      </c>
      <c r="E161" s="616" t="s">
        <v>1233</v>
      </c>
      <c r="F161" s="616" t="s">
        <v>4515</v>
      </c>
      <c r="G161" s="618" t="s">
        <v>1232</v>
      </c>
      <c r="H161" s="618" t="s">
        <v>271</v>
      </c>
      <c r="I161" s="618" t="s">
        <v>1506</v>
      </c>
      <c r="J161" s="618" t="s">
        <v>1270</v>
      </c>
      <c r="K161" s="618" t="s">
        <v>1285</v>
      </c>
      <c r="L161" s="619"/>
      <c r="M161" s="620"/>
      <c r="N161" s="620"/>
      <c r="O161" s="663" t="s">
        <v>1115</v>
      </c>
      <c r="P161" s="621"/>
      <c r="Q161" s="598"/>
      <c r="R161" s="598"/>
      <c r="S161" s="598"/>
      <c r="T161" s="598" t="s">
        <v>1015</v>
      </c>
      <c r="U161" s="663" t="s">
        <v>1331</v>
      </c>
      <c r="V161" s="616" t="s">
        <v>1332</v>
      </c>
      <c r="W161" s="598" t="s">
        <v>950</v>
      </c>
      <c r="X161" s="624">
        <v>24432</v>
      </c>
      <c r="Y161" s="625">
        <f t="shared" ca="1" si="2"/>
        <v>59</v>
      </c>
      <c r="Z161" s="616" t="s">
        <v>1333</v>
      </c>
      <c r="AA161" s="598" t="s">
        <v>1334</v>
      </c>
      <c r="AB161" s="598" t="s">
        <v>966</v>
      </c>
      <c r="AC161" s="598" t="s">
        <v>953</v>
      </c>
      <c r="AD161" s="616" t="s">
        <v>729</v>
      </c>
      <c r="AE161" s="616" t="s">
        <v>729</v>
      </c>
      <c r="AF161" s="616" t="s">
        <v>1425</v>
      </c>
      <c r="AG161" s="598"/>
      <c r="AH161" s="598"/>
      <c r="AI161" s="598" t="s">
        <v>1125</v>
      </c>
      <c r="AJ161" s="598"/>
      <c r="AK161" s="626"/>
      <c r="AL161" s="626"/>
    </row>
    <row r="162" spans="1:38" ht="18" customHeight="1">
      <c r="A162" s="593"/>
      <c r="B162" s="598">
        <v>145</v>
      </c>
      <c r="C162" s="598" t="s">
        <v>2564</v>
      </c>
      <c r="D162" s="598">
        <f t="shared" si="0"/>
        <v>136</v>
      </c>
      <c r="E162" s="616" t="s">
        <v>1233</v>
      </c>
      <c r="F162" s="616" t="s">
        <v>4515</v>
      </c>
      <c r="G162" s="618" t="s">
        <v>1232</v>
      </c>
      <c r="H162" s="618" t="s">
        <v>271</v>
      </c>
      <c r="I162" s="618" t="s">
        <v>1506</v>
      </c>
      <c r="J162" s="618" t="s">
        <v>1270</v>
      </c>
      <c r="K162" s="618" t="s">
        <v>1285</v>
      </c>
      <c r="L162" s="619"/>
      <c r="M162" s="620"/>
      <c r="N162" s="620"/>
      <c r="O162" s="663" t="s">
        <v>1115</v>
      </c>
      <c r="P162" s="621"/>
      <c r="Q162" s="598"/>
      <c r="R162" s="598"/>
      <c r="S162" s="598"/>
      <c r="T162" s="598" t="s">
        <v>1015</v>
      </c>
      <c r="U162" s="663" t="s">
        <v>2565</v>
      </c>
      <c r="V162" s="616" t="s">
        <v>2566</v>
      </c>
      <c r="W162" s="598" t="s">
        <v>950</v>
      </c>
      <c r="X162" s="624">
        <v>27473</v>
      </c>
      <c r="Y162" s="625">
        <f t="shared" ca="1" si="2"/>
        <v>50</v>
      </c>
      <c r="Z162" s="616" t="s">
        <v>2567</v>
      </c>
      <c r="AA162" s="598" t="s">
        <v>2568</v>
      </c>
      <c r="AB162" s="598" t="s">
        <v>996</v>
      </c>
      <c r="AC162" s="598" t="s">
        <v>997</v>
      </c>
      <c r="AD162" s="616" t="s">
        <v>729</v>
      </c>
      <c r="AE162" s="616" t="s">
        <v>729</v>
      </c>
      <c r="AF162" s="616" t="s">
        <v>2569</v>
      </c>
      <c r="AG162" s="598"/>
      <c r="AH162" s="598"/>
      <c r="AI162" s="598" t="s">
        <v>1125</v>
      </c>
      <c r="AJ162" s="598"/>
      <c r="AK162" s="626"/>
      <c r="AL162" s="626"/>
    </row>
    <row r="163" spans="1:38" ht="18" customHeight="1">
      <c r="A163" s="593"/>
      <c r="B163" s="598">
        <v>146</v>
      </c>
      <c r="C163" s="598" t="s">
        <v>2011</v>
      </c>
      <c r="D163" s="598">
        <f t="shared" si="0"/>
        <v>137</v>
      </c>
      <c r="E163" s="616" t="s">
        <v>1233</v>
      </c>
      <c r="F163" s="616" t="s">
        <v>4515</v>
      </c>
      <c r="G163" s="618" t="s">
        <v>1232</v>
      </c>
      <c r="H163" s="618" t="s">
        <v>271</v>
      </c>
      <c r="I163" s="618" t="s">
        <v>1506</v>
      </c>
      <c r="J163" s="618" t="s">
        <v>1270</v>
      </c>
      <c r="K163" s="618" t="s">
        <v>1285</v>
      </c>
      <c r="L163" s="619"/>
      <c r="M163" s="620"/>
      <c r="N163" s="620"/>
      <c r="O163" s="663" t="s">
        <v>1115</v>
      </c>
      <c r="P163" s="621"/>
      <c r="Q163" s="598"/>
      <c r="R163" s="598"/>
      <c r="S163" s="598"/>
      <c r="T163" s="598" t="s">
        <v>1015</v>
      </c>
      <c r="U163" s="663" t="s">
        <v>2012</v>
      </c>
      <c r="V163" s="616" t="s">
        <v>2013</v>
      </c>
      <c r="W163" s="598" t="s">
        <v>950</v>
      </c>
      <c r="X163" s="624">
        <v>27920</v>
      </c>
      <c r="Y163" s="625">
        <f t="shared" ca="1" si="2"/>
        <v>49</v>
      </c>
      <c r="Z163" s="616" t="s">
        <v>2014</v>
      </c>
      <c r="AA163" s="598" t="s">
        <v>2015</v>
      </c>
      <c r="AB163" s="598" t="s">
        <v>996</v>
      </c>
      <c r="AC163" s="598" t="s">
        <v>997</v>
      </c>
      <c r="AD163" s="616" t="s">
        <v>1494</v>
      </c>
      <c r="AE163" s="616" t="s">
        <v>1494</v>
      </c>
      <c r="AF163" s="616" t="s">
        <v>2016</v>
      </c>
      <c r="AG163" s="598"/>
      <c r="AH163" s="598"/>
      <c r="AI163" s="598" t="s">
        <v>1125</v>
      </c>
      <c r="AJ163" s="598"/>
      <c r="AK163" s="626"/>
      <c r="AL163" s="626"/>
    </row>
    <row r="164" spans="1:38" ht="18" customHeight="1">
      <c r="A164" s="593"/>
      <c r="B164" s="598">
        <v>147</v>
      </c>
      <c r="C164" s="598" t="s">
        <v>1420</v>
      </c>
      <c r="D164" s="598">
        <f t="shared" si="0"/>
        <v>138</v>
      </c>
      <c r="E164" s="616" t="s">
        <v>1233</v>
      </c>
      <c r="F164" s="616" t="s">
        <v>4515</v>
      </c>
      <c r="G164" s="618" t="s">
        <v>1232</v>
      </c>
      <c r="H164" s="618" t="s">
        <v>271</v>
      </c>
      <c r="I164" s="618" t="s">
        <v>1506</v>
      </c>
      <c r="J164" s="618" t="s">
        <v>1270</v>
      </c>
      <c r="K164" s="618" t="s">
        <v>1285</v>
      </c>
      <c r="L164" s="619"/>
      <c r="M164" s="620"/>
      <c r="N164" s="620"/>
      <c r="O164" s="663" t="s">
        <v>1115</v>
      </c>
      <c r="P164" s="621"/>
      <c r="Q164" s="598"/>
      <c r="R164" s="598"/>
      <c r="S164" s="598"/>
      <c r="T164" s="598" t="s">
        <v>1015</v>
      </c>
      <c r="U164" s="663" t="s">
        <v>1421</v>
      </c>
      <c r="V164" s="616" t="s">
        <v>1422</v>
      </c>
      <c r="W164" s="598" t="s">
        <v>950</v>
      </c>
      <c r="X164" s="624">
        <v>29363</v>
      </c>
      <c r="Y164" s="625">
        <f t="shared" ca="1" si="2"/>
        <v>45</v>
      </c>
      <c r="Z164" s="616" t="s">
        <v>1423</v>
      </c>
      <c r="AA164" s="598" t="s">
        <v>1424</v>
      </c>
      <c r="AB164" s="598" t="s">
        <v>996</v>
      </c>
      <c r="AC164" s="598" t="s">
        <v>997</v>
      </c>
      <c r="AD164" s="616" t="s">
        <v>729</v>
      </c>
      <c r="AE164" s="616" t="s">
        <v>729</v>
      </c>
      <c r="AF164" s="616" t="s">
        <v>1425</v>
      </c>
      <c r="AG164" s="598"/>
      <c r="AH164" s="598"/>
      <c r="AI164" s="598" t="s">
        <v>1125</v>
      </c>
      <c r="AJ164" s="598"/>
      <c r="AK164" s="626"/>
      <c r="AL164" s="626"/>
    </row>
    <row r="165" spans="1:38" ht="18" customHeight="1">
      <c r="A165" s="593"/>
      <c r="B165" s="598">
        <v>148</v>
      </c>
      <c r="C165" s="598" t="s">
        <v>4549</v>
      </c>
      <c r="D165" s="598">
        <f t="shared" si="0"/>
        <v>139</v>
      </c>
      <c r="E165" s="616" t="s">
        <v>1233</v>
      </c>
      <c r="F165" s="616" t="s">
        <v>4515</v>
      </c>
      <c r="G165" s="618" t="s">
        <v>1232</v>
      </c>
      <c r="H165" s="618" t="s">
        <v>271</v>
      </c>
      <c r="I165" s="618" t="s">
        <v>1506</v>
      </c>
      <c r="J165" s="618" t="s">
        <v>1270</v>
      </c>
      <c r="K165" s="618" t="s">
        <v>1285</v>
      </c>
      <c r="L165" s="619"/>
      <c r="M165" s="620"/>
      <c r="N165" s="620"/>
      <c r="O165" s="663" t="s">
        <v>1115</v>
      </c>
      <c r="P165" s="621"/>
      <c r="Q165" s="598"/>
      <c r="R165" s="598"/>
      <c r="S165" s="598"/>
      <c r="T165" s="598" t="s">
        <v>1015</v>
      </c>
      <c r="U165" s="663" t="s">
        <v>4550</v>
      </c>
      <c r="V165" s="616" t="s">
        <v>4551</v>
      </c>
      <c r="W165" s="598" t="s">
        <v>950</v>
      </c>
      <c r="X165" s="624">
        <v>30023</v>
      </c>
      <c r="Y165" s="625">
        <f t="shared" ca="1" si="2"/>
        <v>43</v>
      </c>
      <c r="Z165" s="616" t="s">
        <v>4552</v>
      </c>
      <c r="AA165" s="598" t="s">
        <v>4553</v>
      </c>
      <c r="AB165" s="598" t="s">
        <v>996</v>
      </c>
      <c r="AC165" s="598" t="s">
        <v>997</v>
      </c>
      <c r="AD165" s="616" t="s">
        <v>1494</v>
      </c>
      <c r="AE165" s="616" t="s">
        <v>1494</v>
      </c>
      <c r="AF165" s="616" t="s">
        <v>4554</v>
      </c>
      <c r="AG165" s="598"/>
      <c r="AH165" s="598"/>
      <c r="AI165" s="598" t="s">
        <v>1125</v>
      </c>
      <c r="AJ165" s="598"/>
      <c r="AK165" s="626"/>
      <c r="AL165" s="626"/>
    </row>
    <row r="166" spans="1:38" ht="18" customHeight="1">
      <c r="A166" s="593"/>
      <c r="B166" s="598">
        <v>149</v>
      </c>
      <c r="C166" s="598" t="s">
        <v>4555</v>
      </c>
      <c r="D166" s="598">
        <f t="shared" si="0"/>
        <v>140</v>
      </c>
      <c r="E166" s="616" t="s">
        <v>1351</v>
      </c>
      <c r="F166" s="616" t="s">
        <v>4515</v>
      </c>
      <c r="G166" s="618" t="s">
        <v>1232</v>
      </c>
      <c r="H166" s="618" t="s">
        <v>271</v>
      </c>
      <c r="I166" s="618" t="s">
        <v>1506</v>
      </c>
      <c r="J166" s="618" t="s">
        <v>1270</v>
      </c>
      <c r="K166" s="618" t="s">
        <v>1285</v>
      </c>
      <c r="L166" s="619"/>
      <c r="M166" s="620"/>
      <c r="N166" s="620"/>
      <c r="O166" s="673" t="s">
        <v>1115</v>
      </c>
      <c r="P166" s="621" t="s">
        <v>319</v>
      </c>
      <c r="Q166" s="598"/>
      <c r="R166" s="598"/>
      <c r="S166" s="598"/>
      <c r="T166" s="598" t="s">
        <v>1015</v>
      </c>
      <c r="U166" s="673" t="s">
        <v>4556</v>
      </c>
      <c r="V166" s="616" t="s">
        <v>4557</v>
      </c>
      <c r="W166" s="598" t="s">
        <v>950</v>
      </c>
      <c r="X166" s="624">
        <v>27368</v>
      </c>
      <c r="Y166" s="625">
        <f t="shared" ca="1" si="2"/>
        <v>51</v>
      </c>
      <c r="Z166" s="616" t="s">
        <v>4558</v>
      </c>
      <c r="AA166" s="598" t="s">
        <v>4559</v>
      </c>
      <c r="AB166" s="598" t="s">
        <v>996</v>
      </c>
      <c r="AC166" s="598" t="s">
        <v>1018</v>
      </c>
      <c r="AD166" s="616" t="s">
        <v>729</v>
      </c>
      <c r="AE166" s="616" t="s">
        <v>729</v>
      </c>
      <c r="AF166" s="640" t="s">
        <v>1252</v>
      </c>
      <c r="AG166" s="598"/>
      <c r="AH166" s="598" t="s">
        <v>4560</v>
      </c>
      <c r="AI166" s="598" t="s">
        <v>1318</v>
      </c>
      <c r="AJ166" s="598" t="s">
        <v>1020</v>
      </c>
      <c r="AK166" s="626">
        <v>-6</v>
      </c>
      <c r="AL166" s="626"/>
    </row>
    <row r="167" spans="1:38" ht="18" customHeight="1">
      <c r="A167" s="593"/>
      <c r="B167" s="598">
        <v>150</v>
      </c>
      <c r="C167" s="598" t="s">
        <v>1202</v>
      </c>
      <c r="D167" s="598">
        <f t="shared" si="0"/>
        <v>141</v>
      </c>
      <c r="E167" s="616" t="s">
        <v>1351</v>
      </c>
      <c r="F167" s="616" t="s">
        <v>729</v>
      </c>
      <c r="G167" s="618" t="s">
        <v>1202</v>
      </c>
      <c r="H167" s="618" t="s">
        <v>30</v>
      </c>
      <c r="I167" s="618" t="s">
        <v>1202</v>
      </c>
      <c r="J167" s="618" t="s">
        <v>1202</v>
      </c>
      <c r="K167" s="618" t="s">
        <v>1821</v>
      </c>
      <c r="L167" s="619"/>
      <c r="M167" s="620"/>
      <c r="N167" s="620"/>
      <c r="O167" s="667" t="s">
        <v>1044</v>
      </c>
      <c r="P167" s="621"/>
      <c r="Q167" s="598" t="s">
        <v>1227</v>
      </c>
      <c r="R167" s="598" t="s">
        <v>173</v>
      </c>
      <c r="S167" s="598" t="s">
        <v>55</v>
      </c>
      <c r="T167" s="598" t="s">
        <v>992</v>
      </c>
      <c r="U167" s="667" t="s">
        <v>30</v>
      </c>
      <c r="V167" s="616" t="s">
        <v>1203</v>
      </c>
      <c r="W167" s="598" t="s">
        <v>950</v>
      </c>
      <c r="X167" s="624">
        <v>33065</v>
      </c>
      <c r="Y167" s="625">
        <f t="shared" ca="1" si="2"/>
        <v>35</v>
      </c>
      <c r="Z167" s="616" t="s">
        <v>1204</v>
      </c>
      <c r="AA167" s="598" t="s">
        <v>1205</v>
      </c>
      <c r="AB167" s="598" t="s">
        <v>1006</v>
      </c>
      <c r="AC167" s="598" t="s">
        <v>953</v>
      </c>
      <c r="AD167" s="616" t="s">
        <v>729</v>
      </c>
      <c r="AE167" s="616" t="s">
        <v>954</v>
      </c>
      <c r="AF167" s="616" t="s">
        <v>974</v>
      </c>
      <c r="AG167" s="598"/>
      <c r="AH167" s="598"/>
      <c r="AI167" s="598"/>
      <c r="AJ167" s="598"/>
      <c r="AK167" s="626"/>
      <c r="AL167" s="626"/>
    </row>
    <row r="168" spans="1:38" ht="18" customHeight="1">
      <c r="A168" s="593"/>
      <c r="B168" s="598">
        <v>151</v>
      </c>
      <c r="C168" s="598" t="s">
        <v>1821</v>
      </c>
      <c r="D168" s="598">
        <f t="shared" si="0"/>
        <v>142</v>
      </c>
      <c r="E168" s="616" t="s">
        <v>1351</v>
      </c>
      <c r="F168" s="616" t="s">
        <v>729</v>
      </c>
      <c r="G168" s="618" t="s">
        <v>1202</v>
      </c>
      <c r="H168" s="618" t="s">
        <v>30</v>
      </c>
      <c r="I168" s="618" t="s">
        <v>1202</v>
      </c>
      <c r="J168" s="618" t="s">
        <v>1202</v>
      </c>
      <c r="K168" s="618" t="s">
        <v>1821</v>
      </c>
      <c r="L168" s="619"/>
      <c r="M168" s="620"/>
      <c r="N168" s="620"/>
      <c r="O168" s="663" t="s">
        <v>1044</v>
      </c>
      <c r="P168" s="621"/>
      <c r="Q168" s="598" t="s">
        <v>69</v>
      </c>
      <c r="R168" s="598" t="s">
        <v>69</v>
      </c>
      <c r="S168" s="598" t="s">
        <v>1825</v>
      </c>
      <c r="T168" s="598" t="s">
        <v>992</v>
      </c>
      <c r="U168" s="663" t="s">
        <v>1826</v>
      </c>
      <c r="V168" s="616" t="s">
        <v>1827</v>
      </c>
      <c r="W168" s="598" t="s">
        <v>950</v>
      </c>
      <c r="X168" s="624">
        <v>37601</v>
      </c>
      <c r="Y168" s="625">
        <f t="shared" ca="1" si="2"/>
        <v>23</v>
      </c>
      <c r="Z168" s="616" t="s">
        <v>1828</v>
      </c>
      <c r="AA168" s="598" t="s">
        <v>1829</v>
      </c>
      <c r="AB168" s="598" t="s">
        <v>1006</v>
      </c>
      <c r="AC168" s="598" t="s">
        <v>953</v>
      </c>
      <c r="AD168" s="616" t="s">
        <v>729</v>
      </c>
      <c r="AE168" s="616" t="s">
        <v>729</v>
      </c>
      <c r="AF168" s="616" t="s">
        <v>1830</v>
      </c>
      <c r="AG168" s="598"/>
      <c r="AH168" s="598"/>
      <c r="AI168" s="598" t="s">
        <v>1011</v>
      </c>
      <c r="AJ168" s="598"/>
      <c r="AK168" s="626"/>
      <c r="AL168" s="626"/>
    </row>
    <row r="169" spans="1:38" ht="18" customHeight="1">
      <c r="A169" s="593"/>
      <c r="B169" s="598">
        <v>152</v>
      </c>
      <c r="C169" s="598" t="s">
        <v>1843</v>
      </c>
      <c r="D169" s="598">
        <f t="shared" si="0"/>
        <v>143</v>
      </c>
      <c r="E169" s="616" t="s">
        <v>1351</v>
      </c>
      <c r="F169" s="616" t="s">
        <v>729</v>
      </c>
      <c r="G169" s="618" t="s">
        <v>1202</v>
      </c>
      <c r="H169" s="618" t="s">
        <v>30</v>
      </c>
      <c r="I169" s="618" t="s">
        <v>1202</v>
      </c>
      <c r="J169" s="618" t="s">
        <v>1202</v>
      </c>
      <c r="K169" s="618" t="s">
        <v>1821</v>
      </c>
      <c r="L169" s="619"/>
      <c r="M169" s="620"/>
      <c r="N169" s="620"/>
      <c r="O169" s="663" t="s">
        <v>1044</v>
      </c>
      <c r="P169" s="621"/>
      <c r="Q169" s="598"/>
      <c r="R169" s="598"/>
      <c r="S169" s="598"/>
      <c r="T169" s="598" t="s">
        <v>992</v>
      </c>
      <c r="U169" s="663" t="s">
        <v>216</v>
      </c>
      <c r="V169" s="616" t="s">
        <v>1844</v>
      </c>
      <c r="W169" s="598" t="s">
        <v>950</v>
      </c>
      <c r="X169" s="624">
        <v>37601</v>
      </c>
      <c r="Y169" s="625">
        <f t="shared" ca="1" si="2"/>
        <v>23</v>
      </c>
      <c r="Z169" s="616" t="s">
        <v>1845</v>
      </c>
      <c r="AA169" s="598" t="s">
        <v>1846</v>
      </c>
      <c r="AB169" s="598" t="s">
        <v>1006</v>
      </c>
      <c r="AC169" s="598" t="s">
        <v>953</v>
      </c>
      <c r="AD169" s="616" t="s">
        <v>729</v>
      </c>
      <c r="AE169" s="616" t="s">
        <v>729</v>
      </c>
      <c r="AF169" s="616" t="s">
        <v>1847</v>
      </c>
      <c r="AG169" s="598"/>
      <c r="AH169" s="598"/>
      <c r="AI169" s="598"/>
      <c r="AJ169" s="598"/>
      <c r="AK169" s="626"/>
      <c r="AL169" s="626"/>
    </row>
    <row r="170" spans="1:38" ht="18" customHeight="1">
      <c r="A170" s="593"/>
      <c r="B170" s="598">
        <v>153</v>
      </c>
      <c r="C170" s="598" t="s">
        <v>2087</v>
      </c>
      <c r="D170" s="598">
        <f t="shared" si="0"/>
        <v>144</v>
      </c>
      <c r="E170" s="616" t="s">
        <v>1351</v>
      </c>
      <c r="F170" s="616" t="s">
        <v>729</v>
      </c>
      <c r="G170" s="618" t="s">
        <v>1202</v>
      </c>
      <c r="H170" s="618" t="s">
        <v>30</v>
      </c>
      <c r="I170" s="618" t="s">
        <v>1202</v>
      </c>
      <c r="J170" s="618" t="s">
        <v>1202</v>
      </c>
      <c r="K170" s="618" t="s">
        <v>1821</v>
      </c>
      <c r="L170" s="619"/>
      <c r="M170" s="620"/>
      <c r="N170" s="620"/>
      <c r="O170" s="663" t="s">
        <v>1044</v>
      </c>
      <c r="P170" s="621"/>
      <c r="Q170" s="598" t="s">
        <v>173</v>
      </c>
      <c r="R170" s="598" t="s">
        <v>514</v>
      </c>
      <c r="S170" s="598" t="s">
        <v>55</v>
      </c>
      <c r="T170" s="598" t="s">
        <v>992</v>
      </c>
      <c r="U170" s="663" t="s">
        <v>335</v>
      </c>
      <c r="V170" s="616" t="s">
        <v>2089</v>
      </c>
      <c r="W170" s="598" t="s">
        <v>950</v>
      </c>
      <c r="X170" s="624">
        <v>36694</v>
      </c>
      <c r="Y170" s="625">
        <f t="shared" ca="1" si="2"/>
        <v>25</v>
      </c>
      <c r="Z170" s="616" t="s">
        <v>2090</v>
      </c>
      <c r="AA170" s="598" t="s">
        <v>2091</v>
      </c>
      <c r="AB170" s="598" t="s">
        <v>1006</v>
      </c>
      <c r="AC170" s="598" t="s">
        <v>953</v>
      </c>
      <c r="AD170" s="616" t="s">
        <v>729</v>
      </c>
      <c r="AE170" s="616" t="s">
        <v>729</v>
      </c>
      <c r="AF170" s="616" t="s">
        <v>2092</v>
      </c>
      <c r="AG170" s="598"/>
      <c r="AH170" s="598"/>
      <c r="AI170" s="598" t="s">
        <v>1011</v>
      </c>
      <c r="AJ170" s="598"/>
      <c r="AK170" s="626"/>
      <c r="AL170" s="626"/>
    </row>
    <row r="171" spans="1:38" ht="18" customHeight="1">
      <c r="A171" s="593"/>
      <c r="B171" s="598">
        <v>154</v>
      </c>
      <c r="C171" s="598" t="s">
        <v>1820</v>
      </c>
      <c r="D171" s="598">
        <f t="shared" si="0"/>
        <v>145</v>
      </c>
      <c r="E171" s="616" t="s">
        <v>1351</v>
      </c>
      <c r="F171" s="616" t="s">
        <v>729</v>
      </c>
      <c r="G171" s="618" t="s">
        <v>1195</v>
      </c>
      <c r="H171" s="618" t="s">
        <v>30</v>
      </c>
      <c r="I171" s="618" t="s">
        <v>1202</v>
      </c>
      <c r="J171" s="618" t="s">
        <v>1202</v>
      </c>
      <c r="K171" s="618" t="s">
        <v>1821</v>
      </c>
      <c r="L171" s="619"/>
      <c r="M171" s="620"/>
      <c r="N171" s="620"/>
      <c r="O171" s="673" t="s">
        <v>1044</v>
      </c>
      <c r="P171" s="621"/>
      <c r="Q171" s="598" t="s">
        <v>55</v>
      </c>
      <c r="R171" s="598" t="s">
        <v>178</v>
      </c>
      <c r="S171" s="598"/>
      <c r="T171" s="598" t="s">
        <v>992</v>
      </c>
      <c r="U171" s="673" t="s">
        <v>257</v>
      </c>
      <c r="V171" s="616" t="s">
        <v>1822</v>
      </c>
      <c r="W171" s="598" t="s">
        <v>950</v>
      </c>
      <c r="X171" s="624">
        <v>35604</v>
      </c>
      <c r="Y171" s="625">
        <f t="shared" ca="1" si="2"/>
        <v>28</v>
      </c>
      <c r="Z171" s="616" t="s">
        <v>1823</v>
      </c>
      <c r="AA171" s="598" t="s">
        <v>1824</v>
      </c>
      <c r="AB171" s="598" t="s">
        <v>1006</v>
      </c>
      <c r="AC171" s="598" t="s">
        <v>953</v>
      </c>
      <c r="AD171" s="616" t="s">
        <v>729</v>
      </c>
      <c r="AE171" s="616" t="s">
        <v>729</v>
      </c>
      <c r="AF171" s="616" t="s">
        <v>1755</v>
      </c>
      <c r="AG171" s="598"/>
      <c r="AH171" s="598"/>
      <c r="AI171" s="598"/>
      <c r="AJ171" s="598"/>
      <c r="AK171" s="626"/>
      <c r="AL171" s="626"/>
    </row>
    <row r="172" spans="1:38" ht="18" customHeight="1">
      <c r="A172" s="593"/>
      <c r="B172" s="598">
        <v>155</v>
      </c>
      <c r="C172" s="598" t="s">
        <v>1734</v>
      </c>
      <c r="D172" s="598">
        <f t="shared" si="0"/>
        <v>146</v>
      </c>
      <c r="E172" s="616" t="s">
        <v>1351</v>
      </c>
      <c r="F172" s="616" t="s">
        <v>729</v>
      </c>
      <c r="G172" s="618" t="s">
        <v>1202</v>
      </c>
      <c r="H172" s="618" t="s">
        <v>30</v>
      </c>
      <c r="I172" s="618" t="s">
        <v>1202</v>
      </c>
      <c r="J172" s="681" t="s">
        <v>1734</v>
      </c>
      <c r="K172" s="684" t="s">
        <v>1778</v>
      </c>
      <c r="L172" s="619"/>
      <c r="M172" s="620"/>
      <c r="N172" s="620"/>
      <c r="O172" s="663" t="s">
        <v>1074</v>
      </c>
      <c r="P172" s="621"/>
      <c r="Q172" s="650" t="s">
        <v>55</v>
      </c>
      <c r="R172" s="650" t="s">
        <v>55</v>
      </c>
      <c r="S172" s="598"/>
      <c r="T172" s="598" t="s">
        <v>962</v>
      </c>
      <c r="U172" s="663" t="s">
        <v>177</v>
      </c>
      <c r="V172" s="616" t="s">
        <v>1737</v>
      </c>
      <c r="W172" s="598" t="s">
        <v>963</v>
      </c>
      <c r="X172" s="624">
        <v>28283</v>
      </c>
      <c r="Y172" s="625">
        <f t="shared" ca="1" si="2"/>
        <v>48</v>
      </c>
      <c r="Z172" s="616" t="s">
        <v>1738</v>
      </c>
      <c r="AA172" s="598" t="s">
        <v>1739</v>
      </c>
      <c r="AB172" s="598" t="s">
        <v>966</v>
      </c>
      <c r="AC172" s="598" t="s">
        <v>953</v>
      </c>
      <c r="AD172" s="616" t="s">
        <v>729</v>
      </c>
      <c r="AE172" s="616" t="s">
        <v>729</v>
      </c>
      <c r="AF172" s="616" t="s">
        <v>1740</v>
      </c>
      <c r="AG172" s="598"/>
      <c r="AH172" s="598"/>
      <c r="AI172" s="598" t="s">
        <v>1011</v>
      </c>
      <c r="AJ172" s="598"/>
      <c r="AK172" s="626"/>
      <c r="AL172" s="626"/>
    </row>
    <row r="173" spans="1:38" ht="18" customHeight="1">
      <c r="A173" s="593"/>
      <c r="B173" s="598">
        <v>156</v>
      </c>
      <c r="C173" s="598" t="s">
        <v>1778</v>
      </c>
      <c r="D173" s="598">
        <f t="shared" si="0"/>
        <v>147</v>
      </c>
      <c r="E173" s="616" t="s">
        <v>1351</v>
      </c>
      <c r="F173" s="616" t="s">
        <v>729</v>
      </c>
      <c r="G173" s="618" t="s">
        <v>1202</v>
      </c>
      <c r="H173" s="618" t="s">
        <v>30</v>
      </c>
      <c r="I173" s="618" t="s">
        <v>1202</v>
      </c>
      <c r="J173" s="681" t="s">
        <v>1734</v>
      </c>
      <c r="K173" s="684" t="s">
        <v>1778</v>
      </c>
      <c r="L173" s="619"/>
      <c r="M173" s="620"/>
      <c r="N173" s="620"/>
      <c r="O173" s="663" t="s">
        <v>1074</v>
      </c>
      <c r="P173" s="621" t="s">
        <v>319</v>
      </c>
      <c r="Q173" s="598" t="s">
        <v>69</v>
      </c>
      <c r="R173" s="598" t="s">
        <v>562</v>
      </c>
      <c r="S173" s="598"/>
      <c r="T173" s="598" t="s">
        <v>962</v>
      </c>
      <c r="U173" s="663" t="s">
        <v>197</v>
      </c>
      <c r="V173" s="616" t="s">
        <v>1781</v>
      </c>
      <c r="W173" s="598" t="s">
        <v>963</v>
      </c>
      <c r="X173" s="624">
        <v>30250</v>
      </c>
      <c r="Y173" s="625">
        <f t="shared" ca="1" si="2"/>
        <v>43</v>
      </c>
      <c r="Z173" s="616" t="s">
        <v>1782</v>
      </c>
      <c r="AA173" s="598" t="s">
        <v>1783</v>
      </c>
      <c r="AB173" s="598" t="s">
        <v>996</v>
      </c>
      <c r="AC173" s="598" t="s">
        <v>997</v>
      </c>
      <c r="AD173" s="616" t="s">
        <v>729</v>
      </c>
      <c r="AE173" s="640" t="s">
        <v>729</v>
      </c>
      <c r="AF173" s="616" t="s">
        <v>1745</v>
      </c>
      <c r="AG173" s="598"/>
      <c r="AH173" s="598"/>
      <c r="AI173" s="634" t="s">
        <v>1359</v>
      </c>
      <c r="AJ173" s="598"/>
      <c r="AK173" s="626">
        <v>-6</v>
      </c>
      <c r="AL173" s="626"/>
    </row>
    <row r="174" spans="1:38" ht="18" customHeight="1">
      <c r="A174" s="593"/>
      <c r="B174" s="598">
        <v>157</v>
      </c>
      <c r="C174" s="598" t="s">
        <v>2590</v>
      </c>
      <c r="D174" s="598">
        <f t="shared" si="0"/>
        <v>148</v>
      </c>
      <c r="E174" s="616" t="s">
        <v>1351</v>
      </c>
      <c r="F174" s="616" t="s">
        <v>729</v>
      </c>
      <c r="G174" s="618" t="s">
        <v>1202</v>
      </c>
      <c r="H174" s="618" t="s">
        <v>30</v>
      </c>
      <c r="I174" s="618" t="s">
        <v>1202</v>
      </c>
      <c r="J174" s="681" t="s">
        <v>1734</v>
      </c>
      <c r="K174" s="684" t="s">
        <v>1778</v>
      </c>
      <c r="L174" s="619"/>
      <c r="M174" s="620"/>
      <c r="N174" s="620"/>
      <c r="O174" s="663" t="s">
        <v>1074</v>
      </c>
      <c r="P174" s="621"/>
      <c r="Q174" s="598"/>
      <c r="R174" s="598"/>
      <c r="S174" s="598"/>
      <c r="T174" s="598" t="s">
        <v>962</v>
      </c>
      <c r="U174" s="663" t="s">
        <v>288</v>
      </c>
      <c r="V174" s="616" t="s">
        <v>2591</v>
      </c>
      <c r="W174" s="598" t="s">
        <v>963</v>
      </c>
      <c r="X174" s="624">
        <v>33040</v>
      </c>
      <c r="Y174" s="625">
        <f t="shared" ca="1" si="2"/>
        <v>35</v>
      </c>
      <c r="Z174" s="616" t="s">
        <v>2592</v>
      </c>
      <c r="AA174" s="598" t="s">
        <v>2593</v>
      </c>
      <c r="AB174" s="598" t="s">
        <v>996</v>
      </c>
      <c r="AC174" s="598" t="s">
        <v>997</v>
      </c>
      <c r="AD174" s="616" t="s">
        <v>729</v>
      </c>
      <c r="AE174" s="616" t="s">
        <v>729</v>
      </c>
      <c r="AF174" s="616" t="s">
        <v>2594</v>
      </c>
      <c r="AG174" s="598"/>
      <c r="AH174" s="598"/>
      <c r="AI174" s="598" t="s">
        <v>1349</v>
      </c>
      <c r="AJ174" s="598"/>
      <c r="AK174" s="626">
        <v>-2</v>
      </c>
      <c r="AL174" s="626"/>
    </row>
    <row r="175" spans="1:38" ht="18" customHeight="1">
      <c r="A175" s="593"/>
      <c r="B175" s="598">
        <v>158</v>
      </c>
      <c r="C175" s="598" t="s">
        <v>1751</v>
      </c>
      <c r="D175" s="598">
        <f t="shared" si="0"/>
        <v>149</v>
      </c>
      <c r="E175" s="616" t="s">
        <v>1351</v>
      </c>
      <c r="F175" s="616" t="s">
        <v>729</v>
      </c>
      <c r="G175" s="618" t="s">
        <v>1202</v>
      </c>
      <c r="H175" s="618" t="s">
        <v>30</v>
      </c>
      <c r="I175" s="618" t="s">
        <v>1202</v>
      </c>
      <c r="J175" s="681" t="s">
        <v>1734</v>
      </c>
      <c r="K175" s="684" t="s">
        <v>1778</v>
      </c>
      <c r="L175" s="619"/>
      <c r="M175" s="620"/>
      <c r="N175" s="620"/>
      <c r="O175" s="663" t="s">
        <v>1074</v>
      </c>
      <c r="P175" s="621" t="s">
        <v>319</v>
      </c>
      <c r="Q175" s="598"/>
      <c r="R175" s="598"/>
      <c r="S175" s="598"/>
      <c r="T175" s="598" t="s">
        <v>962</v>
      </c>
      <c r="U175" s="663" t="s">
        <v>217</v>
      </c>
      <c r="V175" s="616" t="s">
        <v>1752</v>
      </c>
      <c r="W175" s="598" t="s">
        <v>963</v>
      </c>
      <c r="X175" s="624">
        <v>28259</v>
      </c>
      <c r="Y175" s="625">
        <f t="shared" ca="1" si="2"/>
        <v>48</v>
      </c>
      <c r="Z175" s="616" t="s">
        <v>1753</v>
      </c>
      <c r="AA175" s="598" t="s">
        <v>1754</v>
      </c>
      <c r="AB175" s="598" t="s">
        <v>996</v>
      </c>
      <c r="AC175" s="644" t="s">
        <v>997</v>
      </c>
      <c r="AD175" s="616" t="s">
        <v>729</v>
      </c>
      <c r="AE175" s="640" t="s">
        <v>729</v>
      </c>
      <c r="AF175" s="644" t="s">
        <v>1755</v>
      </c>
      <c r="AG175" s="598"/>
      <c r="AH175" s="598"/>
      <c r="AI175" s="634" t="s">
        <v>1359</v>
      </c>
      <c r="AJ175" s="598"/>
      <c r="AK175" s="626">
        <v>-6</v>
      </c>
      <c r="AL175" s="626"/>
    </row>
    <row r="176" spans="1:38" ht="18" customHeight="1">
      <c r="A176" s="593"/>
      <c r="B176" s="598">
        <v>159</v>
      </c>
      <c r="C176" s="598" t="s">
        <v>1779</v>
      </c>
      <c r="D176" s="598">
        <f t="shared" si="0"/>
        <v>150</v>
      </c>
      <c r="E176" s="616" t="s">
        <v>1351</v>
      </c>
      <c r="F176" s="616" t="s">
        <v>729</v>
      </c>
      <c r="G176" s="618" t="s">
        <v>1202</v>
      </c>
      <c r="H176" s="618" t="s">
        <v>30</v>
      </c>
      <c r="I176" s="618" t="s">
        <v>1202</v>
      </c>
      <c r="J176" s="681" t="s">
        <v>1734</v>
      </c>
      <c r="K176" s="684" t="s">
        <v>1778</v>
      </c>
      <c r="L176" s="619"/>
      <c r="M176" s="620"/>
      <c r="N176" s="620"/>
      <c r="O176" s="663" t="s">
        <v>1074</v>
      </c>
      <c r="P176" s="621" t="s">
        <v>319</v>
      </c>
      <c r="Q176" s="598"/>
      <c r="R176" s="598"/>
      <c r="S176" s="598"/>
      <c r="T176" s="598" t="s">
        <v>962</v>
      </c>
      <c r="U176" s="663" t="s">
        <v>237</v>
      </c>
      <c r="V176" s="616" t="s">
        <v>1784</v>
      </c>
      <c r="W176" s="598" t="s">
        <v>963</v>
      </c>
      <c r="X176" s="624">
        <v>29734</v>
      </c>
      <c r="Y176" s="625">
        <f t="shared" ca="1" si="2"/>
        <v>44</v>
      </c>
      <c r="Z176" s="616" t="s">
        <v>1785</v>
      </c>
      <c r="AA176" s="598" t="s">
        <v>1786</v>
      </c>
      <c r="AB176" s="598" t="s">
        <v>996</v>
      </c>
      <c r="AC176" s="644" t="s">
        <v>997</v>
      </c>
      <c r="AD176" s="616" t="s">
        <v>1078</v>
      </c>
      <c r="AE176" s="640" t="s">
        <v>729</v>
      </c>
      <c r="AF176" s="640" t="s">
        <v>1252</v>
      </c>
      <c r="AG176" s="598"/>
      <c r="AH176" s="598"/>
      <c r="AI176" s="634" t="s">
        <v>1359</v>
      </c>
      <c r="AJ176" s="598"/>
      <c r="AK176" s="626">
        <v>-6</v>
      </c>
      <c r="AL176" s="626"/>
    </row>
    <row r="177" spans="1:38" ht="18" customHeight="1">
      <c r="A177" s="593"/>
      <c r="B177" s="598">
        <v>160</v>
      </c>
      <c r="C177" s="598" t="s">
        <v>1500</v>
      </c>
      <c r="D177" s="598">
        <f t="shared" si="0"/>
        <v>151</v>
      </c>
      <c r="E177" s="616" t="s">
        <v>1233</v>
      </c>
      <c r="F177" s="616" t="s">
        <v>729</v>
      </c>
      <c r="G177" s="618" t="s">
        <v>1202</v>
      </c>
      <c r="H177" s="618" t="s">
        <v>30</v>
      </c>
      <c r="I177" s="618" t="s">
        <v>1202</v>
      </c>
      <c r="J177" s="681" t="s">
        <v>1734</v>
      </c>
      <c r="K177" s="684" t="s">
        <v>1778</v>
      </c>
      <c r="L177" s="619"/>
      <c r="M177" s="620"/>
      <c r="N177" s="620"/>
      <c r="O177" s="663" t="s">
        <v>1074</v>
      </c>
      <c r="P177" s="621" t="s">
        <v>319</v>
      </c>
      <c r="Q177" s="598"/>
      <c r="R177" s="598"/>
      <c r="S177" s="598"/>
      <c r="T177" s="598" t="s">
        <v>962</v>
      </c>
      <c r="U177" s="663" t="s">
        <v>258</v>
      </c>
      <c r="V177" s="616" t="s">
        <v>1502</v>
      </c>
      <c r="W177" s="598" t="s">
        <v>963</v>
      </c>
      <c r="X177" s="624">
        <v>30020</v>
      </c>
      <c r="Y177" s="625">
        <f t="shared" ca="1" si="2"/>
        <v>43</v>
      </c>
      <c r="Z177" s="616" t="s">
        <v>1503</v>
      </c>
      <c r="AA177" s="598" t="s">
        <v>1504</v>
      </c>
      <c r="AB177" s="598" t="s">
        <v>996</v>
      </c>
      <c r="AC177" s="644" t="s">
        <v>997</v>
      </c>
      <c r="AD177" s="616" t="s">
        <v>729</v>
      </c>
      <c r="AE177" s="640" t="s">
        <v>729</v>
      </c>
      <c r="AF177" s="616" t="s">
        <v>1323</v>
      </c>
      <c r="AG177" s="598"/>
      <c r="AH177" s="598"/>
      <c r="AI177" s="634" t="s">
        <v>1359</v>
      </c>
      <c r="AJ177" s="598"/>
      <c r="AK177" s="626">
        <v>-6</v>
      </c>
      <c r="AL177" s="626"/>
    </row>
    <row r="178" spans="1:38" ht="18" customHeight="1">
      <c r="A178" s="593"/>
      <c r="B178" s="598">
        <v>161</v>
      </c>
      <c r="C178" s="598" t="s">
        <v>1787</v>
      </c>
      <c r="D178" s="598">
        <f t="shared" si="0"/>
        <v>152</v>
      </c>
      <c r="E178" s="616" t="s">
        <v>1351</v>
      </c>
      <c r="F178" s="616" t="s">
        <v>729</v>
      </c>
      <c r="G178" s="618" t="s">
        <v>1202</v>
      </c>
      <c r="H178" s="618" t="s">
        <v>30</v>
      </c>
      <c r="I178" s="618" t="s">
        <v>1202</v>
      </c>
      <c r="J178" s="681" t="s">
        <v>1734</v>
      </c>
      <c r="K178" s="684" t="s">
        <v>1778</v>
      </c>
      <c r="L178" s="619"/>
      <c r="M178" s="620"/>
      <c r="N178" s="620"/>
      <c r="O178" s="663" t="s">
        <v>1074</v>
      </c>
      <c r="P178" s="621" t="s">
        <v>319</v>
      </c>
      <c r="Q178" s="598"/>
      <c r="R178" s="598"/>
      <c r="S178" s="598"/>
      <c r="T178" s="598" t="s">
        <v>962</v>
      </c>
      <c r="U178" s="663" t="s">
        <v>273</v>
      </c>
      <c r="V178" s="616" t="s">
        <v>1788</v>
      </c>
      <c r="W178" s="598" t="s">
        <v>963</v>
      </c>
      <c r="X178" s="624">
        <v>34787</v>
      </c>
      <c r="Y178" s="625">
        <f t="shared" ca="1" si="2"/>
        <v>30</v>
      </c>
      <c r="Z178" s="616" t="s">
        <v>1789</v>
      </c>
      <c r="AA178" s="598" t="s">
        <v>1790</v>
      </c>
      <c r="AB178" s="598" t="s">
        <v>996</v>
      </c>
      <c r="AC178" s="644" t="s">
        <v>997</v>
      </c>
      <c r="AD178" s="616" t="s">
        <v>1494</v>
      </c>
      <c r="AE178" s="616" t="s">
        <v>1791</v>
      </c>
      <c r="AF178" s="616" t="s">
        <v>1792</v>
      </c>
      <c r="AG178" s="598"/>
      <c r="AH178" s="598"/>
      <c r="AI178" s="634" t="s">
        <v>1359</v>
      </c>
      <c r="AJ178" s="598"/>
      <c r="AK178" s="626"/>
      <c r="AL178" s="626"/>
    </row>
    <row r="179" spans="1:38" ht="18" customHeight="1">
      <c r="A179" s="593"/>
      <c r="B179" s="598">
        <v>162</v>
      </c>
      <c r="C179" s="598" t="s">
        <v>4561</v>
      </c>
      <c r="D179" s="598">
        <f t="shared" si="0"/>
        <v>153</v>
      </c>
      <c r="E179" s="616" t="s">
        <v>1351</v>
      </c>
      <c r="F179" s="616" t="s">
        <v>729</v>
      </c>
      <c r="G179" s="618" t="s">
        <v>1202</v>
      </c>
      <c r="H179" s="618" t="s">
        <v>30</v>
      </c>
      <c r="I179" s="618" t="s">
        <v>1202</v>
      </c>
      <c r="J179" s="681" t="s">
        <v>1734</v>
      </c>
      <c r="K179" s="684" t="s">
        <v>1778</v>
      </c>
      <c r="L179" s="619"/>
      <c r="M179" s="620"/>
      <c r="N179" s="620"/>
      <c r="O179" s="663" t="s">
        <v>1074</v>
      </c>
      <c r="P179" s="621"/>
      <c r="Q179" s="598"/>
      <c r="R179" s="598"/>
      <c r="S179" s="598"/>
      <c r="T179" s="598" t="s">
        <v>962</v>
      </c>
      <c r="U179" s="663" t="s">
        <v>4562</v>
      </c>
      <c r="V179" s="616" t="s">
        <v>4563</v>
      </c>
      <c r="W179" s="598" t="s">
        <v>963</v>
      </c>
      <c r="X179" s="624">
        <v>29202</v>
      </c>
      <c r="Y179" s="625">
        <f t="shared" ca="1" si="2"/>
        <v>46</v>
      </c>
      <c r="Z179" s="616" t="s">
        <v>4564</v>
      </c>
      <c r="AA179" s="652"/>
      <c r="AB179" s="598" t="s">
        <v>996</v>
      </c>
      <c r="AC179" s="598" t="s">
        <v>1018</v>
      </c>
      <c r="AD179" s="616" t="s">
        <v>729</v>
      </c>
      <c r="AE179" s="616" t="s">
        <v>729</v>
      </c>
      <c r="AF179" s="616" t="s">
        <v>4565</v>
      </c>
      <c r="AG179" s="598"/>
      <c r="AH179" s="598" t="s">
        <v>4566</v>
      </c>
      <c r="AI179" s="598" t="s">
        <v>1440</v>
      </c>
      <c r="AJ179" s="622" t="s">
        <v>4567</v>
      </c>
      <c r="AK179" s="626"/>
      <c r="AL179" s="626"/>
    </row>
    <row r="180" spans="1:38" ht="18" customHeight="1">
      <c r="A180" s="278"/>
      <c r="B180" s="598">
        <v>163</v>
      </c>
      <c r="C180" s="598" t="s">
        <v>4568</v>
      </c>
      <c r="D180" s="598">
        <f t="shared" si="0"/>
        <v>154</v>
      </c>
      <c r="E180" s="685" t="s">
        <v>1351</v>
      </c>
      <c r="F180" s="598" t="s">
        <v>729</v>
      </c>
      <c r="G180" s="618" t="s">
        <v>1202</v>
      </c>
      <c r="H180" s="618" t="s">
        <v>30</v>
      </c>
      <c r="I180" s="618" t="s">
        <v>1202</v>
      </c>
      <c r="J180" s="681" t="s">
        <v>1734</v>
      </c>
      <c r="K180" s="686" t="s">
        <v>1778</v>
      </c>
      <c r="L180" s="619"/>
      <c r="M180" s="620"/>
      <c r="N180" s="636"/>
      <c r="O180" s="672" t="s">
        <v>1074</v>
      </c>
      <c r="P180" s="637"/>
      <c r="Q180" s="627"/>
      <c r="R180" s="627"/>
      <c r="S180" s="627"/>
      <c r="T180" s="671" t="s">
        <v>992</v>
      </c>
      <c r="U180" s="672" t="s">
        <v>4569</v>
      </c>
      <c r="V180" s="598" t="s">
        <v>4570</v>
      </c>
      <c r="W180" s="598" t="s">
        <v>963</v>
      </c>
      <c r="X180" s="624">
        <v>33672</v>
      </c>
      <c r="Y180" s="625">
        <f t="shared" ca="1" si="2"/>
        <v>33</v>
      </c>
      <c r="Z180" s="598" t="s">
        <v>4571</v>
      </c>
      <c r="AA180" s="646"/>
      <c r="AB180" s="598" t="s">
        <v>996</v>
      </c>
      <c r="AC180" s="598" t="s">
        <v>1018</v>
      </c>
      <c r="AD180" s="598" t="s">
        <v>729</v>
      </c>
      <c r="AE180" s="598" t="s">
        <v>729</v>
      </c>
      <c r="AF180" s="598" t="s">
        <v>2390</v>
      </c>
      <c r="AG180" s="627"/>
      <c r="AH180" s="687" t="s">
        <v>4572</v>
      </c>
      <c r="AI180" s="598" t="s">
        <v>1440</v>
      </c>
      <c r="AJ180" s="688" t="s">
        <v>4567</v>
      </c>
      <c r="AK180" s="627"/>
      <c r="AL180" s="627"/>
    </row>
    <row r="181" spans="1:38" ht="18" customHeight="1">
      <c r="A181" s="278"/>
      <c r="B181" s="598">
        <v>164</v>
      </c>
      <c r="C181" s="689" t="s">
        <v>1770</v>
      </c>
      <c r="D181" s="598">
        <f t="shared" si="0"/>
        <v>155</v>
      </c>
      <c r="E181" s="689" t="s">
        <v>1351</v>
      </c>
      <c r="F181" s="689" t="s">
        <v>729</v>
      </c>
      <c r="G181" s="690" t="s">
        <v>1202</v>
      </c>
      <c r="H181" s="690" t="s">
        <v>30</v>
      </c>
      <c r="I181" s="690" t="s">
        <v>1202</v>
      </c>
      <c r="J181" s="681" t="s">
        <v>1734</v>
      </c>
      <c r="K181" s="686" t="s">
        <v>1778</v>
      </c>
      <c r="L181" s="619"/>
      <c r="M181" s="620"/>
      <c r="N181" s="691"/>
      <c r="O181" s="692" t="s">
        <v>1074</v>
      </c>
      <c r="P181" s="693"/>
      <c r="Q181" s="694"/>
      <c r="R181" s="694"/>
      <c r="S181" s="694"/>
      <c r="T181" s="689" t="s">
        <v>962</v>
      </c>
      <c r="U181" s="672" t="s">
        <v>1771</v>
      </c>
      <c r="V181" s="689" t="s">
        <v>1772</v>
      </c>
      <c r="W181" s="689" t="s">
        <v>963</v>
      </c>
      <c r="X181" s="695">
        <v>30297</v>
      </c>
      <c r="Y181" s="696">
        <f t="shared" ca="1" si="2"/>
        <v>43</v>
      </c>
      <c r="Z181" s="689" t="s">
        <v>1773</v>
      </c>
      <c r="AA181" s="694"/>
      <c r="AB181" s="689" t="s">
        <v>996</v>
      </c>
      <c r="AC181" s="689" t="s">
        <v>1018</v>
      </c>
      <c r="AD181" s="689" t="s">
        <v>729</v>
      </c>
      <c r="AE181" s="689" t="s">
        <v>729</v>
      </c>
      <c r="AF181" s="689" t="s">
        <v>1774</v>
      </c>
      <c r="AG181" s="697" t="s">
        <v>1775</v>
      </c>
      <c r="AH181" s="689" t="s">
        <v>4573</v>
      </c>
      <c r="AI181" s="689" t="s">
        <v>1349</v>
      </c>
      <c r="AJ181" s="689" t="s">
        <v>1777</v>
      </c>
      <c r="AK181" s="627"/>
      <c r="AL181" s="627"/>
    </row>
    <row r="182" spans="1:38" ht="18" customHeight="1">
      <c r="A182" s="278"/>
      <c r="B182" s="598">
        <v>165</v>
      </c>
      <c r="C182" s="598" t="s">
        <v>4574</v>
      </c>
      <c r="D182" s="598">
        <f t="shared" si="0"/>
        <v>156</v>
      </c>
      <c r="E182" s="685" t="s">
        <v>1351</v>
      </c>
      <c r="F182" s="598" t="s">
        <v>729</v>
      </c>
      <c r="G182" s="618" t="s">
        <v>1202</v>
      </c>
      <c r="H182" s="618" t="s">
        <v>30</v>
      </c>
      <c r="I182" s="618" t="s">
        <v>1202</v>
      </c>
      <c r="J182" s="681" t="s">
        <v>1734</v>
      </c>
      <c r="K182" s="686" t="s">
        <v>1778</v>
      </c>
      <c r="L182" s="619"/>
      <c r="M182" s="620"/>
      <c r="N182" s="636"/>
      <c r="O182" s="698" t="s">
        <v>1074</v>
      </c>
      <c r="P182" s="637"/>
      <c r="Q182" s="627"/>
      <c r="R182" s="627"/>
      <c r="S182" s="627"/>
      <c r="T182" s="699" t="s">
        <v>962</v>
      </c>
      <c r="U182" s="698" t="s">
        <v>4575</v>
      </c>
      <c r="V182" s="598" t="s">
        <v>4576</v>
      </c>
      <c r="W182" s="598" t="s">
        <v>963</v>
      </c>
      <c r="X182" s="624">
        <v>30831</v>
      </c>
      <c r="Y182" s="625">
        <f t="shared" ca="1" si="2"/>
        <v>41</v>
      </c>
      <c r="Z182" s="598" t="s">
        <v>4577</v>
      </c>
      <c r="AA182" s="627"/>
      <c r="AB182" s="598" t="s">
        <v>996</v>
      </c>
      <c r="AC182" s="598" t="s">
        <v>1018</v>
      </c>
      <c r="AD182" s="598" t="s">
        <v>729</v>
      </c>
      <c r="AE182" s="598" t="s">
        <v>729</v>
      </c>
      <c r="AF182" s="598" t="s">
        <v>1533</v>
      </c>
      <c r="AG182" s="627"/>
      <c r="AH182" s="687" t="s">
        <v>4578</v>
      </c>
      <c r="AI182" s="598" t="s">
        <v>1349</v>
      </c>
      <c r="AJ182" s="598" t="s">
        <v>4567</v>
      </c>
      <c r="AK182" s="627"/>
      <c r="AL182" s="627"/>
    </row>
    <row r="183" spans="1:38" ht="18" customHeight="1">
      <c r="A183" s="593"/>
      <c r="B183" s="598">
        <v>166</v>
      </c>
      <c r="C183" s="598" t="s">
        <v>1528</v>
      </c>
      <c r="D183" s="598">
        <f t="shared" si="0"/>
        <v>156</v>
      </c>
      <c r="E183" s="616"/>
      <c r="F183" s="616" t="s">
        <v>729</v>
      </c>
      <c r="G183" s="618" t="s">
        <v>1202</v>
      </c>
      <c r="H183" s="618" t="s">
        <v>30</v>
      </c>
      <c r="I183" s="618" t="s">
        <v>1202</v>
      </c>
      <c r="J183" s="618" t="s">
        <v>1528</v>
      </c>
      <c r="K183" s="619" t="s">
        <v>1831</v>
      </c>
      <c r="L183" s="619"/>
      <c r="M183" s="620"/>
      <c r="N183" s="620"/>
      <c r="O183" s="667" t="s">
        <v>1115</v>
      </c>
      <c r="P183" s="621"/>
      <c r="Q183" s="598" t="s">
        <v>55</v>
      </c>
      <c r="R183" s="598" t="s">
        <v>178</v>
      </c>
      <c r="S183" s="598"/>
      <c r="T183" s="598"/>
      <c r="U183" s="667" t="s">
        <v>179</v>
      </c>
      <c r="V183" s="616" t="s">
        <v>1530</v>
      </c>
      <c r="W183" s="598" t="s">
        <v>963</v>
      </c>
      <c r="X183" s="624">
        <v>31834</v>
      </c>
      <c r="Y183" s="625">
        <f t="shared" ca="1" si="2"/>
        <v>38</v>
      </c>
      <c r="Z183" s="616" t="s">
        <v>1531</v>
      </c>
      <c r="AA183" s="598" t="s">
        <v>1532</v>
      </c>
      <c r="AB183" s="598" t="s">
        <v>966</v>
      </c>
      <c r="AC183" s="598" t="s">
        <v>953</v>
      </c>
      <c r="AD183" s="616" t="s">
        <v>729</v>
      </c>
      <c r="AE183" s="616" t="s">
        <v>1239</v>
      </c>
      <c r="AF183" s="616" t="s">
        <v>1533</v>
      </c>
      <c r="AG183" s="598" t="s">
        <v>955</v>
      </c>
      <c r="AH183" s="598"/>
      <c r="AI183" s="598"/>
      <c r="AJ183" s="598"/>
      <c r="AK183" s="626"/>
      <c r="AL183" s="626"/>
    </row>
    <row r="184" spans="1:38" ht="18" customHeight="1">
      <c r="A184" s="593"/>
      <c r="B184" s="598">
        <v>167</v>
      </c>
      <c r="C184" s="598" t="s">
        <v>1831</v>
      </c>
      <c r="D184" s="598">
        <f t="shared" si="0"/>
        <v>157</v>
      </c>
      <c r="E184" s="616" t="s">
        <v>1351</v>
      </c>
      <c r="F184" s="616" t="s">
        <v>729</v>
      </c>
      <c r="G184" s="618" t="s">
        <v>1202</v>
      </c>
      <c r="H184" s="618" t="s">
        <v>30</v>
      </c>
      <c r="I184" s="618" t="s">
        <v>1202</v>
      </c>
      <c r="J184" s="618" t="s">
        <v>1528</v>
      </c>
      <c r="K184" s="619" t="s">
        <v>1831</v>
      </c>
      <c r="L184" s="619"/>
      <c r="M184" s="620"/>
      <c r="N184" s="620"/>
      <c r="O184" s="663" t="s">
        <v>1115</v>
      </c>
      <c r="P184" s="621" t="s">
        <v>319</v>
      </c>
      <c r="Q184" s="598" t="s">
        <v>69</v>
      </c>
      <c r="R184" s="598" t="s">
        <v>69</v>
      </c>
      <c r="S184" s="598"/>
      <c r="T184" s="598" t="s">
        <v>992</v>
      </c>
      <c r="U184" s="663" t="s">
        <v>198</v>
      </c>
      <c r="V184" s="616" t="s">
        <v>1832</v>
      </c>
      <c r="W184" s="598" t="s">
        <v>963</v>
      </c>
      <c r="X184" s="624">
        <v>35647</v>
      </c>
      <c r="Y184" s="625">
        <f t="shared" ca="1" si="2"/>
        <v>28</v>
      </c>
      <c r="Z184" s="616" t="s">
        <v>1833</v>
      </c>
      <c r="AA184" s="598" t="s">
        <v>1834</v>
      </c>
      <c r="AB184" s="598" t="s">
        <v>996</v>
      </c>
      <c r="AC184" s="644" t="s">
        <v>997</v>
      </c>
      <c r="AD184" s="616" t="s">
        <v>729</v>
      </c>
      <c r="AE184" s="640" t="s">
        <v>729</v>
      </c>
      <c r="AF184" s="616" t="s">
        <v>1835</v>
      </c>
      <c r="AG184" s="598"/>
      <c r="AH184" s="598"/>
      <c r="AI184" s="634" t="s">
        <v>1359</v>
      </c>
      <c r="AJ184" s="598"/>
      <c r="AK184" s="626">
        <v>-4</v>
      </c>
      <c r="AL184" s="626"/>
    </row>
    <row r="185" spans="1:38" ht="18" customHeight="1">
      <c r="A185" s="593"/>
      <c r="B185" s="598">
        <v>168</v>
      </c>
      <c r="C185" s="598" t="s">
        <v>1544</v>
      </c>
      <c r="D185" s="598">
        <f t="shared" si="0"/>
        <v>158</v>
      </c>
      <c r="E185" s="616" t="s">
        <v>1351</v>
      </c>
      <c r="F185" s="616" t="s">
        <v>729</v>
      </c>
      <c r="G185" s="618" t="s">
        <v>1202</v>
      </c>
      <c r="H185" s="618" t="s">
        <v>30</v>
      </c>
      <c r="I185" s="618" t="s">
        <v>1202</v>
      </c>
      <c r="J185" s="618" t="s">
        <v>1528</v>
      </c>
      <c r="K185" s="619" t="s">
        <v>1831</v>
      </c>
      <c r="L185" s="619"/>
      <c r="M185" s="620"/>
      <c r="N185" s="620"/>
      <c r="O185" s="663" t="s">
        <v>1115</v>
      </c>
      <c r="P185" s="621"/>
      <c r="Q185" s="598"/>
      <c r="R185" s="598"/>
      <c r="S185" s="598"/>
      <c r="T185" s="598" t="s">
        <v>992</v>
      </c>
      <c r="U185" s="663" t="s">
        <v>1545</v>
      </c>
      <c r="V185" s="616" t="s">
        <v>1546</v>
      </c>
      <c r="W185" s="598" t="s">
        <v>963</v>
      </c>
      <c r="X185" s="624">
        <v>37703</v>
      </c>
      <c r="Y185" s="625">
        <f t="shared" ca="1" si="2"/>
        <v>22</v>
      </c>
      <c r="Z185" s="616" t="s">
        <v>1547</v>
      </c>
      <c r="AA185" s="598" t="s">
        <v>1548</v>
      </c>
      <c r="AB185" s="598" t="s">
        <v>1006</v>
      </c>
      <c r="AC185" s="598" t="s">
        <v>953</v>
      </c>
      <c r="AD185" s="616" t="s">
        <v>729</v>
      </c>
      <c r="AE185" s="616" t="s">
        <v>729</v>
      </c>
      <c r="AF185" s="616"/>
      <c r="AG185" s="598"/>
      <c r="AH185" s="598"/>
      <c r="AI185" s="598" t="s">
        <v>1440</v>
      </c>
      <c r="AJ185" s="598"/>
      <c r="AK185" s="626"/>
      <c r="AL185" s="626"/>
    </row>
    <row r="186" spans="1:38" ht="18" customHeight="1">
      <c r="A186" s="593"/>
      <c r="B186" s="598">
        <v>169</v>
      </c>
      <c r="C186" s="598" t="s">
        <v>3857</v>
      </c>
      <c r="D186" s="598">
        <f t="shared" si="0"/>
        <v>159</v>
      </c>
      <c r="E186" s="616" t="s">
        <v>3808</v>
      </c>
      <c r="F186" s="616" t="s">
        <v>729</v>
      </c>
      <c r="G186" s="618" t="s">
        <v>1202</v>
      </c>
      <c r="H186" s="618" t="s">
        <v>30</v>
      </c>
      <c r="I186" s="618" t="s">
        <v>1202</v>
      </c>
      <c r="J186" s="618" t="s">
        <v>1528</v>
      </c>
      <c r="K186" s="619" t="s">
        <v>1831</v>
      </c>
      <c r="L186" s="619"/>
      <c r="M186" s="620"/>
      <c r="N186" s="620"/>
      <c r="O186" s="663" t="s">
        <v>1115</v>
      </c>
      <c r="P186" s="621" t="s">
        <v>319</v>
      </c>
      <c r="Q186" s="598"/>
      <c r="R186" s="598"/>
      <c r="S186" s="598"/>
      <c r="T186" s="598" t="s">
        <v>992</v>
      </c>
      <c r="U186" s="663" t="s">
        <v>218</v>
      </c>
      <c r="V186" s="616" t="s">
        <v>3858</v>
      </c>
      <c r="W186" s="598" t="s">
        <v>963</v>
      </c>
      <c r="X186" s="624">
        <v>32923</v>
      </c>
      <c r="Y186" s="625">
        <f t="shared" ca="1" si="2"/>
        <v>35</v>
      </c>
      <c r="Z186" s="616" t="s">
        <v>2994</v>
      </c>
      <c r="AA186" s="598" t="s">
        <v>3859</v>
      </c>
      <c r="AB186" s="598" t="s">
        <v>996</v>
      </c>
      <c r="AC186" s="644" t="s">
        <v>997</v>
      </c>
      <c r="AD186" s="616" t="s">
        <v>246</v>
      </c>
      <c r="AE186" s="616" t="s">
        <v>246</v>
      </c>
      <c r="AF186" s="616" t="s">
        <v>3860</v>
      </c>
      <c r="AG186" s="598"/>
      <c r="AH186" s="598"/>
      <c r="AI186" s="634" t="s">
        <v>1359</v>
      </c>
      <c r="AJ186" s="598"/>
      <c r="AK186" s="626">
        <v>-3</v>
      </c>
      <c r="AL186" s="626"/>
    </row>
    <row r="187" spans="1:38" ht="18" customHeight="1">
      <c r="A187" s="593"/>
      <c r="B187" s="598">
        <v>170</v>
      </c>
      <c r="C187" s="598" t="s">
        <v>1804</v>
      </c>
      <c r="D187" s="598">
        <f t="shared" si="0"/>
        <v>160</v>
      </c>
      <c r="E187" s="616" t="s">
        <v>1351</v>
      </c>
      <c r="F187" s="616" t="s">
        <v>729</v>
      </c>
      <c r="G187" s="618" t="s">
        <v>1202</v>
      </c>
      <c r="H187" s="618" t="s">
        <v>30</v>
      </c>
      <c r="I187" s="618" t="s">
        <v>1202</v>
      </c>
      <c r="J187" s="618" t="s">
        <v>1528</v>
      </c>
      <c r="K187" s="619" t="s">
        <v>1831</v>
      </c>
      <c r="L187" s="619"/>
      <c r="M187" s="620"/>
      <c r="N187" s="620"/>
      <c r="O187" s="663" t="s">
        <v>1115</v>
      </c>
      <c r="P187" s="621" t="s">
        <v>319</v>
      </c>
      <c r="Q187" s="598"/>
      <c r="R187" s="598"/>
      <c r="S187" s="598"/>
      <c r="T187" s="598" t="s">
        <v>992</v>
      </c>
      <c r="U187" s="663" t="s">
        <v>238</v>
      </c>
      <c r="V187" s="616" t="s">
        <v>1805</v>
      </c>
      <c r="W187" s="598" t="s">
        <v>963</v>
      </c>
      <c r="X187" s="624">
        <v>37793</v>
      </c>
      <c r="Y187" s="625">
        <f t="shared" ca="1" si="2"/>
        <v>22</v>
      </c>
      <c r="Z187" s="616" t="s">
        <v>1806</v>
      </c>
      <c r="AA187" s="598" t="s">
        <v>1807</v>
      </c>
      <c r="AB187" s="598" t="s">
        <v>996</v>
      </c>
      <c r="AC187" s="598" t="s">
        <v>997</v>
      </c>
      <c r="AD187" s="616" t="s">
        <v>729</v>
      </c>
      <c r="AE187" s="640" t="s">
        <v>729</v>
      </c>
      <c r="AF187" s="616" t="s">
        <v>1808</v>
      </c>
      <c r="AG187" s="598"/>
      <c r="AH187" s="598"/>
      <c r="AI187" s="634" t="s">
        <v>1359</v>
      </c>
      <c r="AJ187" s="598"/>
      <c r="AK187" s="626">
        <v>-6</v>
      </c>
      <c r="AL187" s="626"/>
    </row>
    <row r="188" spans="1:38" ht="18" customHeight="1">
      <c r="A188" s="593"/>
      <c r="B188" s="598">
        <v>171</v>
      </c>
      <c r="C188" s="598" t="s">
        <v>3861</v>
      </c>
      <c r="D188" s="598">
        <f t="shared" si="0"/>
        <v>161</v>
      </c>
      <c r="E188" s="616" t="s">
        <v>3808</v>
      </c>
      <c r="F188" s="616" t="s">
        <v>729</v>
      </c>
      <c r="G188" s="618" t="s">
        <v>1202</v>
      </c>
      <c r="H188" s="618" t="s">
        <v>30</v>
      </c>
      <c r="I188" s="618" t="s">
        <v>1202</v>
      </c>
      <c r="J188" s="618" t="s">
        <v>1528</v>
      </c>
      <c r="K188" s="619" t="s">
        <v>1831</v>
      </c>
      <c r="L188" s="619"/>
      <c r="M188" s="620"/>
      <c r="N188" s="620"/>
      <c r="O188" s="663" t="s">
        <v>1115</v>
      </c>
      <c r="P188" s="621" t="s">
        <v>319</v>
      </c>
      <c r="Q188" s="598"/>
      <c r="R188" s="598"/>
      <c r="S188" s="598"/>
      <c r="T188" s="598" t="s">
        <v>992</v>
      </c>
      <c r="U188" s="663" t="s">
        <v>3863</v>
      </c>
      <c r="V188" s="616" t="s">
        <v>3864</v>
      </c>
      <c r="W188" s="598" t="s">
        <v>963</v>
      </c>
      <c r="X188" s="624">
        <v>32111</v>
      </c>
      <c r="Y188" s="625">
        <f t="shared" ca="1" si="2"/>
        <v>38</v>
      </c>
      <c r="Z188" s="616" t="s">
        <v>3865</v>
      </c>
      <c r="AA188" s="598" t="s">
        <v>3866</v>
      </c>
      <c r="AB188" s="598" t="s">
        <v>996</v>
      </c>
      <c r="AC188" s="644" t="s">
        <v>997</v>
      </c>
      <c r="AD188" s="616" t="s">
        <v>246</v>
      </c>
      <c r="AE188" s="616" t="s">
        <v>246</v>
      </c>
      <c r="AF188" s="616" t="s">
        <v>3867</v>
      </c>
      <c r="AG188" s="598"/>
      <c r="AH188" s="598"/>
      <c r="AI188" s="700" t="s">
        <v>1612</v>
      </c>
      <c r="AJ188" s="598"/>
      <c r="AK188" s="626"/>
      <c r="AL188" s="626"/>
    </row>
    <row r="189" spans="1:38" ht="18" customHeight="1">
      <c r="A189" s="593"/>
      <c r="B189" s="598">
        <v>172</v>
      </c>
      <c r="C189" s="598" t="s">
        <v>1647</v>
      </c>
      <c r="D189" s="598">
        <f t="shared" si="0"/>
        <v>162</v>
      </c>
      <c r="E189" s="616" t="s">
        <v>1351</v>
      </c>
      <c r="F189" s="616" t="s">
        <v>729</v>
      </c>
      <c r="G189" s="618" t="s">
        <v>1202</v>
      </c>
      <c r="H189" s="618" t="s">
        <v>30</v>
      </c>
      <c r="I189" s="618" t="s">
        <v>1202</v>
      </c>
      <c r="J189" s="618" t="s">
        <v>1528</v>
      </c>
      <c r="K189" s="619" t="s">
        <v>1831</v>
      </c>
      <c r="L189" s="619"/>
      <c r="M189" s="620"/>
      <c r="N189" s="620"/>
      <c r="O189" s="663" t="s">
        <v>1115</v>
      </c>
      <c r="P189" s="621" t="s">
        <v>319</v>
      </c>
      <c r="Q189" s="598"/>
      <c r="R189" s="598"/>
      <c r="S189" s="598"/>
      <c r="T189" s="598" t="s">
        <v>992</v>
      </c>
      <c r="U189" s="663" t="s">
        <v>274</v>
      </c>
      <c r="V189" s="616" t="s">
        <v>1649</v>
      </c>
      <c r="W189" s="598" t="s">
        <v>963</v>
      </c>
      <c r="X189" s="624">
        <v>37979</v>
      </c>
      <c r="Y189" s="625">
        <f t="shared" ca="1" si="2"/>
        <v>22</v>
      </c>
      <c r="Z189" s="616" t="s">
        <v>1650</v>
      </c>
      <c r="AA189" s="598" t="s">
        <v>1651</v>
      </c>
      <c r="AB189" s="598" t="s">
        <v>996</v>
      </c>
      <c r="AC189" s="644" t="s">
        <v>997</v>
      </c>
      <c r="AD189" s="616" t="s">
        <v>729</v>
      </c>
      <c r="AE189" s="616" t="s">
        <v>729</v>
      </c>
      <c r="AF189" s="616" t="s">
        <v>1323</v>
      </c>
      <c r="AG189" s="598"/>
      <c r="AH189" s="598"/>
      <c r="AI189" s="647" t="s">
        <v>1513</v>
      </c>
      <c r="AJ189" s="598"/>
      <c r="AK189" s="626">
        <v>-6</v>
      </c>
      <c r="AL189" s="626"/>
    </row>
    <row r="190" spans="1:38" ht="18" customHeight="1">
      <c r="A190" s="593"/>
      <c r="B190" s="598">
        <v>173</v>
      </c>
      <c r="C190" s="598" t="s">
        <v>1793</v>
      </c>
      <c r="D190" s="598">
        <f t="shared" si="0"/>
        <v>163</v>
      </c>
      <c r="E190" s="616" t="s">
        <v>1351</v>
      </c>
      <c r="F190" s="616" t="s">
        <v>729</v>
      </c>
      <c r="G190" s="618" t="s">
        <v>1202</v>
      </c>
      <c r="H190" s="618" t="s">
        <v>30</v>
      </c>
      <c r="I190" s="618" t="s">
        <v>1202</v>
      </c>
      <c r="J190" s="618" t="s">
        <v>1528</v>
      </c>
      <c r="K190" s="619" t="s">
        <v>1831</v>
      </c>
      <c r="L190" s="619"/>
      <c r="M190" s="620"/>
      <c r="N190" s="620"/>
      <c r="O190" s="663" t="s">
        <v>1115</v>
      </c>
      <c r="P190" s="621" t="s">
        <v>319</v>
      </c>
      <c r="Q190" s="598"/>
      <c r="R190" s="598"/>
      <c r="S190" s="598"/>
      <c r="T190" s="598" t="s">
        <v>962</v>
      </c>
      <c r="U190" s="669" t="s">
        <v>783</v>
      </c>
      <c r="V190" s="616" t="s">
        <v>1794</v>
      </c>
      <c r="W190" s="598" t="s">
        <v>963</v>
      </c>
      <c r="X190" s="624">
        <v>34837</v>
      </c>
      <c r="Y190" s="625">
        <f t="shared" ca="1" si="2"/>
        <v>30</v>
      </c>
      <c r="Z190" s="616" t="s">
        <v>1795</v>
      </c>
      <c r="AA190" s="598"/>
      <c r="AB190" s="598" t="s">
        <v>996</v>
      </c>
      <c r="AC190" s="598" t="s">
        <v>1018</v>
      </c>
      <c r="AD190" s="616" t="s">
        <v>729</v>
      </c>
      <c r="AE190" s="616" t="s">
        <v>729</v>
      </c>
      <c r="AF190" s="616" t="s">
        <v>1796</v>
      </c>
      <c r="AG190" s="598"/>
      <c r="AH190" s="598"/>
      <c r="AI190" s="701" t="s">
        <v>1575</v>
      </c>
      <c r="AJ190" s="598"/>
      <c r="AK190" s="626">
        <v>-2</v>
      </c>
      <c r="AL190" s="626"/>
    </row>
    <row r="191" spans="1:38" ht="18" customHeight="1">
      <c r="A191" s="593"/>
      <c r="B191" s="598">
        <v>174</v>
      </c>
      <c r="C191" s="598" t="s">
        <v>1253</v>
      </c>
      <c r="D191" s="598">
        <f t="shared" si="0"/>
        <v>164</v>
      </c>
      <c r="E191" s="616" t="s">
        <v>1233</v>
      </c>
      <c r="F191" s="616" t="s">
        <v>729</v>
      </c>
      <c r="G191" s="618" t="s">
        <v>1202</v>
      </c>
      <c r="H191" s="618" t="s">
        <v>30</v>
      </c>
      <c r="I191" s="618" t="s">
        <v>1202</v>
      </c>
      <c r="J191" s="618" t="s">
        <v>1253</v>
      </c>
      <c r="K191" s="618" t="s">
        <v>1685</v>
      </c>
      <c r="L191" s="619"/>
      <c r="M191" s="620"/>
      <c r="N191" s="620"/>
      <c r="O191" s="667" t="s">
        <v>1127</v>
      </c>
      <c r="P191" s="621"/>
      <c r="Q191" s="598" t="s">
        <v>55</v>
      </c>
      <c r="R191" s="598" t="s">
        <v>178</v>
      </c>
      <c r="S191" s="598"/>
      <c r="T191" s="598" t="s">
        <v>1015</v>
      </c>
      <c r="U191" s="667" t="s">
        <v>1254</v>
      </c>
      <c r="V191" s="616" t="s">
        <v>1255</v>
      </c>
      <c r="W191" s="598" t="s">
        <v>950</v>
      </c>
      <c r="X191" s="624">
        <v>29411</v>
      </c>
      <c r="Y191" s="625">
        <f t="shared" ca="1" si="2"/>
        <v>45</v>
      </c>
      <c r="Z191" s="616" t="s">
        <v>1256</v>
      </c>
      <c r="AA191" s="598" t="s">
        <v>1257</v>
      </c>
      <c r="AB191" s="598" t="s">
        <v>966</v>
      </c>
      <c r="AC191" s="598" t="s">
        <v>953</v>
      </c>
      <c r="AD191" s="616" t="s">
        <v>729</v>
      </c>
      <c r="AE191" s="616" t="s">
        <v>1239</v>
      </c>
      <c r="AF191" s="616" t="s">
        <v>1258</v>
      </c>
      <c r="AG191" s="598"/>
      <c r="AH191" s="598"/>
      <c r="AI191" s="598"/>
      <c r="AJ191" s="598"/>
      <c r="AK191" s="626"/>
      <c r="AL191" s="626"/>
    </row>
    <row r="192" spans="1:38" ht="18" customHeight="1">
      <c r="A192" s="593"/>
      <c r="B192" s="598">
        <v>175</v>
      </c>
      <c r="C192" s="598" t="s">
        <v>1685</v>
      </c>
      <c r="D192" s="598">
        <f t="shared" si="0"/>
        <v>165</v>
      </c>
      <c r="E192" s="616" t="s">
        <v>1351</v>
      </c>
      <c r="F192" s="616" t="s">
        <v>729</v>
      </c>
      <c r="G192" s="618" t="s">
        <v>1202</v>
      </c>
      <c r="H192" s="618" t="s">
        <v>30</v>
      </c>
      <c r="I192" s="618" t="s">
        <v>1202</v>
      </c>
      <c r="J192" s="618" t="s">
        <v>1253</v>
      </c>
      <c r="K192" s="618" t="s">
        <v>1685</v>
      </c>
      <c r="L192" s="619"/>
      <c r="M192" s="620"/>
      <c r="N192" s="620"/>
      <c r="O192" s="663" t="s">
        <v>1127</v>
      </c>
      <c r="P192" s="621"/>
      <c r="Q192" s="598" t="s">
        <v>69</v>
      </c>
      <c r="R192" s="598" t="s">
        <v>562</v>
      </c>
      <c r="S192" s="598"/>
      <c r="T192" s="598" t="s">
        <v>1015</v>
      </c>
      <c r="U192" s="663" t="s">
        <v>1688</v>
      </c>
      <c r="V192" s="616" t="s">
        <v>1689</v>
      </c>
      <c r="W192" s="598" t="s">
        <v>950</v>
      </c>
      <c r="X192" s="624">
        <v>29485</v>
      </c>
      <c r="Y192" s="625">
        <f t="shared" ca="1" si="2"/>
        <v>45</v>
      </c>
      <c r="Z192" s="654" t="s">
        <v>1690</v>
      </c>
      <c r="AA192" s="598" t="s">
        <v>1691</v>
      </c>
      <c r="AB192" s="598" t="s">
        <v>996</v>
      </c>
      <c r="AC192" s="598" t="s">
        <v>997</v>
      </c>
      <c r="AD192" s="616" t="s">
        <v>729</v>
      </c>
      <c r="AE192" s="616" t="s">
        <v>729</v>
      </c>
      <c r="AF192" s="616" t="s">
        <v>1323</v>
      </c>
      <c r="AG192" s="598"/>
      <c r="AH192" s="598"/>
      <c r="AI192" s="598" t="s">
        <v>1349</v>
      </c>
      <c r="AJ192" s="598"/>
      <c r="AK192" s="626"/>
      <c r="AL192" s="626"/>
    </row>
    <row r="193" spans="1:38" ht="18" customHeight="1">
      <c r="A193" s="593"/>
      <c r="B193" s="598">
        <v>176</v>
      </c>
      <c r="C193" s="598" t="s">
        <v>1336</v>
      </c>
      <c r="D193" s="598">
        <f t="shared" si="0"/>
        <v>166</v>
      </c>
      <c r="E193" s="616" t="s">
        <v>1233</v>
      </c>
      <c r="F193" s="616" t="s">
        <v>729</v>
      </c>
      <c r="G193" s="618" t="s">
        <v>1202</v>
      </c>
      <c r="H193" s="618" t="s">
        <v>30</v>
      </c>
      <c r="I193" s="618" t="s">
        <v>1202</v>
      </c>
      <c r="J193" s="618" t="s">
        <v>1253</v>
      </c>
      <c r="K193" s="618" t="s">
        <v>1685</v>
      </c>
      <c r="L193" s="619"/>
      <c r="M193" s="620"/>
      <c r="N193" s="620"/>
      <c r="O193" s="663" t="s">
        <v>1127</v>
      </c>
      <c r="P193" s="621"/>
      <c r="Q193" s="598"/>
      <c r="R193" s="598"/>
      <c r="S193" s="598"/>
      <c r="T193" s="598" t="s">
        <v>1015</v>
      </c>
      <c r="U193" s="663" t="s">
        <v>1339</v>
      </c>
      <c r="V193" s="616" t="s">
        <v>1340</v>
      </c>
      <c r="W193" s="598" t="s">
        <v>950</v>
      </c>
      <c r="X193" s="624">
        <v>28450</v>
      </c>
      <c r="Y193" s="625">
        <f t="shared" ca="1" si="2"/>
        <v>48</v>
      </c>
      <c r="Z193" s="616" t="s">
        <v>1341</v>
      </c>
      <c r="AA193" s="598" t="s">
        <v>1342</v>
      </c>
      <c r="AB193" s="598" t="s">
        <v>996</v>
      </c>
      <c r="AC193" s="598" t="s">
        <v>997</v>
      </c>
      <c r="AD193" s="616" t="s">
        <v>729</v>
      </c>
      <c r="AE193" s="616" t="s">
        <v>1239</v>
      </c>
      <c r="AF193" s="616" t="s">
        <v>1258</v>
      </c>
      <c r="AG193" s="598"/>
      <c r="AH193" s="598"/>
      <c r="AI193" s="598" t="s">
        <v>1011</v>
      </c>
      <c r="AJ193" s="598"/>
      <c r="AK193" s="626"/>
      <c r="AL193" s="626"/>
    </row>
    <row r="194" spans="1:38" ht="18" customHeight="1">
      <c r="A194" s="593"/>
      <c r="B194" s="598">
        <v>177</v>
      </c>
      <c r="C194" s="598" t="s">
        <v>4579</v>
      </c>
      <c r="D194" s="598">
        <f t="shared" si="0"/>
        <v>167</v>
      </c>
      <c r="E194" s="616" t="s">
        <v>1351</v>
      </c>
      <c r="F194" s="616" t="s">
        <v>729</v>
      </c>
      <c r="G194" s="618" t="s">
        <v>1202</v>
      </c>
      <c r="H194" s="618" t="s">
        <v>30</v>
      </c>
      <c r="I194" s="618" t="s">
        <v>1202</v>
      </c>
      <c r="J194" s="618" t="s">
        <v>1253</v>
      </c>
      <c r="K194" s="618" t="s">
        <v>1685</v>
      </c>
      <c r="L194" s="619"/>
      <c r="M194" s="620"/>
      <c r="N194" s="620"/>
      <c r="O194" s="663" t="s">
        <v>1127</v>
      </c>
      <c r="P194" s="621"/>
      <c r="Q194" s="598"/>
      <c r="R194" s="598"/>
      <c r="S194" s="598"/>
      <c r="T194" s="598" t="s">
        <v>1015</v>
      </c>
      <c r="U194" s="663" t="s">
        <v>4580</v>
      </c>
      <c r="V194" s="616" t="s">
        <v>4581</v>
      </c>
      <c r="W194" s="598" t="s">
        <v>950</v>
      </c>
      <c r="X194" s="624">
        <v>31343</v>
      </c>
      <c r="Y194" s="625">
        <f t="shared" ca="1" si="2"/>
        <v>40</v>
      </c>
      <c r="Z194" s="616" t="s">
        <v>4582</v>
      </c>
      <c r="AA194" s="598" t="s">
        <v>4583</v>
      </c>
      <c r="AB194" s="598" t="s">
        <v>996</v>
      </c>
      <c r="AC194" s="598" t="s">
        <v>997</v>
      </c>
      <c r="AD194" s="616" t="s">
        <v>729</v>
      </c>
      <c r="AE194" s="616" t="s">
        <v>729</v>
      </c>
      <c r="AF194" s="616" t="s">
        <v>4584</v>
      </c>
      <c r="AG194" s="598"/>
      <c r="AH194" s="598"/>
      <c r="AI194" s="598" t="s">
        <v>1440</v>
      </c>
      <c r="AJ194" s="598"/>
      <c r="AK194" s="626"/>
      <c r="AL194" s="626"/>
    </row>
    <row r="195" spans="1:38" ht="18" customHeight="1">
      <c r="A195" s="593"/>
      <c r="B195" s="598">
        <v>178</v>
      </c>
      <c r="C195" s="598" t="s">
        <v>1338</v>
      </c>
      <c r="D195" s="598">
        <f t="shared" si="0"/>
        <v>168</v>
      </c>
      <c r="E195" s="616" t="s">
        <v>1351</v>
      </c>
      <c r="F195" s="616" t="s">
        <v>729</v>
      </c>
      <c r="G195" s="618" t="s">
        <v>1202</v>
      </c>
      <c r="H195" s="618" t="s">
        <v>30</v>
      </c>
      <c r="I195" s="618" t="s">
        <v>1202</v>
      </c>
      <c r="J195" s="618" t="s">
        <v>1253</v>
      </c>
      <c r="K195" s="618" t="s">
        <v>1685</v>
      </c>
      <c r="L195" s="619"/>
      <c r="M195" s="620"/>
      <c r="N195" s="620"/>
      <c r="O195" s="663" t="s">
        <v>1127</v>
      </c>
      <c r="P195" s="621"/>
      <c r="Q195" s="598"/>
      <c r="R195" s="598"/>
      <c r="S195" s="702" t="s">
        <v>1974</v>
      </c>
      <c r="T195" s="598" t="s">
        <v>1015</v>
      </c>
      <c r="U195" s="663" t="s">
        <v>1393</v>
      </c>
      <c r="V195" s="616" t="s">
        <v>1394</v>
      </c>
      <c r="W195" s="598" t="s">
        <v>950</v>
      </c>
      <c r="X195" s="624">
        <v>31414</v>
      </c>
      <c r="Y195" s="625">
        <f t="shared" ca="1" si="2"/>
        <v>40</v>
      </c>
      <c r="Z195" s="616" t="s">
        <v>1395</v>
      </c>
      <c r="AA195" s="598" t="s">
        <v>1396</v>
      </c>
      <c r="AB195" s="598" t="s">
        <v>966</v>
      </c>
      <c r="AC195" s="598" t="s">
        <v>953</v>
      </c>
      <c r="AD195" s="616" t="s">
        <v>729</v>
      </c>
      <c r="AE195" s="616" t="s">
        <v>729</v>
      </c>
      <c r="AF195" s="616" t="s">
        <v>1397</v>
      </c>
      <c r="AG195" s="598"/>
      <c r="AH195" s="598"/>
      <c r="AI195" s="598" t="s">
        <v>1011</v>
      </c>
      <c r="AJ195" s="598"/>
      <c r="AK195" s="626"/>
      <c r="AL195" s="626"/>
    </row>
    <row r="196" spans="1:38" ht="18" customHeight="1">
      <c r="A196" s="593"/>
      <c r="B196" s="598">
        <v>179</v>
      </c>
      <c r="C196" s="598" t="s">
        <v>1434</v>
      </c>
      <c r="D196" s="598">
        <f t="shared" si="0"/>
        <v>169</v>
      </c>
      <c r="E196" s="616" t="s">
        <v>1351</v>
      </c>
      <c r="F196" s="616" t="s">
        <v>729</v>
      </c>
      <c r="G196" s="618" t="s">
        <v>1202</v>
      </c>
      <c r="H196" s="618" t="s">
        <v>30</v>
      </c>
      <c r="I196" s="618" t="s">
        <v>1202</v>
      </c>
      <c r="J196" s="618" t="s">
        <v>1253</v>
      </c>
      <c r="K196" s="618" t="s">
        <v>1685</v>
      </c>
      <c r="L196" s="619"/>
      <c r="M196" s="620"/>
      <c r="N196" s="620"/>
      <c r="O196" s="663" t="s">
        <v>1127</v>
      </c>
      <c r="P196" s="621"/>
      <c r="Q196" s="598"/>
      <c r="R196" s="598"/>
      <c r="S196" s="598"/>
      <c r="T196" s="598" t="s">
        <v>1015</v>
      </c>
      <c r="U196" s="663" t="s">
        <v>1435</v>
      </c>
      <c r="V196" s="616" t="s">
        <v>1436</v>
      </c>
      <c r="W196" s="598" t="s">
        <v>950</v>
      </c>
      <c r="X196" s="624">
        <v>33133</v>
      </c>
      <c r="Y196" s="625">
        <f t="shared" ca="1" si="2"/>
        <v>35</v>
      </c>
      <c r="Z196" s="616" t="s">
        <v>1437</v>
      </c>
      <c r="AA196" s="598" t="s">
        <v>1438</v>
      </c>
      <c r="AB196" s="598" t="s">
        <v>996</v>
      </c>
      <c r="AC196" s="598" t="s">
        <v>953</v>
      </c>
      <c r="AD196" s="616" t="s">
        <v>729</v>
      </c>
      <c r="AE196" s="616" t="s">
        <v>729</v>
      </c>
      <c r="AF196" s="616" t="s">
        <v>1439</v>
      </c>
      <c r="AG196" s="598"/>
      <c r="AH196" s="598"/>
      <c r="AI196" s="598" t="s">
        <v>1440</v>
      </c>
      <c r="AJ196" s="598"/>
      <c r="AK196" s="626"/>
      <c r="AL196" s="626"/>
    </row>
    <row r="197" spans="1:38" ht="18" customHeight="1">
      <c r="A197" s="593"/>
      <c r="B197" s="598">
        <v>180</v>
      </c>
      <c r="C197" s="598" t="s">
        <v>1912</v>
      </c>
      <c r="D197" s="598">
        <f t="shared" si="0"/>
        <v>170</v>
      </c>
      <c r="E197" s="616" t="s">
        <v>1351</v>
      </c>
      <c r="F197" s="616" t="s">
        <v>729</v>
      </c>
      <c r="G197" s="618" t="s">
        <v>1202</v>
      </c>
      <c r="H197" s="618" t="s">
        <v>30</v>
      </c>
      <c r="I197" s="618" t="s">
        <v>1202</v>
      </c>
      <c r="J197" s="618" t="s">
        <v>1912</v>
      </c>
      <c r="K197" s="618" t="s">
        <v>2442</v>
      </c>
      <c r="L197" s="619" t="s">
        <v>2055</v>
      </c>
      <c r="M197" s="619" t="s">
        <v>1913</v>
      </c>
      <c r="N197" s="620"/>
      <c r="O197" s="667" t="s">
        <v>1157</v>
      </c>
      <c r="P197" s="621"/>
      <c r="Q197" s="598" t="s">
        <v>55</v>
      </c>
      <c r="R197" s="598" t="s">
        <v>178</v>
      </c>
      <c r="S197" s="598"/>
      <c r="T197" s="598" t="s">
        <v>1015</v>
      </c>
      <c r="U197" s="667" t="s">
        <v>1914</v>
      </c>
      <c r="V197" s="616" t="s">
        <v>1915</v>
      </c>
      <c r="W197" s="598" t="s">
        <v>950</v>
      </c>
      <c r="X197" s="624">
        <v>31138</v>
      </c>
      <c r="Y197" s="625">
        <f t="shared" ca="1" si="2"/>
        <v>40</v>
      </c>
      <c r="Z197" s="654" t="s">
        <v>1916</v>
      </c>
      <c r="AA197" s="598" t="s">
        <v>1917</v>
      </c>
      <c r="AB197" s="598" t="s">
        <v>966</v>
      </c>
      <c r="AC197" s="598" t="s">
        <v>953</v>
      </c>
      <c r="AD197" s="616" t="s">
        <v>729</v>
      </c>
      <c r="AE197" s="616" t="s">
        <v>729</v>
      </c>
      <c r="AF197" s="616" t="s">
        <v>1561</v>
      </c>
      <c r="AG197" s="598"/>
      <c r="AH197" s="598"/>
      <c r="AI197" s="598" t="s">
        <v>1349</v>
      </c>
      <c r="AJ197" s="598"/>
      <c r="AK197" s="626"/>
      <c r="AL197" s="626"/>
    </row>
    <row r="198" spans="1:38" ht="18" customHeight="1">
      <c r="A198" s="593"/>
      <c r="B198" s="598">
        <v>181</v>
      </c>
      <c r="C198" s="598" t="s">
        <v>2055</v>
      </c>
      <c r="D198" s="598">
        <f t="shared" si="0"/>
        <v>171</v>
      </c>
      <c r="E198" s="616" t="s">
        <v>1351</v>
      </c>
      <c r="F198" s="616" t="s">
        <v>729</v>
      </c>
      <c r="G198" s="618" t="s">
        <v>1202</v>
      </c>
      <c r="H198" s="618" t="s">
        <v>30</v>
      </c>
      <c r="I198" s="618" t="s">
        <v>1202</v>
      </c>
      <c r="J198" s="618" t="s">
        <v>1912</v>
      </c>
      <c r="K198" s="618" t="s">
        <v>2442</v>
      </c>
      <c r="L198" s="619" t="s">
        <v>2055</v>
      </c>
      <c r="M198" s="619" t="s">
        <v>1913</v>
      </c>
      <c r="N198" s="620"/>
      <c r="O198" s="663" t="s">
        <v>1157</v>
      </c>
      <c r="P198" s="621"/>
      <c r="Q198" s="598" t="s">
        <v>69</v>
      </c>
      <c r="R198" s="598" t="s">
        <v>562</v>
      </c>
      <c r="S198" s="598"/>
      <c r="T198" s="598" t="s">
        <v>1015</v>
      </c>
      <c r="U198" s="663" t="s">
        <v>219</v>
      </c>
      <c r="V198" s="616" t="s">
        <v>2058</v>
      </c>
      <c r="W198" s="598" t="s">
        <v>950</v>
      </c>
      <c r="X198" s="624">
        <v>20588</v>
      </c>
      <c r="Y198" s="625">
        <f t="shared" ca="1" si="2"/>
        <v>69</v>
      </c>
      <c r="Z198" s="654" t="s">
        <v>2059</v>
      </c>
      <c r="AA198" s="598" t="s">
        <v>2060</v>
      </c>
      <c r="AB198" s="598" t="s">
        <v>996</v>
      </c>
      <c r="AC198" s="644" t="s">
        <v>997</v>
      </c>
      <c r="AD198" s="616" t="s">
        <v>729</v>
      </c>
      <c r="AE198" s="616" t="s">
        <v>729</v>
      </c>
      <c r="AF198" s="616" t="s">
        <v>2061</v>
      </c>
      <c r="AG198" s="598"/>
      <c r="AH198" s="598"/>
      <c r="AI198" s="598" t="s">
        <v>1349</v>
      </c>
      <c r="AJ198" s="598"/>
      <c r="AK198" s="626"/>
      <c r="AL198" s="626"/>
    </row>
    <row r="199" spans="1:38" ht="18" customHeight="1">
      <c r="A199" s="593"/>
      <c r="B199" s="598">
        <v>182</v>
      </c>
      <c r="C199" s="598" t="s">
        <v>1913</v>
      </c>
      <c r="D199" s="598">
        <f t="shared" si="0"/>
        <v>172</v>
      </c>
      <c r="E199" s="616" t="s">
        <v>1351</v>
      </c>
      <c r="F199" s="616" t="s">
        <v>729</v>
      </c>
      <c r="G199" s="618" t="s">
        <v>1202</v>
      </c>
      <c r="H199" s="618" t="s">
        <v>30</v>
      </c>
      <c r="I199" s="618" t="s">
        <v>1202</v>
      </c>
      <c r="J199" s="618" t="s">
        <v>1912</v>
      </c>
      <c r="K199" s="618" t="s">
        <v>2442</v>
      </c>
      <c r="L199" s="619" t="s">
        <v>2055</v>
      </c>
      <c r="M199" s="619" t="s">
        <v>1913</v>
      </c>
      <c r="N199" s="620"/>
      <c r="O199" s="663" t="s">
        <v>1157</v>
      </c>
      <c r="P199" s="621"/>
      <c r="Q199" s="598" t="s">
        <v>69</v>
      </c>
      <c r="R199" s="598" t="s">
        <v>562</v>
      </c>
      <c r="S199" s="598"/>
      <c r="T199" s="598" t="s">
        <v>1015</v>
      </c>
      <c r="U199" s="663" t="s">
        <v>1918</v>
      </c>
      <c r="V199" s="616" t="s">
        <v>1919</v>
      </c>
      <c r="W199" s="598" t="s">
        <v>950</v>
      </c>
      <c r="X199" s="624">
        <v>28649</v>
      </c>
      <c r="Y199" s="625">
        <f t="shared" ca="1" si="2"/>
        <v>47</v>
      </c>
      <c r="Z199" s="654" t="s">
        <v>1920</v>
      </c>
      <c r="AA199" s="598" t="s">
        <v>1921</v>
      </c>
      <c r="AB199" s="598" t="s">
        <v>966</v>
      </c>
      <c r="AC199" s="598" t="s">
        <v>953</v>
      </c>
      <c r="AD199" s="616" t="s">
        <v>729</v>
      </c>
      <c r="AE199" s="616" t="s">
        <v>729</v>
      </c>
      <c r="AF199" s="616" t="s">
        <v>1922</v>
      </c>
      <c r="AG199" s="598"/>
      <c r="AH199" s="598"/>
      <c r="AI199" s="598" t="s">
        <v>1349</v>
      </c>
      <c r="AJ199" s="598"/>
      <c r="AK199" s="626"/>
      <c r="AL199" s="626"/>
    </row>
    <row r="200" spans="1:38" ht="18" customHeight="1">
      <c r="A200" s="593"/>
      <c r="B200" s="598">
        <v>183</v>
      </c>
      <c r="C200" s="598" t="s">
        <v>1949</v>
      </c>
      <c r="D200" s="598">
        <f t="shared" si="0"/>
        <v>173</v>
      </c>
      <c r="E200" s="616" t="s">
        <v>1351</v>
      </c>
      <c r="F200" s="616" t="s">
        <v>729</v>
      </c>
      <c r="G200" s="618" t="s">
        <v>1202</v>
      </c>
      <c r="H200" s="618" t="s">
        <v>30</v>
      </c>
      <c r="I200" s="618" t="s">
        <v>1202</v>
      </c>
      <c r="J200" s="618" t="s">
        <v>1912</v>
      </c>
      <c r="K200" s="618" t="s">
        <v>2443</v>
      </c>
      <c r="L200" s="619" t="s">
        <v>2055</v>
      </c>
      <c r="M200" s="619" t="s">
        <v>1913</v>
      </c>
      <c r="N200" s="620"/>
      <c r="O200" s="663" t="s">
        <v>1157</v>
      </c>
      <c r="P200" s="621"/>
      <c r="Q200" s="598" t="s">
        <v>55</v>
      </c>
      <c r="R200" s="598" t="s">
        <v>178</v>
      </c>
      <c r="S200" s="598"/>
      <c r="T200" s="598" t="s">
        <v>1015</v>
      </c>
      <c r="U200" s="663" t="s">
        <v>336</v>
      </c>
      <c r="V200" s="616" t="s">
        <v>4585</v>
      </c>
      <c r="W200" s="598" t="s">
        <v>950</v>
      </c>
      <c r="X200" s="624">
        <v>30593</v>
      </c>
      <c r="Y200" s="625">
        <f t="shared" ca="1" si="2"/>
        <v>42</v>
      </c>
      <c r="Z200" s="616" t="s">
        <v>1951</v>
      </c>
      <c r="AA200" s="598" t="s">
        <v>1952</v>
      </c>
      <c r="AB200" s="598" t="s">
        <v>966</v>
      </c>
      <c r="AC200" s="598" t="s">
        <v>953</v>
      </c>
      <c r="AD200" s="616" t="s">
        <v>729</v>
      </c>
      <c r="AE200" s="616" t="s">
        <v>729</v>
      </c>
      <c r="AF200" s="616"/>
      <c r="AG200" s="598"/>
      <c r="AH200" s="598"/>
      <c r="AI200" s="598" t="s">
        <v>1440</v>
      </c>
      <c r="AJ200" s="598"/>
      <c r="AK200" s="626"/>
      <c r="AL200" s="626"/>
    </row>
    <row r="201" spans="1:38" ht="18" customHeight="1">
      <c r="A201" s="593"/>
      <c r="B201" s="598">
        <v>184</v>
      </c>
      <c r="C201" s="598" t="s">
        <v>1923</v>
      </c>
      <c r="D201" s="598">
        <f t="shared" si="0"/>
        <v>174</v>
      </c>
      <c r="E201" s="616" t="s">
        <v>1351</v>
      </c>
      <c r="F201" s="616" t="s">
        <v>729</v>
      </c>
      <c r="G201" s="618" t="s">
        <v>1202</v>
      </c>
      <c r="H201" s="618" t="s">
        <v>30</v>
      </c>
      <c r="I201" s="618" t="s">
        <v>1202</v>
      </c>
      <c r="J201" s="618" t="s">
        <v>1912</v>
      </c>
      <c r="K201" s="618" t="s">
        <v>2442</v>
      </c>
      <c r="L201" s="619" t="s">
        <v>2055</v>
      </c>
      <c r="M201" s="619" t="s">
        <v>1913</v>
      </c>
      <c r="N201" s="620"/>
      <c r="O201" s="663" t="s">
        <v>1157</v>
      </c>
      <c r="P201" s="621"/>
      <c r="Q201" s="598" t="s">
        <v>55</v>
      </c>
      <c r="R201" s="598" t="s">
        <v>178</v>
      </c>
      <c r="S201" s="598"/>
      <c r="T201" s="598" t="s">
        <v>1015</v>
      </c>
      <c r="U201" s="663" t="s">
        <v>299</v>
      </c>
      <c r="V201" s="616" t="s">
        <v>1925</v>
      </c>
      <c r="W201" s="598" t="s">
        <v>950</v>
      </c>
      <c r="X201" s="624">
        <v>22549</v>
      </c>
      <c r="Y201" s="625">
        <f t="shared" ca="1" si="2"/>
        <v>64</v>
      </c>
      <c r="Z201" s="654" t="s">
        <v>1926</v>
      </c>
      <c r="AA201" s="598" t="s">
        <v>1927</v>
      </c>
      <c r="AB201" s="598" t="s">
        <v>966</v>
      </c>
      <c r="AC201" s="598" t="s">
        <v>953</v>
      </c>
      <c r="AD201" s="616" t="s">
        <v>729</v>
      </c>
      <c r="AE201" s="616" t="s">
        <v>729</v>
      </c>
      <c r="AF201" s="616" t="s">
        <v>1928</v>
      </c>
      <c r="AG201" s="598"/>
      <c r="AH201" s="598"/>
      <c r="AI201" s="598" t="s">
        <v>1349</v>
      </c>
      <c r="AJ201" s="598"/>
      <c r="AK201" s="626"/>
      <c r="AL201" s="626"/>
    </row>
    <row r="202" spans="1:38" ht="18" customHeight="1">
      <c r="A202" s="593"/>
      <c r="B202" s="598">
        <v>185</v>
      </c>
      <c r="C202" s="598" t="s">
        <v>1343</v>
      </c>
      <c r="D202" s="598">
        <f t="shared" si="0"/>
        <v>175</v>
      </c>
      <c r="E202" s="616" t="s">
        <v>1351</v>
      </c>
      <c r="F202" s="616" t="s">
        <v>729</v>
      </c>
      <c r="G202" s="618" t="s">
        <v>1202</v>
      </c>
      <c r="H202" s="618" t="s">
        <v>30</v>
      </c>
      <c r="I202" s="618" t="s">
        <v>1202</v>
      </c>
      <c r="J202" s="618" t="s">
        <v>1912</v>
      </c>
      <c r="K202" s="618" t="s">
        <v>2442</v>
      </c>
      <c r="L202" s="619" t="s">
        <v>2055</v>
      </c>
      <c r="M202" s="619" t="s">
        <v>1913</v>
      </c>
      <c r="N202" s="620"/>
      <c r="O202" s="663" t="s">
        <v>1157</v>
      </c>
      <c r="P202" s="621"/>
      <c r="Q202" s="598"/>
      <c r="R202" s="598"/>
      <c r="S202" s="598"/>
      <c r="T202" s="598" t="s">
        <v>1015</v>
      </c>
      <c r="U202" s="663" t="s">
        <v>1344</v>
      </c>
      <c r="V202" s="616" t="s">
        <v>1345</v>
      </c>
      <c r="W202" s="598" t="s">
        <v>950</v>
      </c>
      <c r="X202" s="624">
        <v>26557</v>
      </c>
      <c r="Y202" s="625">
        <f t="shared" ca="1" si="2"/>
        <v>53</v>
      </c>
      <c r="Z202" s="654" t="s">
        <v>1346</v>
      </c>
      <c r="AA202" s="598" t="s">
        <v>1347</v>
      </c>
      <c r="AB202" s="598" t="s">
        <v>996</v>
      </c>
      <c r="AC202" s="598" t="s">
        <v>997</v>
      </c>
      <c r="AD202" s="616" t="s">
        <v>729</v>
      </c>
      <c r="AE202" s="616" t="s">
        <v>729</v>
      </c>
      <c r="AF202" s="616" t="s">
        <v>1348</v>
      </c>
      <c r="AG202" s="598"/>
      <c r="AH202" s="598"/>
      <c r="AI202" s="598" t="s">
        <v>1349</v>
      </c>
      <c r="AJ202" s="598"/>
      <c r="AK202" s="626"/>
      <c r="AL202" s="626"/>
    </row>
    <row r="203" spans="1:38" ht="18" customHeight="1">
      <c r="A203" s="278"/>
      <c r="B203" s="598">
        <v>186</v>
      </c>
      <c r="C203" s="598" t="s">
        <v>1991</v>
      </c>
      <c r="D203" s="598">
        <f t="shared" si="0"/>
        <v>176</v>
      </c>
      <c r="E203" s="685" t="s">
        <v>1351</v>
      </c>
      <c r="F203" s="616" t="s">
        <v>729</v>
      </c>
      <c r="G203" s="618" t="s">
        <v>1202</v>
      </c>
      <c r="H203" s="618" t="s">
        <v>30</v>
      </c>
      <c r="I203" s="618" t="s">
        <v>1202</v>
      </c>
      <c r="J203" s="618" t="s">
        <v>1912</v>
      </c>
      <c r="K203" s="618" t="s">
        <v>2442</v>
      </c>
      <c r="L203" s="619" t="s">
        <v>2055</v>
      </c>
      <c r="M203" s="619" t="s">
        <v>1913</v>
      </c>
      <c r="N203" s="620"/>
      <c r="O203" s="663" t="s">
        <v>1157</v>
      </c>
      <c r="P203" s="637"/>
      <c r="Q203" s="598" t="s">
        <v>55</v>
      </c>
      <c r="R203" s="598" t="s">
        <v>178</v>
      </c>
      <c r="S203" s="598"/>
      <c r="T203" s="703" t="s">
        <v>1015</v>
      </c>
      <c r="U203" s="672" t="s">
        <v>289</v>
      </c>
      <c r="V203" s="598" t="s">
        <v>1993</v>
      </c>
      <c r="W203" s="598" t="s">
        <v>950</v>
      </c>
      <c r="X203" s="624">
        <v>28944</v>
      </c>
      <c r="Y203" s="625">
        <f t="shared" ca="1" si="2"/>
        <v>46</v>
      </c>
      <c r="Z203" s="598" t="s">
        <v>1994</v>
      </c>
      <c r="AA203" s="598" t="s">
        <v>1995</v>
      </c>
      <c r="AB203" s="598" t="s">
        <v>966</v>
      </c>
      <c r="AC203" s="598" t="s">
        <v>953</v>
      </c>
      <c r="AD203" s="598" t="s">
        <v>246</v>
      </c>
      <c r="AE203" s="598" t="s">
        <v>246</v>
      </c>
      <c r="AF203" s="598" t="s">
        <v>4586</v>
      </c>
      <c r="AG203" s="627"/>
      <c r="AH203" s="627"/>
      <c r="AI203" s="598" t="s">
        <v>1025</v>
      </c>
      <c r="AJ203" s="627"/>
      <c r="AK203" s="627"/>
      <c r="AL203" s="627"/>
    </row>
    <row r="204" spans="1:38" ht="18" customHeight="1">
      <c r="A204" s="593"/>
      <c r="B204" s="598">
        <v>187</v>
      </c>
      <c r="C204" s="598" t="s">
        <v>4587</v>
      </c>
      <c r="D204" s="598">
        <f t="shared" si="0"/>
        <v>177</v>
      </c>
      <c r="E204" s="616" t="s">
        <v>1351</v>
      </c>
      <c r="F204" s="616" t="s">
        <v>729</v>
      </c>
      <c r="G204" s="618" t="s">
        <v>1202</v>
      </c>
      <c r="H204" s="618" t="s">
        <v>30</v>
      </c>
      <c r="I204" s="618" t="s">
        <v>1202</v>
      </c>
      <c r="J204" s="618" t="s">
        <v>1912</v>
      </c>
      <c r="K204" s="618" t="s">
        <v>2442</v>
      </c>
      <c r="L204" s="619" t="s">
        <v>2055</v>
      </c>
      <c r="M204" s="619" t="s">
        <v>1913</v>
      </c>
      <c r="N204" s="620"/>
      <c r="O204" s="664" t="s">
        <v>1157</v>
      </c>
      <c r="P204" s="621"/>
      <c r="Q204" s="598"/>
      <c r="R204" s="598"/>
      <c r="S204" s="598"/>
      <c r="T204" s="598" t="s">
        <v>1015</v>
      </c>
      <c r="U204" s="673" t="s">
        <v>4588</v>
      </c>
      <c r="V204" s="616" t="s">
        <v>4589</v>
      </c>
      <c r="W204" s="598" t="s">
        <v>950</v>
      </c>
      <c r="X204" s="624">
        <v>30235</v>
      </c>
      <c r="Y204" s="625">
        <f t="shared" ca="1" si="2"/>
        <v>43</v>
      </c>
      <c r="Z204" s="616" t="s">
        <v>4590</v>
      </c>
      <c r="AA204" s="652"/>
      <c r="AB204" s="598" t="s">
        <v>996</v>
      </c>
      <c r="AC204" s="598" t="s">
        <v>997</v>
      </c>
      <c r="AD204" s="616" t="s">
        <v>729</v>
      </c>
      <c r="AE204" s="616" t="s">
        <v>729</v>
      </c>
      <c r="AF204" s="616" t="s">
        <v>4591</v>
      </c>
      <c r="AG204" s="598"/>
      <c r="AH204" s="598"/>
      <c r="AI204" s="598"/>
      <c r="AJ204" s="598"/>
      <c r="AK204" s="626"/>
      <c r="AL204" s="626"/>
    </row>
    <row r="205" spans="1:38" ht="18" customHeight="1">
      <c r="A205" s="593"/>
      <c r="B205" s="598">
        <v>188</v>
      </c>
      <c r="C205" s="598" t="s">
        <v>2443</v>
      </c>
      <c r="D205" s="598">
        <f t="shared" si="0"/>
        <v>178</v>
      </c>
      <c r="E205" s="616" t="s">
        <v>1351</v>
      </c>
      <c r="F205" s="616" t="s">
        <v>729</v>
      </c>
      <c r="G205" s="618" t="s">
        <v>1202</v>
      </c>
      <c r="H205" s="618" t="s">
        <v>30</v>
      </c>
      <c r="I205" s="618" t="s">
        <v>1202</v>
      </c>
      <c r="J205" s="618" t="s">
        <v>2443</v>
      </c>
      <c r="K205" s="618" t="s">
        <v>2442</v>
      </c>
      <c r="L205" s="619"/>
      <c r="M205" s="619"/>
      <c r="N205" s="619"/>
      <c r="O205" s="667" t="s">
        <v>1480</v>
      </c>
      <c r="P205" s="621"/>
      <c r="Q205" s="598" t="s">
        <v>69</v>
      </c>
      <c r="R205" s="598" t="s">
        <v>69</v>
      </c>
      <c r="S205" s="598"/>
      <c r="T205" s="598" t="s">
        <v>1015</v>
      </c>
      <c r="U205" s="663" t="s">
        <v>2449</v>
      </c>
      <c r="V205" s="616" t="s">
        <v>2450</v>
      </c>
      <c r="W205" s="598" t="s">
        <v>950</v>
      </c>
      <c r="X205" s="624">
        <v>29346</v>
      </c>
      <c r="Y205" s="625">
        <f t="shared" ca="1" si="2"/>
        <v>45</v>
      </c>
      <c r="Z205" s="616" t="s">
        <v>2451</v>
      </c>
      <c r="AA205" s="598" t="s">
        <v>2452</v>
      </c>
      <c r="AB205" s="598" t="s">
        <v>966</v>
      </c>
      <c r="AC205" s="598" t="s">
        <v>953</v>
      </c>
      <c r="AD205" s="616" t="s">
        <v>729</v>
      </c>
      <c r="AE205" s="616" t="s">
        <v>729</v>
      </c>
      <c r="AF205" s="616"/>
      <c r="AG205" s="598"/>
      <c r="AH205" s="598"/>
      <c r="AI205" s="598" t="s">
        <v>1440</v>
      </c>
      <c r="AJ205" s="598"/>
      <c r="AK205" s="626"/>
      <c r="AL205" s="626"/>
    </row>
    <row r="206" spans="1:38" ht="18" customHeight="1">
      <c r="A206" s="593"/>
      <c r="B206" s="598">
        <v>189</v>
      </c>
      <c r="C206" s="598" t="s">
        <v>2442</v>
      </c>
      <c r="D206" s="598">
        <f t="shared" si="0"/>
        <v>179</v>
      </c>
      <c r="E206" s="616" t="s">
        <v>1351</v>
      </c>
      <c r="F206" s="616" t="s">
        <v>729</v>
      </c>
      <c r="G206" s="618" t="s">
        <v>1202</v>
      </c>
      <c r="H206" s="618" t="s">
        <v>30</v>
      </c>
      <c r="I206" s="618" t="s">
        <v>1202</v>
      </c>
      <c r="J206" s="618" t="s">
        <v>2443</v>
      </c>
      <c r="K206" s="618" t="s">
        <v>2442</v>
      </c>
      <c r="L206" s="619"/>
      <c r="M206" s="619"/>
      <c r="N206" s="619"/>
      <c r="O206" s="663" t="s">
        <v>1480</v>
      </c>
      <c r="P206" s="621"/>
      <c r="Q206" s="598" t="s">
        <v>69</v>
      </c>
      <c r="R206" s="598" t="s">
        <v>69</v>
      </c>
      <c r="S206" s="598"/>
      <c r="T206" s="598" t="s">
        <v>1015</v>
      </c>
      <c r="U206" s="663" t="s">
        <v>2444</v>
      </c>
      <c r="V206" s="616" t="s">
        <v>2445</v>
      </c>
      <c r="W206" s="598" t="s">
        <v>950</v>
      </c>
      <c r="X206" s="624">
        <v>31817</v>
      </c>
      <c r="Y206" s="625">
        <f t="shared" ca="1" si="2"/>
        <v>38</v>
      </c>
      <c r="Z206" s="616" t="s">
        <v>2446</v>
      </c>
      <c r="AA206" s="598" t="s">
        <v>2447</v>
      </c>
      <c r="AB206" s="598" t="s">
        <v>966</v>
      </c>
      <c r="AC206" s="598" t="s">
        <v>953</v>
      </c>
      <c r="AD206" s="616" t="s">
        <v>729</v>
      </c>
      <c r="AE206" s="616" t="s">
        <v>729</v>
      </c>
      <c r="AF206" s="616" t="s">
        <v>2448</v>
      </c>
      <c r="AG206" s="598"/>
      <c r="AH206" s="598"/>
      <c r="AI206" s="598" t="s">
        <v>1349</v>
      </c>
      <c r="AJ206" s="598"/>
      <c r="AK206" s="626">
        <v>-2</v>
      </c>
      <c r="AL206" s="626"/>
    </row>
    <row r="207" spans="1:38" ht="18" customHeight="1">
      <c r="A207" s="593"/>
      <c r="B207" s="598">
        <v>190</v>
      </c>
      <c r="C207" s="598" t="s">
        <v>1973</v>
      </c>
      <c r="D207" s="598">
        <f t="shared" si="0"/>
        <v>180</v>
      </c>
      <c r="E207" s="616" t="s">
        <v>1351</v>
      </c>
      <c r="F207" s="616" t="s">
        <v>729</v>
      </c>
      <c r="G207" s="618" t="s">
        <v>1202</v>
      </c>
      <c r="H207" s="618" t="s">
        <v>30</v>
      </c>
      <c r="I207" s="618" t="s">
        <v>1202</v>
      </c>
      <c r="J207" s="618" t="s">
        <v>2443</v>
      </c>
      <c r="K207" s="618" t="s">
        <v>2442</v>
      </c>
      <c r="L207" s="619"/>
      <c r="M207" s="619"/>
      <c r="N207" s="619"/>
      <c r="O207" s="663" t="s">
        <v>1480</v>
      </c>
      <c r="P207" s="621"/>
      <c r="Q207" s="598"/>
      <c r="R207" s="598"/>
      <c r="S207" s="702" t="s">
        <v>1974</v>
      </c>
      <c r="T207" s="598" t="s">
        <v>1015</v>
      </c>
      <c r="U207" s="663" t="s">
        <v>1975</v>
      </c>
      <c r="V207" s="616" t="s">
        <v>1976</v>
      </c>
      <c r="W207" s="598" t="s">
        <v>950</v>
      </c>
      <c r="X207" s="624">
        <v>23081</v>
      </c>
      <c r="Y207" s="625">
        <f t="shared" ca="1" si="2"/>
        <v>62</v>
      </c>
      <c r="Z207" s="616" t="s">
        <v>1977</v>
      </c>
      <c r="AA207" s="598" t="s">
        <v>1978</v>
      </c>
      <c r="AB207" s="598" t="s">
        <v>996</v>
      </c>
      <c r="AC207" s="598" t="s">
        <v>997</v>
      </c>
      <c r="AD207" s="616" t="s">
        <v>729</v>
      </c>
      <c r="AE207" s="616" t="s">
        <v>729</v>
      </c>
      <c r="AF207" s="616"/>
      <c r="AG207" s="598"/>
      <c r="AH207" s="598"/>
      <c r="AI207" s="598" t="s">
        <v>1440</v>
      </c>
      <c r="AJ207" s="598"/>
      <c r="AK207" s="626"/>
      <c r="AL207" s="626"/>
    </row>
    <row r="208" spans="1:38" ht="18" customHeight="1">
      <c r="A208" s="593"/>
      <c r="B208" s="598">
        <v>191</v>
      </c>
      <c r="C208" s="598" t="s">
        <v>1967</v>
      </c>
      <c r="D208" s="598">
        <f t="shared" si="0"/>
        <v>181</v>
      </c>
      <c r="E208" s="616" t="s">
        <v>1351</v>
      </c>
      <c r="F208" s="616" t="s">
        <v>729</v>
      </c>
      <c r="G208" s="618" t="s">
        <v>1202</v>
      </c>
      <c r="H208" s="618" t="s">
        <v>30</v>
      </c>
      <c r="I208" s="618" t="s">
        <v>1202</v>
      </c>
      <c r="J208" s="618" t="s">
        <v>2443</v>
      </c>
      <c r="K208" s="618" t="s">
        <v>2442</v>
      </c>
      <c r="L208" s="619"/>
      <c r="M208" s="620"/>
      <c r="N208" s="620"/>
      <c r="O208" s="673" t="s">
        <v>1480</v>
      </c>
      <c r="P208" s="621"/>
      <c r="Q208" s="598"/>
      <c r="R208" s="598"/>
      <c r="S208" s="598"/>
      <c r="T208" s="598" t="s">
        <v>1015</v>
      </c>
      <c r="U208" s="664" t="s">
        <v>1968</v>
      </c>
      <c r="V208" s="616" t="s">
        <v>1969</v>
      </c>
      <c r="W208" s="598" t="s">
        <v>950</v>
      </c>
      <c r="X208" s="624">
        <v>28228</v>
      </c>
      <c r="Y208" s="625">
        <f t="shared" ca="1" si="2"/>
        <v>48</v>
      </c>
      <c r="Z208" s="616" t="s">
        <v>1970</v>
      </c>
      <c r="AA208" s="598" t="s">
        <v>1971</v>
      </c>
      <c r="AB208" s="598" t="s">
        <v>966</v>
      </c>
      <c r="AC208" s="598" t="s">
        <v>953</v>
      </c>
      <c r="AD208" s="616" t="s">
        <v>729</v>
      </c>
      <c r="AE208" s="616" t="s">
        <v>729</v>
      </c>
      <c r="AF208" s="616" t="s">
        <v>1972</v>
      </c>
      <c r="AG208" s="598"/>
      <c r="AH208" s="598"/>
      <c r="AI208" s="598" t="s">
        <v>1440</v>
      </c>
      <c r="AJ208" s="598"/>
      <c r="AK208" s="626"/>
      <c r="AL208" s="626"/>
    </row>
    <row r="209" spans="1:38" ht="18" customHeight="1">
      <c r="A209" s="593"/>
      <c r="B209" s="598">
        <v>192</v>
      </c>
      <c r="C209" s="598" t="s">
        <v>1550</v>
      </c>
      <c r="D209" s="598">
        <f t="shared" si="0"/>
        <v>181</v>
      </c>
      <c r="E209" s="616"/>
      <c r="F209" s="616" t="s">
        <v>729</v>
      </c>
      <c r="G209" s="618" t="s">
        <v>1202</v>
      </c>
      <c r="H209" s="618" t="s">
        <v>30</v>
      </c>
      <c r="I209" s="618" t="s">
        <v>1202</v>
      </c>
      <c r="J209" s="618" t="s">
        <v>1550</v>
      </c>
      <c r="K209" s="619" t="s">
        <v>1957</v>
      </c>
      <c r="L209" s="620" t="s">
        <v>2056</v>
      </c>
      <c r="M209" s="704"/>
      <c r="N209" s="620"/>
      <c r="O209" s="669" t="s">
        <v>1515</v>
      </c>
      <c r="P209" s="621"/>
      <c r="Q209" s="598" t="s">
        <v>55</v>
      </c>
      <c r="R209" s="598" t="s">
        <v>178</v>
      </c>
      <c r="S209" s="598"/>
      <c r="T209" s="623"/>
      <c r="U209" s="667" t="s">
        <v>181</v>
      </c>
      <c r="V209" s="674" t="s">
        <v>1553</v>
      </c>
      <c r="W209" s="598" t="s">
        <v>950</v>
      </c>
      <c r="X209" s="624">
        <v>19598</v>
      </c>
      <c r="Y209" s="625">
        <f t="shared" ca="1" si="2"/>
        <v>72</v>
      </c>
      <c r="Z209" s="616" t="s">
        <v>1554</v>
      </c>
      <c r="AA209" s="598"/>
      <c r="AB209" s="598" t="s">
        <v>966</v>
      </c>
      <c r="AC209" s="598" t="s">
        <v>953</v>
      </c>
      <c r="AD209" s="616" t="s">
        <v>729</v>
      </c>
      <c r="AE209" s="616" t="s">
        <v>1239</v>
      </c>
      <c r="AF209" s="616" t="s">
        <v>1258</v>
      </c>
      <c r="AG209" s="598" t="s">
        <v>955</v>
      </c>
      <c r="AH209" s="598"/>
      <c r="AI209" s="598"/>
      <c r="AJ209" s="598"/>
      <c r="AK209" s="626"/>
      <c r="AL209" s="626"/>
    </row>
    <row r="210" spans="1:38" ht="18" customHeight="1">
      <c r="A210" s="593"/>
      <c r="B210" s="598">
        <v>193</v>
      </c>
      <c r="C210" s="598" t="s">
        <v>2056</v>
      </c>
      <c r="D210" s="598">
        <f t="shared" si="0"/>
        <v>182</v>
      </c>
      <c r="E210" s="616" t="s">
        <v>1351</v>
      </c>
      <c r="F210" s="616" t="s">
        <v>729</v>
      </c>
      <c r="G210" s="618" t="s">
        <v>1202</v>
      </c>
      <c r="H210" s="618" t="s">
        <v>30</v>
      </c>
      <c r="I210" s="618" t="s">
        <v>1202</v>
      </c>
      <c r="J210" s="618" t="s">
        <v>1550</v>
      </c>
      <c r="K210" s="619" t="s">
        <v>1957</v>
      </c>
      <c r="L210" s="620" t="s">
        <v>2056</v>
      </c>
      <c r="M210" s="620"/>
      <c r="N210" s="620"/>
      <c r="O210" s="663" t="s">
        <v>1515</v>
      </c>
      <c r="P210" s="621"/>
      <c r="Q210" s="598" t="s">
        <v>69</v>
      </c>
      <c r="R210" s="598" t="s">
        <v>562</v>
      </c>
      <c r="S210" s="598"/>
      <c r="T210" s="623" t="s">
        <v>1090</v>
      </c>
      <c r="U210" s="668" t="s">
        <v>200</v>
      </c>
      <c r="V210" s="674" t="s">
        <v>2062</v>
      </c>
      <c r="W210" s="598" t="s">
        <v>950</v>
      </c>
      <c r="X210" s="624">
        <v>20242</v>
      </c>
      <c r="Y210" s="625">
        <f t="shared" ca="1" si="2"/>
        <v>70</v>
      </c>
      <c r="Z210" s="616" t="s">
        <v>2063</v>
      </c>
      <c r="AA210" s="598" t="s">
        <v>2064</v>
      </c>
      <c r="AB210" s="598" t="s">
        <v>996</v>
      </c>
      <c r="AC210" s="644" t="s">
        <v>997</v>
      </c>
      <c r="AD210" s="616" t="s">
        <v>729</v>
      </c>
      <c r="AE210" s="616" t="s">
        <v>729</v>
      </c>
      <c r="AF210" s="616" t="s">
        <v>1252</v>
      </c>
      <c r="AG210" s="598"/>
      <c r="AH210" s="598"/>
      <c r="AI210" s="598" t="s">
        <v>1107</v>
      </c>
      <c r="AJ210" s="598"/>
      <c r="AK210" s="626"/>
      <c r="AL210" s="626"/>
    </row>
    <row r="211" spans="1:38" ht="18" customHeight="1">
      <c r="A211" s="278"/>
      <c r="B211" s="598">
        <v>194</v>
      </c>
      <c r="C211" s="598" t="s">
        <v>1957</v>
      </c>
      <c r="D211" s="598">
        <f t="shared" si="0"/>
        <v>183</v>
      </c>
      <c r="E211" s="685" t="s">
        <v>1351</v>
      </c>
      <c r="F211" s="598" t="s">
        <v>729</v>
      </c>
      <c r="G211" s="618" t="s">
        <v>1202</v>
      </c>
      <c r="H211" s="618" t="s">
        <v>30</v>
      </c>
      <c r="I211" s="618" t="s">
        <v>1202</v>
      </c>
      <c r="J211" s="618" t="s">
        <v>1550</v>
      </c>
      <c r="K211" s="619" t="s">
        <v>1957</v>
      </c>
      <c r="L211" s="620" t="s">
        <v>2056</v>
      </c>
      <c r="M211" s="636"/>
      <c r="N211" s="636"/>
      <c r="O211" s="663" t="s">
        <v>1515</v>
      </c>
      <c r="P211" s="637"/>
      <c r="Q211" s="598" t="s">
        <v>69</v>
      </c>
      <c r="R211" s="598" t="s">
        <v>562</v>
      </c>
      <c r="S211" s="627"/>
      <c r="T211" s="639" t="s">
        <v>1015</v>
      </c>
      <c r="U211" s="672" t="s">
        <v>1958</v>
      </c>
      <c r="V211" s="621" t="s">
        <v>1959</v>
      </c>
      <c r="W211" s="598" t="s">
        <v>950</v>
      </c>
      <c r="X211" s="624">
        <v>23999</v>
      </c>
      <c r="Y211" s="625">
        <f t="shared" ca="1" si="2"/>
        <v>60</v>
      </c>
      <c r="Z211" s="598" t="s">
        <v>1960</v>
      </c>
      <c r="AA211" s="598" t="s">
        <v>1961</v>
      </c>
      <c r="AB211" s="598" t="s">
        <v>996</v>
      </c>
      <c r="AC211" s="644" t="s">
        <v>997</v>
      </c>
      <c r="AD211" s="598" t="s">
        <v>729</v>
      </c>
      <c r="AE211" s="598" t="s">
        <v>729</v>
      </c>
      <c r="AF211" s="598" t="s">
        <v>1962</v>
      </c>
      <c r="AG211" s="627"/>
      <c r="AH211" s="627"/>
      <c r="AI211" s="598" t="s">
        <v>1107</v>
      </c>
      <c r="AJ211" s="627"/>
      <c r="AK211" s="627"/>
      <c r="AL211" s="627"/>
    </row>
    <row r="212" spans="1:38" ht="18" customHeight="1">
      <c r="A212" s="278"/>
      <c r="B212" s="598">
        <v>195</v>
      </c>
      <c r="C212" s="598" t="s">
        <v>2076</v>
      </c>
      <c r="D212" s="598">
        <f t="shared" si="0"/>
        <v>184</v>
      </c>
      <c r="E212" s="685" t="s">
        <v>1351</v>
      </c>
      <c r="F212" s="598" t="s">
        <v>729</v>
      </c>
      <c r="G212" s="618" t="s">
        <v>1202</v>
      </c>
      <c r="H212" s="618" t="s">
        <v>30</v>
      </c>
      <c r="I212" s="618" t="s">
        <v>1202</v>
      </c>
      <c r="J212" s="618" t="s">
        <v>1550</v>
      </c>
      <c r="K212" s="619" t="s">
        <v>1957</v>
      </c>
      <c r="L212" s="641" t="s">
        <v>2056</v>
      </c>
      <c r="M212" s="636"/>
      <c r="N212" s="636"/>
      <c r="O212" s="663" t="s">
        <v>1515</v>
      </c>
      <c r="P212" s="637"/>
      <c r="Q212" s="627"/>
      <c r="R212" s="627"/>
      <c r="S212" s="627"/>
      <c r="T212" s="638" t="s">
        <v>1090</v>
      </c>
      <c r="U212" s="672" t="s">
        <v>239</v>
      </c>
      <c r="V212" s="621" t="s">
        <v>2077</v>
      </c>
      <c r="W212" s="598" t="s">
        <v>950</v>
      </c>
      <c r="X212" s="624">
        <v>15134</v>
      </c>
      <c r="Y212" s="625">
        <f t="shared" ca="1" si="2"/>
        <v>84</v>
      </c>
      <c r="Z212" s="598" t="s">
        <v>2078</v>
      </c>
      <c r="AA212" s="705"/>
      <c r="AB212" s="598" t="s">
        <v>996</v>
      </c>
      <c r="AC212" s="598" t="s">
        <v>1018</v>
      </c>
      <c r="AD212" s="598" t="s">
        <v>729</v>
      </c>
      <c r="AE212" s="598" t="s">
        <v>729</v>
      </c>
      <c r="AF212" s="598" t="s">
        <v>1962</v>
      </c>
      <c r="AG212" s="627"/>
      <c r="AH212" s="706" t="s">
        <v>2079</v>
      </c>
      <c r="AI212" s="598" t="s">
        <v>1107</v>
      </c>
      <c r="AJ212" s="627" t="s">
        <v>2080</v>
      </c>
      <c r="AK212" s="627"/>
      <c r="AL212" s="627"/>
    </row>
    <row r="213" spans="1:38" ht="18" customHeight="1">
      <c r="A213" s="593"/>
      <c r="B213" s="598">
        <v>196</v>
      </c>
      <c r="C213" s="598" t="s">
        <v>2071</v>
      </c>
      <c r="D213" s="598">
        <f t="shared" si="0"/>
        <v>185</v>
      </c>
      <c r="E213" s="616" t="s">
        <v>1351</v>
      </c>
      <c r="F213" s="616" t="s">
        <v>729</v>
      </c>
      <c r="G213" s="618" t="s">
        <v>1202</v>
      </c>
      <c r="H213" s="618" t="s">
        <v>30</v>
      </c>
      <c r="I213" s="618" t="s">
        <v>1202</v>
      </c>
      <c r="J213" s="618" t="s">
        <v>1550</v>
      </c>
      <c r="K213" s="619" t="s">
        <v>1957</v>
      </c>
      <c r="L213" s="620" t="s">
        <v>2056</v>
      </c>
      <c r="M213" s="620"/>
      <c r="N213" s="620"/>
      <c r="O213" s="663" t="s">
        <v>1515</v>
      </c>
      <c r="P213" s="637"/>
      <c r="Q213" s="627"/>
      <c r="R213" s="627"/>
      <c r="S213" s="598" t="s">
        <v>2072</v>
      </c>
      <c r="T213" s="623" t="s">
        <v>1090</v>
      </c>
      <c r="U213" s="669" t="s">
        <v>260</v>
      </c>
      <c r="V213" s="674" t="s">
        <v>2073</v>
      </c>
      <c r="W213" s="598" t="s">
        <v>950</v>
      </c>
      <c r="X213" s="624">
        <v>18593</v>
      </c>
      <c r="Y213" s="625">
        <f t="shared" ca="1" si="2"/>
        <v>75</v>
      </c>
      <c r="Z213" s="616" t="s">
        <v>2074</v>
      </c>
      <c r="AA213" s="598" t="s">
        <v>2075</v>
      </c>
      <c r="AB213" s="598" t="s">
        <v>996</v>
      </c>
      <c r="AC213" s="644" t="s">
        <v>997</v>
      </c>
      <c r="AD213" s="616" t="s">
        <v>729</v>
      </c>
      <c r="AE213" s="616" t="s">
        <v>729</v>
      </c>
      <c r="AF213" s="616" t="s">
        <v>1750</v>
      </c>
      <c r="AG213" s="598"/>
      <c r="AH213" s="598"/>
      <c r="AI213" s="598" t="s">
        <v>1107</v>
      </c>
      <c r="AJ213" s="598"/>
      <c r="AK213" s="626"/>
      <c r="AL213" s="626"/>
    </row>
    <row r="214" spans="1:38" ht="18" customHeight="1">
      <c r="A214" s="593"/>
      <c r="B214" s="598">
        <v>197</v>
      </c>
      <c r="C214" s="598" t="s">
        <v>2790</v>
      </c>
      <c r="D214" s="598">
        <f t="shared" si="0"/>
        <v>186</v>
      </c>
      <c r="E214" s="616" t="s">
        <v>1351</v>
      </c>
      <c r="F214" s="616" t="s">
        <v>729</v>
      </c>
      <c r="G214" s="618" t="s">
        <v>1202</v>
      </c>
      <c r="H214" s="618" t="s">
        <v>30</v>
      </c>
      <c r="I214" s="618" t="s">
        <v>1202</v>
      </c>
      <c r="J214" s="618" t="s">
        <v>1550</v>
      </c>
      <c r="K214" s="619" t="s">
        <v>1957</v>
      </c>
      <c r="L214" s="620" t="s">
        <v>2056</v>
      </c>
      <c r="M214" s="620"/>
      <c r="N214" s="620"/>
      <c r="O214" s="663" t="s">
        <v>1515</v>
      </c>
      <c r="P214" s="621"/>
      <c r="Q214" s="598"/>
      <c r="R214" s="598"/>
      <c r="S214" s="598"/>
      <c r="T214" s="623" t="s">
        <v>1090</v>
      </c>
      <c r="U214" s="663" t="s">
        <v>2791</v>
      </c>
      <c r="V214" s="674" t="s">
        <v>2792</v>
      </c>
      <c r="W214" s="598" t="s">
        <v>950</v>
      </c>
      <c r="X214" s="624">
        <v>20092</v>
      </c>
      <c r="Y214" s="625">
        <f t="shared" ca="1" si="2"/>
        <v>71</v>
      </c>
      <c r="Z214" s="616" t="s">
        <v>2793</v>
      </c>
      <c r="AA214" s="598" t="s">
        <v>2794</v>
      </c>
      <c r="AB214" s="598" t="s">
        <v>996</v>
      </c>
      <c r="AC214" s="644" t="s">
        <v>997</v>
      </c>
      <c r="AD214" s="616" t="s">
        <v>2737</v>
      </c>
      <c r="AE214" s="616" t="s">
        <v>2737</v>
      </c>
      <c r="AF214" s="616" t="s">
        <v>2795</v>
      </c>
      <c r="AG214" s="598"/>
      <c r="AH214" s="598"/>
      <c r="AI214" s="598" t="s">
        <v>1107</v>
      </c>
      <c r="AJ214" s="598"/>
      <c r="AK214" s="626"/>
      <c r="AL214" s="626"/>
    </row>
    <row r="215" spans="1:38" ht="18" customHeight="1">
      <c r="A215" s="593"/>
      <c r="B215" s="598">
        <v>198</v>
      </c>
      <c r="C215" s="598" t="s">
        <v>2527</v>
      </c>
      <c r="D215" s="598">
        <f t="shared" si="0"/>
        <v>187</v>
      </c>
      <c r="E215" s="616" t="s">
        <v>1351</v>
      </c>
      <c r="F215" s="616" t="s">
        <v>729</v>
      </c>
      <c r="G215" s="618" t="s">
        <v>1202</v>
      </c>
      <c r="H215" s="618" t="s">
        <v>30</v>
      </c>
      <c r="I215" s="618" t="s">
        <v>1202</v>
      </c>
      <c r="J215" s="618" t="s">
        <v>1550</v>
      </c>
      <c r="K215" s="619" t="s">
        <v>1957</v>
      </c>
      <c r="L215" s="620" t="s">
        <v>2056</v>
      </c>
      <c r="M215" s="620"/>
      <c r="N215" s="620"/>
      <c r="O215" s="663" t="s">
        <v>1515</v>
      </c>
      <c r="P215" s="621"/>
      <c r="Q215" s="598"/>
      <c r="R215" s="598"/>
      <c r="S215" s="598"/>
      <c r="T215" s="623" t="s">
        <v>1015</v>
      </c>
      <c r="U215" s="664" t="s">
        <v>2528</v>
      </c>
      <c r="V215" s="674" t="s">
        <v>2529</v>
      </c>
      <c r="W215" s="598" t="s">
        <v>950</v>
      </c>
      <c r="X215" s="624">
        <v>22389</v>
      </c>
      <c r="Y215" s="625">
        <f t="shared" ca="1" si="2"/>
        <v>64</v>
      </c>
      <c r="Z215" s="616" t="s">
        <v>4592</v>
      </c>
      <c r="AA215" s="598" t="s">
        <v>4593</v>
      </c>
      <c r="AB215" s="598" t="s">
        <v>996</v>
      </c>
      <c r="AC215" s="644" t="s">
        <v>997</v>
      </c>
      <c r="AD215" s="616" t="s">
        <v>729</v>
      </c>
      <c r="AE215" s="616" t="s">
        <v>729</v>
      </c>
      <c r="AF215" s="616" t="s">
        <v>2530</v>
      </c>
      <c r="AG215" s="598"/>
      <c r="AH215" s="598"/>
      <c r="AI215" s="598" t="s">
        <v>1011</v>
      </c>
      <c r="AJ215" s="598"/>
      <c r="AK215" s="626">
        <v>0</v>
      </c>
      <c r="AL215" s="626"/>
    </row>
    <row r="216" spans="1:38" ht="18" customHeight="1">
      <c r="A216" s="593"/>
      <c r="B216" s="598">
        <v>199</v>
      </c>
      <c r="C216" s="598" t="s">
        <v>2484</v>
      </c>
      <c r="D216" s="598">
        <f t="shared" si="0"/>
        <v>188</v>
      </c>
      <c r="E216" s="616" t="s">
        <v>1351</v>
      </c>
      <c r="F216" s="616" t="s">
        <v>729</v>
      </c>
      <c r="G216" s="618" t="s">
        <v>1202</v>
      </c>
      <c r="H216" s="618" t="s">
        <v>30</v>
      </c>
      <c r="I216" s="618" t="s">
        <v>1202</v>
      </c>
      <c r="J216" s="618" t="s">
        <v>1550</v>
      </c>
      <c r="K216" s="619" t="s">
        <v>1957</v>
      </c>
      <c r="L216" s="620" t="s">
        <v>2056</v>
      </c>
      <c r="M216" s="620"/>
      <c r="N216" s="620"/>
      <c r="O216" s="663" t="s">
        <v>1515</v>
      </c>
      <c r="P216" s="621" t="s">
        <v>319</v>
      </c>
      <c r="Q216" s="598"/>
      <c r="R216" s="598"/>
      <c r="S216" s="598"/>
      <c r="T216" s="623" t="s">
        <v>1090</v>
      </c>
      <c r="U216" s="578" t="s">
        <v>2485</v>
      </c>
      <c r="V216" s="707" t="s">
        <v>2486</v>
      </c>
      <c r="W216" s="598" t="s">
        <v>950</v>
      </c>
      <c r="X216" s="624">
        <v>16647</v>
      </c>
      <c r="Y216" s="625">
        <f t="shared" ca="1" si="2"/>
        <v>80</v>
      </c>
      <c r="Z216" s="616" t="s">
        <v>4594</v>
      </c>
      <c r="AA216" s="598"/>
      <c r="AB216" s="598" t="s">
        <v>996</v>
      </c>
      <c r="AC216" s="598" t="s">
        <v>1018</v>
      </c>
      <c r="AD216" s="616" t="s">
        <v>729</v>
      </c>
      <c r="AE216" s="616" t="s">
        <v>729</v>
      </c>
      <c r="AF216" s="707" t="s">
        <v>2487</v>
      </c>
      <c r="AG216" s="598"/>
      <c r="AH216" s="598"/>
      <c r="AI216" s="650" t="s">
        <v>1575</v>
      </c>
      <c r="AJ216" s="598"/>
      <c r="AK216" s="626"/>
      <c r="AL216" s="626"/>
    </row>
    <row r="217" spans="1:38" ht="18" customHeight="1">
      <c r="A217" s="593"/>
      <c r="B217" s="598">
        <v>200</v>
      </c>
      <c r="C217" s="598" t="s">
        <v>2199</v>
      </c>
      <c r="D217" s="598">
        <f t="shared" si="0"/>
        <v>189</v>
      </c>
      <c r="E217" s="616" t="s">
        <v>1351</v>
      </c>
      <c r="F217" s="616" t="s">
        <v>729</v>
      </c>
      <c r="G217" s="618" t="s">
        <v>1202</v>
      </c>
      <c r="H217" s="618" t="s">
        <v>30</v>
      </c>
      <c r="I217" s="618" t="s">
        <v>1202</v>
      </c>
      <c r="J217" s="618" t="s">
        <v>1550</v>
      </c>
      <c r="K217" s="619" t="s">
        <v>1957</v>
      </c>
      <c r="L217" s="620" t="s">
        <v>2056</v>
      </c>
      <c r="M217" s="620"/>
      <c r="N217" s="620"/>
      <c r="O217" s="663" t="s">
        <v>1515</v>
      </c>
      <c r="P217" s="621" t="s">
        <v>319</v>
      </c>
      <c r="Q217" s="598"/>
      <c r="R217" s="598"/>
      <c r="S217" s="598"/>
      <c r="T217" s="623" t="s">
        <v>1090</v>
      </c>
      <c r="U217" s="581" t="s">
        <v>786</v>
      </c>
      <c r="V217" s="708" t="s">
        <v>2200</v>
      </c>
      <c r="W217" s="598" t="s">
        <v>950</v>
      </c>
      <c r="X217" s="624">
        <v>18986</v>
      </c>
      <c r="Y217" s="625">
        <f t="shared" ca="1" si="2"/>
        <v>74</v>
      </c>
      <c r="Z217" s="616" t="s">
        <v>2201</v>
      </c>
      <c r="AA217" s="598"/>
      <c r="AB217" s="598" t="s">
        <v>996</v>
      </c>
      <c r="AC217" s="598" t="s">
        <v>1018</v>
      </c>
      <c r="AD217" s="616" t="s">
        <v>729</v>
      </c>
      <c r="AE217" s="616" t="s">
        <v>729</v>
      </c>
      <c r="AF217" s="708" t="s">
        <v>2202</v>
      </c>
      <c r="AG217" s="598"/>
      <c r="AH217" s="598"/>
      <c r="AI217" s="650" t="s">
        <v>1575</v>
      </c>
      <c r="AJ217" s="598"/>
      <c r="AK217" s="626"/>
      <c r="AL217" s="626"/>
    </row>
    <row r="218" spans="1:38" ht="18" customHeight="1">
      <c r="A218" s="278"/>
      <c r="B218" s="598">
        <v>201</v>
      </c>
      <c r="C218" s="598" t="s">
        <v>1870</v>
      </c>
      <c r="D218" s="598">
        <f t="shared" si="0"/>
        <v>190</v>
      </c>
      <c r="E218" s="685" t="s">
        <v>1351</v>
      </c>
      <c r="F218" s="598" t="s">
        <v>729</v>
      </c>
      <c r="G218" s="618" t="s">
        <v>1202</v>
      </c>
      <c r="H218" s="618" t="s">
        <v>30</v>
      </c>
      <c r="I218" s="618" t="s">
        <v>1202</v>
      </c>
      <c r="J218" s="618" t="s">
        <v>1870</v>
      </c>
      <c r="K218" s="618" t="s">
        <v>1415</v>
      </c>
      <c r="L218" s="620" t="s">
        <v>2301</v>
      </c>
      <c r="M218" s="620"/>
      <c r="N218" s="636"/>
      <c r="O218" s="709" t="s">
        <v>1529</v>
      </c>
      <c r="P218" s="621"/>
      <c r="Q218" s="598" t="s">
        <v>69</v>
      </c>
      <c r="R218" s="598" t="s">
        <v>562</v>
      </c>
      <c r="S218" s="627"/>
      <c r="T218" s="639" t="s">
        <v>1015</v>
      </c>
      <c r="U218" s="709" t="s">
        <v>1872</v>
      </c>
      <c r="V218" s="621" t="s">
        <v>1873</v>
      </c>
      <c r="W218" s="598" t="s">
        <v>950</v>
      </c>
      <c r="X218" s="624">
        <v>34534</v>
      </c>
      <c r="Y218" s="625">
        <f t="shared" ca="1" si="2"/>
        <v>31</v>
      </c>
      <c r="Z218" s="598" t="s">
        <v>1874</v>
      </c>
      <c r="AA218" s="598" t="s">
        <v>1875</v>
      </c>
      <c r="AB218" s="598" t="s">
        <v>996</v>
      </c>
      <c r="AC218" s="644" t="s">
        <v>997</v>
      </c>
      <c r="AD218" s="598" t="s">
        <v>1494</v>
      </c>
      <c r="AE218" s="598" t="s">
        <v>1791</v>
      </c>
      <c r="AF218" s="598" t="s">
        <v>1876</v>
      </c>
      <c r="AG218" s="627"/>
      <c r="AH218" s="627"/>
      <c r="AI218" s="598" t="s">
        <v>1107</v>
      </c>
      <c r="AJ218" s="627"/>
      <c r="AK218" s="627"/>
      <c r="AL218" s="627"/>
    </row>
    <row r="219" spans="1:38" ht="18" customHeight="1">
      <c r="A219" s="593"/>
      <c r="B219" s="598">
        <v>202</v>
      </c>
      <c r="C219" s="598" t="s">
        <v>1415</v>
      </c>
      <c r="D219" s="598">
        <f t="shared" si="0"/>
        <v>191</v>
      </c>
      <c r="E219" s="616" t="s">
        <v>1351</v>
      </c>
      <c r="F219" s="616" t="s">
        <v>729</v>
      </c>
      <c r="G219" s="618" t="s">
        <v>1202</v>
      </c>
      <c r="H219" s="618" t="s">
        <v>30</v>
      </c>
      <c r="I219" s="618" t="s">
        <v>1202</v>
      </c>
      <c r="J219" s="618" t="s">
        <v>1870</v>
      </c>
      <c r="K219" s="618" t="s">
        <v>1415</v>
      </c>
      <c r="L219" s="620" t="s">
        <v>2301</v>
      </c>
      <c r="M219" s="620"/>
      <c r="N219" s="620"/>
      <c r="O219" s="672" t="s">
        <v>1529</v>
      </c>
      <c r="P219" s="621"/>
      <c r="Q219" s="598" t="s">
        <v>69</v>
      </c>
      <c r="R219" s="598" t="s">
        <v>562</v>
      </c>
      <c r="S219" s="598"/>
      <c r="T219" s="623" t="s">
        <v>1015</v>
      </c>
      <c r="U219" s="663" t="s">
        <v>1416</v>
      </c>
      <c r="V219" s="674" t="s">
        <v>1417</v>
      </c>
      <c r="W219" s="598" t="s">
        <v>950</v>
      </c>
      <c r="X219" s="624">
        <v>32534</v>
      </c>
      <c r="Y219" s="625">
        <f t="shared" ca="1" si="2"/>
        <v>37</v>
      </c>
      <c r="Z219" s="616" t="s">
        <v>1418</v>
      </c>
      <c r="AA219" s="598" t="s">
        <v>1419</v>
      </c>
      <c r="AB219" s="598" t="s">
        <v>996</v>
      </c>
      <c r="AC219" s="644" t="s">
        <v>997</v>
      </c>
      <c r="AD219" s="616" t="s">
        <v>729</v>
      </c>
      <c r="AE219" s="616" t="s">
        <v>729</v>
      </c>
      <c r="AF219" s="616" t="s">
        <v>1323</v>
      </c>
      <c r="AG219" s="598"/>
      <c r="AH219" s="598"/>
      <c r="AI219" s="598" t="s">
        <v>1107</v>
      </c>
      <c r="AJ219" s="598"/>
      <c r="AK219" s="626"/>
      <c r="AL219" s="626"/>
    </row>
    <row r="220" spans="1:38" ht="18" customHeight="1">
      <c r="A220" s="593"/>
      <c r="B220" s="598">
        <v>203</v>
      </c>
      <c r="C220" s="598" t="s">
        <v>2301</v>
      </c>
      <c r="D220" s="598">
        <f t="shared" si="0"/>
        <v>192</v>
      </c>
      <c r="E220" s="616" t="s">
        <v>1351</v>
      </c>
      <c r="F220" s="616" t="s">
        <v>729</v>
      </c>
      <c r="G220" s="618" t="s">
        <v>1202</v>
      </c>
      <c r="H220" s="618" t="s">
        <v>30</v>
      </c>
      <c r="I220" s="618" t="s">
        <v>1202</v>
      </c>
      <c r="J220" s="618" t="s">
        <v>1870</v>
      </c>
      <c r="K220" s="618" t="s">
        <v>1415</v>
      </c>
      <c r="L220" s="620" t="s">
        <v>2301</v>
      </c>
      <c r="M220" s="620"/>
      <c r="N220" s="620"/>
      <c r="O220" s="672" t="s">
        <v>1529</v>
      </c>
      <c r="P220" s="621"/>
      <c r="Q220" s="598" t="s">
        <v>69</v>
      </c>
      <c r="R220" s="598" t="s">
        <v>562</v>
      </c>
      <c r="S220" s="598"/>
      <c r="T220" s="623" t="s">
        <v>992</v>
      </c>
      <c r="U220" s="663" t="s">
        <v>2304</v>
      </c>
      <c r="V220" s="674" t="s">
        <v>2305</v>
      </c>
      <c r="W220" s="598" t="s">
        <v>950</v>
      </c>
      <c r="X220" s="624">
        <v>35142</v>
      </c>
      <c r="Y220" s="625">
        <f t="shared" ca="1" si="2"/>
        <v>29</v>
      </c>
      <c r="Z220" s="616"/>
      <c r="AA220" s="598" t="s">
        <v>2306</v>
      </c>
      <c r="AB220" s="598" t="s">
        <v>996</v>
      </c>
      <c r="AC220" s="644" t="s">
        <v>997</v>
      </c>
      <c r="AD220" s="616" t="s">
        <v>729</v>
      </c>
      <c r="AE220" s="616" t="s">
        <v>729</v>
      </c>
      <c r="AF220" s="616" t="s">
        <v>1252</v>
      </c>
      <c r="AG220" s="598"/>
      <c r="AH220" s="598"/>
      <c r="AI220" s="598" t="s">
        <v>1107</v>
      </c>
      <c r="AJ220" s="598"/>
      <c r="AK220" s="626"/>
      <c r="AL220" s="626"/>
    </row>
    <row r="221" spans="1:38" ht="18" customHeight="1">
      <c r="A221" s="593"/>
      <c r="B221" s="598">
        <v>204</v>
      </c>
      <c r="C221" s="598" t="s">
        <v>1883</v>
      </c>
      <c r="D221" s="598">
        <f t="shared" si="0"/>
        <v>193</v>
      </c>
      <c r="E221" s="616" t="s">
        <v>1351</v>
      </c>
      <c r="F221" s="616" t="s">
        <v>729</v>
      </c>
      <c r="G221" s="618" t="s">
        <v>1202</v>
      </c>
      <c r="H221" s="618" t="s">
        <v>30</v>
      </c>
      <c r="I221" s="618" t="s">
        <v>1202</v>
      </c>
      <c r="J221" s="618" t="s">
        <v>1870</v>
      </c>
      <c r="K221" s="618" t="s">
        <v>1415</v>
      </c>
      <c r="L221" s="620" t="s">
        <v>2301</v>
      </c>
      <c r="M221" s="620"/>
      <c r="N221" s="620"/>
      <c r="O221" s="672" t="s">
        <v>1529</v>
      </c>
      <c r="P221" s="621"/>
      <c r="Q221" s="598"/>
      <c r="R221" s="598"/>
      <c r="S221" s="598"/>
      <c r="T221" s="623" t="s">
        <v>1015</v>
      </c>
      <c r="U221" s="668" t="s">
        <v>1884</v>
      </c>
      <c r="V221" s="674" t="s">
        <v>1885</v>
      </c>
      <c r="W221" s="598" t="s">
        <v>950</v>
      </c>
      <c r="X221" s="624">
        <v>37018</v>
      </c>
      <c r="Y221" s="625">
        <f t="shared" ca="1" si="2"/>
        <v>24</v>
      </c>
      <c r="Z221" s="654" t="s">
        <v>1886</v>
      </c>
      <c r="AA221" s="598" t="s">
        <v>1887</v>
      </c>
      <c r="AB221" s="598" t="s">
        <v>996</v>
      </c>
      <c r="AC221" s="598" t="s">
        <v>997</v>
      </c>
      <c r="AD221" s="616" t="s">
        <v>729</v>
      </c>
      <c r="AE221" s="616" t="s">
        <v>729</v>
      </c>
      <c r="AF221" s="616" t="s">
        <v>1830</v>
      </c>
      <c r="AG221" s="598"/>
      <c r="AH221" s="598"/>
      <c r="AI221" s="598" t="s">
        <v>1349</v>
      </c>
      <c r="AJ221" s="598"/>
      <c r="AK221" s="626"/>
      <c r="AL221" s="626"/>
    </row>
    <row r="222" spans="1:38" ht="18" customHeight="1">
      <c r="A222" s="593"/>
      <c r="B222" s="598">
        <v>205</v>
      </c>
      <c r="C222" s="598" t="s">
        <v>1893</v>
      </c>
      <c r="D222" s="598">
        <f t="shared" si="0"/>
        <v>194</v>
      </c>
      <c r="E222" s="616" t="s">
        <v>1351</v>
      </c>
      <c r="F222" s="616" t="s">
        <v>729</v>
      </c>
      <c r="G222" s="618" t="s">
        <v>1202</v>
      </c>
      <c r="H222" s="618" t="s">
        <v>30</v>
      </c>
      <c r="I222" s="618" t="s">
        <v>1202</v>
      </c>
      <c r="J222" s="618" t="s">
        <v>1870</v>
      </c>
      <c r="K222" s="618" t="s">
        <v>1415</v>
      </c>
      <c r="L222" s="620" t="s">
        <v>2301</v>
      </c>
      <c r="M222" s="620"/>
      <c r="N222" s="620"/>
      <c r="O222" s="672" t="s">
        <v>1529</v>
      </c>
      <c r="P222" s="621"/>
      <c r="Q222" s="598"/>
      <c r="R222" s="598"/>
      <c r="S222" s="598"/>
      <c r="T222" s="623" t="s">
        <v>1015</v>
      </c>
      <c r="U222" s="669" t="s">
        <v>1894</v>
      </c>
      <c r="V222" s="674" t="s">
        <v>1895</v>
      </c>
      <c r="W222" s="598" t="s">
        <v>950</v>
      </c>
      <c r="X222" s="624">
        <v>31403</v>
      </c>
      <c r="Y222" s="625">
        <f t="shared" ca="1" si="2"/>
        <v>40</v>
      </c>
      <c r="Z222" s="616" t="s">
        <v>1896</v>
      </c>
      <c r="AA222" s="598" t="s">
        <v>1897</v>
      </c>
      <c r="AB222" s="598" t="s">
        <v>996</v>
      </c>
      <c r="AC222" s="644" t="s">
        <v>997</v>
      </c>
      <c r="AD222" s="616" t="s">
        <v>1898</v>
      </c>
      <c r="AE222" s="616" t="s">
        <v>729</v>
      </c>
      <c r="AF222" s="616" t="s">
        <v>1899</v>
      </c>
      <c r="AG222" s="598"/>
      <c r="AH222" s="598"/>
      <c r="AI222" s="598" t="s">
        <v>1107</v>
      </c>
      <c r="AJ222" s="598"/>
      <c r="AK222" s="626"/>
      <c r="AL222" s="626"/>
    </row>
    <row r="223" spans="1:38" ht="18" customHeight="1">
      <c r="A223" s="593"/>
      <c r="B223" s="598">
        <v>206</v>
      </c>
      <c r="C223" s="598" t="s">
        <v>4595</v>
      </c>
      <c r="D223" s="598">
        <f t="shared" si="0"/>
        <v>195</v>
      </c>
      <c r="E223" s="616" t="s">
        <v>1351</v>
      </c>
      <c r="F223" s="616" t="s">
        <v>729</v>
      </c>
      <c r="G223" s="618" t="s">
        <v>1202</v>
      </c>
      <c r="H223" s="618" t="s">
        <v>30</v>
      </c>
      <c r="I223" s="618" t="s">
        <v>1202</v>
      </c>
      <c r="J223" s="618" t="s">
        <v>1870</v>
      </c>
      <c r="K223" s="618" t="s">
        <v>1415</v>
      </c>
      <c r="L223" s="620" t="s">
        <v>2301</v>
      </c>
      <c r="M223" s="620"/>
      <c r="N223" s="620"/>
      <c r="O223" s="672" t="s">
        <v>1529</v>
      </c>
      <c r="P223" s="621"/>
      <c r="Q223" s="598"/>
      <c r="R223" s="598"/>
      <c r="S223" s="598"/>
      <c r="T223" s="623" t="s">
        <v>1015</v>
      </c>
      <c r="U223" s="663" t="s">
        <v>4596</v>
      </c>
      <c r="V223" s="674" t="s">
        <v>4597</v>
      </c>
      <c r="W223" s="598" t="s">
        <v>950</v>
      </c>
      <c r="X223" s="624">
        <v>35901</v>
      </c>
      <c r="Y223" s="625">
        <f t="shared" ca="1" si="2"/>
        <v>27</v>
      </c>
      <c r="Z223" s="616" t="s">
        <v>4598</v>
      </c>
      <c r="AA223" s="598"/>
      <c r="AB223" s="598" t="s">
        <v>996</v>
      </c>
      <c r="AC223" s="598" t="s">
        <v>1018</v>
      </c>
      <c r="AD223" s="616" t="s">
        <v>729</v>
      </c>
      <c r="AE223" s="616" t="s">
        <v>1250</v>
      </c>
      <c r="AF223" s="616" t="s">
        <v>4599</v>
      </c>
      <c r="AG223" s="598"/>
      <c r="AH223" s="598" t="s">
        <v>4600</v>
      </c>
      <c r="AI223" s="598" t="s">
        <v>1107</v>
      </c>
      <c r="AJ223" s="598" t="s">
        <v>1020</v>
      </c>
      <c r="AK223" s="626"/>
      <c r="AL223" s="626"/>
    </row>
    <row r="224" spans="1:38" ht="18" customHeight="1">
      <c r="A224" s="593"/>
      <c r="B224" s="598">
        <v>207</v>
      </c>
      <c r="C224" s="598" t="s">
        <v>1900</v>
      </c>
      <c r="D224" s="598">
        <f t="shared" si="0"/>
        <v>196</v>
      </c>
      <c r="E224" s="616" t="s">
        <v>1351</v>
      </c>
      <c r="F224" s="616" t="s">
        <v>729</v>
      </c>
      <c r="G224" s="618" t="s">
        <v>1202</v>
      </c>
      <c r="H224" s="618" t="s">
        <v>30</v>
      </c>
      <c r="I224" s="618" t="s">
        <v>1202</v>
      </c>
      <c r="J224" s="618" t="s">
        <v>1870</v>
      </c>
      <c r="K224" s="618" t="s">
        <v>1415</v>
      </c>
      <c r="L224" s="620" t="s">
        <v>2301</v>
      </c>
      <c r="M224" s="620"/>
      <c r="N224" s="620"/>
      <c r="O224" s="672" t="s">
        <v>1529</v>
      </c>
      <c r="P224" s="621"/>
      <c r="Q224" s="598"/>
      <c r="R224" s="598"/>
      <c r="S224" s="598"/>
      <c r="T224" s="598" t="s">
        <v>992</v>
      </c>
      <c r="U224" s="663" t="s">
        <v>300</v>
      </c>
      <c r="V224" s="616" t="s">
        <v>1901</v>
      </c>
      <c r="W224" s="598" t="s">
        <v>950</v>
      </c>
      <c r="X224" s="624">
        <v>34094</v>
      </c>
      <c r="Y224" s="625">
        <f t="shared" ca="1" si="2"/>
        <v>32</v>
      </c>
      <c r="Z224" s="654" t="s">
        <v>1902</v>
      </c>
      <c r="AA224" s="598"/>
      <c r="AB224" s="598" t="s">
        <v>1006</v>
      </c>
      <c r="AC224" s="598" t="s">
        <v>953</v>
      </c>
      <c r="AD224" s="616" t="s">
        <v>729</v>
      </c>
      <c r="AE224" s="616" t="s">
        <v>729</v>
      </c>
      <c r="AF224" s="616" t="s">
        <v>1252</v>
      </c>
      <c r="AG224" s="598"/>
      <c r="AH224" s="598"/>
      <c r="AI224" s="598"/>
      <c r="AJ224" s="598"/>
      <c r="AK224" s="626"/>
      <c r="AL224" s="626"/>
    </row>
    <row r="225" spans="1:38" ht="18" customHeight="1">
      <c r="A225" s="593"/>
      <c r="B225" s="598">
        <v>208</v>
      </c>
      <c r="C225" s="598" t="s">
        <v>1903</v>
      </c>
      <c r="D225" s="598">
        <f t="shared" si="0"/>
        <v>197</v>
      </c>
      <c r="E225" s="616" t="s">
        <v>1351</v>
      </c>
      <c r="F225" s="616" t="s">
        <v>729</v>
      </c>
      <c r="G225" s="618" t="s">
        <v>1202</v>
      </c>
      <c r="H225" s="618" t="s">
        <v>30</v>
      </c>
      <c r="I225" s="618" t="s">
        <v>1202</v>
      </c>
      <c r="J225" s="618" t="s">
        <v>1870</v>
      </c>
      <c r="K225" s="618" t="s">
        <v>1415</v>
      </c>
      <c r="L225" s="620" t="s">
        <v>2301</v>
      </c>
      <c r="M225" s="620"/>
      <c r="N225" s="620"/>
      <c r="O225" s="673" t="s">
        <v>1529</v>
      </c>
      <c r="P225" s="621"/>
      <c r="Q225" s="598"/>
      <c r="R225" s="598"/>
      <c r="S225" s="598"/>
      <c r="T225" s="623" t="s">
        <v>992</v>
      </c>
      <c r="U225" s="673" t="s">
        <v>1905</v>
      </c>
      <c r="V225" s="674" t="s">
        <v>1906</v>
      </c>
      <c r="W225" s="598" t="s">
        <v>950</v>
      </c>
      <c r="X225" s="624">
        <v>31881</v>
      </c>
      <c r="Y225" s="625">
        <f t="shared" ca="1" si="2"/>
        <v>38</v>
      </c>
      <c r="Z225" s="616" t="s">
        <v>1907</v>
      </c>
      <c r="AA225" s="598" t="s">
        <v>1908</v>
      </c>
      <c r="AB225" s="598" t="s">
        <v>996</v>
      </c>
      <c r="AC225" s="644" t="s">
        <v>997</v>
      </c>
      <c r="AD225" s="616" t="s">
        <v>1909</v>
      </c>
      <c r="AE225" s="616" t="s">
        <v>1910</v>
      </c>
      <c r="AF225" s="616" t="s">
        <v>1911</v>
      </c>
      <c r="AG225" s="598"/>
      <c r="AH225" s="598"/>
      <c r="AI225" s="598" t="s">
        <v>1107</v>
      </c>
      <c r="AJ225" s="598"/>
      <c r="AK225" s="626"/>
      <c r="AL225" s="626"/>
    </row>
    <row r="226" spans="1:38" ht="18" customHeight="1">
      <c r="A226" s="593"/>
      <c r="B226" s="598">
        <v>209</v>
      </c>
      <c r="C226" s="598" t="s">
        <v>1202</v>
      </c>
      <c r="D226" s="598">
        <f t="shared" si="0"/>
        <v>197</v>
      </c>
      <c r="E226" s="616"/>
      <c r="F226" s="616" t="s">
        <v>729</v>
      </c>
      <c r="G226" s="618" t="s">
        <v>1202</v>
      </c>
      <c r="H226" s="618" t="s">
        <v>30</v>
      </c>
      <c r="I226" s="618" t="s">
        <v>1202</v>
      </c>
      <c r="J226" s="618" t="s">
        <v>1202</v>
      </c>
      <c r="K226" s="618" t="s">
        <v>959</v>
      </c>
      <c r="L226" s="619" t="s">
        <v>959</v>
      </c>
      <c r="M226" s="620"/>
      <c r="N226" s="620"/>
      <c r="O226" s="669" t="s">
        <v>4601</v>
      </c>
      <c r="P226" s="621"/>
      <c r="Q226" s="598"/>
      <c r="R226" s="598"/>
      <c r="S226" s="598"/>
      <c r="T226" s="598"/>
      <c r="U226" s="667" t="s">
        <v>30</v>
      </c>
      <c r="V226" s="616" t="s">
        <v>1203</v>
      </c>
      <c r="W226" s="598" t="s">
        <v>950</v>
      </c>
      <c r="X226" s="624">
        <v>33065</v>
      </c>
      <c r="Y226" s="625">
        <f t="shared" ca="1" si="2"/>
        <v>35</v>
      </c>
      <c r="Z226" s="616" t="s">
        <v>1204</v>
      </c>
      <c r="AA226" s="598"/>
      <c r="AB226" s="598" t="s">
        <v>1006</v>
      </c>
      <c r="AC226" s="598" t="s">
        <v>953</v>
      </c>
      <c r="AD226" s="616" t="s">
        <v>973</v>
      </c>
      <c r="AE226" s="616" t="s">
        <v>954</v>
      </c>
      <c r="AF226" s="616" t="s">
        <v>968</v>
      </c>
      <c r="AG226" s="598" t="s">
        <v>955</v>
      </c>
      <c r="AH226" s="598"/>
      <c r="AI226" s="598"/>
      <c r="AJ226" s="598"/>
      <c r="AK226" s="626"/>
      <c r="AL226" s="626"/>
    </row>
    <row r="227" spans="1:38" ht="18" customHeight="1">
      <c r="A227" s="593"/>
      <c r="B227" s="598">
        <v>210</v>
      </c>
      <c r="C227" s="598" t="s">
        <v>4602</v>
      </c>
      <c r="D227" s="598">
        <f t="shared" si="0"/>
        <v>198</v>
      </c>
      <c r="E227" s="616" t="s">
        <v>1351</v>
      </c>
      <c r="F227" s="616" t="s">
        <v>729</v>
      </c>
      <c r="G227" s="618" t="s">
        <v>1202</v>
      </c>
      <c r="H227" s="618" t="s">
        <v>30</v>
      </c>
      <c r="I227" s="618" t="s">
        <v>1202</v>
      </c>
      <c r="J227" s="618" t="s">
        <v>1202</v>
      </c>
      <c r="K227" s="618" t="s">
        <v>959</v>
      </c>
      <c r="L227" s="619" t="s">
        <v>959</v>
      </c>
      <c r="M227" s="620"/>
      <c r="N227" s="620"/>
      <c r="O227" s="663" t="s">
        <v>4601</v>
      </c>
      <c r="P227" s="621"/>
      <c r="Q227" s="598"/>
      <c r="R227" s="598"/>
      <c r="S227" s="598"/>
      <c r="T227" s="598" t="s">
        <v>1015</v>
      </c>
      <c r="U227" s="663" t="s">
        <v>4603</v>
      </c>
      <c r="V227" s="616" t="s">
        <v>4604</v>
      </c>
      <c r="W227" s="598" t="s">
        <v>950</v>
      </c>
      <c r="X227" s="624">
        <v>32134</v>
      </c>
      <c r="Y227" s="625">
        <f t="shared" ca="1" si="2"/>
        <v>38</v>
      </c>
      <c r="Z227" s="616" t="s">
        <v>4605</v>
      </c>
      <c r="AA227" s="652"/>
      <c r="AB227" s="598" t="s">
        <v>996</v>
      </c>
      <c r="AC227" s="598" t="s">
        <v>1018</v>
      </c>
      <c r="AD227" s="616" t="s">
        <v>729</v>
      </c>
      <c r="AE227" s="616" t="s">
        <v>729</v>
      </c>
      <c r="AF227" s="616"/>
      <c r="AG227" s="598"/>
      <c r="AH227" s="598" t="s">
        <v>4606</v>
      </c>
      <c r="AI227" s="598" t="s">
        <v>1440</v>
      </c>
      <c r="AJ227" s="598" t="s">
        <v>4607</v>
      </c>
      <c r="AK227" s="626"/>
      <c r="AL227" s="626"/>
    </row>
    <row r="228" spans="1:38" ht="18" customHeight="1">
      <c r="A228" s="593"/>
      <c r="B228" s="598">
        <v>211</v>
      </c>
      <c r="C228" s="598" t="s">
        <v>4608</v>
      </c>
      <c r="D228" s="598">
        <f t="shared" si="0"/>
        <v>199</v>
      </c>
      <c r="E228" s="616" t="s">
        <v>1351</v>
      </c>
      <c r="F228" s="616" t="s">
        <v>729</v>
      </c>
      <c r="G228" s="618" t="s">
        <v>1202</v>
      </c>
      <c r="H228" s="618" t="s">
        <v>30</v>
      </c>
      <c r="I228" s="618" t="s">
        <v>1202</v>
      </c>
      <c r="J228" s="618" t="s">
        <v>1202</v>
      </c>
      <c r="K228" s="618" t="s">
        <v>959</v>
      </c>
      <c r="L228" s="619" t="s">
        <v>959</v>
      </c>
      <c r="M228" s="620"/>
      <c r="N228" s="620"/>
      <c r="O228" s="663" t="s">
        <v>4601</v>
      </c>
      <c r="P228" s="621"/>
      <c r="Q228" s="598"/>
      <c r="R228" s="598"/>
      <c r="S228" s="598"/>
      <c r="T228" s="598" t="s">
        <v>1015</v>
      </c>
      <c r="U228" s="663" t="s">
        <v>4609</v>
      </c>
      <c r="V228" s="616" t="s">
        <v>4610</v>
      </c>
      <c r="W228" s="598" t="s">
        <v>950</v>
      </c>
      <c r="X228" s="624">
        <v>33526</v>
      </c>
      <c r="Y228" s="625">
        <f t="shared" ca="1" si="2"/>
        <v>34</v>
      </c>
      <c r="Z228" s="616" t="s">
        <v>4611</v>
      </c>
      <c r="AA228" s="652"/>
      <c r="AB228" s="598" t="s">
        <v>996</v>
      </c>
      <c r="AC228" s="598" t="s">
        <v>1018</v>
      </c>
      <c r="AD228" s="616" t="s">
        <v>729</v>
      </c>
      <c r="AE228" s="616" t="s">
        <v>729</v>
      </c>
      <c r="AF228" s="616" t="s">
        <v>1252</v>
      </c>
      <c r="AG228" s="598"/>
      <c r="AH228" s="598" t="s">
        <v>4612</v>
      </c>
      <c r="AI228" s="598" t="s">
        <v>1107</v>
      </c>
      <c r="AJ228" s="598" t="s">
        <v>4607</v>
      </c>
      <c r="AK228" s="626"/>
      <c r="AL228" s="626"/>
    </row>
    <row r="229" spans="1:38" ht="18" customHeight="1">
      <c r="A229" s="593"/>
      <c r="B229" s="598">
        <v>212</v>
      </c>
      <c r="C229" s="598" t="s">
        <v>4613</v>
      </c>
      <c r="D229" s="598">
        <f t="shared" si="0"/>
        <v>200</v>
      </c>
      <c r="E229" s="616" t="s">
        <v>1351</v>
      </c>
      <c r="F229" s="616" t="s">
        <v>729</v>
      </c>
      <c r="G229" s="618" t="s">
        <v>1202</v>
      </c>
      <c r="H229" s="618" t="s">
        <v>30</v>
      </c>
      <c r="I229" s="618" t="s">
        <v>1202</v>
      </c>
      <c r="J229" s="618" t="s">
        <v>1202</v>
      </c>
      <c r="K229" s="618" t="s">
        <v>959</v>
      </c>
      <c r="L229" s="619" t="s">
        <v>959</v>
      </c>
      <c r="M229" s="620"/>
      <c r="N229" s="620"/>
      <c r="O229" s="663" t="s">
        <v>4601</v>
      </c>
      <c r="P229" s="621"/>
      <c r="Q229" s="598"/>
      <c r="R229" s="598"/>
      <c r="S229" s="598"/>
      <c r="T229" s="598" t="s">
        <v>992</v>
      </c>
      <c r="U229" s="663" t="s">
        <v>4614</v>
      </c>
      <c r="V229" s="616" t="s">
        <v>4615</v>
      </c>
      <c r="W229" s="598" t="s">
        <v>950</v>
      </c>
      <c r="X229" s="624">
        <v>35919</v>
      </c>
      <c r="Y229" s="625">
        <f t="shared" ca="1" si="2"/>
        <v>27</v>
      </c>
      <c r="Z229" s="616" t="s">
        <v>4616</v>
      </c>
      <c r="AA229" s="652"/>
      <c r="AB229" s="598" t="s">
        <v>996</v>
      </c>
      <c r="AC229" s="598" t="s">
        <v>1018</v>
      </c>
      <c r="AD229" s="616" t="s">
        <v>729</v>
      </c>
      <c r="AE229" s="616" t="s">
        <v>729</v>
      </c>
      <c r="AF229" s="616" t="s">
        <v>1323</v>
      </c>
      <c r="AG229" s="598"/>
      <c r="AH229" s="598" t="s">
        <v>4617</v>
      </c>
      <c r="AI229" s="598" t="s">
        <v>1107</v>
      </c>
      <c r="AJ229" s="598" t="s">
        <v>4607</v>
      </c>
      <c r="AK229" s="626"/>
      <c r="AL229" s="626"/>
    </row>
    <row r="230" spans="1:38" ht="18" customHeight="1">
      <c r="A230" s="593"/>
      <c r="B230" s="598">
        <v>213</v>
      </c>
      <c r="C230" s="598" t="s">
        <v>4618</v>
      </c>
      <c r="D230" s="598">
        <f t="shared" si="0"/>
        <v>201</v>
      </c>
      <c r="E230" s="616" t="s">
        <v>1351</v>
      </c>
      <c r="F230" s="616" t="s">
        <v>729</v>
      </c>
      <c r="G230" s="618" t="s">
        <v>1202</v>
      </c>
      <c r="H230" s="618" t="s">
        <v>30</v>
      </c>
      <c r="I230" s="618" t="s">
        <v>1202</v>
      </c>
      <c r="J230" s="618" t="s">
        <v>1202</v>
      </c>
      <c r="K230" s="618" t="s">
        <v>959</v>
      </c>
      <c r="L230" s="619" t="s">
        <v>959</v>
      </c>
      <c r="M230" s="620"/>
      <c r="N230" s="620"/>
      <c r="O230" s="663" t="s">
        <v>4601</v>
      </c>
      <c r="P230" s="621"/>
      <c r="Q230" s="598"/>
      <c r="R230" s="598"/>
      <c r="S230" s="598"/>
      <c r="T230" s="598" t="s">
        <v>1015</v>
      </c>
      <c r="U230" s="663" t="s">
        <v>4619</v>
      </c>
      <c r="V230" s="616" t="s">
        <v>4620</v>
      </c>
      <c r="W230" s="598" t="s">
        <v>950</v>
      </c>
      <c r="X230" s="624">
        <v>33182</v>
      </c>
      <c r="Y230" s="625">
        <f t="shared" ca="1" si="2"/>
        <v>35</v>
      </c>
      <c r="Z230" s="616" t="s">
        <v>4621</v>
      </c>
      <c r="AA230" s="652"/>
      <c r="AB230" s="598" t="s">
        <v>996</v>
      </c>
      <c r="AC230" s="598" t="s">
        <v>1018</v>
      </c>
      <c r="AD230" s="616" t="s">
        <v>1494</v>
      </c>
      <c r="AE230" s="616" t="s">
        <v>1494</v>
      </c>
      <c r="AF230" s="616" t="s">
        <v>4622</v>
      </c>
      <c r="AG230" s="598"/>
      <c r="AH230" s="598" t="s">
        <v>1019</v>
      </c>
      <c r="AI230" s="598" t="s">
        <v>1125</v>
      </c>
      <c r="AJ230" s="598"/>
      <c r="AK230" s="626"/>
      <c r="AL230" s="626"/>
    </row>
    <row r="231" spans="1:38" ht="18" customHeight="1">
      <c r="A231" s="593"/>
      <c r="B231" s="598">
        <v>214</v>
      </c>
      <c r="C231" s="598" t="s">
        <v>4623</v>
      </c>
      <c r="D231" s="598">
        <f t="shared" si="0"/>
        <v>202</v>
      </c>
      <c r="E231" s="616" t="s">
        <v>1810</v>
      </c>
      <c r="F231" s="616" t="s">
        <v>729</v>
      </c>
      <c r="G231" s="618" t="s">
        <v>1202</v>
      </c>
      <c r="H231" s="618" t="s">
        <v>30</v>
      </c>
      <c r="I231" s="618" t="s">
        <v>1202</v>
      </c>
      <c r="J231" s="618" t="s">
        <v>1202</v>
      </c>
      <c r="K231" s="618" t="s">
        <v>959</v>
      </c>
      <c r="L231" s="619" t="s">
        <v>959</v>
      </c>
      <c r="M231" s="620"/>
      <c r="N231" s="620"/>
      <c r="O231" s="663" t="s">
        <v>4601</v>
      </c>
      <c r="P231" s="621"/>
      <c r="Q231" s="598"/>
      <c r="R231" s="598"/>
      <c r="S231" s="598"/>
      <c r="T231" s="598" t="s">
        <v>992</v>
      </c>
      <c r="U231" s="663" t="s">
        <v>4624</v>
      </c>
      <c r="V231" s="616" t="s">
        <v>4625</v>
      </c>
      <c r="W231" s="598" t="s">
        <v>950</v>
      </c>
      <c r="X231" s="624">
        <v>36632</v>
      </c>
      <c r="Y231" s="625">
        <f t="shared" ca="1" si="2"/>
        <v>25</v>
      </c>
      <c r="Z231" s="616" t="s">
        <v>4626</v>
      </c>
      <c r="AA231" s="652"/>
      <c r="AB231" s="598" t="s">
        <v>996</v>
      </c>
      <c r="AC231" s="598" t="s">
        <v>1018</v>
      </c>
      <c r="AD231" s="616" t="s">
        <v>973</v>
      </c>
      <c r="AE231" s="616" t="s">
        <v>973</v>
      </c>
      <c r="AF231" s="616" t="s">
        <v>3527</v>
      </c>
      <c r="AG231" s="598"/>
      <c r="AH231" s="598" t="s">
        <v>4229</v>
      </c>
      <c r="AI231" s="598" t="s">
        <v>1125</v>
      </c>
      <c r="AJ231" s="598" t="s">
        <v>4607</v>
      </c>
      <c r="AK231" s="626"/>
      <c r="AL231" s="626"/>
    </row>
    <row r="232" spans="1:38" ht="18" customHeight="1">
      <c r="A232" s="593"/>
      <c r="B232" s="598">
        <v>215</v>
      </c>
      <c r="C232" s="598" t="s">
        <v>4627</v>
      </c>
      <c r="D232" s="598">
        <f t="shared" si="0"/>
        <v>203</v>
      </c>
      <c r="E232" s="616" t="s">
        <v>1351</v>
      </c>
      <c r="F232" s="616" t="s">
        <v>729</v>
      </c>
      <c r="G232" s="618" t="s">
        <v>1202</v>
      </c>
      <c r="H232" s="618" t="s">
        <v>30</v>
      </c>
      <c r="I232" s="618" t="s">
        <v>1202</v>
      </c>
      <c r="J232" s="618" t="s">
        <v>1202</v>
      </c>
      <c r="K232" s="618" t="s">
        <v>959</v>
      </c>
      <c r="L232" s="619" t="s">
        <v>959</v>
      </c>
      <c r="M232" s="620"/>
      <c r="N232" s="620"/>
      <c r="O232" s="673" t="s">
        <v>4601</v>
      </c>
      <c r="P232" s="621"/>
      <c r="Q232" s="598"/>
      <c r="R232" s="598"/>
      <c r="S232" s="598"/>
      <c r="T232" s="598" t="s">
        <v>1015</v>
      </c>
      <c r="U232" s="664" t="s">
        <v>4628</v>
      </c>
      <c r="V232" s="616" t="s">
        <v>4629</v>
      </c>
      <c r="W232" s="598" t="s">
        <v>950</v>
      </c>
      <c r="X232" s="624">
        <v>32089</v>
      </c>
      <c r="Y232" s="625">
        <f t="shared" ca="1" si="2"/>
        <v>38</v>
      </c>
      <c r="Z232" s="654" t="s">
        <v>4630</v>
      </c>
      <c r="AA232" s="652"/>
      <c r="AB232" s="598" t="s">
        <v>996</v>
      </c>
      <c r="AC232" s="598" t="s">
        <v>1018</v>
      </c>
      <c r="AD232" s="616" t="s">
        <v>729</v>
      </c>
      <c r="AE232" s="616" t="s">
        <v>729</v>
      </c>
      <c r="AF232" s="616" t="s">
        <v>4631</v>
      </c>
      <c r="AG232" s="598"/>
      <c r="AH232" s="598" t="s">
        <v>4606</v>
      </c>
      <c r="AI232" s="598" t="s">
        <v>1349</v>
      </c>
      <c r="AJ232" s="680" t="s">
        <v>4632</v>
      </c>
      <c r="AK232" s="626"/>
      <c r="AL232" s="626"/>
    </row>
    <row r="233" spans="1:38" ht="18" customHeight="1">
      <c r="A233" s="593"/>
      <c r="B233" s="598">
        <v>216</v>
      </c>
      <c r="C233" s="598" t="s">
        <v>2087</v>
      </c>
      <c r="D233" s="598">
        <f t="shared" si="0"/>
        <v>203</v>
      </c>
      <c r="E233" s="616"/>
      <c r="F233" s="616" t="s">
        <v>4633</v>
      </c>
      <c r="G233" s="618" t="s">
        <v>1202</v>
      </c>
      <c r="H233" s="618" t="s">
        <v>335</v>
      </c>
      <c r="I233" s="618" t="s">
        <v>2087</v>
      </c>
      <c r="J233" s="618" t="s">
        <v>2087</v>
      </c>
      <c r="K233" s="619" t="s">
        <v>2302</v>
      </c>
      <c r="L233" s="620" t="s">
        <v>4401</v>
      </c>
      <c r="M233" s="620"/>
      <c r="N233" s="620"/>
      <c r="O233" s="667" t="s">
        <v>1044</v>
      </c>
      <c r="P233" s="621"/>
      <c r="Q233" s="598" t="s">
        <v>173</v>
      </c>
      <c r="R233" s="598" t="s">
        <v>514</v>
      </c>
      <c r="S233" s="598"/>
      <c r="T233" s="623"/>
      <c r="U233" s="667" t="s">
        <v>335</v>
      </c>
      <c r="V233" s="674" t="s">
        <v>2089</v>
      </c>
      <c r="W233" s="598" t="s">
        <v>950</v>
      </c>
      <c r="X233" s="624">
        <v>36694</v>
      </c>
      <c r="Y233" s="625">
        <f t="shared" ca="1" si="2"/>
        <v>25</v>
      </c>
      <c r="Z233" s="616" t="s">
        <v>2090</v>
      </c>
      <c r="AA233" s="598"/>
      <c r="AB233" s="598" t="s">
        <v>1006</v>
      </c>
      <c r="AC233" s="598" t="s">
        <v>953</v>
      </c>
      <c r="AD233" s="616" t="s">
        <v>729</v>
      </c>
      <c r="AE233" s="616" t="s">
        <v>729</v>
      </c>
      <c r="AF233" s="616" t="s">
        <v>2092</v>
      </c>
      <c r="AG233" s="598" t="s">
        <v>955</v>
      </c>
      <c r="AH233" s="598"/>
      <c r="AI233" s="598"/>
      <c r="AJ233" s="598"/>
      <c r="AK233" s="626"/>
      <c r="AL233" s="626"/>
    </row>
    <row r="234" spans="1:38" ht="18" customHeight="1">
      <c r="A234" s="593"/>
      <c r="B234" s="598">
        <v>217</v>
      </c>
      <c r="C234" s="598" t="s">
        <v>2302</v>
      </c>
      <c r="D234" s="598">
        <f t="shared" si="0"/>
        <v>204</v>
      </c>
      <c r="E234" s="616" t="s">
        <v>1351</v>
      </c>
      <c r="F234" s="616" t="s">
        <v>4633</v>
      </c>
      <c r="G234" s="618" t="s">
        <v>1202</v>
      </c>
      <c r="H234" s="618" t="s">
        <v>335</v>
      </c>
      <c r="I234" s="618" t="s">
        <v>2087</v>
      </c>
      <c r="J234" s="618" t="s">
        <v>2087</v>
      </c>
      <c r="K234" s="619" t="s">
        <v>2302</v>
      </c>
      <c r="L234" s="620" t="s">
        <v>4401</v>
      </c>
      <c r="M234" s="620"/>
      <c r="N234" s="620"/>
      <c r="O234" s="663" t="s">
        <v>1044</v>
      </c>
      <c r="P234" s="621" t="s">
        <v>319</v>
      </c>
      <c r="Q234" s="598" t="s">
        <v>69</v>
      </c>
      <c r="R234" s="598" t="s">
        <v>562</v>
      </c>
      <c r="S234" s="598"/>
      <c r="T234" s="623" t="s">
        <v>992</v>
      </c>
      <c r="U234" s="663" t="s">
        <v>344</v>
      </c>
      <c r="V234" s="674" t="s">
        <v>2307</v>
      </c>
      <c r="W234" s="598" t="s">
        <v>950</v>
      </c>
      <c r="X234" s="624">
        <v>38170</v>
      </c>
      <c r="Y234" s="625">
        <f t="shared" ca="1" si="2"/>
        <v>21</v>
      </c>
      <c r="Z234" s="616" t="s">
        <v>2308</v>
      </c>
      <c r="AA234" s="598" t="s">
        <v>2309</v>
      </c>
      <c r="AB234" s="598" t="s">
        <v>996</v>
      </c>
      <c r="AC234" s="644" t="s">
        <v>997</v>
      </c>
      <c r="AD234" s="616" t="s">
        <v>729</v>
      </c>
      <c r="AE234" s="616" t="s">
        <v>729</v>
      </c>
      <c r="AF234" s="616" t="s">
        <v>1808</v>
      </c>
      <c r="AG234" s="598"/>
      <c r="AH234" s="598" t="s">
        <v>2310</v>
      </c>
      <c r="AI234" s="598" t="s">
        <v>1318</v>
      </c>
      <c r="AJ234" s="598"/>
      <c r="AK234" s="626">
        <v>-6</v>
      </c>
      <c r="AL234" s="626"/>
    </row>
    <row r="235" spans="1:38" ht="18" customHeight="1">
      <c r="A235" s="593"/>
      <c r="B235" s="598">
        <v>218</v>
      </c>
      <c r="C235" s="598" t="s">
        <v>4401</v>
      </c>
      <c r="D235" s="598">
        <f t="shared" si="0"/>
        <v>205</v>
      </c>
      <c r="E235" s="616" t="s">
        <v>3862</v>
      </c>
      <c r="F235" s="616" t="s">
        <v>4633</v>
      </c>
      <c r="G235" s="618" t="s">
        <v>1202</v>
      </c>
      <c r="H235" s="618" t="s">
        <v>335</v>
      </c>
      <c r="I235" s="618" t="s">
        <v>2087</v>
      </c>
      <c r="J235" s="618" t="s">
        <v>2087</v>
      </c>
      <c r="K235" s="619" t="s">
        <v>2302</v>
      </c>
      <c r="L235" s="620" t="s">
        <v>4401</v>
      </c>
      <c r="M235" s="620"/>
      <c r="N235" s="620"/>
      <c r="O235" s="663" t="s">
        <v>1044</v>
      </c>
      <c r="P235" s="621"/>
      <c r="Q235" s="598" t="s">
        <v>69</v>
      </c>
      <c r="R235" s="598" t="s">
        <v>562</v>
      </c>
      <c r="S235" s="598"/>
      <c r="T235" s="623" t="s">
        <v>992</v>
      </c>
      <c r="U235" s="663" t="s">
        <v>4402</v>
      </c>
      <c r="V235" s="674" t="s">
        <v>4403</v>
      </c>
      <c r="W235" s="598" t="s">
        <v>963</v>
      </c>
      <c r="X235" s="624">
        <v>35551</v>
      </c>
      <c r="Y235" s="625">
        <f t="shared" ca="1" si="2"/>
        <v>28</v>
      </c>
      <c r="Z235" s="616" t="s">
        <v>4404</v>
      </c>
      <c r="AA235" s="598" t="s">
        <v>4405</v>
      </c>
      <c r="AB235" s="598" t="s">
        <v>996</v>
      </c>
      <c r="AC235" s="598" t="s">
        <v>997</v>
      </c>
      <c r="AD235" s="616" t="s">
        <v>246</v>
      </c>
      <c r="AE235" s="616" t="s">
        <v>246</v>
      </c>
      <c r="AF235" s="616" t="s">
        <v>4393</v>
      </c>
      <c r="AG235" s="598"/>
      <c r="AH235" s="598"/>
      <c r="AI235" s="598" t="s">
        <v>1107</v>
      </c>
      <c r="AJ235" s="598"/>
      <c r="AK235" s="626"/>
      <c r="AL235" s="626"/>
    </row>
    <row r="236" spans="1:38" ht="18" customHeight="1">
      <c r="A236" s="593"/>
      <c r="B236" s="598">
        <v>219</v>
      </c>
      <c r="C236" s="598" t="s">
        <v>1859</v>
      </c>
      <c r="D236" s="598">
        <f t="shared" si="0"/>
        <v>206</v>
      </c>
      <c r="E236" s="616" t="s">
        <v>1351</v>
      </c>
      <c r="F236" s="616" t="s">
        <v>4633</v>
      </c>
      <c r="G236" s="618" t="s">
        <v>1202</v>
      </c>
      <c r="H236" s="618" t="s">
        <v>335</v>
      </c>
      <c r="I236" s="618" t="s">
        <v>2087</v>
      </c>
      <c r="J236" s="618" t="s">
        <v>2087</v>
      </c>
      <c r="K236" s="619" t="s">
        <v>2302</v>
      </c>
      <c r="L236" s="620" t="s">
        <v>4401</v>
      </c>
      <c r="M236" s="620"/>
      <c r="N236" s="620"/>
      <c r="O236" s="663" t="s">
        <v>1044</v>
      </c>
      <c r="P236" s="621"/>
      <c r="Q236" s="598"/>
      <c r="R236" s="598"/>
      <c r="S236" s="598"/>
      <c r="T236" s="623" t="s">
        <v>992</v>
      </c>
      <c r="U236" s="663" t="s">
        <v>373</v>
      </c>
      <c r="V236" s="674" t="s">
        <v>1860</v>
      </c>
      <c r="W236" s="598" t="s">
        <v>950</v>
      </c>
      <c r="X236" s="624">
        <v>36437</v>
      </c>
      <c r="Y236" s="625">
        <f t="shared" ca="1" si="2"/>
        <v>26</v>
      </c>
      <c r="Z236" s="616" t="s">
        <v>1861</v>
      </c>
      <c r="AA236" s="598" t="s">
        <v>1862</v>
      </c>
      <c r="AB236" s="598" t="s">
        <v>996</v>
      </c>
      <c r="AC236" s="598" t="s">
        <v>997</v>
      </c>
      <c r="AD236" s="616" t="s">
        <v>1494</v>
      </c>
      <c r="AE236" s="616" t="s">
        <v>1494</v>
      </c>
      <c r="AF236" s="616" t="s">
        <v>1863</v>
      </c>
      <c r="AG236" s="598"/>
      <c r="AH236" s="598"/>
      <c r="AI236" s="598" t="s">
        <v>1452</v>
      </c>
      <c r="AJ236" s="598"/>
      <c r="AK236" s="626"/>
      <c r="AL236" s="626"/>
    </row>
    <row r="237" spans="1:38" ht="18" customHeight="1">
      <c r="A237" s="593"/>
      <c r="B237" s="598">
        <v>220</v>
      </c>
      <c r="C237" s="598" t="s">
        <v>2119</v>
      </c>
      <c r="D237" s="598">
        <f t="shared" si="0"/>
        <v>207</v>
      </c>
      <c r="E237" s="616" t="s">
        <v>1351</v>
      </c>
      <c r="F237" s="616" t="s">
        <v>4633</v>
      </c>
      <c r="G237" s="618" t="s">
        <v>1202</v>
      </c>
      <c r="H237" s="618" t="s">
        <v>335</v>
      </c>
      <c r="I237" s="618" t="s">
        <v>2087</v>
      </c>
      <c r="J237" s="618" t="s">
        <v>2087</v>
      </c>
      <c r="K237" s="619" t="s">
        <v>2302</v>
      </c>
      <c r="L237" s="620" t="s">
        <v>4401</v>
      </c>
      <c r="M237" s="620"/>
      <c r="N237" s="620"/>
      <c r="O237" s="663" t="s">
        <v>1044</v>
      </c>
      <c r="P237" s="621"/>
      <c r="Q237" s="598"/>
      <c r="R237" s="598"/>
      <c r="S237" s="598"/>
      <c r="T237" s="623" t="s">
        <v>992</v>
      </c>
      <c r="U237" s="664" t="s">
        <v>387</v>
      </c>
      <c r="V237" s="674" t="s">
        <v>2120</v>
      </c>
      <c r="W237" s="598" t="s">
        <v>950</v>
      </c>
      <c r="X237" s="624">
        <v>36516</v>
      </c>
      <c r="Y237" s="625">
        <f t="shared" ca="1" si="2"/>
        <v>26</v>
      </c>
      <c r="Z237" s="616" t="s">
        <v>2121</v>
      </c>
      <c r="AA237" s="598" t="s">
        <v>2122</v>
      </c>
      <c r="AB237" s="598" t="s">
        <v>996</v>
      </c>
      <c r="AC237" s="644" t="s">
        <v>997</v>
      </c>
      <c r="AD237" s="616" t="s">
        <v>1494</v>
      </c>
      <c r="AE237" s="616" t="s">
        <v>1494</v>
      </c>
      <c r="AF237" s="616" t="s">
        <v>1623</v>
      </c>
      <c r="AG237" s="598"/>
      <c r="AH237" s="598"/>
      <c r="AI237" s="598" t="s">
        <v>1452</v>
      </c>
      <c r="AJ237" s="598"/>
      <c r="AK237" s="626"/>
      <c r="AL237" s="626"/>
    </row>
    <row r="238" spans="1:38" ht="18" customHeight="1">
      <c r="A238" s="593"/>
      <c r="B238" s="598">
        <v>221</v>
      </c>
      <c r="C238" s="598" t="s">
        <v>1809</v>
      </c>
      <c r="D238" s="598">
        <f t="shared" si="0"/>
        <v>208</v>
      </c>
      <c r="E238" s="616" t="s">
        <v>1810</v>
      </c>
      <c r="F238" s="616" t="s">
        <v>4633</v>
      </c>
      <c r="G238" s="618" t="s">
        <v>1202</v>
      </c>
      <c r="H238" s="618" t="s">
        <v>335</v>
      </c>
      <c r="I238" s="618" t="s">
        <v>2087</v>
      </c>
      <c r="J238" s="618" t="s">
        <v>2087</v>
      </c>
      <c r="K238" s="619" t="s">
        <v>2302</v>
      </c>
      <c r="L238" s="620" t="s">
        <v>4401</v>
      </c>
      <c r="M238" s="620"/>
      <c r="N238" s="620"/>
      <c r="O238" s="663" t="s">
        <v>1044</v>
      </c>
      <c r="P238" s="621"/>
      <c r="Q238" s="598"/>
      <c r="R238" s="598"/>
      <c r="S238" s="598"/>
      <c r="T238" s="623" t="s">
        <v>992</v>
      </c>
      <c r="U238" s="710" t="s">
        <v>400</v>
      </c>
      <c r="V238" s="674" t="s">
        <v>1811</v>
      </c>
      <c r="W238" s="598" t="s">
        <v>963</v>
      </c>
      <c r="X238" s="624">
        <v>33468</v>
      </c>
      <c r="Y238" s="625">
        <f t="shared" ca="1" si="2"/>
        <v>34</v>
      </c>
      <c r="Z238" s="616" t="s">
        <v>1812</v>
      </c>
      <c r="AA238" s="598" t="s">
        <v>1813</v>
      </c>
      <c r="AB238" s="598" t="s">
        <v>996</v>
      </c>
      <c r="AC238" s="644" t="s">
        <v>997</v>
      </c>
      <c r="AD238" s="616" t="s">
        <v>1078</v>
      </c>
      <c r="AE238" s="616" t="s">
        <v>1078</v>
      </c>
      <c r="AF238" s="616" t="s">
        <v>3578</v>
      </c>
      <c r="AG238" s="598"/>
      <c r="AH238" s="598"/>
      <c r="AI238" s="598" t="s">
        <v>1452</v>
      </c>
      <c r="AJ238" s="598" t="s">
        <v>3510</v>
      </c>
      <c r="AK238" s="626"/>
      <c r="AL238" s="626"/>
    </row>
    <row r="239" spans="1:38" ht="18" customHeight="1">
      <c r="A239" s="593"/>
      <c r="B239" s="598">
        <v>222</v>
      </c>
      <c r="C239" s="598" t="s">
        <v>1864</v>
      </c>
      <c r="D239" s="598">
        <f t="shared" si="0"/>
        <v>209</v>
      </c>
      <c r="E239" s="616" t="s">
        <v>1810</v>
      </c>
      <c r="F239" s="616" t="s">
        <v>4633</v>
      </c>
      <c r="G239" s="618" t="s">
        <v>1202</v>
      </c>
      <c r="H239" s="618" t="s">
        <v>335</v>
      </c>
      <c r="I239" s="618" t="s">
        <v>2087</v>
      </c>
      <c r="J239" s="618" t="s">
        <v>2087</v>
      </c>
      <c r="K239" s="619" t="s">
        <v>2302</v>
      </c>
      <c r="L239" s="620" t="s">
        <v>4401</v>
      </c>
      <c r="M239" s="620"/>
      <c r="N239" s="620"/>
      <c r="O239" s="663" t="s">
        <v>1044</v>
      </c>
      <c r="P239" s="621"/>
      <c r="Q239" s="598"/>
      <c r="R239" s="598"/>
      <c r="S239" s="598"/>
      <c r="T239" s="623" t="s">
        <v>992</v>
      </c>
      <c r="U239" s="710" t="s">
        <v>412</v>
      </c>
      <c r="V239" s="674" t="s">
        <v>1865</v>
      </c>
      <c r="W239" s="598" t="s">
        <v>950</v>
      </c>
      <c r="X239" s="624">
        <v>38335</v>
      </c>
      <c r="Y239" s="625">
        <f t="shared" ca="1" si="2"/>
        <v>21</v>
      </c>
      <c r="Z239" s="616" t="s">
        <v>1866</v>
      </c>
      <c r="AA239" s="598" t="s">
        <v>1867</v>
      </c>
      <c r="AB239" s="598" t="s">
        <v>996</v>
      </c>
      <c r="AC239" s="644" t="s">
        <v>997</v>
      </c>
      <c r="AD239" s="616" t="s">
        <v>1868</v>
      </c>
      <c r="AE239" s="616" t="s">
        <v>729</v>
      </c>
      <c r="AF239" s="616" t="s">
        <v>1869</v>
      </c>
      <c r="AG239" s="598"/>
      <c r="AH239" s="598"/>
      <c r="AI239" s="598" t="s">
        <v>1452</v>
      </c>
      <c r="AJ239" s="598" t="s">
        <v>3510</v>
      </c>
      <c r="AK239" s="626">
        <v>-6</v>
      </c>
      <c r="AL239" s="626"/>
    </row>
    <row r="240" spans="1:38" ht="18" customHeight="1">
      <c r="A240" s="593"/>
      <c r="B240" s="598">
        <v>223</v>
      </c>
      <c r="C240" s="598" t="s">
        <v>2098</v>
      </c>
      <c r="D240" s="598">
        <f t="shared" si="0"/>
        <v>210</v>
      </c>
      <c r="E240" s="616" t="s">
        <v>1351</v>
      </c>
      <c r="F240" s="616" t="s">
        <v>4633</v>
      </c>
      <c r="G240" s="618" t="s">
        <v>1202</v>
      </c>
      <c r="H240" s="618" t="s">
        <v>335</v>
      </c>
      <c r="I240" s="618" t="s">
        <v>2087</v>
      </c>
      <c r="J240" s="618" t="s">
        <v>2087</v>
      </c>
      <c r="K240" s="619" t="s">
        <v>2302</v>
      </c>
      <c r="L240" s="620" t="s">
        <v>4401</v>
      </c>
      <c r="M240" s="620"/>
      <c r="N240" s="620"/>
      <c r="O240" s="663" t="s">
        <v>1044</v>
      </c>
      <c r="P240" s="621" t="s">
        <v>319</v>
      </c>
      <c r="Q240" s="598"/>
      <c r="R240" s="598"/>
      <c r="S240" s="598"/>
      <c r="T240" s="623" t="s">
        <v>992</v>
      </c>
      <c r="U240" s="710" t="s">
        <v>2099</v>
      </c>
      <c r="V240" s="674" t="s">
        <v>2100</v>
      </c>
      <c r="W240" s="598" t="s">
        <v>950</v>
      </c>
      <c r="X240" s="624">
        <v>37110</v>
      </c>
      <c r="Y240" s="625">
        <f t="shared" ca="1" si="2"/>
        <v>24</v>
      </c>
      <c r="Z240" s="616" t="s">
        <v>2101</v>
      </c>
      <c r="AA240" s="598" t="s">
        <v>2102</v>
      </c>
      <c r="AB240" s="598" t="s">
        <v>996</v>
      </c>
      <c r="AC240" s="644" t="s">
        <v>997</v>
      </c>
      <c r="AD240" s="616" t="s">
        <v>1494</v>
      </c>
      <c r="AE240" s="616" t="s">
        <v>1494</v>
      </c>
      <c r="AF240" s="616" t="s">
        <v>2103</v>
      </c>
      <c r="AG240" s="598"/>
      <c r="AH240" s="598"/>
      <c r="AI240" s="683" t="s">
        <v>1566</v>
      </c>
      <c r="AJ240" s="598"/>
      <c r="AK240" s="626"/>
      <c r="AL240" s="626"/>
    </row>
    <row r="241" spans="1:38" ht="18" customHeight="1">
      <c r="A241" s="593"/>
      <c r="B241" s="598">
        <v>224</v>
      </c>
      <c r="C241" s="598" t="s">
        <v>2104</v>
      </c>
      <c r="D241" s="598">
        <f t="shared" si="0"/>
        <v>211</v>
      </c>
      <c r="E241" s="616" t="s">
        <v>1351</v>
      </c>
      <c r="F241" s="616" t="s">
        <v>4633</v>
      </c>
      <c r="G241" s="618" t="s">
        <v>1202</v>
      </c>
      <c r="H241" s="618" t="s">
        <v>335</v>
      </c>
      <c r="I241" s="618" t="s">
        <v>2087</v>
      </c>
      <c r="J241" s="618" t="s">
        <v>2087</v>
      </c>
      <c r="K241" s="619" t="s">
        <v>2302</v>
      </c>
      <c r="L241" s="620" t="s">
        <v>4401</v>
      </c>
      <c r="M241" s="620"/>
      <c r="N241" s="620"/>
      <c r="O241" s="663" t="s">
        <v>1044</v>
      </c>
      <c r="P241" s="621" t="s">
        <v>319</v>
      </c>
      <c r="Q241" s="598"/>
      <c r="R241" s="598"/>
      <c r="S241" s="598"/>
      <c r="T241" s="623" t="s">
        <v>992</v>
      </c>
      <c r="U241" s="581" t="s">
        <v>824</v>
      </c>
      <c r="V241" s="708" t="s">
        <v>2105</v>
      </c>
      <c r="W241" s="598" t="s">
        <v>950</v>
      </c>
      <c r="X241" s="624">
        <v>37577</v>
      </c>
      <c r="Y241" s="625">
        <f t="shared" ca="1" si="2"/>
        <v>23</v>
      </c>
      <c r="Z241" s="711" t="s">
        <v>2106</v>
      </c>
      <c r="AA241" s="598"/>
      <c r="AB241" s="598" t="s">
        <v>996</v>
      </c>
      <c r="AC241" s="598" t="s">
        <v>1018</v>
      </c>
      <c r="AD241" s="616" t="s">
        <v>729</v>
      </c>
      <c r="AE241" s="616" t="s">
        <v>729</v>
      </c>
      <c r="AF241" s="712" t="s">
        <v>2107</v>
      </c>
      <c r="AG241" s="598"/>
      <c r="AH241" s="598"/>
      <c r="AI241" s="701" t="s">
        <v>1575</v>
      </c>
      <c r="AJ241" s="598"/>
      <c r="AK241" s="626"/>
      <c r="AL241" s="626"/>
    </row>
    <row r="242" spans="1:38" ht="18" customHeight="1">
      <c r="A242" s="174"/>
      <c r="B242" s="598">
        <v>225</v>
      </c>
      <c r="C242" s="598" t="s">
        <v>2108</v>
      </c>
      <c r="D242" s="598">
        <f>SUBTOTAL(103,$T$21:T242)</f>
        <v>212</v>
      </c>
      <c r="E242" s="685" t="s">
        <v>1351</v>
      </c>
      <c r="F242" s="598" t="s">
        <v>4633</v>
      </c>
      <c r="G242" s="618" t="s">
        <v>1202</v>
      </c>
      <c r="H242" s="618" t="s">
        <v>335</v>
      </c>
      <c r="I242" s="618" t="s">
        <v>2087</v>
      </c>
      <c r="J242" s="618" t="s">
        <v>2087</v>
      </c>
      <c r="K242" s="619" t="s">
        <v>2302</v>
      </c>
      <c r="L242" s="620" t="s">
        <v>4401</v>
      </c>
      <c r="M242" s="636"/>
      <c r="N242" s="636"/>
      <c r="O242" s="663" t="s">
        <v>1044</v>
      </c>
      <c r="P242" s="621" t="s">
        <v>319</v>
      </c>
      <c r="Q242" s="627"/>
      <c r="R242" s="627"/>
      <c r="S242" s="627"/>
      <c r="T242" s="628" t="s">
        <v>992</v>
      </c>
      <c r="U242" s="713" t="s">
        <v>827</v>
      </c>
      <c r="V242" s="708" t="s">
        <v>2109</v>
      </c>
      <c r="W242" s="598" t="s">
        <v>950</v>
      </c>
      <c r="X242" s="624">
        <v>38508</v>
      </c>
      <c r="Y242" s="625">
        <f t="shared" ca="1" si="2"/>
        <v>20</v>
      </c>
      <c r="Z242" s="714" t="s">
        <v>2110</v>
      </c>
      <c r="AA242" s="627"/>
      <c r="AB242" s="598" t="s">
        <v>996</v>
      </c>
      <c r="AC242" s="598" t="s">
        <v>1018</v>
      </c>
      <c r="AD242" s="598" t="s">
        <v>729</v>
      </c>
      <c r="AE242" s="598" t="s">
        <v>729</v>
      </c>
      <c r="AF242" s="708" t="s">
        <v>2111</v>
      </c>
      <c r="AG242" s="627"/>
      <c r="AH242" s="627"/>
      <c r="AI242" s="650" t="s">
        <v>1575</v>
      </c>
      <c r="AJ242" s="627"/>
      <c r="AK242" s="627"/>
      <c r="AL242" s="627"/>
    </row>
    <row r="243" spans="1:38" ht="18" customHeight="1">
      <c r="A243" s="593"/>
      <c r="B243" s="598">
        <v>226</v>
      </c>
      <c r="C243" s="598" t="s">
        <v>1820</v>
      </c>
      <c r="D243" s="598">
        <f t="shared" ref="D243:D497" si="3">SUBTOTAL(103,$T$21:T243)</f>
        <v>212</v>
      </c>
      <c r="E243" s="616"/>
      <c r="F243" s="616" t="s">
        <v>4633</v>
      </c>
      <c r="G243" s="618" t="s">
        <v>1202</v>
      </c>
      <c r="H243" s="618" t="s">
        <v>335</v>
      </c>
      <c r="I243" s="618" t="s">
        <v>2087</v>
      </c>
      <c r="J243" s="618" t="s">
        <v>1820</v>
      </c>
      <c r="K243" s="618" t="s">
        <v>1836</v>
      </c>
      <c r="L243" s="619" t="s">
        <v>2311</v>
      </c>
      <c r="M243" s="620"/>
      <c r="N243" s="620"/>
      <c r="O243" s="667" t="s">
        <v>1074</v>
      </c>
      <c r="P243" s="621"/>
      <c r="Q243" s="598" t="s">
        <v>55</v>
      </c>
      <c r="R243" s="598" t="s">
        <v>178</v>
      </c>
      <c r="S243" s="598"/>
      <c r="T243" s="598"/>
      <c r="U243" s="669" t="s">
        <v>257</v>
      </c>
      <c r="V243" s="616" t="s">
        <v>1822</v>
      </c>
      <c r="W243" s="598" t="s">
        <v>950</v>
      </c>
      <c r="X243" s="624">
        <v>35604</v>
      </c>
      <c r="Y243" s="625">
        <f t="shared" ca="1" si="2"/>
        <v>28</v>
      </c>
      <c r="Z243" s="616" t="s">
        <v>1823</v>
      </c>
      <c r="AA243" s="598"/>
      <c r="AB243" s="598" t="s">
        <v>1006</v>
      </c>
      <c r="AC243" s="598" t="s">
        <v>953</v>
      </c>
      <c r="AD243" s="616" t="s">
        <v>729</v>
      </c>
      <c r="AE243" s="616" t="s">
        <v>729</v>
      </c>
      <c r="AF243" s="616" t="s">
        <v>2092</v>
      </c>
      <c r="AG243" s="598" t="s">
        <v>955</v>
      </c>
      <c r="AH243" s="598"/>
      <c r="AI243" s="598"/>
      <c r="AJ243" s="598"/>
      <c r="AK243" s="626"/>
      <c r="AL243" s="626"/>
    </row>
    <row r="244" spans="1:38" ht="18" customHeight="1">
      <c r="A244" s="593"/>
      <c r="B244" s="598">
        <v>227</v>
      </c>
      <c r="C244" s="598" t="s">
        <v>1836</v>
      </c>
      <c r="D244" s="598">
        <f t="shared" si="3"/>
        <v>213</v>
      </c>
      <c r="E244" s="616" t="s">
        <v>1351</v>
      </c>
      <c r="F244" s="616" t="s">
        <v>4633</v>
      </c>
      <c r="G244" s="618" t="s">
        <v>1202</v>
      </c>
      <c r="H244" s="618" t="s">
        <v>335</v>
      </c>
      <c r="I244" s="618" t="s">
        <v>2087</v>
      </c>
      <c r="J244" s="618" t="s">
        <v>1820</v>
      </c>
      <c r="K244" s="618" t="s">
        <v>1836</v>
      </c>
      <c r="L244" s="619" t="s">
        <v>2311</v>
      </c>
      <c r="M244" s="620"/>
      <c r="N244" s="620"/>
      <c r="O244" s="663" t="s">
        <v>1074</v>
      </c>
      <c r="P244" s="621"/>
      <c r="Q244" s="598"/>
      <c r="R244" s="598" t="s">
        <v>1710</v>
      </c>
      <c r="S244" s="598"/>
      <c r="T244" s="598" t="s">
        <v>1705</v>
      </c>
      <c r="U244" s="663" t="s">
        <v>1837</v>
      </c>
      <c r="V244" s="616" t="s">
        <v>1838</v>
      </c>
      <c r="W244" s="598" t="s">
        <v>950</v>
      </c>
      <c r="X244" s="624">
        <v>39593</v>
      </c>
      <c r="Y244" s="625">
        <f t="shared" ca="1" si="2"/>
        <v>17</v>
      </c>
      <c r="Z244" s="616" t="s">
        <v>1839</v>
      </c>
      <c r="AA244" s="598" t="s">
        <v>1840</v>
      </c>
      <c r="AB244" s="598" t="s">
        <v>996</v>
      </c>
      <c r="AC244" s="598" t="s">
        <v>953</v>
      </c>
      <c r="AD244" s="616" t="s">
        <v>1494</v>
      </c>
      <c r="AE244" s="616" t="s">
        <v>1494</v>
      </c>
      <c r="AF244" s="616"/>
      <c r="AG244" s="598"/>
      <c r="AH244" s="598"/>
      <c r="AI244" s="598" t="s">
        <v>1125</v>
      </c>
      <c r="AJ244" s="598"/>
      <c r="AK244" s="626"/>
      <c r="AL244" s="626"/>
    </row>
    <row r="245" spans="1:38" ht="18" customHeight="1">
      <c r="A245" s="593"/>
      <c r="B245" s="598">
        <v>228</v>
      </c>
      <c r="C245" s="598" t="s">
        <v>2311</v>
      </c>
      <c r="D245" s="598">
        <f t="shared" si="3"/>
        <v>214</v>
      </c>
      <c r="E245" s="616" t="s">
        <v>1351</v>
      </c>
      <c r="F245" s="616" t="s">
        <v>4633</v>
      </c>
      <c r="G245" s="618" t="s">
        <v>1202</v>
      </c>
      <c r="H245" s="618" t="s">
        <v>335</v>
      </c>
      <c r="I245" s="618" t="s">
        <v>2087</v>
      </c>
      <c r="J245" s="618" t="s">
        <v>1820</v>
      </c>
      <c r="K245" s="618" t="s">
        <v>1836</v>
      </c>
      <c r="L245" s="619" t="s">
        <v>2311</v>
      </c>
      <c r="M245" s="620"/>
      <c r="N245" s="620"/>
      <c r="O245" s="663" t="s">
        <v>1074</v>
      </c>
      <c r="P245" s="621" t="s">
        <v>319</v>
      </c>
      <c r="Q245" s="598" t="s">
        <v>69</v>
      </c>
      <c r="R245" s="598" t="s">
        <v>562</v>
      </c>
      <c r="S245" s="598"/>
      <c r="T245" s="598" t="s">
        <v>992</v>
      </c>
      <c r="U245" s="663" t="s">
        <v>431</v>
      </c>
      <c r="V245" s="616" t="s">
        <v>2312</v>
      </c>
      <c r="W245" s="598" t="s">
        <v>950</v>
      </c>
      <c r="X245" s="624">
        <v>36581</v>
      </c>
      <c r="Y245" s="625">
        <f t="shared" ca="1" si="2"/>
        <v>25</v>
      </c>
      <c r="Z245" s="616" t="s">
        <v>2313</v>
      </c>
      <c r="AA245" s="598" t="s">
        <v>2314</v>
      </c>
      <c r="AB245" s="598" t="s">
        <v>996</v>
      </c>
      <c r="AC245" s="644" t="s">
        <v>997</v>
      </c>
      <c r="AD245" s="616" t="s">
        <v>729</v>
      </c>
      <c r="AE245" s="616" t="s">
        <v>729</v>
      </c>
      <c r="AF245" s="616" t="s">
        <v>2185</v>
      </c>
      <c r="AG245" s="598"/>
      <c r="AH245" s="598"/>
      <c r="AI245" s="647" t="s">
        <v>1513</v>
      </c>
      <c r="AJ245" s="598"/>
      <c r="AK245" s="626">
        <v>-4</v>
      </c>
      <c r="AL245" s="626"/>
    </row>
    <row r="246" spans="1:38" ht="18" customHeight="1">
      <c r="A246" s="593"/>
      <c r="B246" s="598">
        <v>229</v>
      </c>
      <c r="C246" s="598" t="s">
        <v>1848</v>
      </c>
      <c r="D246" s="598">
        <f t="shared" si="3"/>
        <v>215</v>
      </c>
      <c r="E246" s="616" t="s">
        <v>1351</v>
      </c>
      <c r="F246" s="616" t="s">
        <v>4633</v>
      </c>
      <c r="G246" s="618" t="s">
        <v>1202</v>
      </c>
      <c r="H246" s="618" t="s">
        <v>335</v>
      </c>
      <c r="I246" s="618" t="s">
        <v>2087</v>
      </c>
      <c r="J246" s="618" t="s">
        <v>1820</v>
      </c>
      <c r="K246" s="618" t="s">
        <v>1836</v>
      </c>
      <c r="L246" s="619" t="s">
        <v>2311</v>
      </c>
      <c r="M246" s="620"/>
      <c r="N246" s="620"/>
      <c r="O246" s="663" t="s">
        <v>1074</v>
      </c>
      <c r="P246" s="621"/>
      <c r="Q246" s="598"/>
      <c r="R246" s="598"/>
      <c r="S246" s="598"/>
      <c r="T246" s="598" t="s">
        <v>992</v>
      </c>
      <c r="U246" s="663" t="s">
        <v>1849</v>
      </c>
      <c r="V246" s="616" t="s">
        <v>1850</v>
      </c>
      <c r="W246" s="598" t="s">
        <v>950</v>
      </c>
      <c r="X246" s="624">
        <v>36350</v>
      </c>
      <c r="Y246" s="625">
        <f t="shared" ca="1" si="2"/>
        <v>26</v>
      </c>
      <c r="Z246" s="616" t="s">
        <v>1851</v>
      </c>
      <c r="AA246" s="598" t="s">
        <v>1852</v>
      </c>
      <c r="AB246" s="598" t="s">
        <v>996</v>
      </c>
      <c r="AC246" s="598" t="s">
        <v>997</v>
      </c>
      <c r="AD246" s="616" t="s">
        <v>729</v>
      </c>
      <c r="AE246" s="640" t="s">
        <v>729</v>
      </c>
      <c r="AF246" s="616" t="s">
        <v>1853</v>
      </c>
      <c r="AG246" s="598"/>
      <c r="AH246" s="598"/>
      <c r="AI246" s="598" t="s">
        <v>1125</v>
      </c>
      <c r="AJ246" s="598"/>
      <c r="AK246" s="626">
        <v>-3</v>
      </c>
      <c r="AL246" s="626"/>
    </row>
    <row r="247" spans="1:38" ht="18" customHeight="1">
      <c r="A247" s="593"/>
      <c r="B247" s="598">
        <v>230</v>
      </c>
      <c r="C247" s="598" t="s">
        <v>1854</v>
      </c>
      <c r="D247" s="598">
        <f t="shared" si="3"/>
        <v>216</v>
      </c>
      <c r="E247" s="616" t="s">
        <v>1351</v>
      </c>
      <c r="F247" s="616" t="s">
        <v>4633</v>
      </c>
      <c r="G247" s="618" t="s">
        <v>1202</v>
      </c>
      <c r="H247" s="618" t="s">
        <v>335</v>
      </c>
      <c r="I247" s="618" t="s">
        <v>2087</v>
      </c>
      <c r="J247" s="618" t="s">
        <v>1820</v>
      </c>
      <c r="K247" s="618" t="s">
        <v>1836</v>
      </c>
      <c r="L247" s="619" t="s">
        <v>2311</v>
      </c>
      <c r="M247" s="620"/>
      <c r="N247" s="620"/>
      <c r="O247" s="663" t="s">
        <v>1074</v>
      </c>
      <c r="P247" s="621"/>
      <c r="Q247" s="598"/>
      <c r="R247" s="598"/>
      <c r="S247" s="598"/>
      <c r="T247" s="598" t="s">
        <v>992</v>
      </c>
      <c r="U247" s="663" t="s">
        <v>1855</v>
      </c>
      <c r="V247" s="616" t="s">
        <v>1856</v>
      </c>
      <c r="W247" s="598" t="s">
        <v>963</v>
      </c>
      <c r="X247" s="624">
        <v>36950</v>
      </c>
      <c r="Y247" s="625">
        <f t="shared" ca="1" si="2"/>
        <v>24</v>
      </c>
      <c r="Z247" s="616" t="s">
        <v>1857</v>
      </c>
      <c r="AA247" s="598" t="s">
        <v>1858</v>
      </c>
      <c r="AB247" s="598" t="s">
        <v>996</v>
      </c>
      <c r="AC247" s="598" t="s">
        <v>1018</v>
      </c>
      <c r="AD247" s="616" t="s">
        <v>729</v>
      </c>
      <c r="AE247" s="640" t="s">
        <v>729</v>
      </c>
      <c r="AF247" s="616" t="s">
        <v>1252</v>
      </c>
      <c r="AG247" s="598"/>
      <c r="AH247" s="598"/>
      <c r="AI247" s="598" t="s">
        <v>1125</v>
      </c>
      <c r="AJ247" s="598"/>
      <c r="AK247" s="715">
        <v>-1</v>
      </c>
      <c r="AL247" s="626"/>
    </row>
    <row r="248" spans="1:38" ht="18" customHeight="1">
      <c r="A248" s="593"/>
      <c r="B248" s="598">
        <v>231</v>
      </c>
      <c r="C248" s="598" t="s">
        <v>1538</v>
      </c>
      <c r="D248" s="598">
        <f t="shared" si="3"/>
        <v>217</v>
      </c>
      <c r="E248" s="616" t="s">
        <v>1233</v>
      </c>
      <c r="F248" s="616" t="s">
        <v>4633</v>
      </c>
      <c r="G248" s="618" t="s">
        <v>1202</v>
      </c>
      <c r="H248" s="618" t="s">
        <v>335</v>
      </c>
      <c r="I248" s="618" t="s">
        <v>2087</v>
      </c>
      <c r="J248" s="618" t="s">
        <v>1820</v>
      </c>
      <c r="K248" s="618" t="s">
        <v>1836</v>
      </c>
      <c r="L248" s="619" t="s">
        <v>2311</v>
      </c>
      <c r="M248" s="620"/>
      <c r="N248" s="620"/>
      <c r="O248" s="663" t="s">
        <v>1074</v>
      </c>
      <c r="P248" s="621"/>
      <c r="Q248" s="598"/>
      <c r="R248" s="598"/>
      <c r="S248" s="598"/>
      <c r="T248" s="598" t="s">
        <v>992</v>
      </c>
      <c r="U248" s="663" t="s">
        <v>1539</v>
      </c>
      <c r="V248" s="616" t="s">
        <v>1540</v>
      </c>
      <c r="W248" s="598" t="s">
        <v>963</v>
      </c>
      <c r="X248" s="624">
        <v>37497</v>
      </c>
      <c r="Y248" s="625">
        <f t="shared" ca="1" si="2"/>
        <v>23</v>
      </c>
      <c r="Z248" s="616" t="s">
        <v>1541</v>
      </c>
      <c r="AA248" s="598" t="s">
        <v>1542</v>
      </c>
      <c r="AB248" s="598" t="s">
        <v>996</v>
      </c>
      <c r="AC248" s="598" t="s">
        <v>1018</v>
      </c>
      <c r="AD248" s="616" t="s">
        <v>729</v>
      </c>
      <c r="AE248" s="616" t="s">
        <v>1239</v>
      </c>
      <c r="AF248" s="616" t="s">
        <v>1543</v>
      </c>
      <c r="AG248" s="598"/>
      <c r="AH248" s="598"/>
      <c r="AI248" s="598" t="s">
        <v>1125</v>
      </c>
      <c r="AJ248" s="598"/>
      <c r="AK248" s="626"/>
      <c r="AL248" s="626"/>
    </row>
    <row r="249" spans="1:38" ht="18" customHeight="1">
      <c r="A249" s="593"/>
      <c r="B249" s="598">
        <v>232</v>
      </c>
      <c r="C249" s="598" t="s">
        <v>1608</v>
      </c>
      <c r="D249" s="598">
        <f t="shared" si="3"/>
        <v>218</v>
      </c>
      <c r="E249" s="616" t="s">
        <v>1233</v>
      </c>
      <c r="F249" s="616" t="s">
        <v>4633</v>
      </c>
      <c r="G249" s="618" t="s">
        <v>1202</v>
      </c>
      <c r="H249" s="618" t="s">
        <v>335</v>
      </c>
      <c r="I249" s="618" t="s">
        <v>2087</v>
      </c>
      <c r="J249" s="618" t="s">
        <v>1820</v>
      </c>
      <c r="K249" s="618" t="s">
        <v>1836</v>
      </c>
      <c r="L249" s="619" t="s">
        <v>2311</v>
      </c>
      <c r="M249" s="620"/>
      <c r="N249" s="620"/>
      <c r="O249" s="663" t="s">
        <v>1074</v>
      </c>
      <c r="P249" s="621" t="s">
        <v>319</v>
      </c>
      <c r="Q249" s="598"/>
      <c r="R249" s="598"/>
      <c r="S249" s="598"/>
      <c r="T249" s="598" t="s">
        <v>1015</v>
      </c>
      <c r="U249" s="663" t="s">
        <v>401</v>
      </c>
      <c r="V249" s="616" t="s">
        <v>1609</v>
      </c>
      <c r="W249" s="598" t="s">
        <v>950</v>
      </c>
      <c r="X249" s="624">
        <v>36538</v>
      </c>
      <c r="Y249" s="625">
        <f t="shared" ca="1" si="2"/>
        <v>26</v>
      </c>
      <c r="Z249" s="616" t="s">
        <v>1610</v>
      </c>
      <c r="AA249" s="598" t="s">
        <v>1611</v>
      </c>
      <c r="AB249" s="598" t="s">
        <v>996</v>
      </c>
      <c r="AC249" s="644" t="s">
        <v>997</v>
      </c>
      <c r="AD249" s="616" t="s">
        <v>729</v>
      </c>
      <c r="AE249" s="640" t="s">
        <v>729</v>
      </c>
      <c r="AF249" s="616" t="s">
        <v>1323</v>
      </c>
      <c r="AG249" s="598"/>
      <c r="AH249" s="598"/>
      <c r="AI249" s="700" t="s">
        <v>1612</v>
      </c>
      <c r="AJ249" s="598"/>
      <c r="AK249" s="626">
        <v>-6</v>
      </c>
      <c r="AL249" s="626"/>
    </row>
    <row r="250" spans="1:38" ht="18" customHeight="1">
      <c r="A250" s="593"/>
      <c r="B250" s="598">
        <v>233</v>
      </c>
      <c r="C250" s="598" t="s">
        <v>2093</v>
      </c>
      <c r="D250" s="598">
        <f t="shared" si="3"/>
        <v>219</v>
      </c>
      <c r="E250" s="616" t="s">
        <v>1351</v>
      </c>
      <c r="F250" s="616" t="s">
        <v>4633</v>
      </c>
      <c r="G250" s="618" t="s">
        <v>1202</v>
      </c>
      <c r="H250" s="618" t="s">
        <v>335</v>
      </c>
      <c r="I250" s="618" t="s">
        <v>2087</v>
      </c>
      <c r="J250" s="618" t="s">
        <v>1820</v>
      </c>
      <c r="K250" s="618" t="s">
        <v>1836</v>
      </c>
      <c r="L250" s="619" t="s">
        <v>2311</v>
      </c>
      <c r="M250" s="620"/>
      <c r="N250" s="620"/>
      <c r="O250" s="663" t="s">
        <v>1074</v>
      </c>
      <c r="P250" s="621" t="s">
        <v>319</v>
      </c>
      <c r="Q250" s="598"/>
      <c r="R250" s="598"/>
      <c r="S250" s="598"/>
      <c r="T250" s="598" t="s">
        <v>992</v>
      </c>
      <c r="U250" s="663" t="s">
        <v>413</v>
      </c>
      <c r="V250" s="616" t="s">
        <v>2094</v>
      </c>
      <c r="W250" s="598" t="s">
        <v>950</v>
      </c>
      <c r="X250" s="624">
        <v>38233</v>
      </c>
      <c r="Y250" s="625">
        <f t="shared" ca="1" si="2"/>
        <v>21</v>
      </c>
      <c r="Z250" s="616" t="s">
        <v>2095</v>
      </c>
      <c r="AA250" s="598" t="s">
        <v>2096</v>
      </c>
      <c r="AB250" s="598" t="s">
        <v>996</v>
      </c>
      <c r="AC250" s="644" t="s">
        <v>997</v>
      </c>
      <c r="AD250" s="616" t="s">
        <v>729</v>
      </c>
      <c r="AE250" s="640" t="s">
        <v>729</v>
      </c>
      <c r="AF250" s="616" t="s">
        <v>2097</v>
      </c>
      <c r="AG250" s="598"/>
      <c r="AH250" s="598"/>
      <c r="AI250" s="700" t="s">
        <v>1612</v>
      </c>
      <c r="AJ250" s="598"/>
      <c r="AK250" s="626">
        <v>-6</v>
      </c>
      <c r="AL250" s="626"/>
    </row>
    <row r="251" spans="1:38" ht="18" customHeight="1">
      <c r="A251" s="593"/>
      <c r="B251" s="598">
        <v>234</v>
      </c>
      <c r="C251" s="598" t="s">
        <v>1613</v>
      </c>
      <c r="D251" s="598">
        <f t="shared" si="3"/>
        <v>220</v>
      </c>
      <c r="E251" s="616" t="s">
        <v>1233</v>
      </c>
      <c r="F251" s="616" t="s">
        <v>4633</v>
      </c>
      <c r="G251" s="618" t="s">
        <v>1202</v>
      </c>
      <c r="H251" s="618" t="s">
        <v>335</v>
      </c>
      <c r="I251" s="618" t="s">
        <v>2087</v>
      </c>
      <c r="J251" s="618" t="s">
        <v>1820</v>
      </c>
      <c r="K251" s="618" t="s">
        <v>1836</v>
      </c>
      <c r="L251" s="619" t="s">
        <v>2311</v>
      </c>
      <c r="M251" s="620"/>
      <c r="N251" s="620"/>
      <c r="O251" s="663" t="s">
        <v>1074</v>
      </c>
      <c r="P251" s="621" t="s">
        <v>319</v>
      </c>
      <c r="Q251" s="598"/>
      <c r="R251" s="598"/>
      <c r="S251" s="598"/>
      <c r="T251" s="598" t="s">
        <v>992</v>
      </c>
      <c r="U251" s="663" t="s">
        <v>1614</v>
      </c>
      <c r="V251" s="616" t="s">
        <v>1615</v>
      </c>
      <c r="W251" s="598" t="s">
        <v>950</v>
      </c>
      <c r="X251" s="624">
        <v>36315</v>
      </c>
      <c r="Y251" s="625">
        <f t="shared" ca="1" si="2"/>
        <v>26</v>
      </c>
      <c r="Z251" s="616" t="s">
        <v>1616</v>
      </c>
      <c r="AA251" s="598" t="s">
        <v>1617</v>
      </c>
      <c r="AB251" s="598" t="s">
        <v>996</v>
      </c>
      <c r="AC251" s="598" t="s">
        <v>1018</v>
      </c>
      <c r="AD251" s="616" t="s">
        <v>729</v>
      </c>
      <c r="AE251" s="616" t="s">
        <v>729</v>
      </c>
      <c r="AF251" s="616" t="s">
        <v>1323</v>
      </c>
      <c r="AG251" s="598"/>
      <c r="AH251" s="598" t="s">
        <v>1618</v>
      </c>
      <c r="AI251" s="647" t="s">
        <v>1513</v>
      </c>
      <c r="AJ251" s="598"/>
      <c r="AK251" s="626">
        <v>-6</v>
      </c>
      <c r="AL251" s="626"/>
    </row>
    <row r="252" spans="1:38" ht="18" customHeight="1">
      <c r="A252" s="593"/>
      <c r="B252" s="598">
        <v>235</v>
      </c>
      <c r="C252" s="598" t="s">
        <v>4634</v>
      </c>
      <c r="D252" s="598">
        <f t="shared" si="3"/>
        <v>221</v>
      </c>
      <c r="E252" s="616" t="s">
        <v>1233</v>
      </c>
      <c r="F252" s="616" t="s">
        <v>4633</v>
      </c>
      <c r="G252" s="618" t="s">
        <v>1202</v>
      </c>
      <c r="H252" s="618" t="s">
        <v>335</v>
      </c>
      <c r="I252" s="618" t="s">
        <v>2087</v>
      </c>
      <c r="J252" s="618" t="s">
        <v>1820</v>
      </c>
      <c r="K252" s="618" t="s">
        <v>1836</v>
      </c>
      <c r="L252" s="619" t="s">
        <v>2311</v>
      </c>
      <c r="M252" s="620"/>
      <c r="N252" s="620"/>
      <c r="O252" s="663" t="s">
        <v>1074</v>
      </c>
      <c r="P252" s="621"/>
      <c r="Q252" s="598"/>
      <c r="R252" s="598"/>
      <c r="S252" s="598"/>
      <c r="T252" s="598" t="s">
        <v>992</v>
      </c>
      <c r="U252" s="663" t="s">
        <v>440</v>
      </c>
      <c r="V252" s="616" t="s">
        <v>4635</v>
      </c>
      <c r="W252" s="598" t="s">
        <v>950</v>
      </c>
      <c r="X252" s="624">
        <v>37693</v>
      </c>
      <c r="Y252" s="625">
        <f t="shared" ca="1" si="2"/>
        <v>22</v>
      </c>
      <c r="Z252" s="616" t="s">
        <v>4636</v>
      </c>
      <c r="AA252" s="598"/>
      <c r="AB252" s="598" t="s">
        <v>996</v>
      </c>
      <c r="AC252" s="598" t="s">
        <v>1018</v>
      </c>
      <c r="AD252" s="616" t="s">
        <v>729</v>
      </c>
      <c r="AE252" s="616" t="s">
        <v>1239</v>
      </c>
      <c r="AF252" s="616" t="s">
        <v>1488</v>
      </c>
      <c r="AG252" s="598"/>
      <c r="AH252" s="598" t="s">
        <v>1019</v>
      </c>
      <c r="AI252" s="598" t="s">
        <v>1125</v>
      </c>
      <c r="AJ252" s="598"/>
      <c r="AK252" s="626"/>
      <c r="AL252" s="626"/>
    </row>
    <row r="253" spans="1:38" ht="18" customHeight="1">
      <c r="A253" s="593"/>
      <c r="B253" s="598">
        <v>236</v>
      </c>
      <c r="C253" s="598" t="s">
        <v>4637</v>
      </c>
      <c r="D253" s="598">
        <f t="shared" si="3"/>
        <v>222</v>
      </c>
      <c r="E253" s="616" t="s">
        <v>1351</v>
      </c>
      <c r="F253" s="616" t="s">
        <v>4633</v>
      </c>
      <c r="G253" s="618" t="s">
        <v>1202</v>
      </c>
      <c r="H253" s="618" t="s">
        <v>335</v>
      </c>
      <c r="I253" s="618" t="s">
        <v>2087</v>
      </c>
      <c r="J253" s="618" t="s">
        <v>1820</v>
      </c>
      <c r="K253" s="618" t="s">
        <v>1836</v>
      </c>
      <c r="L253" s="619" t="s">
        <v>2311</v>
      </c>
      <c r="M253" s="620"/>
      <c r="N253" s="620"/>
      <c r="O253" s="673" t="s">
        <v>1074</v>
      </c>
      <c r="P253" s="621"/>
      <c r="Q253" s="598"/>
      <c r="R253" s="598"/>
      <c r="S253" s="598"/>
      <c r="T253" s="598" t="s">
        <v>1705</v>
      </c>
      <c r="U253" s="673" t="s">
        <v>4638</v>
      </c>
      <c r="V253" s="616" t="s">
        <v>4639</v>
      </c>
      <c r="W253" s="598" t="s">
        <v>950</v>
      </c>
      <c r="X253" s="624">
        <v>39312</v>
      </c>
      <c r="Y253" s="625">
        <f t="shared" ca="1" si="2"/>
        <v>18</v>
      </c>
      <c r="Z253" s="616" t="s">
        <v>4640</v>
      </c>
      <c r="AA253" s="598" t="s">
        <v>4641</v>
      </c>
      <c r="AB253" s="598" t="s">
        <v>996</v>
      </c>
      <c r="AC253" s="598" t="s">
        <v>1018</v>
      </c>
      <c r="AD253" s="616" t="s">
        <v>2737</v>
      </c>
      <c r="AE253" s="616" t="s">
        <v>2737</v>
      </c>
      <c r="AF253" s="616"/>
      <c r="AG253" s="598"/>
      <c r="AH253" s="598" t="s">
        <v>4642</v>
      </c>
      <c r="AI253" s="598" t="s">
        <v>1125</v>
      </c>
      <c r="AJ253" s="598" t="s">
        <v>4607</v>
      </c>
      <c r="AK253" s="626"/>
      <c r="AL253" s="626"/>
    </row>
    <row r="254" spans="1:38" ht="18" customHeight="1">
      <c r="A254" s="593"/>
      <c r="B254" s="598">
        <v>237</v>
      </c>
      <c r="C254" s="598" t="s">
        <v>1949</v>
      </c>
      <c r="D254" s="598">
        <f t="shared" si="3"/>
        <v>222</v>
      </c>
      <c r="E254" s="616"/>
      <c r="F254" s="616" t="s">
        <v>4633</v>
      </c>
      <c r="G254" s="618" t="s">
        <v>1202</v>
      </c>
      <c r="H254" s="618" t="s">
        <v>335</v>
      </c>
      <c r="I254" s="618" t="s">
        <v>2087</v>
      </c>
      <c r="J254" s="618" t="s">
        <v>1949</v>
      </c>
      <c r="K254" s="618" t="s">
        <v>1313</v>
      </c>
      <c r="L254" s="619"/>
      <c r="M254" s="620"/>
      <c r="N254" s="620"/>
      <c r="O254" s="667" t="s">
        <v>1115</v>
      </c>
      <c r="P254" s="621"/>
      <c r="Q254" s="598" t="s">
        <v>55</v>
      </c>
      <c r="R254" s="598" t="s">
        <v>178</v>
      </c>
      <c r="S254" s="598"/>
      <c r="T254" s="598"/>
      <c r="U254" s="667" t="s">
        <v>336</v>
      </c>
      <c r="V254" s="616" t="s">
        <v>4643</v>
      </c>
      <c r="W254" s="598" t="s">
        <v>950</v>
      </c>
      <c r="X254" s="624">
        <v>30593</v>
      </c>
      <c r="Y254" s="625">
        <f t="shared" ca="1" si="2"/>
        <v>42</v>
      </c>
      <c r="Z254" s="616" t="s">
        <v>1951</v>
      </c>
      <c r="AA254" s="598" t="s">
        <v>1952</v>
      </c>
      <c r="AB254" s="598" t="s">
        <v>966</v>
      </c>
      <c r="AC254" s="598" t="s">
        <v>953</v>
      </c>
      <c r="AD254" s="616" t="s">
        <v>729</v>
      </c>
      <c r="AE254" s="616" t="s">
        <v>729</v>
      </c>
      <c r="AF254" s="616"/>
      <c r="AG254" s="598" t="s">
        <v>955</v>
      </c>
      <c r="AH254" s="598"/>
      <c r="AI254" s="598"/>
      <c r="AJ254" s="598"/>
      <c r="AK254" s="626"/>
      <c r="AL254" s="626"/>
    </row>
    <row r="255" spans="1:38" ht="18" customHeight="1">
      <c r="A255" s="593"/>
      <c r="B255" s="598">
        <v>238</v>
      </c>
      <c r="C255" s="598" t="s">
        <v>1313</v>
      </c>
      <c r="D255" s="598">
        <f t="shared" si="3"/>
        <v>223</v>
      </c>
      <c r="E255" s="616" t="s">
        <v>1233</v>
      </c>
      <c r="F255" s="616" t="s">
        <v>4633</v>
      </c>
      <c r="G255" s="618" t="s">
        <v>1202</v>
      </c>
      <c r="H255" s="618" t="s">
        <v>335</v>
      </c>
      <c r="I255" s="618" t="s">
        <v>2087</v>
      </c>
      <c r="J255" s="618" t="s">
        <v>1949</v>
      </c>
      <c r="K255" s="618" t="s">
        <v>1313</v>
      </c>
      <c r="L255" s="619"/>
      <c r="M255" s="620"/>
      <c r="N255" s="620"/>
      <c r="O255" s="663" t="s">
        <v>1115</v>
      </c>
      <c r="P255" s="621"/>
      <c r="Q255" s="598" t="s">
        <v>69</v>
      </c>
      <c r="R255" s="598" t="s">
        <v>69</v>
      </c>
      <c r="S255" s="598"/>
      <c r="T255" s="598" t="s">
        <v>1015</v>
      </c>
      <c r="U255" s="663" t="s">
        <v>360</v>
      </c>
      <c r="V255" s="616" t="s">
        <v>1314</v>
      </c>
      <c r="W255" s="598" t="s">
        <v>950</v>
      </c>
      <c r="X255" s="624">
        <v>30325</v>
      </c>
      <c r="Y255" s="625">
        <f t="shared" ca="1" si="2"/>
        <v>43</v>
      </c>
      <c r="Z255" s="616" t="s">
        <v>1315</v>
      </c>
      <c r="AA255" s="598" t="s">
        <v>1316</v>
      </c>
      <c r="AB255" s="598" t="s">
        <v>996</v>
      </c>
      <c r="AC255" s="644" t="s">
        <v>997</v>
      </c>
      <c r="AD255" s="616" t="s">
        <v>729</v>
      </c>
      <c r="AE255" s="640" t="s">
        <v>729</v>
      </c>
      <c r="AF255" s="616" t="s">
        <v>1317</v>
      </c>
      <c r="AG255" s="598"/>
      <c r="AH255" s="598"/>
      <c r="AI255" s="598" t="s">
        <v>1318</v>
      </c>
      <c r="AJ255" s="598"/>
      <c r="AK255" s="626">
        <v>-5</v>
      </c>
      <c r="AL255" s="626"/>
    </row>
    <row r="256" spans="1:38" ht="18" customHeight="1">
      <c r="A256" s="593"/>
      <c r="B256" s="598">
        <v>239</v>
      </c>
      <c r="C256" s="598" t="s">
        <v>1950</v>
      </c>
      <c r="D256" s="598">
        <f t="shared" si="3"/>
        <v>224</v>
      </c>
      <c r="E256" s="616" t="s">
        <v>1351</v>
      </c>
      <c r="F256" s="616" t="s">
        <v>4633</v>
      </c>
      <c r="G256" s="618" t="s">
        <v>1202</v>
      </c>
      <c r="H256" s="618" t="s">
        <v>335</v>
      </c>
      <c r="I256" s="618" t="s">
        <v>2087</v>
      </c>
      <c r="J256" s="618" t="s">
        <v>1949</v>
      </c>
      <c r="K256" s="618" t="s">
        <v>1313</v>
      </c>
      <c r="L256" s="619"/>
      <c r="M256" s="620"/>
      <c r="N256" s="620"/>
      <c r="O256" s="663" t="s">
        <v>1115</v>
      </c>
      <c r="P256" s="621"/>
      <c r="Q256" s="598"/>
      <c r="R256" s="598"/>
      <c r="S256" s="598"/>
      <c r="T256" s="598" t="s">
        <v>1015</v>
      </c>
      <c r="U256" s="663" t="s">
        <v>345</v>
      </c>
      <c r="V256" s="616" t="s">
        <v>1954</v>
      </c>
      <c r="W256" s="598" t="s">
        <v>950</v>
      </c>
      <c r="X256" s="624">
        <v>27988</v>
      </c>
      <c r="Y256" s="625">
        <f t="shared" ca="1" si="2"/>
        <v>49</v>
      </c>
      <c r="Z256" s="616" t="s">
        <v>1955</v>
      </c>
      <c r="AA256" s="598" t="s">
        <v>1956</v>
      </c>
      <c r="AB256" s="598" t="s">
        <v>996</v>
      </c>
      <c r="AC256" s="644" t="s">
        <v>997</v>
      </c>
      <c r="AD256" s="616" t="s">
        <v>729</v>
      </c>
      <c r="AE256" s="640" t="s">
        <v>729</v>
      </c>
      <c r="AF256" s="616" t="s">
        <v>1760</v>
      </c>
      <c r="AG256" s="598"/>
      <c r="AH256" s="598"/>
      <c r="AI256" s="598" t="s">
        <v>1318</v>
      </c>
      <c r="AJ256" s="598"/>
      <c r="AK256" s="626">
        <v>-4</v>
      </c>
      <c r="AL256" s="626"/>
    </row>
    <row r="257" spans="1:38" ht="18" customHeight="1">
      <c r="A257" s="593"/>
      <c r="B257" s="598">
        <v>240</v>
      </c>
      <c r="C257" s="598" t="s">
        <v>1441</v>
      </c>
      <c r="D257" s="598">
        <f t="shared" si="3"/>
        <v>225</v>
      </c>
      <c r="E257" s="616" t="s">
        <v>1233</v>
      </c>
      <c r="F257" s="616" t="s">
        <v>4633</v>
      </c>
      <c r="G257" s="618" t="s">
        <v>1202</v>
      </c>
      <c r="H257" s="618" t="s">
        <v>335</v>
      </c>
      <c r="I257" s="618" t="s">
        <v>2087</v>
      </c>
      <c r="J257" s="618" t="s">
        <v>1949</v>
      </c>
      <c r="K257" s="618" t="s">
        <v>1313</v>
      </c>
      <c r="L257" s="619"/>
      <c r="M257" s="620"/>
      <c r="N257" s="620"/>
      <c r="O257" s="673" t="s">
        <v>1115</v>
      </c>
      <c r="P257" s="621" t="s">
        <v>319</v>
      </c>
      <c r="Q257" s="598"/>
      <c r="R257" s="598"/>
      <c r="S257" s="598"/>
      <c r="T257" s="598" t="s">
        <v>992</v>
      </c>
      <c r="U257" s="673" t="s">
        <v>374</v>
      </c>
      <c r="V257" s="616" t="s">
        <v>1442</v>
      </c>
      <c r="W257" s="598" t="s">
        <v>950</v>
      </c>
      <c r="X257" s="624">
        <v>33178</v>
      </c>
      <c r="Y257" s="625">
        <f t="shared" ca="1" si="2"/>
        <v>35</v>
      </c>
      <c r="Z257" s="616" t="s">
        <v>1443</v>
      </c>
      <c r="AA257" s="598" t="s">
        <v>1444</v>
      </c>
      <c r="AB257" s="598" t="s">
        <v>996</v>
      </c>
      <c r="AC257" s="644" t="s">
        <v>997</v>
      </c>
      <c r="AD257" s="616" t="s">
        <v>729</v>
      </c>
      <c r="AE257" s="616" t="s">
        <v>729</v>
      </c>
      <c r="AF257" s="616" t="s">
        <v>1323</v>
      </c>
      <c r="AG257" s="598"/>
      <c r="AH257" s="598"/>
      <c r="AI257" s="700" t="s">
        <v>1446</v>
      </c>
      <c r="AJ257" s="598"/>
      <c r="AK257" s="626"/>
      <c r="AL257" s="626"/>
    </row>
    <row r="258" spans="1:38" ht="18" customHeight="1">
      <c r="A258" s="593"/>
      <c r="B258" s="598">
        <v>241</v>
      </c>
      <c r="C258" s="598" t="s">
        <v>1264</v>
      </c>
      <c r="D258" s="598">
        <f t="shared" si="3"/>
        <v>226</v>
      </c>
      <c r="E258" s="616" t="s">
        <v>1233</v>
      </c>
      <c r="F258" s="616" t="s">
        <v>4633</v>
      </c>
      <c r="G258" s="618" t="s">
        <v>1202</v>
      </c>
      <c r="H258" s="618" t="s">
        <v>335</v>
      </c>
      <c r="I258" s="618" t="s">
        <v>2087</v>
      </c>
      <c r="J258" s="618" t="s">
        <v>1264</v>
      </c>
      <c r="K258" s="618" t="s">
        <v>1453</v>
      </c>
      <c r="L258" s="619" t="s">
        <v>2459</v>
      </c>
      <c r="M258" s="620" t="s">
        <v>2134</v>
      </c>
      <c r="N258" s="620" t="s">
        <v>2135</v>
      </c>
      <c r="O258" s="663" t="s">
        <v>1127</v>
      </c>
      <c r="P258" s="621"/>
      <c r="Q258" s="598" t="s">
        <v>69</v>
      </c>
      <c r="R258" s="598" t="s">
        <v>562</v>
      </c>
      <c r="S258" s="598"/>
      <c r="T258" s="598" t="s">
        <v>1015</v>
      </c>
      <c r="U258" s="663" t="s">
        <v>1265</v>
      </c>
      <c r="V258" s="616" t="s">
        <v>1266</v>
      </c>
      <c r="W258" s="598" t="s">
        <v>950</v>
      </c>
      <c r="X258" s="624">
        <v>34308</v>
      </c>
      <c r="Y258" s="625">
        <f t="shared" ca="1" si="2"/>
        <v>32</v>
      </c>
      <c r="Z258" s="616" t="s">
        <v>1267</v>
      </c>
      <c r="AA258" s="598" t="s">
        <v>1268</v>
      </c>
      <c r="AB258" s="598" t="s">
        <v>996</v>
      </c>
      <c r="AC258" s="598" t="s">
        <v>997</v>
      </c>
      <c r="AD258" s="616" t="s">
        <v>729</v>
      </c>
      <c r="AE258" s="640" t="s">
        <v>729</v>
      </c>
      <c r="AF258" s="616" t="s">
        <v>1269</v>
      </c>
      <c r="AG258" s="598"/>
      <c r="AH258" s="598"/>
      <c r="AI258" s="598" t="s">
        <v>1125</v>
      </c>
      <c r="AJ258" s="598"/>
      <c r="AK258" s="626">
        <v>-6</v>
      </c>
      <c r="AL258" s="626"/>
    </row>
    <row r="259" spans="1:38" ht="18" customHeight="1">
      <c r="A259" s="593"/>
      <c r="B259" s="598">
        <v>242</v>
      </c>
      <c r="C259" s="598" t="s">
        <v>1453</v>
      </c>
      <c r="D259" s="598">
        <f t="shared" si="3"/>
        <v>227</v>
      </c>
      <c r="E259" s="616" t="s">
        <v>1233</v>
      </c>
      <c r="F259" s="616" t="s">
        <v>4633</v>
      </c>
      <c r="G259" s="618" t="s">
        <v>1202</v>
      </c>
      <c r="H259" s="618" t="s">
        <v>335</v>
      </c>
      <c r="I259" s="618" t="s">
        <v>2087</v>
      </c>
      <c r="J259" s="618" t="s">
        <v>1264</v>
      </c>
      <c r="K259" s="618" t="s">
        <v>1453</v>
      </c>
      <c r="L259" s="619" t="s">
        <v>2459</v>
      </c>
      <c r="M259" s="620" t="s">
        <v>2134</v>
      </c>
      <c r="N259" s="620" t="s">
        <v>2135</v>
      </c>
      <c r="O259" s="663" t="s">
        <v>1127</v>
      </c>
      <c r="P259" s="621"/>
      <c r="Q259" s="598" t="s">
        <v>69</v>
      </c>
      <c r="R259" s="598" t="s">
        <v>562</v>
      </c>
      <c r="S259" s="598"/>
      <c r="T259" s="598" t="s">
        <v>1015</v>
      </c>
      <c r="U259" s="663" t="s">
        <v>361</v>
      </c>
      <c r="V259" s="616" t="s">
        <v>1456</v>
      </c>
      <c r="W259" s="598" t="s">
        <v>950</v>
      </c>
      <c r="X259" s="624">
        <v>34385</v>
      </c>
      <c r="Y259" s="625">
        <f t="shared" ca="1" si="2"/>
        <v>31</v>
      </c>
      <c r="Z259" s="616" t="s">
        <v>1457</v>
      </c>
      <c r="AA259" s="598" t="s">
        <v>1458</v>
      </c>
      <c r="AB259" s="598" t="s">
        <v>996</v>
      </c>
      <c r="AC259" s="598" t="s">
        <v>997</v>
      </c>
      <c r="AD259" s="616" t="s">
        <v>729</v>
      </c>
      <c r="AE259" s="616" t="s">
        <v>1250</v>
      </c>
      <c r="AF259" s="616" t="s">
        <v>1459</v>
      </c>
      <c r="AG259" s="598"/>
      <c r="AH259" s="598"/>
      <c r="AI259" s="598" t="s">
        <v>1452</v>
      </c>
      <c r="AJ259" s="598"/>
      <c r="AK259" s="626"/>
      <c r="AL259" s="626"/>
    </row>
    <row r="260" spans="1:38" ht="18" customHeight="1">
      <c r="A260" s="278"/>
      <c r="B260" s="598">
        <v>243</v>
      </c>
      <c r="C260" s="598" t="s">
        <v>2459</v>
      </c>
      <c r="D260" s="598">
        <f t="shared" si="3"/>
        <v>228</v>
      </c>
      <c r="E260" s="616" t="s">
        <v>1351</v>
      </c>
      <c r="F260" s="598" t="s">
        <v>4633</v>
      </c>
      <c r="G260" s="618" t="s">
        <v>1202</v>
      </c>
      <c r="H260" s="618" t="s">
        <v>335</v>
      </c>
      <c r="I260" s="618" t="s">
        <v>2087</v>
      </c>
      <c r="J260" s="618" t="s">
        <v>1264</v>
      </c>
      <c r="K260" s="618" t="s">
        <v>1453</v>
      </c>
      <c r="L260" s="619" t="s">
        <v>2459</v>
      </c>
      <c r="M260" s="620" t="s">
        <v>2134</v>
      </c>
      <c r="N260" s="620" t="s">
        <v>2135</v>
      </c>
      <c r="O260" s="672" t="s">
        <v>1127</v>
      </c>
      <c r="P260" s="621"/>
      <c r="Q260" s="598" t="s">
        <v>69</v>
      </c>
      <c r="R260" s="598" t="s">
        <v>562</v>
      </c>
      <c r="S260" s="627"/>
      <c r="T260" s="703" t="s">
        <v>1015</v>
      </c>
      <c r="U260" s="672" t="s">
        <v>388</v>
      </c>
      <c r="V260" s="598" t="s">
        <v>2460</v>
      </c>
      <c r="W260" s="598" t="s">
        <v>950</v>
      </c>
      <c r="X260" s="624">
        <v>30447</v>
      </c>
      <c r="Y260" s="625">
        <f t="shared" ca="1" si="2"/>
        <v>42</v>
      </c>
      <c r="Z260" s="598" t="s">
        <v>2461</v>
      </c>
      <c r="AA260" s="598" t="s">
        <v>2462</v>
      </c>
      <c r="AB260" s="598" t="s">
        <v>996</v>
      </c>
      <c r="AC260" s="644" t="s">
        <v>997</v>
      </c>
      <c r="AD260" s="598" t="s">
        <v>729</v>
      </c>
      <c r="AE260" s="640" t="s">
        <v>729</v>
      </c>
      <c r="AF260" s="598" t="s">
        <v>2463</v>
      </c>
      <c r="AG260" s="627"/>
      <c r="AH260" s="627"/>
      <c r="AI260" s="598" t="s">
        <v>1318</v>
      </c>
      <c r="AJ260" s="627"/>
      <c r="AK260" s="715">
        <v>-2</v>
      </c>
      <c r="AL260" s="627"/>
    </row>
    <row r="261" spans="1:38" ht="18" customHeight="1">
      <c r="A261" s="593"/>
      <c r="B261" s="598">
        <v>244</v>
      </c>
      <c r="C261" s="598" t="s">
        <v>2134</v>
      </c>
      <c r="D261" s="598">
        <f t="shared" si="3"/>
        <v>229</v>
      </c>
      <c r="E261" s="616" t="s">
        <v>1351</v>
      </c>
      <c r="F261" s="616" t="s">
        <v>4633</v>
      </c>
      <c r="G261" s="618" t="s">
        <v>1202</v>
      </c>
      <c r="H261" s="618" t="s">
        <v>335</v>
      </c>
      <c r="I261" s="618" t="s">
        <v>2087</v>
      </c>
      <c r="J261" s="618" t="s">
        <v>1264</v>
      </c>
      <c r="K261" s="618" t="s">
        <v>1453</v>
      </c>
      <c r="L261" s="619" t="s">
        <v>2459</v>
      </c>
      <c r="M261" s="620" t="s">
        <v>2134</v>
      </c>
      <c r="N261" s="620" t="s">
        <v>2135</v>
      </c>
      <c r="O261" s="663" t="s">
        <v>1127</v>
      </c>
      <c r="P261" s="621"/>
      <c r="Q261" s="598" t="s">
        <v>69</v>
      </c>
      <c r="R261" s="598" t="s">
        <v>562</v>
      </c>
      <c r="S261" s="598"/>
      <c r="T261" s="598" t="s">
        <v>1015</v>
      </c>
      <c r="U261" s="663" t="s">
        <v>346</v>
      </c>
      <c r="V261" s="616" t="s">
        <v>2136</v>
      </c>
      <c r="W261" s="598" t="s">
        <v>950</v>
      </c>
      <c r="X261" s="624">
        <v>30826</v>
      </c>
      <c r="Y261" s="625">
        <f t="shared" ca="1" si="2"/>
        <v>41</v>
      </c>
      <c r="Z261" s="616" t="s">
        <v>2137</v>
      </c>
      <c r="AA261" s="598" t="s">
        <v>2138</v>
      </c>
      <c r="AB261" s="598" t="s">
        <v>996</v>
      </c>
      <c r="AC261" s="644" t="s">
        <v>997</v>
      </c>
      <c r="AD261" s="616" t="s">
        <v>729</v>
      </c>
      <c r="AE261" s="640" t="s">
        <v>729</v>
      </c>
      <c r="AF261" s="640" t="s">
        <v>1252</v>
      </c>
      <c r="AG261" s="598"/>
      <c r="AH261" s="598"/>
      <c r="AI261" s="598" t="s">
        <v>1318</v>
      </c>
      <c r="AJ261" s="598"/>
      <c r="AK261" s="626">
        <v>-6</v>
      </c>
      <c r="AL261" s="626"/>
    </row>
    <row r="262" spans="1:38" ht="18" customHeight="1">
      <c r="A262" s="593"/>
      <c r="B262" s="598">
        <v>245</v>
      </c>
      <c r="C262" s="598" t="s">
        <v>2135</v>
      </c>
      <c r="D262" s="598">
        <f t="shared" si="3"/>
        <v>230</v>
      </c>
      <c r="E262" s="616" t="s">
        <v>1351</v>
      </c>
      <c r="F262" s="616" t="s">
        <v>4633</v>
      </c>
      <c r="G262" s="618" t="s">
        <v>1202</v>
      </c>
      <c r="H262" s="618" t="s">
        <v>335</v>
      </c>
      <c r="I262" s="618" t="s">
        <v>2087</v>
      </c>
      <c r="J262" s="618" t="s">
        <v>1264</v>
      </c>
      <c r="K262" s="618" t="s">
        <v>1453</v>
      </c>
      <c r="L262" s="619" t="s">
        <v>2459</v>
      </c>
      <c r="M262" s="620" t="s">
        <v>2134</v>
      </c>
      <c r="N262" s="620" t="s">
        <v>2135</v>
      </c>
      <c r="O262" s="663" t="s">
        <v>1127</v>
      </c>
      <c r="P262" s="621" t="s">
        <v>319</v>
      </c>
      <c r="Q262" s="598" t="s">
        <v>69</v>
      </c>
      <c r="R262" s="598" t="s">
        <v>562</v>
      </c>
      <c r="S262" s="598"/>
      <c r="T262" s="598" t="s">
        <v>1015</v>
      </c>
      <c r="U262" s="663" t="s">
        <v>402</v>
      </c>
      <c r="V262" s="616" t="s">
        <v>2341</v>
      </c>
      <c r="W262" s="598" t="s">
        <v>950</v>
      </c>
      <c r="X262" s="624">
        <v>31415</v>
      </c>
      <c r="Y262" s="625">
        <f t="shared" ca="1" si="2"/>
        <v>40</v>
      </c>
      <c r="Z262" s="616" t="s">
        <v>2342</v>
      </c>
      <c r="AA262" s="598" t="s">
        <v>2343</v>
      </c>
      <c r="AB262" s="598" t="s">
        <v>996</v>
      </c>
      <c r="AC262" s="644" t="s">
        <v>997</v>
      </c>
      <c r="AD262" s="616" t="s">
        <v>729</v>
      </c>
      <c r="AE262" s="640" t="s">
        <v>729</v>
      </c>
      <c r="AF262" s="616" t="s">
        <v>2118</v>
      </c>
      <c r="AG262" s="598"/>
      <c r="AH262" s="598"/>
      <c r="AI262" s="700" t="s">
        <v>1612</v>
      </c>
      <c r="AJ262" s="598"/>
      <c r="AK262" s="626">
        <v>-6</v>
      </c>
      <c r="AL262" s="626"/>
    </row>
    <row r="263" spans="1:38" ht="18" customHeight="1">
      <c r="A263" s="593"/>
      <c r="B263" s="598">
        <v>246</v>
      </c>
      <c r="C263" s="598" t="s">
        <v>4094</v>
      </c>
      <c r="D263" s="598">
        <f t="shared" si="3"/>
        <v>231</v>
      </c>
      <c r="E263" s="616" t="s">
        <v>3808</v>
      </c>
      <c r="F263" s="616" t="s">
        <v>4633</v>
      </c>
      <c r="G263" s="618" t="s">
        <v>1202</v>
      </c>
      <c r="H263" s="618" t="s">
        <v>335</v>
      </c>
      <c r="I263" s="618" t="s">
        <v>2087</v>
      </c>
      <c r="J263" s="618" t="s">
        <v>1264</v>
      </c>
      <c r="K263" s="618" t="s">
        <v>1453</v>
      </c>
      <c r="L263" s="619" t="s">
        <v>2459</v>
      </c>
      <c r="M263" s="620" t="s">
        <v>2134</v>
      </c>
      <c r="N263" s="620" t="s">
        <v>2135</v>
      </c>
      <c r="O263" s="663" t="s">
        <v>1127</v>
      </c>
      <c r="P263" s="621"/>
      <c r="Q263" s="598"/>
      <c r="R263" s="598"/>
      <c r="S263" s="598"/>
      <c r="T263" s="598" t="s">
        <v>1015</v>
      </c>
      <c r="U263" s="664" t="s">
        <v>375</v>
      </c>
      <c r="V263" s="616" t="s">
        <v>4095</v>
      </c>
      <c r="W263" s="598" t="s">
        <v>950</v>
      </c>
      <c r="X263" s="624">
        <v>33658</v>
      </c>
      <c r="Y263" s="625">
        <f t="shared" ca="1" si="2"/>
        <v>33</v>
      </c>
      <c r="Z263" s="616" t="s">
        <v>4096</v>
      </c>
      <c r="AA263" s="598" t="s">
        <v>4097</v>
      </c>
      <c r="AB263" s="598" t="s">
        <v>996</v>
      </c>
      <c r="AC263" s="644" t="s">
        <v>997</v>
      </c>
      <c r="AD263" s="616" t="s">
        <v>246</v>
      </c>
      <c r="AE263" s="616" t="s">
        <v>246</v>
      </c>
      <c r="AF263" s="616" t="s">
        <v>4644</v>
      </c>
      <c r="AG263" s="598"/>
      <c r="AH263" s="598"/>
      <c r="AI263" s="598" t="s">
        <v>1318</v>
      </c>
      <c r="AJ263" s="598"/>
      <c r="AK263" s="626"/>
      <c r="AL263" s="626"/>
    </row>
    <row r="264" spans="1:38" ht="18" customHeight="1">
      <c r="A264" s="593"/>
      <c r="B264" s="598">
        <v>247</v>
      </c>
      <c r="C264" s="598" t="s">
        <v>2112</v>
      </c>
      <c r="D264" s="598">
        <f t="shared" si="3"/>
        <v>232</v>
      </c>
      <c r="E264" s="616" t="s">
        <v>1351</v>
      </c>
      <c r="F264" s="616" t="s">
        <v>4633</v>
      </c>
      <c r="G264" s="618" t="s">
        <v>1202</v>
      </c>
      <c r="H264" s="618" t="s">
        <v>335</v>
      </c>
      <c r="I264" s="618" t="s">
        <v>2087</v>
      </c>
      <c r="J264" s="618" t="s">
        <v>1264</v>
      </c>
      <c r="K264" s="618" t="s">
        <v>1453</v>
      </c>
      <c r="L264" s="619" t="s">
        <v>2459</v>
      </c>
      <c r="M264" s="620" t="s">
        <v>2134</v>
      </c>
      <c r="N264" s="620" t="s">
        <v>2135</v>
      </c>
      <c r="O264" s="663" t="s">
        <v>1127</v>
      </c>
      <c r="P264" s="621" t="s">
        <v>319</v>
      </c>
      <c r="Q264" s="598"/>
      <c r="R264" s="598"/>
      <c r="S264" s="598"/>
      <c r="T264" s="623" t="s">
        <v>992</v>
      </c>
      <c r="U264" s="578" t="s">
        <v>815</v>
      </c>
      <c r="V264" s="708" t="s">
        <v>2113</v>
      </c>
      <c r="W264" s="598" t="s">
        <v>950</v>
      </c>
      <c r="X264" s="624">
        <v>35821</v>
      </c>
      <c r="Y264" s="625">
        <f t="shared" ca="1" si="2"/>
        <v>28</v>
      </c>
      <c r="Z264" s="714" t="s">
        <v>2114</v>
      </c>
      <c r="AA264" s="598"/>
      <c r="AB264" s="598" t="s">
        <v>996</v>
      </c>
      <c r="AC264" s="598" t="s">
        <v>1018</v>
      </c>
      <c r="AD264" s="616" t="s">
        <v>729</v>
      </c>
      <c r="AE264" s="616" t="s">
        <v>729</v>
      </c>
      <c r="AF264" s="708" t="s">
        <v>1808</v>
      </c>
      <c r="AG264" s="598"/>
      <c r="AH264" s="598"/>
      <c r="AI264" s="701" t="s">
        <v>1575</v>
      </c>
      <c r="AJ264" s="598"/>
      <c r="AK264" s="626"/>
      <c r="AL264" s="626"/>
    </row>
    <row r="265" spans="1:38" ht="18" customHeight="1">
      <c r="A265" s="593"/>
      <c r="B265" s="598">
        <v>248</v>
      </c>
      <c r="C265" s="598" t="s">
        <v>2115</v>
      </c>
      <c r="D265" s="598">
        <f t="shared" si="3"/>
        <v>233</v>
      </c>
      <c r="E265" s="616" t="s">
        <v>1351</v>
      </c>
      <c r="F265" s="616" t="s">
        <v>4633</v>
      </c>
      <c r="G265" s="618" t="s">
        <v>1202</v>
      </c>
      <c r="H265" s="618" t="s">
        <v>335</v>
      </c>
      <c r="I265" s="618" t="s">
        <v>2087</v>
      </c>
      <c r="J265" s="618" t="s">
        <v>1264</v>
      </c>
      <c r="K265" s="618" t="s">
        <v>1453</v>
      </c>
      <c r="L265" s="619" t="s">
        <v>2459</v>
      </c>
      <c r="M265" s="620" t="s">
        <v>2134</v>
      </c>
      <c r="N265" s="620" t="s">
        <v>2135</v>
      </c>
      <c r="O265" s="663" t="s">
        <v>1127</v>
      </c>
      <c r="P265" s="621" t="s">
        <v>319</v>
      </c>
      <c r="Q265" s="598"/>
      <c r="R265" s="598"/>
      <c r="S265" s="598"/>
      <c r="T265" s="623" t="s">
        <v>992</v>
      </c>
      <c r="U265" s="578" t="s">
        <v>818</v>
      </c>
      <c r="V265" s="708" t="s">
        <v>2116</v>
      </c>
      <c r="W265" s="598" t="s">
        <v>950</v>
      </c>
      <c r="X265" s="624">
        <v>35931</v>
      </c>
      <c r="Y265" s="625">
        <f t="shared" ca="1" si="2"/>
        <v>27</v>
      </c>
      <c r="Z265" s="714" t="s">
        <v>2117</v>
      </c>
      <c r="AA265" s="598"/>
      <c r="AB265" s="598" t="s">
        <v>996</v>
      </c>
      <c r="AC265" s="598" t="s">
        <v>1018</v>
      </c>
      <c r="AD265" s="616" t="s">
        <v>729</v>
      </c>
      <c r="AE265" s="616" t="s">
        <v>729</v>
      </c>
      <c r="AF265" s="708" t="s">
        <v>2118</v>
      </c>
      <c r="AG265" s="598"/>
      <c r="AH265" s="598"/>
      <c r="AI265" s="701" t="s">
        <v>1575</v>
      </c>
      <c r="AJ265" s="598"/>
      <c r="AK265" s="626"/>
      <c r="AL265" s="626"/>
    </row>
    <row r="266" spans="1:38" ht="18" customHeight="1">
      <c r="A266" s="593"/>
      <c r="B266" s="598">
        <v>249</v>
      </c>
      <c r="C266" s="598" t="s">
        <v>4138</v>
      </c>
      <c r="D266" s="598">
        <f t="shared" si="3"/>
        <v>234</v>
      </c>
      <c r="E266" s="616" t="s">
        <v>1351</v>
      </c>
      <c r="F266" s="616" t="s">
        <v>4633</v>
      </c>
      <c r="G266" s="618" t="s">
        <v>1202</v>
      </c>
      <c r="H266" s="618" t="s">
        <v>335</v>
      </c>
      <c r="I266" s="618" t="s">
        <v>2087</v>
      </c>
      <c r="J266" s="618" t="s">
        <v>4138</v>
      </c>
      <c r="K266" s="619" t="s">
        <v>3100</v>
      </c>
      <c r="L266" s="619" t="s">
        <v>3037</v>
      </c>
      <c r="M266" s="620" t="s">
        <v>3106</v>
      </c>
      <c r="N266" s="598"/>
      <c r="O266" s="667" t="s">
        <v>325</v>
      </c>
      <c r="P266" s="621"/>
      <c r="Q266" s="598" t="s">
        <v>55</v>
      </c>
      <c r="R266" s="598" t="s">
        <v>178</v>
      </c>
      <c r="S266" s="598"/>
      <c r="T266" s="598" t="s">
        <v>1705</v>
      </c>
      <c r="U266" s="667" t="s">
        <v>337</v>
      </c>
      <c r="V266" s="616" t="s">
        <v>4141</v>
      </c>
      <c r="W266" s="598" t="s">
        <v>950</v>
      </c>
      <c r="X266" s="624">
        <v>39305</v>
      </c>
      <c r="Y266" s="625">
        <f t="shared" ca="1" si="2"/>
        <v>18</v>
      </c>
      <c r="Z266" s="616" t="s">
        <v>4142</v>
      </c>
      <c r="AA266" s="598" t="s">
        <v>4143</v>
      </c>
      <c r="AB266" s="598" t="s">
        <v>996</v>
      </c>
      <c r="AC266" s="598" t="s">
        <v>953</v>
      </c>
      <c r="AD266" s="616" t="s">
        <v>246</v>
      </c>
      <c r="AE266" s="616" t="s">
        <v>246</v>
      </c>
      <c r="AF266" s="616" t="s">
        <v>3815</v>
      </c>
      <c r="AG266" s="598"/>
      <c r="AH266" s="598"/>
      <c r="AI266" s="598" t="s">
        <v>1440</v>
      </c>
      <c r="AJ266" s="598"/>
      <c r="AK266" s="626"/>
      <c r="AL266" s="626"/>
    </row>
    <row r="267" spans="1:38" ht="18" customHeight="1">
      <c r="A267" s="593"/>
      <c r="B267" s="598">
        <v>250</v>
      </c>
      <c r="C267" s="598" t="s">
        <v>3100</v>
      </c>
      <c r="D267" s="598">
        <f t="shared" si="3"/>
        <v>235</v>
      </c>
      <c r="E267" s="616" t="s">
        <v>1351</v>
      </c>
      <c r="F267" s="616" t="s">
        <v>4633</v>
      </c>
      <c r="G267" s="618" t="s">
        <v>1202</v>
      </c>
      <c r="H267" s="618" t="s">
        <v>335</v>
      </c>
      <c r="I267" s="618" t="s">
        <v>2087</v>
      </c>
      <c r="J267" s="618" t="s">
        <v>4138</v>
      </c>
      <c r="K267" s="619" t="s">
        <v>3100</v>
      </c>
      <c r="L267" s="619" t="s">
        <v>3037</v>
      </c>
      <c r="M267" s="620" t="s">
        <v>3106</v>
      </c>
      <c r="N267" s="598"/>
      <c r="O267" s="663" t="s">
        <v>325</v>
      </c>
      <c r="P267" s="621"/>
      <c r="Q267" s="598"/>
      <c r="R267" s="598" t="s">
        <v>1710</v>
      </c>
      <c r="S267" s="598"/>
      <c r="T267" s="598" t="s">
        <v>1705</v>
      </c>
      <c r="U267" s="663" t="s">
        <v>362</v>
      </c>
      <c r="V267" s="616" t="s">
        <v>3102</v>
      </c>
      <c r="W267" s="598" t="s">
        <v>950</v>
      </c>
      <c r="X267" s="624">
        <v>39342</v>
      </c>
      <c r="Y267" s="625">
        <f t="shared" ca="1" si="2"/>
        <v>18</v>
      </c>
      <c r="Z267" s="616" t="s">
        <v>3103</v>
      </c>
      <c r="AA267" s="598" t="s">
        <v>3104</v>
      </c>
      <c r="AB267" s="598" t="s">
        <v>996</v>
      </c>
      <c r="AC267" s="644" t="s">
        <v>997</v>
      </c>
      <c r="AD267" s="616" t="s">
        <v>1041</v>
      </c>
      <c r="AE267" s="616" t="s">
        <v>1041</v>
      </c>
      <c r="AF267" s="616" t="s">
        <v>3105</v>
      </c>
      <c r="AG267" s="598"/>
      <c r="AH267" s="598"/>
      <c r="AI267" s="598" t="s">
        <v>1107</v>
      </c>
      <c r="AJ267" s="598"/>
      <c r="AK267" s="626"/>
      <c r="AL267" s="626"/>
    </row>
    <row r="268" spans="1:38" ht="18" customHeight="1">
      <c r="A268" s="593"/>
      <c r="B268" s="598">
        <v>251</v>
      </c>
      <c r="C268" s="598" t="s">
        <v>3037</v>
      </c>
      <c r="D268" s="598">
        <f t="shared" si="3"/>
        <v>236</v>
      </c>
      <c r="E268" s="616" t="s">
        <v>1351</v>
      </c>
      <c r="F268" s="616" t="s">
        <v>4633</v>
      </c>
      <c r="G268" s="618" t="s">
        <v>1202</v>
      </c>
      <c r="H268" s="618" t="s">
        <v>335</v>
      </c>
      <c r="I268" s="618" t="s">
        <v>2087</v>
      </c>
      <c r="J268" s="618" t="s">
        <v>4138</v>
      </c>
      <c r="K268" s="619" t="s">
        <v>3100</v>
      </c>
      <c r="L268" s="619" t="s">
        <v>3037</v>
      </c>
      <c r="M268" s="620" t="s">
        <v>3106</v>
      </c>
      <c r="N268" s="598"/>
      <c r="O268" s="663" t="s">
        <v>325</v>
      </c>
      <c r="P268" s="621"/>
      <c r="Q268" s="598"/>
      <c r="R268" s="598" t="s">
        <v>1710</v>
      </c>
      <c r="S268" s="598"/>
      <c r="T268" s="598" t="s">
        <v>1705</v>
      </c>
      <c r="U268" s="663" t="s">
        <v>414</v>
      </c>
      <c r="V268" s="616" t="s">
        <v>3038</v>
      </c>
      <c r="W268" s="598" t="s">
        <v>963</v>
      </c>
      <c r="X268" s="624">
        <v>39486</v>
      </c>
      <c r="Y268" s="625">
        <f t="shared" ca="1" si="2"/>
        <v>17</v>
      </c>
      <c r="Z268" s="616" t="s">
        <v>3039</v>
      </c>
      <c r="AA268" s="598" t="s">
        <v>3040</v>
      </c>
      <c r="AB268" s="598" t="s">
        <v>996</v>
      </c>
      <c r="AC268" s="644" t="s">
        <v>997</v>
      </c>
      <c r="AD268" s="616" t="s">
        <v>1041</v>
      </c>
      <c r="AE268" s="616" t="s">
        <v>3041</v>
      </c>
      <c r="AF268" s="616" t="s">
        <v>3042</v>
      </c>
      <c r="AG268" s="598"/>
      <c r="AH268" s="598"/>
      <c r="AI268" s="598" t="s">
        <v>1107</v>
      </c>
      <c r="AJ268" s="598"/>
      <c r="AK268" s="626"/>
      <c r="AL268" s="626"/>
    </row>
    <row r="269" spans="1:38" ht="18" customHeight="1">
      <c r="A269" s="593"/>
      <c r="B269" s="598">
        <v>252</v>
      </c>
      <c r="C269" s="598" t="s">
        <v>3106</v>
      </c>
      <c r="D269" s="598">
        <f t="shared" si="3"/>
        <v>237</v>
      </c>
      <c r="E269" s="616" t="s">
        <v>1351</v>
      </c>
      <c r="F269" s="616" t="s">
        <v>4633</v>
      </c>
      <c r="G269" s="618" t="s">
        <v>1202</v>
      </c>
      <c r="H269" s="618" t="s">
        <v>335</v>
      </c>
      <c r="I269" s="618" t="s">
        <v>2087</v>
      </c>
      <c r="J269" s="618" t="s">
        <v>4138</v>
      </c>
      <c r="K269" s="619" t="s">
        <v>3100</v>
      </c>
      <c r="L269" s="619" t="s">
        <v>3037</v>
      </c>
      <c r="M269" s="620" t="s">
        <v>3106</v>
      </c>
      <c r="N269" s="598"/>
      <c r="O269" s="663" t="s">
        <v>325</v>
      </c>
      <c r="P269" s="621"/>
      <c r="Q269" s="598"/>
      <c r="R269" s="598" t="s">
        <v>1710</v>
      </c>
      <c r="S269" s="598"/>
      <c r="T269" s="598" t="s">
        <v>1705</v>
      </c>
      <c r="U269" s="663" t="s">
        <v>426</v>
      </c>
      <c r="V269" s="616" t="s">
        <v>3107</v>
      </c>
      <c r="W269" s="598" t="s">
        <v>950</v>
      </c>
      <c r="X269" s="624">
        <v>40060</v>
      </c>
      <c r="Y269" s="625">
        <f t="shared" ca="1" si="2"/>
        <v>16</v>
      </c>
      <c r="Z269" s="616" t="s">
        <v>3108</v>
      </c>
      <c r="AA269" s="598" t="s">
        <v>3109</v>
      </c>
      <c r="AB269" s="598" t="s">
        <v>996</v>
      </c>
      <c r="AC269" s="644" t="s">
        <v>997</v>
      </c>
      <c r="AD269" s="616" t="s">
        <v>1041</v>
      </c>
      <c r="AE269" s="616" t="s">
        <v>1041</v>
      </c>
      <c r="AF269" s="616" t="s">
        <v>2645</v>
      </c>
      <c r="AG269" s="598"/>
      <c r="AH269" s="598"/>
      <c r="AI269" s="598" t="s">
        <v>1107</v>
      </c>
      <c r="AJ269" s="598"/>
      <c r="AK269" s="626"/>
      <c r="AL269" s="626"/>
    </row>
    <row r="270" spans="1:38" ht="18" customHeight="1">
      <c r="A270" s="593"/>
      <c r="B270" s="598">
        <v>253</v>
      </c>
      <c r="C270" s="598" t="s">
        <v>3692</v>
      </c>
      <c r="D270" s="598">
        <f t="shared" si="3"/>
        <v>238</v>
      </c>
      <c r="E270" s="616" t="s">
        <v>1810</v>
      </c>
      <c r="F270" s="616" t="s">
        <v>4633</v>
      </c>
      <c r="G270" s="618" t="s">
        <v>1202</v>
      </c>
      <c r="H270" s="618" t="s">
        <v>335</v>
      </c>
      <c r="I270" s="618" t="s">
        <v>2087</v>
      </c>
      <c r="J270" s="618" t="s">
        <v>4138</v>
      </c>
      <c r="K270" s="619" t="s">
        <v>3100</v>
      </c>
      <c r="L270" s="619" t="s">
        <v>3037</v>
      </c>
      <c r="M270" s="620" t="s">
        <v>3106</v>
      </c>
      <c r="N270" s="598"/>
      <c r="O270" s="663" t="s">
        <v>325</v>
      </c>
      <c r="P270" s="621"/>
      <c r="Q270" s="598"/>
      <c r="R270" s="598"/>
      <c r="S270" s="598"/>
      <c r="T270" s="598" t="s">
        <v>992</v>
      </c>
      <c r="U270" s="663" t="s">
        <v>347</v>
      </c>
      <c r="V270" s="616" t="s">
        <v>3693</v>
      </c>
      <c r="W270" s="598" t="s">
        <v>963</v>
      </c>
      <c r="X270" s="624">
        <v>38566</v>
      </c>
      <c r="Y270" s="625">
        <f t="shared" ca="1" si="2"/>
        <v>20</v>
      </c>
      <c r="Z270" s="654" t="s">
        <v>3694</v>
      </c>
      <c r="AA270" s="598" t="s">
        <v>3695</v>
      </c>
      <c r="AB270" s="598" t="s">
        <v>996</v>
      </c>
      <c r="AC270" s="598" t="s">
        <v>1018</v>
      </c>
      <c r="AD270" s="616" t="s">
        <v>1078</v>
      </c>
      <c r="AE270" s="616" t="s">
        <v>1078</v>
      </c>
      <c r="AF270" s="616"/>
      <c r="AG270" s="598"/>
      <c r="AH270" s="598"/>
      <c r="AI270" s="598" t="s">
        <v>1349</v>
      </c>
      <c r="AJ270" s="598" t="s">
        <v>3510</v>
      </c>
      <c r="AK270" s="626"/>
      <c r="AL270" s="626"/>
    </row>
    <row r="271" spans="1:38" ht="18" customHeight="1">
      <c r="A271" s="593"/>
      <c r="B271" s="598">
        <v>254</v>
      </c>
      <c r="C271" s="598" t="s">
        <v>4645</v>
      </c>
      <c r="D271" s="598">
        <f t="shared" si="3"/>
        <v>239</v>
      </c>
      <c r="E271" s="616" t="s">
        <v>1810</v>
      </c>
      <c r="F271" s="616" t="s">
        <v>4633</v>
      </c>
      <c r="G271" s="618" t="s">
        <v>1202</v>
      </c>
      <c r="H271" s="618" t="s">
        <v>335</v>
      </c>
      <c r="I271" s="618" t="s">
        <v>2087</v>
      </c>
      <c r="J271" s="618" t="s">
        <v>4138</v>
      </c>
      <c r="K271" s="619" t="s">
        <v>3100</v>
      </c>
      <c r="L271" s="619" t="s">
        <v>3037</v>
      </c>
      <c r="M271" s="620" t="s">
        <v>3106</v>
      </c>
      <c r="N271" s="598"/>
      <c r="O271" s="663" t="s">
        <v>325</v>
      </c>
      <c r="P271" s="621"/>
      <c r="Q271" s="598"/>
      <c r="R271" s="598"/>
      <c r="S271" s="598"/>
      <c r="T271" s="598" t="s">
        <v>1705</v>
      </c>
      <c r="U271" s="663" t="s">
        <v>376</v>
      </c>
      <c r="V271" s="616" t="s">
        <v>4646</v>
      </c>
      <c r="W271" s="598" t="s">
        <v>950</v>
      </c>
      <c r="X271" s="624" t="s">
        <v>4647</v>
      </c>
      <c r="Y271" s="625">
        <f t="shared" ca="1" si="2"/>
        <v>17</v>
      </c>
      <c r="Z271" s="616" t="s">
        <v>4648</v>
      </c>
      <c r="AA271" s="598"/>
      <c r="AB271" s="598" t="s">
        <v>996</v>
      </c>
      <c r="AC271" s="598" t="s">
        <v>953</v>
      </c>
      <c r="AD271" s="616" t="s">
        <v>1078</v>
      </c>
      <c r="AE271" s="616" t="s">
        <v>1078</v>
      </c>
      <c r="AF271" s="616" t="s">
        <v>4649</v>
      </c>
      <c r="AG271" s="598"/>
      <c r="AH271" s="598"/>
      <c r="AI271" s="598" t="s">
        <v>1114</v>
      </c>
      <c r="AJ271" s="598" t="s">
        <v>3510</v>
      </c>
      <c r="AK271" s="626">
        <v>-3</v>
      </c>
      <c r="AL271" s="626"/>
    </row>
    <row r="272" spans="1:38" ht="18" customHeight="1">
      <c r="A272" s="593"/>
      <c r="B272" s="598">
        <v>255</v>
      </c>
      <c r="C272" s="598" t="s">
        <v>3068</v>
      </c>
      <c r="D272" s="598">
        <f t="shared" si="3"/>
        <v>240</v>
      </c>
      <c r="E272" s="616" t="s">
        <v>1351</v>
      </c>
      <c r="F272" s="616" t="s">
        <v>4633</v>
      </c>
      <c r="G272" s="618" t="s">
        <v>1202</v>
      </c>
      <c r="H272" s="618" t="s">
        <v>335</v>
      </c>
      <c r="I272" s="618" t="s">
        <v>2087</v>
      </c>
      <c r="J272" s="618" t="s">
        <v>4138</v>
      </c>
      <c r="K272" s="619" t="s">
        <v>3100</v>
      </c>
      <c r="L272" s="619" t="s">
        <v>3037</v>
      </c>
      <c r="M272" s="620" t="s">
        <v>3106</v>
      </c>
      <c r="N272" s="598"/>
      <c r="O272" s="663" t="s">
        <v>325</v>
      </c>
      <c r="P272" s="621"/>
      <c r="Q272" s="598"/>
      <c r="R272" s="598"/>
      <c r="S272" s="598"/>
      <c r="T272" s="598" t="s">
        <v>992</v>
      </c>
      <c r="U272" s="663" t="s">
        <v>389</v>
      </c>
      <c r="V272" s="616" t="s">
        <v>3069</v>
      </c>
      <c r="W272" s="598" t="s">
        <v>963</v>
      </c>
      <c r="X272" s="624">
        <v>38811</v>
      </c>
      <c r="Y272" s="625">
        <f t="shared" ca="1" si="2"/>
        <v>19</v>
      </c>
      <c r="Z272" s="616" t="s">
        <v>3070</v>
      </c>
      <c r="AA272" s="598" t="s">
        <v>3071</v>
      </c>
      <c r="AB272" s="598" t="s">
        <v>996</v>
      </c>
      <c r="AC272" s="598" t="s">
        <v>953</v>
      </c>
      <c r="AD272" s="616" t="s">
        <v>1041</v>
      </c>
      <c r="AE272" s="616" t="s">
        <v>1041</v>
      </c>
      <c r="AF272" s="616"/>
      <c r="AG272" s="598" t="s">
        <v>1775</v>
      </c>
      <c r="AH272" s="598" t="s">
        <v>3073</v>
      </c>
      <c r="AI272" s="598" t="s">
        <v>1025</v>
      </c>
      <c r="AJ272" s="598"/>
      <c r="AK272" s="626"/>
      <c r="AL272" s="626"/>
    </row>
    <row r="273" spans="1:38" ht="18" customHeight="1">
      <c r="A273" s="593"/>
      <c r="B273" s="598">
        <v>256</v>
      </c>
      <c r="C273" s="598" t="s">
        <v>2612</v>
      </c>
      <c r="D273" s="598">
        <f t="shared" si="3"/>
        <v>241</v>
      </c>
      <c r="E273" s="616" t="s">
        <v>1351</v>
      </c>
      <c r="F273" s="616" t="s">
        <v>4633</v>
      </c>
      <c r="G273" s="618" t="s">
        <v>1202</v>
      </c>
      <c r="H273" s="618" t="s">
        <v>335</v>
      </c>
      <c r="I273" s="618" t="s">
        <v>2087</v>
      </c>
      <c r="J273" s="618" t="s">
        <v>4138</v>
      </c>
      <c r="K273" s="619" t="s">
        <v>3100</v>
      </c>
      <c r="L273" s="619" t="s">
        <v>3037</v>
      </c>
      <c r="M273" s="620" t="s">
        <v>3106</v>
      </c>
      <c r="N273" s="598"/>
      <c r="O273" s="663" t="s">
        <v>325</v>
      </c>
      <c r="P273" s="621"/>
      <c r="Q273" s="598"/>
      <c r="R273" s="598"/>
      <c r="S273" s="598"/>
      <c r="T273" s="598" t="s">
        <v>1705</v>
      </c>
      <c r="U273" s="663" t="s">
        <v>403</v>
      </c>
      <c r="V273" s="616" t="s">
        <v>2613</v>
      </c>
      <c r="W273" s="598" t="s">
        <v>963</v>
      </c>
      <c r="X273" s="624">
        <v>39236</v>
      </c>
      <c r="Y273" s="625">
        <f t="shared" ca="1" si="2"/>
        <v>18</v>
      </c>
      <c r="Z273" s="616" t="s">
        <v>2614</v>
      </c>
      <c r="AA273" s="598" t="s">
        <v>2615</v>
      </c>
      <c r="AB273" s="598" t="s">
        <v>996</v>
      </c>
      <c r="AC273" s="598" t="s">
        <v>953</v>
      </c>
      <c r="AD273" s="616" t="s">
        <v>729</v>
      </c>
      <c r="AE273" s="616" t="s">
        <v>729</v>
      </c>
      <c r="AF273" s="616"/>
      <c r="AG273" s="598"/>
      <c r="AH273" s="598"/>
      <c r="AI273" s="598" t="s">
        <v>1025</v>
      </c>
      <c r="AJ273" s="598"/>
      <c r="AK273" s="626"/>
      <c r="AL273" s="626"/>
    </row>
    <row r="274" spans="1:38" ht="18" customHeight="1">
      <c r="A274" s="593"/>
      <c r="B274" s="598">
        <v>257</v>
      </c>
      <c r="C274" s="598" t="s">
        <v>4650</v>
      </c>
      <c r="D274" s="598">
        <f t="shared" si="3"/>
        <v>242</v>
      </c>
      <c r="E274" s="616" t="s">
        <v>1351</v>
      </c>
      <c r="F274" s="616" t="s">
        <v>4633</v>
      </c>
      <c r="G274" s="618" t="s">
        <v>1202</v>
      </c>
      <c r="H274" s="618" t="s">
        <v>335</v>
      </c>
      <c r="I274" s="618" t="s">
        <v>2087</v>
      </c>
      <c r="J274" s="618" t="s">
        <v>4138</v>
      </c>
      <c r="K274" s="619" t="s">
        <v>3100</v>
      </c>
      <c r="L274" s="619" t="s">
        <v>3037</v>
      </c>
      <c r="M274" s="620" t="s">
        <v>3106</v>
      </c>
      <c r="N274" s="598"/>
      <c r="O274" s="663" t="s">
        <v>325</v>
      </c>
      <c r="P274" s="621" t="s">
        <v>319</v>
      </c>
      <c r="Q274" s="598"/>
      <c r="R274" s="598"/>
      <c r="S274" s="598"/>
      <c r="T274" s="598" t="s">
        <v>1705</v>
      </c>
      <c r="U274" s="668" t="s">
        <v>432</v>
      </c>
      <c r="V274" s="616" t="s">
        <v>4651</v>
      </c>
      <c r="W274" s="598" t="s">
        <v>950</v>
      </c>
      <c r="X274" s="624">
        <v>40531</v>
      </c>
      <c r="Y274" s="625">
        <f t="shared" ca="1" si="2"/>
        <v>15</v>
      </c>
      <c r="Z274" s="616" t="s">
        <v>4652</v>
      </c>
      <c r="AA274" s="598"/>
      <c r="AB274" s="598" t="s">
        <v>996</v>
      </c>
      <c r="AC274" s="598" t="s">
        <v>1018</v>
      </c>
      <c r="AD274" s="616" t="s">
        <v>246</v>
      </c>
      <c r="AE274" s="616" t="s">
        <v>246</v>
      </c>
      <c r="AF274" s="653" t="s">
        <v>4064</v>
      </c>
      <c r="AG274" s="598"/>
      <c r="AH274" s="598"/>
      <c r="AI274" s="634" t="s">
        <v>1359</v>
      </c>
      <c r="AJ274" s="598" t="s">
        <v>4653</v>
      </c>
      <c r="AK274" s="626"/>
      <c r="AL274" s="626"/>
    </row>
    <row r="275" spans="1:38" ht="18" customHeight="1">
      <c r="A275" s="593" t="s">
        <v>4654</v>
      </c>
      <c r="B275" s="598">
        <v>258</v>
      </c>
      <c r="C275" s="598" t="s">
        <v>4655</v>
      </c>
      <c r="D275" s="598">
        <f t="shared" si="3"/>
        <v>242</v>
      </c>
      <c r="E275" s="616"/>
      <c r="F275" s="616" t="s">
        <v>4633</v>
      </c>
      <c r="G275" s="618" t="s">
        <v>1202</v>
      </c>
      <c r="H275" s="618" t="s">
        <v>335</v>
      </c>
      <c r="I275" s="618" t="s">
        <v>2087</v>
      </c>
      <c r="J275" s="618" t="s">
        <v>4138</v>
      </c>
      <c r="K275" s="619" t="s">
        <v>3100</v>
      </c>
      <c r="L275" s="619" t="s">
        <v>3037</v>
      </c>
      <c r="M275" s="620" t="s">
        <v>3106</v>
      </c>
      <c r="N275" s="620"/>
      <c r="O275" s="663" t="s">
        <v>325</v>
      </c>
      <c r="P275" s="621"/>
      <c r="Q275" s="598"/>
      <c r="R275" s="598"/>
      <c r="S275" s="598"/>
      <c r="T275" s="623"/>
      <c r="U275" s="716" t="s">
        <v>825</v>
      </c>
      <c r="V275" s="674"/>
      <c r="W275" s="598"/>
      <c r="X275" s="624"/>
      <c r="Y275" s="625"/>
      <c r="Z275" s="616"/>
      <c r="AA275" s="598"/>
      <c r="AB275" s="598"/>
      <c r="AC275" s="598"/>
      <c r="AD275" s="616"/>
      <c r="AE275" s="616"/>
      <c r="AF275" s="616"/>
      <c r="AG275" s="598"/>
      <c r="AH275" s="598"/>
      <c r="AI275" s="598" t="s">
        <v>1107</v>
      </c>
      <c r="AJ275" s="598" t="s">
        <v>4656</v>
      </c>
      <c r="AK275" s="626"/>
      <c r="AL275" s="626"/>
    </row>
    <row r="276" spans="1:38" ht="18" customHeight="1">
      <c r="A276" s="593"/>
      <c r="B276" s="598">
        <v>259</v>
      </c>
      <c r="C276" s="598" t="s">
        <v>2087</v>
      </c>
      <c r="D276" s="598">
        <f t="shared" si="3"/>
        <v>242</v>
      </c>
      <c r="E276" s="616"/>
      <c r="F276" s="616" t="s">
        <v>4633</v>
      </c>
      <c r="G276" s="618" t="s">
        <v>1202</v>
      </c>
      <c r="H276" s="618" t="s">
        <v>335</v>
      </c>
      <c r="I276" s="618" t="s">
        <v>2087</v>
      </c>
      <c r="J276" s="618" t="s">
        <v>2087</v>
      </c>
      <c r="K276" s="618" t="s">
        <v>1701</v>
      </c>
      <c r="L276" s="679" t="s">
        <v>1702</v>
      </c>
      <c r="M276" s="620"/>
      <c r="N276" s="620"/>
      <c r="O276" s="667" t="s">
        <v>326</v>
      </c>
      <c r="P276" s="621"/>
      <c r="Q276" s="598" t="s">
        <v>173</v>
      </c>
      <c r="R276" s="598" t="s">
        <v>514</v>
      </c>
      <c r="S276" s="598"/>
      <c r="T276" s="623"/>
      <c r="U276" s="667" t="s">
        <v>335</v>
      </c>
      <c r="V276" s="674" t="s">
        <v>2089</v>
      </c>
      <c r="W276" s="598" t="s">
        <v>950</v>
      </c>
      <c r="X276" s="624">
        <v>36694</v>
      </c>
      <c r="Y276" s="625">
        <f t="shared" ref="Y276:Y398" ca="1" si="4">DATEDIF(X276,TODAY(),"Y")</f>
        <v>25</v>
      </c>
      <c r="Z276" s="616" t="s">
        <v>2090</v>
      </c>
      <c r="AA276" s="598"/>
      <c r="AB276" s="598" t="s">
        <v>1006</v>
      </c>
      <c r="AC276" s="598" t="s">
        <v>953</v>
      </c>
      <c r="AD276" s="616" t="s">
        <v>729</v>
      </c>
      <c r="AE276" s="616" t="s">
        <v>729</v>
      </c>
      <c r="AF276" s="616" t="s">
        <v>2092</v>
      </c>
      <c r="AG276" s="598" t="s">
        <v>955</v>
      </c>
      <c r="AH276" s="598"/>
      <c r="AI276" s="598"/>
      <c r="AJ276" s="598"/>
      <c r="AK276" s="626"/>
      <c r="AL276" s="626"/>
    </row>
    <row r="277" spans="1:38" ht="18" customHeight="1">
      <c r="A277" s="593"/>
      <c r="B277" s="598">
        <v>260</v>
      </c>
      <c r="C277" s="598" t="s">
        <v>1701</v>
      </c>
      <c r="D277" s="598">
        <f t="shared" si="3"/>
        <v>243</v>
      </c>
      <c r="E277" s="616" t="s">
        <v>1351</v>
      </c>
      <c r="F277" s="616" t="s">
        <v>4633</v>
      </c>
      <c r="G277" s="618" t="s">
        <v>1202</v>
      </c>
      <c r="H277" s="618" t="s">
        <v>335</v>
      </c>
      <c r="I277" s="618" t="s">
        <v>2087</v>
      </c>
      <c r="J277" s="618" t="s">
        <v>2087</v>
      </c>
      <c r="K277" s="618" t="s">
        <v>1701</v>
      </c>
      <c r="L277" s="619" t="s">
        <v>1702</v>
      </c>
      <c r="M277" s="620"/>
      <c r="N277" s="620"/>
      <c r="O277" s="663" t="s">
        <v>326</v>
      </c>
      <c r="P277" s="621"/>
      <c r="Q277" s="598"/>
      <c r="R277" s="598" t="s">
        <v>1710</v>
      </c>
      <c r="S277" s="598"/>
      <c r="T277" s="623" t="s">
        <v>1705</v>
      </c>
      <c r="U277" s="663" t="s">
        <v>349</v>
      </c>
      <c r="V277" s="674" t="s">
        <v>1706</v>
      </c>
      <c r="W277" s="598" t="s">
        <v>950</v>
      </c>
      <c r="X277" s="624">
        <v>39497</v>
      </c>
      <c r="Y277" s="625">
        <f t="shared" ca="1" si="4"/>
        <v>17</v>
      </c>
      <c r="Z277" s="616" t="s">
        <v>1707</v>
      </c>
      <c r="AA277" s="598" t="s">
        <v>1708</v>
      </c>
      <c r="AB277" s="598" t="s">
        <v>996</v>
      </c>
      <c r="AC277" s="598" t="s">
        <v>997</v>
      </c>
      <c r="AD277" s="616" t="s">
        <v>729</v>
      </c>
      <c r="AE277" s="616" t="s">
        <v>1250</v>
      </c>
      <c r="AF277" s="616" t="s">
        <v>1709</v>
      </c>
      <c r="AG277" s="598"/>
      <c r="AH277" s="598"/>
      <c r="AI277" s="598" t="s">
        <v>1452</v>
      </c>
      <c r="AJ277" s="598"/>
      <c r="AK277" s="626"/>
      <c r="AL277" s="626"/>
    </row>
    <row r="278" spans="1:38" ht="18" customHeight="1">
      <c r="A278" s="593"/>
      <c r="B278" s="598">
        <v>261</v>
      </c>
      <c r="C278" s="598" t="s">
        <v>1702</v>
      </c>
      <c r="D278" s="598">
        <f t="shared" si="3"/>
        <v>244</v>
      </c>
      <c r="E278" s="616" t="s">
        <v>1351</v>
      </c>
      <c r="F278" s="616" t="s">
        <v>4633</v>
      </c>
      <c r="G278" s="618" t="s">
        <v>1202</v>
      </c>
      <c r="H278" s="618" t="s">
        <v>335</v>
      </c>
      <c r="I278" s="618" t="s">
        <v>2087</v>
      </c>
      <c r="J278" s="618" t="s">
        <v>2087</v>
      </c>
      <c r="K278" s="618" t="s">
        <v>1701</v>
      </c>
      <c r="L278" s="619" t="s">
        <v>1702</v>
      </c>
      <c r="M278" s="620"/>
      <c r="N278" s="620"/>
      <c r="O278" s="663" t="s">
        <v>326</v>
      </c>
      <c r="P278" s="621" t="s">
        <v>319</v>
      </c>
      <c r="Q278" s="598"/>
      <c r="R278" s="598" t="s">
        <v>1710</v>
      </c>
      <c r="S278" s="598"/>
      <c r="T278" s="623" t="s">
        <v>1705</v>
      </c>
      <c r="U278" s="664" t="s">
        <v>427</v>
      </c>
      <c r="V278" s="674" t="s">
        <v>1711</v>
      </c>
      <c r="W278" s="598" t="s">
        <v>963</v>
      </c>
      <c r="X278" s="624">
        <v>40125</v>
      </c>
      <c r="Y278" s="625">
        <f t="shared" ca="1" si="4"/>
        <v>16</v>
      </c>
      <c r="Z278" s="616" t="s">
        <v>1712</v>
      </c>
      <c r="AA278" s="598" t="s">
        <v>1713</v>
      </c>
      <c r="AB278" s="598" t="s">
        <v>996</v>
      </c>
      <c r="AC278" s="644" t="s">
        <v>997</v>
      </c>
      <c r="AD278" s="616" t="s">
        <v>1670</v>
      </c>
      <c r="AE278" s="616" t="s">
        <v>729</v>
      </c>
      <c r="AF278" s="616" t="s">
        <v>1323</v>
      </c>
      <c r="AG278" s="598"/>
      <c r="AH278" s="598"/>
      <c r="AI278" s="647" t="s">
        <v>1513</v>
      </c>
      <c r="AJ278" s="598"/>
      <c r="AK278" s="626"/>
      <c r="AL278" s="626"/>
    </row>
    <row r="279" spans="1:38" ht="18" customHeight="1">
      <c r="A279" s="593"/>
      <c r="B279" s="598">
        <v>262</v>
      </c>
      <c r="C279" s="598" t="s">
        <v>3122</v>
      </c>
      <c r="D279" s="598">
        <f t="shared" si="3"/>
        <v>245</v>
      </c>
      <c r="E279" s="616" t="s">
        <v>1351</v>
      </c>
      <c r="F279" s="616" t="s">
        <v>4633</v>
      </c>
      <c r="G279" s="618" t="s">
        <v>1202</v>
      </c>
      <c r="H279" s="618" t="s">
        <v>335</v>
      </c>
      <c r="I279" s="618" t="s">
        <v>2087</v>
      </c>
      <c r="J279" s="618" t="s">
        <v>2087</v>
      </c>
      <c r="K279" s="618" t="s">
        <v>1701</v>
      </c>
      <c r="L279" s="619" t="s">
        <v>1702</v>
      </c>
      <c r="M279" s="620"/>
      <c r="N279" s="620"/>
      <c r="O279" s="663" t="s">
        <v>326</v>
      </c>
      <c r="P279" s="621"/>
      <c r="Q279" s="598"/>
      <c r="R279" s="598"/>
      <c r="S279" s="598"/>
      <c r="T279" s="623" t="s">
        <v>1705</v>
      </c>
      <c r="U279" s="663" t="s">
        <v>363</v>
      </c>
      <c r="V279" s="674" t="s">
        <v>3123</v>
      </c>
      <c r="W279" s="598" t="s">
        <v>950</v>
      </c>
      <c r="X279" s="624">
        <v>39425</v>
      </c>
      <c r="Y279" s="625">
        <f t="shared" ca="1" si="4"/>
        <v>18</v>
      </c>
      <c r="Z279" s="616" t="s">
        <v>3124</v>
      </c>
      <c r="AA279" s="598" t="s">
        <v>3125</v>
      </c>
      <c r="AB279" s="598" t="s">
        <v>996</v>
      </c>
      <c r="AC279" s="598" t="s">
        <v>997</v>
      </c>
      <c r="AD279" s="616" t="s">
        <v>2737</v>
      </c>
      <c r="AE279" s="616" t="s">
        <v>2737</v>
      </c>
      <c r="AF279" s="616" t="s">
        <v>3126</v>
      </c>
      <c r="AG279" s="598"/>
      <c r="AH279" s="598"/>
      <c r="AI279" s="598" t="s">
        <v>1452</v>
      </c>
      <c r="AJ279" s="598"/>
      <c r="AK279" s="626"/>
      <c r="AL279" s="626"/>
    </row>
    <row r="280" spans="1:38" ht="18" customHeight="1">
      <c r="A280" s="593"/>
      <c r="B280" s="598">
        <v>263</v>
      </c>
      <c r="C280" s="598" t="s">
        <v>1714</v>
      </c>
      <c r="D280" s="598">
        <f t="shared" si="3"/>
        <v>246</v>
      </c>
      <c r="E280" s="616" t="s">
        <v>1351</v>
      </c>
      <c r="F280" s="616" t="s">
        <v>4633</v>
      </c>
      <c r="G280" s="618" t="s">
        <v>1202</v>
      </c>
      <c r="H280" s="618" t="s">
        <v>335</v>
      </c>
      <c r="I280" s="618" t="s">
        <v>2087</v>
      </c>
      <c r="J280" s="618" t="s">
        <v>2087</v>
      </c>
      <c r="K280" s="618" t="s">
        <v>1701</v>
      </c>
      <c r="L280" s="619" t="s">
        <v>1702</v>
      </c>
      <c r="M280" s="620"/>
      <c r="N280" s="620"/>
      <c r="O280" s="663" t="s">
        <v>326</v>
      </c>
      <c r="P280" s="621"/>
      <c r="Q280" s="598"/>
      <c r="R280" s="598"/>
      <c r="S280" s="598"/>
      <c r="T280" s="623" t="s">
        <v>1705</v>
      </c>
      <c r="U280" s="663" t="s">
        <v>377</v>
      </c>
      <c r="V280" s="674" t="s">
        <v>1715</v>
      </c>
      <c r="W280" s="598" t="s">
        <v>950</v>
      </c>
      <c r="X280" s="624">
        <v>39833</v>
      </c>
      <c r="Y280" s="625">
        <f t="shared" ca="1" si="4"/>
        <v>17</v>
      </c>
      <c r="Z280" s="616" t="s">
        <v>1716</v>
      </c>
      <c r="AA280" s="598" t="s">
        <v>1717</v>
      </c>
      <c r="AB280" s="598" t="s">
        <v>996</v>
      </c>
      <c r="AC280" s="598" t="s">
        <v>997</v>
      </c>
      <c r="AD280" s="616" t="s">
        <v>729</v>
      </c>
      <c r="AE280" s="616" t="s">
        <v>729</v>
      </c>
      <c r="AF280" s="616" t="s">
        <v>1718</v>
      </c>
      <c r="AG280" s="598"/>
      <c r="AH280" s="598"/>
      <c r="AI280" s="598" t="s">
        <v>1452</v>
      </c>
      <c r="AJ280" s="598"/>
      <c r="AK280" s="626"/>
      <c r="AL280" s="626"/>
    </row>
    <row r="281" spans="1:38" ht="18" customHeight="1">
      <c r="A281" s="593"/>
      <c r="B281" s="598">
        <v>264</v>
      </c>
      <c r="C281" s="598" t="s">
        <v>3127</v>
      </c>
      <c r="D281" s="598">
        <f t="shared" si="3"/>
        <v>247</v>
      </c>
      <c r="E281" s="616" t="s">
        <v>1351</v>
      </c>
      <c r="F281" s="616" t="s">
        <v>4633</v>
      </c>
      <c r="G281" s="618" t="s">
        <v>1202</v>
      </c>
      <c r="H281" s="618" t="s">
        <v>335</v>
      </c>
      <c r="I281" s="618" t="s">
        <v>2087</v>
      </c>
      <c r="J281" s="618" t="s">
        <v>2087</v>
      </c>
      <c r="K281" s="618" t="s">
        <v>1701</v>
      </c>
      <c r="L281" s="619" t="s">
        <v>1702</v>
      </c>
      <c r="M281" s="620"/>
      <c r="N281" s="620"/>
      <c r="O281" s="663" t="s">
        <v>326</v>
      </c>
      <c r="P281" s="621"/>
      <c r="Q281" s="598"/>
      <c r="R281" s="598"/>
      <c r="S281" s="598"/>
      <c r="T281" s="623" t="s">
        <v>1705</v>
      </c>
      <c r="U281" s="663" t="s">
        <v>390</v>
      </c>
      <c r="V281" s="674" t="s">
        <v>3128</v>
      </c>
      <c r="W281" s="598" t="s">
        <v>950</v>
      </c>
      <c r="X281" s="624">
        <v>40449</v>
      </c>
      <c r="Y281" s="625">
        <f t="shared" ca="1" si="4"/>
        <v>15</v>
      </c>
      <c r="Z281" s="616" t="s">
        <v>3129</v>
      </c>
      <c r="AA281" s="598" t="s">
        <v>3130</v>
      </c>
      <c r="AB281" s="598" t="s">
        <v>996</v>
      </c>
      <c r="AC281" s="598" t="s">
        <v>997</v>
      </c>
      <c r="AD281" s="616" t="s">
        <v>1041</v>
      </c>
      <c r="AE281" s="616" t="s">
        <v>2985</v>
      </c>
      <c r="AF281" s="616" t="s">
        <v>3131</v>
      </c>
      <c r="AG281" s="598"/>
      <c r="AH281" s="598"/>
      <c r="AI281" s="598" t="s">
        <v>1452</v>
      </c>
      <c r="AJ281" s="598"/>
      <c r="AK281" s="626"/>
      <c r="AL281" s="626"/>
    </row>
    <row r="282" spans="1:38" ht="18" customHeight="1">
      <c r="A282" s="593"/>
      <c r="B282" s="598">
        <v>265</v>
      </c>
      <c r="C282" s="598" t="s">
        <v>1534</v>
      </c>
      <c r="D282" s="598">
        <f t="shared" si="3"/>
        <v>248</v>
      </c>
      <c r="E282" s="616" t="s">
        <v>1351</v>
      </c>
      <c r="F282" s="616" t="s">
        <v>4633</v>
      </c>
      <c r="G282" s="618" t="s">
        <v>1202</v>
      </c>
      <c r="H282" s="618" t="s">
        <v>335</v>
      </c>
      <c r="I282" s="618" t="s">
        <v>2087</v>
      </c>
      <c r="J282" s="618" t="s">
        <v>2087</v>
      </c>
      <c r="K282" s="618" t="s">
        <v>1701</v>
      </c>
      <c r="L282" s="619" t="s">
        <v>1702</v>
      </c>
      <c r="M282" s="620"/>
      <c r="N282" s="620"/>
      <c r="O282" s="663" t="s">
        <v>326</v>
      </c>
      <c r="P282" s="621"/>
      <c r="Q282" s="598"/>
      <c r="R282" s="598"/>
      <c r="S282" s="598"/>
      <c r="T282" s="623" t="s">
        <v>992</v>
      </c>
      <c r="U282" s="663" t="s">
        <v>404</v>
      </c>
      <c r="V282" s="674" t="s">
        <v>1535</v>
      </c>
      <c r="W282" s="598" t="s">
        <v>963</v>
      </c>
      <c r="X282" s="624">
        <v>39065</v>
      </c>
      <c r="Y282" s="625">
        <f t="shared" ca="1" si="4"/>
        <v>19</v>
      </c>
      <c r="Z282" s="616" t="s">
        <v>1536</v>
      </c>
      <c r="AA282" s="598" t="s">
        <v>1537</v>
      </c>
      <c r="AB282" s="598" t="s">
        <v>996</v>
      </c>
      <c r="AC282" s="644" t="s">
        <v>997</v>
      </c>
      <c r="AD282" s="616" t="s">
        <v>729</v>
      </c>
      <c r="AE282" s="616" t="s">
        <v>729</v>
      </c>
      <c r="AF282" s="616" t="s">
        <v>1323</v>
      </c>
      <c r="AG282" s="598"/>
      <c r="AH282" s="598"/>
      <c r="AI282" s="598" t="s">
        <v>1318</v>
      </c>
      <c r="AJ282" s="598"/>
      <c r="AK282" s="626"/>
      <c r="AL282" s="626"/>
    </row>
    <row r="283" spans="1:38" ht="18" customHeight="1">
      <c r="A283" s="593"/>
      <c r="B283" s="598">
        <v>266</v>
      </c>
      <c r="C283" s="598" t="s">
        <v>1724</v>
      </c>
      <c r="D283" s="598">
        <f t="shared" si="3"/>
        <v>249</v>
      </c>
      <c r="E283" s="616" t="s">
        <v>1351</v>
      </c>
      <c r="F283" s="616" t="s">
        <v>4633</v>
      </c>
      <c r="G283" s="618" t="s">
        <v>1202</v>
      </c>
      <c r="H283" s="618" t="s">
        <v>335</v>
      </c>
      <c r="I283" s="618" t="s">
        <v>2087</v>
      </c>
      <c r="J283" s="618" t="s">
        <v>2087</v>
      </c>
      <c r="K283" s="618" t="s">
        <v>1701</v>
      </c>
      <c r="L283" s="619" t="s">
        <v>1702</v>
      </c>
      <c r="M283" s="620"/>
      <c r="N283" s="620"/>
      <c r="O283" s="663" t="s">
        <v>326</v>
      </c>
      <c r="P283" s="621" t="s">
        <v>319</v>
      </c>
      <c r="Q283" s="598"/>
      <c r="R283" s="598"/>
      <c r="S283" s="598"/>
      <c r="T283" s="623" t="s">
        <v>1705</v>
      </c>
      <c r="U283" s="663" t="s">
        <v>415</v>
      </c>
      <c r="V283" s="674" t="s">
        <v>1725</v>
      </c>
      <c r="W283" s="598" t="s">
        <v>950</v>
      </c>
      <c r="X283" s="624">
        <v>39343</v>
      </c>
      <c r="Y283" s="625">
        <f t="shared" ca="1" si="4"/>
        <v>18</v>
      </c>
      <c r="Z283" s="616" t="s">
        <v>1726</v>
      </c>
      <c r="AA283" s="598" t="s">
        <v>1727</v>
      </c>
      <c r="AB283" s="598" t="s">
        <v>996</v>
      </c>
      <c r="AC283" s="598" t="s">
        <v>1018</v>
      </c>
      <c r="AD283" s="616" t="s">
        <v>729</v>
      </c>
      <c r="AE283" s="616" t="s">
        <v>729</v>
      </c>
      <c r="AF283" s="616" t="s">
        <v>1323</v>
      </c>
      <c r="AG283" s="598"/>
      <c r="AH283" s="598"/>
      <c r="AI283" s="647" t="s">
        <v>1513</v>
      </c>
      <c r="AJ283" s="598"/>
      <c r="AK283" s="626"/>
      <c r="AL283" s="626"/>
    </row>
    <row r="284" spans="1:38" ht="18" customHeight="1">
      <c r="A284" s="593"/>
      <c r="B284" s="598">
        <v>267</v>
      </c>
      <c r="C284" s="598" t="s">
        <v>1719</v>
      </c>
      <c r="D284" s="598">
        <f t="shared" si="3"/>
        <v>250</v>
      </c>
      <c r="E284" s="616" t="s">
        <v>1351</v>
      </c>
      <c r="F284" s="616" t="s">
        <v>4633</v>
      </c>
      <c r="G284" s="618" t="s">
        <v>1202</v>
      </c>
      <c r="H284" s="618" t="s">
        <v>335</v>
      </c>
      <c r="I284" s="618" t="s">
        <v>2087</v>
      </c>
      <c r="J284" s="618" t="s">
        <v>2087</v>
      </c>
      <c r="K284" s="618" t="s">
        <v>1701</v>
      </c>
      <c r="L284" s="619" t="s">
        <v>1702</v>
      </c>
      <c r="M284" s="620"/>
      <c r="N284" s="620"/>
      <c r="O284" s="663" t="s">
        <v>326</v>
      </c>
      <c r="P284" s="621" t="s">
        <v>319</v>
      </c>
      <c r="Q284" s="598"/>
      <c r="R284" s="598"/>
      <c r="S284" s="598"/>
      <c r="T284" s="623" t="s">
        <v>1705</v>
      </c>
      <c r="U284" s="710" t="s">
        <v>433</v>
      </c>
      <c r="V284" s="674" t="s">
        <v>1720</v>
      </c>
      <c r="W284" s="598" t="s">
        <v>963</v>
      </c>
      <c r="X284" s="624">
        <v>39893</v>
      </c>
      <c r="Y284" s="625">
        <f t="shared" ca="1" si="4"/>
        <v>16</v>
      </c>
      <c r="Z284" s="616" t="s">
        <v>1721</v>
      </c>
      <c r="AA284" s="598" t="s">
        <v>1722</v>
      </c>
      <c r="AB284" s="598" t="s">
        <v>996</v>
      </c>
      <c r="AC284" s="644" t="s">
        <v>997</v>
      </c>
      <c r="AD284" s="616" t="s">
        <v>1250</v>
      </c>
      <c r="AE284" s="616" t="s">
        <v>1250</v>
      </c>
      <c r="AF284" s="616" t="s">
        <v>1723</v>
      </c>
      <c r="AG284" s="598"/>
      <c r="AH284" s="598"/>
      <c r="AI284" s="683" t="s">
        <v>1566</v>
      </c>
      <c r="AJ284" s="598"/>
      <c r="AK284" s="626"/>
      <c r="AL284" s="626"/>
    </row>
    <row r="285" spans="1:38" ht="18" customHeight="1">
      <c r="A285" s="593"/>
      <c r="B285" s="598">
        <v>268</v>
      </c>
      <c r="C285" s="598" t="s">
        <v>2604</v>
      </c>
      <c r="D285" s="598">
        <f t="shared" si="3"/>
        <v>251</v>
      </c>
      <c r="E285" s="616" t="s">
        <v>1351</v>
      </c>
      <c r="F285" s="616" t="s">
        <v>4633</v>
      </c>
      <c r="G285" s="618" t="s">
        <v>1202</v>
      </c>
      <c r="H285" s="618" t="s">
        <v>335</v>
      </c>
      <c r="I285" s="618" t="s">
        <v>2087</v>
      </c>
      <c r="J285" s="618" t="s">
        <v>2087</v>
      </c>
      <c r="K285" s="618" t="s">
        <v>1701</v>
      </c>
      <c r="L285" s="619" t="s">
        <v>1702</v>
      </c>
      <c r="M285" s="620"/>
      <c r="N285" s="620"/>
      <c r="O285" s="663" t="s">
        <v>326</v>
      </c>
      <c r="P285" s="621" t="s">
        <v>319</v>
      </c>
      <c r="Q285" s="598"/>
      <c r="R285" s="598"/>
      <c r="S285" s="598"/>
      <c r="T285" s="623" t="s">
        <v>1705</v>
      </c>
      <c r="U285" s="717" t="s">
        <v>441</v>
      </c>
      <c r="V285" s="674" t="s">
        <v>2606</v>
      </c>
      <c r="W285" s="598" t="s">
        <v>950</v>
      </c>
      <c r="X285" s="624">
        <v>40254</v>
      </c>
      <c r="Y285" s="625">
        <f t="shared" ca="1" si="4"/>
        <v>15</v>
      </c>
      <c r="Z285" s="616" t="s">
        <v>2607</v>
      </c>
      <c r="AA285" s="598" t="s">
        <v>2608</v>
      </c>
      <c r="AB285" s="598" t="s">
        <v>996</v>
      </c>
      <c r="AC285" s="644" t="s">
        <v>997</v>
      </c>
      <c r="AD285" s="616" t="s">
        <v>729</v>
      </c>
      <c r="AE285" s="616" t="s">
        <v>729</v>
      </c>
      <c r="AF285" s="616" t="s">
        <v>2418</v>
      </c>
      <c r="AG285" s="598"/>
      <c r="AH285" s="598"/>
      <c r="AI285" s="683" t="s">
        <v>1566</v>
      </c>
      <c r="AJ285" s="598"/>
      <c r="AK285" s="626">
        <v>-2</v>
      </c>
      <c r="AL285" s="626"/>
    </row>
    <row r="286" spans="1:38" ht="18" customHeight="1">
      <c r="A286" s="593"/>
      <c r="B286" s="598">
        <v>269</v>
      </c>
      <c r="C286" s="598" t="s">
        <v>1728</v>
      </c>
      <c r="D286" s="598">
        <f t="shared" si="3"/>
        <v>252</v>
      </c>
      <c r="E286" s="616" t="s">
        <v>1351</v>
      </c>
      <c r="F286" s="616" t="s">
        <v>4633</v>
      </c>
      <c r="G286" s="618" t="s">
        <v>1202</v>
      </c>
      <c r="H286" s="618" t="s">
        <v>335</v>
      </c>
      <c r="I286" s="618" t="s">
        <v>2087</v>
      </c>
      <c r="J286" s="618" t="s">
        <v>2087</v>
      </c>
      <c r="K286" s="618" t="s">
        <v>1701</v>
      </c>
      <c r="L286" s="619" t="s">
        <v>1702</v>
      </c>
      <c r="M286" s="620"/>
      <c r="N286" s="620"/>
      <c r="O286" s="663" t="s">
        <v>326</v>
      </c>
      <c r="P286" s="621" t="s">
        <v>319</v>
      </c>
      <c r="Q286" s="598"/>
      <c r="R286" s="598"/>
      <c r="S286" s="598"/>
      <c r="T286" s="623" t="s">
        <v>1705</v>
      </c>
      <c r="U286" s="576" t="s">
        <v>1730</v>
      </c>
      <c r="V286" s="708" t="s">
        <v>1731</v>
      </c>
      <c r="W286" s="598" t="s">
        <v>963</v>
      </c>
      <c r="X286" s="624">
        <v>39617</v>
      </c>
      <c r="Y286" s="625">
        <f t="shared" ca="1" si="4"/>
        <v>17</v>
      </c>
      <c r="Z286" s="714" t="s">
        <v>1732</v>
      </c>
      <c r="AA286" s="598"/>
      <c r="AB286" s="598" t="s">
        <v>996</v>
      </c>
      <c r="AC286" s="598" t="s">
        <v>1018</v>
      </c>
      <c r="AD286" s="616" t="s">
        <v>729</v>
      </c>
      <c r="AE286" s="616" t="s">
        <v>729</v>
      </c>
      <c r="AF286" s="708" t="s">
        <v>1733</v>
      </c>
      <c r="AG286" s="598"/>
      <c r="AH286" s="598"/>
      <c r="AI286" s="701" t="s">
        <v>1575</v>
      </c>
      <c r="AJ286" s="598"/>
      <c r="AK286" s="626">
        <v>-2</v>
      </c>
      <c r="AL286" s="626"/>
    </row>
    <row r="287" spans="1:38" ht="18" customHeight="1">
      <c r="A287" s="593"/>
      <c r="B287" s="598">
        <v>270</v>
      </c>
      <c r="C287" s="598" t="s">
        <v>2609</v>
      </c>
      <c r="D287" s="598">
        <f t="shared" si="3"/>
        <v>253</v>
      </c>
      <c r="E287" s="616" t="s">
        <v>1351</v>
      </c>
      <c r="F287" s="616" t="s">
        <v>4633</v>
      </c>
      <c r="G287" s="618" t="s">
        <v>1202</v>
      </c>
      <c r="H287" s="618" t="s">
        <v>335</v>
      </c>
      <c r="I287" s="618" t="s">
        <v>2087</v>
      </c>
      <c r="J287" s="618" t="s">
        <v>2087</v>
      </c>
      <c r="K287" s="618" t="s">
        <v>1701</v>
      </c>
      <c r="L287" s="619" t="s">
        <v>1702</v>
      </c>
      <c r="M287" s="620"/>
      <c r="N287" s="620"/>
      <c r="O287" s="663" t="s">
        <v>326</v>
      </c>
      <c r="P287" s="621" t="s">
        <v>319</v>
      </c>
      <c r="Q287" s="598"/>
      <c r="R287" s="598"/>
      <c r="S287" s="598"/>
      <c r="T287" s="623" t="s">
        <v>1705</v>
      </c>
      <c r="U287" s="718" t="s">
        <v>830</v>
      </c>
      <c r="V287" s="708" t="s">
        <v>2610</v>
      </c>
      <c r="W287" s="598" t="s">
        <v>963</v>
      </c>
      <c r="X287" s="624">
        <v>39891</v>
      </c>
      <c r="Y287" s="625">
        <f t="shared" ca="1" si="4"/>
        <v>16</v>
      </c>
      <c r="Z287" s="714" t="s">
        <v>2611</v>
      </c>
      <c r="AA287" s="598"/>
      <c r="AB287" s="598" t="s">
        <v>996</v>
      </c>
      <c r="AC287" s="598" t="s">
        <v>1018</v>
      </c>
      <c r="AD287" s="616" t="s">
        <v>729</v>
      </c>
      <c r="AE287" s="616" t="s">
        <v>729</v>
      </c>
      <c r="AF287" s="708" t="s">
        <v>2441</v>
      </c>
      <c r="AG287" s="598"/>
      <c r="AH287" s="598"/>
      <c r="AI287" s="701" t="s">
        <v>1575</v>
      </c>
      <c r="AJ287" s="598"/>
      <c r="AK287" s="626">
        <v>-2</v>
      </c>
      <c r="AL287" s="626"/>
    </row>
    <row r="288" spans="1:38" ht="18" customHeight="1">
      <c r="A288" s="593"/>
      <c r="B288" s="598">
        <v>271</v>
      </c>
      <c r="C288" s="598" t="s">
        <v>3505</v>
      </c>
      <c r="D288" s="598">
        <f t="shared" si="3"/>
        <v>254</v>
      </c>
      <c r="E288" s="616" t="s">
        <v>1810</v>
      </c>
      <c r="F288" s="616" t="s">
        <v>973</v>
      </c>
      <c r="G288" s="618" t="s">
        <v>3505</v>
      </c>
      <c r="H288" s="618" t="s">
        <v>183</v>
      </c>
      <c r="I288" s="618" t="s">
        <v>3505</v>
      </c>
      <c r="J288" s="618" t="s">
        <v>3505</v>
      </c>
      <c r="K288" s="618"/>
      <c r="L288" s="619"/>
      <c r="M288" s="620"/>
      <c r="N288" s="620"/>
      <c r="O288" s="667" t="s">
        <v>1044</v>
      </c>
      <c r="P288" s="621"/>
      <c r="Q288" s="598" t="s">
        <v>1227</v>
      </c>
      <c r="R288" s="598" t="s">
        <v>173</v>
      </c>
      <c r="S288" s="598"/>
      <c r="T288" s="598" t="s">
        <v>1090</v>
      </c>
      <c r="U288" s="667" t="s">
        <v>183</v>
      </c>
      <c r="V288" s="616" t="s">
        <v>3506</v>
      </c>
      <c r="W288" s="598" t="s">
        <v>950</v>
      </c>
      <c r="X288" s="624">
        <v>19177</v>
      </c>
      <c r="Y288" s="625">
        <f t="shared" ca="1" si="4"/>
        <v>73</v>
      </c>
      <c r="Z288" s="616" t="s">
        <v>3507</v>
      </c>
      <c r="AA288" s="598" t="s">
        <v>3508</v>
      </c>
      <c r="AB288" s="598" t="s">
        <v>966</v>
      </c>
      <c r="AC288" s="598" t="s">
        <v>953</v>
      </c>
      <c r="AD288" s="616" t="s">
        <v>973</v>
      </c>
      <c r="AE288" s="616" t="s">
        <v>973</v>
      </c>
      <c r="AF288" s="616" t="s">
        <v>3509</v>
      </c>
      <c r="AG288" s="598"/>
      <c r="AH288" s="598"/>
      <c r="AI288" s="598"/>
      <c r="AJ288" s="598" t="s">
        <v>3510</v>
      </c>
      <c r="AK288" s="626">
        <v>-3</v>
      </c>
      <c r="AL288" s="626"/>
    </row>
    <row r="289" spans="1:38" ht="18" customHeight="1">
      <c r="A289" s="593"/>
      <c r="B289" s="598">
        <v>272</v>
      </c>
      <c r="C289" s="598" t="s">
        <v>3708</v>
      </c>
      <c r="D289" s="598">
        <f t="shared" si="3"/>
        <v>255</v>
      </c>
      <c r="E289" s="616" t="s">
        <v>1810</v>
      </c>
      <c r="F289" s="616" t="s">
        <v>973</v>
      </c>
      <c r="G289" s="618" t="s">
        <v>3505</v>
      </c>
      <c r="H289" s="618" t="s">
        <v>183</v>
      </c>
      <c r="I289" s="618" t="s">
        <v>3505</v>
      </c>
      <c r="J289" s="618" t="s">
        <v>3505</v>
      </c>
      <c r="K289" s="618"/>
      <c r="L289" s="619"/>
      <c r="M289" s="620"/>
      <c r="N289" s="620"/>
      <c r="O289" s="663" t="s">
        <v>1044</v>
      </c>
      <c r="P289" s="621"/>
      <c r="Q289" s="598" t="s">
        <v>173</v>
      </c>
      <c r="R289" s="598" t="s">
        <v>514</v>
      </c>
      <c r="S289" s="598" t="s">
        <v>55</v>
      </c>
      <c r="T289" s="598" t="s">
        <v>1015</v>
      </c>
      <c r="U289" s="663" t="s">
        <v>203</v>
      </c>
      <c r="V289" s="616" t="s">
        <v>3709</v>
      </c>
      <c r="W289" s="598" t="s">
        <v>950</v>
      </c>
      <c r="X289" s="624">
        <v>20911</v>
      </c>
      <c r="Y289" s="625">
        <f t="shared" ca="1" si="4"/>
        <v>68</v>
      </c>
      <c r="Z289" s="616" t="s">
        <v>3710</v>
      </c>
      <c r="AA289" s="598" t="s">
        <v>3711</v>
      </c>
      <c r="AB289" s="598" t="s">
        <v>966</v>
      </c>
      <c r="AC289" s="598" t="s">
        <v>953</v>
      </c>
      <c r="AD289" s="616" t="s">
        <v>973</v>
      </c>
      <c r="AE289" s="616" t="s">
        <v>973</v>
      </c>
      <c r="AF289" s="616" t="s">
        <v>3509</v>
      </c>
      <c r="AG289" s="598"/>
      <c r="AH289" s="598"/>
      <c r="AI289" s="598"/>
      <c r="AJ289" s="598" t="s">
        <v>3510</v>
      </c>
      <c r="AK289" s="626">
        <v>-3</v>
      </c>
      <c r="AL289" s="626"/>
    </row>
    <row r="290" spans="1:38" ht="18" customHeight="1">
      <c r="A290" s="593"/>
      <c r="B290" s="598">
        <v>273</v>
      </c>
      <c r="C290" s="598" t="s">
        <v>3559</v>
      </c>
      <c r="D290" s="598">
        <f t="shared" si="3"/>
        <v>256</v>
      </c>
      <c r="E290" s="616" t="s">
        <v>1810</v>
      </c>
      <c r="F290" s="616" t="s">
        <v>973</v>
      </c>
      <c r="G290" s="618" t="s">
        <v>3505</v>
      </c>
      <c r="H290" s="618" t="s">
        <v>183</v>
      </c>
      <c r="I290" s="618" t="s">
        <v>3505</v>
      </c>
      <c r="J290" s="618" t="s">
        <v>3505</v>
      </c>
      <c r="K290" s="618"/>
      <c r="L290" s="619"/>
      <c r="M290" s="620"/>
      <c r="N290" s="620"/>
      <c r="O290" s="663" t="s">
        <v>1044</v>
      </c>
      <c r="P290" s="621"/>
      <c r="Q290" s="598" t="s">
        <v>55</v>
      </c>
      <c r="R290" s="598" t="s">
        <v>178</v>
      </c>
      <c r="S290" s="598"/>
      <c r="T290" s="598" t="s">
        <v>1015</v>
      </c>
      <c r="U290" s="663" t="s">
        <v>222</v>
      </c>
      <c r="V290" s="616" t="s">
        <v>3561</v>
      </c>
      <c r="W290" s="598" t="s">
        <v>950</v>
      </c>
      <c r="X290" s="624">
        <v>21600</v>
      </c>
      <c r="Y290" s="625">
        <f t="shared" ca="1" si="4"/>
        <v>66</v>
      </c>
      <c r="Z290" s="616" t="s">
        <v>3562</v>
      </c>
      <c r="AA290" s="598" t="s">
        <v>3563</v>
      </c>
      <c r="AB290" s="598" t="s">
        <v>966</v>
      </c>
      <c r="AC290" s="598" t="s">
        <v>953</v>
      </c>
      <c r="AD290" s="616" t="s">
        <v>973</v>
      </c>
      <c r="AE290" s="616" t="s">
        <v>973</v>
      </c>
      <c r="AF290" s="616" t="s">
        <v>3509</v>
      </c>
      <c r="AG290" s="598"/>
      <c r="AH290" s="598"/>
      <c r="AI290" s="598"/>
      <c r="AJ290" s="598" t="s">
        <v>3510</v>
      </c>
      <c r="AK290" s="626">
        <v>-3</v>
      </c>
      <c r="AL290" s="626"/>
    </row>
    <row r="291" spans="1:38" ht="18" customHeight="1">
      <c r="A291" s="593"/>
      <c r="B291" s="598">
        <v>274</v>
      </c>
      <c r="C291" s="598" t="s">
        <v>4169</v>
      </c>
      <c r="D291" s="598">
        <f t="shared" si="3"/>
        <v>257</v>
      </c>
      <c r="E291" s="616" t="s">
        <v>1810</v>
      </c>
      <c r="F291" s="616" t="s">
        <v>973</v>
      </c>
      <c r="G291" s="618" t="s">
        <v>3505</v>
      </c>
      <c r="H291" s="618" t="s">
        <v>183</v>
      </c>
      <c r="I291" s="618" t="s">
        <v>3505</v>
      </c>
      <c r="J291" s="618" t="s">
        <v>3505</v>
      </c>
      <c r="K291" s="618"/>
      <c r="L291" s="619"/>
      <c r="M291" s="620"/>
      <c r="N291" s="620"/>
      <c r="O291" s="673" t="s">
        <v>1044</v>
      </c>
      <c r="P291" s="621"/>
      <c r="Q291" s="598" t="s">
        <v>55</v>
      </c>
      <c r="R291" s="598" t="s">
        <v>178</v>
      </c>
      <c r="S291" s="598"/>
      <c r="T291" s="598" t="s">
        <v>1015</v>
      </c>
      <c r="U291" s="673" t="s">
        <v>241</v>
      </c>
      <c r="V291" s="616" t="s">
        <v>4170</v>
      </c>
      <c r="W291" s="598" t="s">
        <v>950</v>
      </c>
      <c r="X291" s="624">
        <v>25211</v>
      </c>
      <c r="Y291" s="625">
        <f t="shared" ca="1" si="4"/>
        <v>57</v>
      </c>
      <c r="Z291" s="616" t="s">
        <v>4171</v>
      </c>
      <c r="AA291" s="598" t="s">
        <v>4172</v>
      </c>
      <c r="AB291" s="598" t="s">
        <v>966</v>
      </c>
      <c r="AC291" s="598" t="s">
        <v>953</v>
      </c>
      <c r="AD291" s="616" t="s">
        <v>973</v>
      </c>
      <c r="AE291" s="616" t="s">
        <v>973</v>
      </c>
      <c r="AF291" s="616" t="s">
        <v>3509</v>
      </c>
      <c r="AG291" s="598"/>
      <c r="AH291" s="598"/>
      <c r="AI291" s="598"/>
      <c r="AJ291" s="598" t="s">
        <v>3510</v>
      </c>
      <c r="AK291" s="626">
        <v>-3</v>
      </c>
      <c r="AL291" s="626"/>
    </row>
    <row r="292" spans="1:38" ht="18" customHeight="1">
      <c r="A292" s="278"/>
      <c r="B292" s="598">
        <v>275</v>
      </c>
      <c r="C292" s="598" t="s">
        <v>3528</v>
      </c>
      <c r="D292" s="598">
        <f t="shared" si="3"/>
        <v>258</v>
      </c>
      <c r="E292" s="671" t="s">
        <v>1810</v>
      </c>
      <c r="F292" s="598" t="s">
        <v>973</v>
      </c>
      <c r="G292" s="618" t="s">
        <v>3505</v>
      </c>
      <c r="H292" s="618" t="s">
        <v>183</v>
      </c>
      <c r="I292" s="618" t="s">
        <v>3505</v>
      </c>
      <c r="J292" s="618" t="s">
        <v>3505</v>
      </c>
      <c r="K292" s="618" t="s">
        <v>3528</v>
      </c>
      <c r="L292" s="627"/>
      <c r="M292" s="636"/>
      <c r="N292" s="636"/>
      <c r="O292" s="663" t="s">
        <v>1074</v>
      </c>
      <c r="P292" s="637"/>
      <c r="Q292" s="598" t="s">
        <v>69</v>
      </c>
      <c r="R292" s="598" t="s">
        <v>69</v>
      </c>
      <c r="S292" s="627"/>
      <c r="T292" s="635" t="s">
        <v>1090</v>
      </c>
      <c r="U292" s="719" t="s">
        <v>204</v>
      </c>
      <c r="V292" s="598" t="s">
        <v>3532</v>
      </c>
      <c r="W292" s="598" t="s">
        <v>950</v>
      </c>
      <c r="X292" s="624">
        <v>17993</v>
      </c>
      <c r="Y292" s="625">
        <f t="shared" ca="1" si="4"/>
        <v>76</v>
      </c>
      <c r="Z292" s="598" t="s">
        <v>3533</v>
      </c>
      <c r="AA292" s="598" t="s">
        <v>3534</v>
      </c>
      <c r="AB292" s="598" t="s">
        <v>966</v>
      </c>
      <c r="AC292" s="598" t="s">
        <v>953</v>
      </c>
      <c r="AD292" s="598" t="s">
        <v>973</v>
      </c>
      <c r="AE292" s="598" t="s">
        <v>973</v>
      </c>
      <c r="AF292" s="598" t="s">
        <v>3509</v>
      </c>
      <c r="AG292" s="627"/>
      <c r="AH292" s="627"/>
      <c r="AI292" s="627"/>
      <c r="AJ292" s="598" t="s">
        <v>3510</v>
      </c>
      <c r="AK292" s="626">
        <v>-3</v>
      </c>
      <c r="AL292" s="627"/>
    </row>
    <row r="293" spans="1:38" ht="18" customHeight="1">
      <c r="A293" s="593"/>
      <c r="B293" s="598">
        <v>276</v>
      </c>
      <c r="C293" s="598" t="s">
        <v>3555</v>
      </c>
      <c r="D293" s="598">
        <f t="shared" si="3"/>
        <v>259</v>
      </c>
      <c r="E293" s="616" t="s">
        <v>1810</v>
      </c>
      <c r="F293" s="616" t="s">
        <v>973</v>
      </c>
      <c r="G293" s="618" t="s">
        <v>3505</v>
      </c>
      <c r="H293" s="618" t="s">
        <v>183</v>
      </c>
      <c r="I293" s="618" t="s">
        <v>3505</v>
      </c>
      <c r="J293" s="618" t="s">
        <v>3505</v>
      </c>
      <c r="K293" s="619" t="s">
        <v>3528</v>
      </c>
      <c r="L293" s="619"/>
      <c r="M293" s="620"/>
      <c r="N293" s="620"/>
      <c r="O293" s="663" t="s">
        <v>1074</v>
      </c>
      <c r="P293" s="621"/>
      <c r="Q293" s="598"/>
      <c r="R293" s="598"/>
      <c r="S293" s="598"/>
      <c r="T293" s="598" t="s">
        <v>992</v>
      </c>
      <c r="U293" s="665" t="s">
        <v>291</v>
      </c>
      <c r="V293" s="616" t="s">
        <v>3556</v>
      </c>
      <c r="W293" s="598" t="s">
        <v>950</v>
      </c>
      <c r="X293" s="624">
        <v>32972</v>
      </c>
      <c r="Y293" s="625">
        <f t="shared" ca="1" si="4"/>
        <v>35</v>
      </c>
      <c r="Z293" s="616" t="s">
        <v>3557</v>
      </c>
      <c r="AA293" s="598" t="s">
        <v>3558</v>
      </c>
      <c r="AB293" s="598" t="s">
        <v>996</v>
      </c>
      <c r="AC293" s="598" t="s">
        <v>997</v>
      </c>
      <c r="AD293" s="616" t="s">
        <v>973</v>
      </c>
      <c r="AE293" s="616" t="s">
        <v>973</v>
      </c>
      <c r="AF293" s="616" t="s">
        <v>3509</v>
      </c>
      <c r="AG293" s="598"/>
      <c r="AH293" s="598"/>
      <c r="AI293" s="598"/>
      <c r="AJ293" s="598" t="s">
        <v>3510</v>
      </c>
      <c r="AK293" s="626">
        <v>-3</v>
      </c>
      <c r="AL293" s="626"/>
    </row>
    <row r="294" spans="1:38" ht="18" customHeight="1">
      <c r="A294" s="593"/>
      <c r="B294" s="598">
        <v>277</v>
      </c>
      <c r="C294" s="598" t="s">
        <v>3511</v>
      </c>
      <c r="D294" s="598">
        <f t="shared" si="3"/>
        <v>260</v>
      </c>
      <c r="E294" s="616" t="s">
        <v>1810</v>
      </c>
      <c r="F294" s="616" t="s">
        <v>973</v>
      </c>
      <c r="G294" s="618" t="s">
        <v>3505</v>
      </c>
      <c r="H294" s="618" t="s">
        <v>183</v>
      </c>
      <c r="I294" s="618" t="s">
        <v>3505</v>
      </c>
      <c r="J294" s="618" t="s">
        <v>3505</v>
      </c>
      <c r="K294" s="619" t="s">
        <v>3528</v>
      </c>
      <c r="L294" s="619"/>
      <c r="M294" s="620"/>
      <c r="N294" s="620"/>
      <c r="O294" s="663" t="s">
        <v>1074</v>
      </c>
      <c r="P294" s="621"/>
      <c r="Q294" s="598"/>
      <c r="R294" s="598"/>
      <c r="S294" s="598"/>
      <c r="T294" s="598" t="s">
        <v>1090</v>
      </c>
      <c r="U294" s="663" t="s">
        <v>223</v>
      </c>
      <c r="V294" s="616" t="s">
        <v>3512</v>
      </c>
      <c r="W294" s="598" t="s">
        <v>963</v>
      </c>
      <c r="X294" s="624">
        <v>19696</v>
      </c>
      <c r="Y294" s="625">
        <f t="shared" ca="1" si="4"/>
        <v>72</v>
      </c>
      <c r="Z294" s="616" t="s">
        <v>3513</v>
      </c>
      <c r="AA294" s="598" t="s">
        <v>3514</v>
      </c>
      <c r="AB294" s="598" t="s">
        <v>966</v>
      </c>
      <c r="AC294" s="598" t="s">
        <v>953</v>
      </c>
      <c r="AD294" s="616" t="s">
        <v>973</v>
      </c>
      <c r="AE294" s="616" t="s">
        <v>973</v>
      </c>
      <c r="AF294" s="616" t="s">
        <v>3509</v>
      </c>
      <c r="AG294" s="598"/>
      <c r="AH294" s="598"/>
      <c r="AI294" s="598"/>
      <c r="AJ294" s="598" t="s">
        <v>3510</v>
      </c>
      <c r="AK294" s="626">
        <v>-3</v>
      </c>
      <c r="AL294" s="626"/>
    </row>
    <row r="295" spans="1:38" ht="18" customHeight="1">
      <c r="A295" s="593"/>
      <c r="B295" s="598">
        <v>278</v>
      </c>
      <c r="C295" s="598" t="s">
        <v>3540</v>
      </c>
      <c r="D295" s="598">
        <f t="shared" si="3"/>
        <v>261</v>
      </c>
      <c r="E295" s="616" t="s">
        <v>1810</v>
      </c>
      <c r="F295" s="616" t="s">
        <v>973</v>
      </c>
      <c r="G295" s="618" t="s">
        <v>3505</v>
      </c>
      <c r="H295" s="618" t="s">
        <v>183</v>
      </c>
      <c r="I295" s="618" t="s">
        <v>3505</v>
      </c>
      <c r="J295" s="618" t="s">
        <v>3505</v>
      </c>
      <c r="K295" s="619" t="s">
        <v>3528</v>
      </c>
      <c r="L295" s="619"/>
      <c r="M295" s="620"/>
      <c r="N295" s="620"/>
      <c r="O295" s="663" t="s">
        <v>1074</v>
      </c>
      <c r="P295" s="621"/>
      <c r="Q295" s="598"/>
      <c r="R295" s="598"/>
      <c r="S295" s="598"/>
      <c r="T295" s="598" t="s">
        <v>1090</v>
      </c>
      <c r="U295" s="663" t="s">
        <v>242</v>
      </c>
      <c r="V295" s="616" t="s">
        <v>3541</v>
      </c>
      <c r="W295" s="598" t="s">
        <v>950</v>
      </c>
      <c r="X295" s="624">
        <v>19049</v>
      </c>
      <c r="Y295" s="625">
        <f t="shared" ca="1" si="4"/>
        <v>73</v>
      </c>
      <c r="Z295" s="616" t="s">
        <v>3542</v>
      </c>
      <c r="AA295" s="598" t="s">
        <v>3543</v>
      </c>
      <c r="AB295" s="598" t="s">
        <v>966</v>
      </c>
      <c r="AC295" s="598" t="s">
        <v>953</v>
      </c>
      <c r="AD295" s="616" t="s">
        <v>973</v>
      </c>
      <c r="AE295" s="616" t="s">
        <v>973</v>
      </c>
      <c r="AF295" s="616" t="s">
        <v>3509</v>
      </c>
      <c r="AG295" s="598"/>
      <c r="AH295" s="598"/>
      <c r="AI295" s="598"/>
      <c r="AJ295" s="598" t="s">
        <v>3510</v>
      </c>
      <c r="AK295" s="626">
        <v>-3</v>
      </c>
      <c r="AL295" s="626"/>
    </row>
    <row r="296" spans="1:38" ht="18" customHeight="1">
      <c r="A296" s="593"/>
      <c r="B296" s="598">
        <v>279</v>
      </c>
      <c r="C296" s="598" t="s">
        <v>3523</v>
      </c>
      <c r="D296" s="598">
        <f t="shared" si="3"/>
        <v>262</v>
      </c>
      <c r="E296" s="616" t="s">
        <v>1810</v>
      </c>
      <c r="F296" s="616" t="s">
        <v>973</v>
      </c>
      <c r="G296" s="618" t="s">
        <v>3505</v>
      </c>
      <c r="H296" s="618" t="s">
        <v>183</v>
      </c>
      <c r="I296" s="618" t="s">
        <v>3505</v>
      </c>
      <c r="J296" s="618" t="s">
        <v>3505</v>
      </c>
      <c r="K296" s="619" t="s">
        <v>3528</v>
      </c>
      <c r="L296" s="619"/>
      <c r="M296" s="620"/>
      <c r="N296" s="620"/>
      <c r="O296" s="663" t="s">
        <v>1074</v>
      </c>
      <c r="P296" s="621"/>
      <c r="Q296" s="598"/>
      <c r="R296" s="598"/>
      <c r="S296" s="598"/>
      <c r="T296" s="598" t="s">
        <v>962</v>
      </c>
      <c r="U296" s="663" t="s">
        <v>262</v>
      </c>
      <c r="V296" s="616" t="s">
        <v>3524</v>
      </c>
      <c r="W296" s="598" t="s">
        <v>963</v>
      </c>
      <c r="X296" s="624">
        <v>29738</v>
      </c>
      <c r="Y296" s="625">
        <f t="shared" ca="1" si="4"/>
        <v>44</v>
      </c>
      <c r="Z296" s="616" t="s">
        <v>3525</v>
      </c>
      <c r="AA296" s="598" t="s">
        <v>3526</v>
      </c>
      <c r="AB296" s="598" t="s">
        <v>996</v>
      </c>
      <c r="AC296" s="598" t="s">
        <v>997</v>
      </c>
      <c r="AD296" s="616" t="s">
        <v>973</v>
      </c>
      <c r="AE296" s="616" t="s">
        <v>973</v>
      </c>
      <c r="AF296" s="616" t="s">
        <v>3527</v>
      </c>
      <c r="AG296" s="598"/>
      <c r="AH296" s="598"/>
      <c r="AI296" s="598"/>
      <c r="AJ296" s="598" t="s">
        <v>3510</v>
      </c>
      <c r="AK296" s="626">
        <v>-3</v>
      </c>
      <c r="AL296" s="626"/>
    </row>
    <row r="297" spans="1:38" ht="18" customHeight="1">
      <c r="A297" s="593"/>
      <c r="B297" s="598">
        <v>280</v>
      </c>
      <c r="C297" s="598" t="s">
        <v>3544</v>
      </c>
      <c r="D297" s="598">
        <f t="shared" si="3"/>
        <v>263</v>
      </c>
      <c r="E297" s="616" t="s">
        <v>1810</v>
      </c>
      <c r="F297" s="616" t="s">
        <v>973</v>
      </c>
      <c r="G297" s="618" t="s">
        <v>3505</v>
      </c>
      <c r="H297" s="618" t="s">
        <v>183</v>
      </c>
      <c r="I297" s="618" t="s">
        <v>3505</v>
      </c>
      <c r="J297" s="618" t="s">
        <v>3505</v>
      </c>
      <c r="K297" s="619" t="s">
        <v>3528</v>
      </c>
      <c r="L297" s="619"/>
      <c r="M297" s="620"/>
      <c r="N297" s="620"/>
      <c r="O297" s="673" t="s">
        <v>1074</v>
      </c>
      <c r="P297" s="621"/>
      <c r="Q297" s="598"/>
      <c r="R297" s="598"/>
      <c r="S297" s="598"/>
      <c r="T297" s="598" t="s">
        <v>1015</v>
      </c>
      <c r="U297" s="673" t="s">
        <v>279</v>
      </c>
      <c r="V297" s="616" t="s">
        <v>3545</v>
      </c>
      <c r="W297" s="598" t="s">
        <v>950</v>
      </c>
      <c r="X297" s="624">
        <v>21258</v>
      </c>
      <c r="Y297" s="625">
        <f t="shared" ca="1" si="4"/>
        <v>67</v>
      </c>
      <c r="Z297" s="616" t="s">
        <v>3546</v>
      </c>
      <c r="AA297" s="598" t="s">
        <v>3547</v>
      </c>
      <c r="AB297" s="598" t="s">
        <v>966</v>
      </c>
      <c r="AC297" s="598" t="s">
        <v>953</v>
      </c>
      <c r="AD297" s="616" t="s">
        <v>973</v>
      </c>
      <c r="AE297" s="616" t="s">
        <v>973</v>
      </c>
      <c r="AF297" s="616" t="s">
        <v>3527</v>
      </c>
      <c r="AG297" s="598"/>
      <c r="AH297" s="598"/>
      <c r="AI297" s="598"/>
      <c r="AJ297" s="598" t="s">
        <v>3510</v>
      </c>
      <c r="AK297" s="626">
        <v>-3</v>
      </c>
      <c r="AL297" s="626"/>
    </row>
    <row r="298" spans="1:38" ht="18" customHeight="1">
      <c r="A298" s="593"/>
      <c r="B298" s="598">
        <v>281</v>
      </c>
      <c r="C298" s="598" t="s">
        <v>3529</v>
      </c>
      <c r="D298" s="598">
        <f t="shared" si="3"/>
        <v>264</v>
      </c>
      <c r="E298" s="616" t="s">
        <v>1810</v>
      </c>
      <c r="F298" s="616" t="s">
        <v>973</v>
      </c>
      <c r="G298" s="618" t="s">
        <v>3505</v>
      </c>
      <c r="H298" s="618" t="s">
        <v>183</v>
      </c>
      <c r="I298" s="618" t="s">
        <v>3505</v>
      </c>
      <c r="J298" s="618" t="s">
        <v>3505</v>
      </c>
      <c r="K298" s="618" t="s">
        <v>3529</v>
      </c>
      <c r="L298" s="619"/>
      <c r="M298" s="620"/>
      <c r="N298" s="620"/>
      <c r="O298" s="667" t="s">
        <v>1115</v>
      </c>
      <c r="P298" s="621"/>
      <c r="Q298" s="598" t="s">
        <v>69</v>
      </c>
      <c r="R298" s="598" t="s">
        <v>562</v>
      </c>
      <c r="S298" s="598"/>
      <c r="T298" s="598" t="s">
        <v>1015</v>
      </c>
      <c r="U298" s="667" t="s">
        <v>3536</v>
      </c>
      <c r="V298" s="616" t="s">
        <v>3537</v>
      </c>
      <c r="W298" s="598" t="s">
        <v>950</v>
      </c>
      <c r="X298" s="624">
        <v>20540</v>
      </c>
      <c r="Y298" s="625">
        <f t="shared" ca="1" si="4"/>
        <v>69</v>
      </c>
      <c r="Z298" s="616" t="s">
        <v>3538</v>
      </c>
      <c r="AA298" s="598" t="s">
        <v>3539</v>
      </c>
      <c r="AB298" s="598" t="s">
        <v>996</v>
      </c>
      <c r="AC298" s="598" t="s">
        <v>997</v>
      </c>
      <c r="AD298" s="616" t="s">
        <v>973</v>
      </c>
      <c r="AE298" s="616" t="s">
        <v>973</v>
      </c>
      <c r="AF298" s="616" t="s">
        <v>3509</v>
      </c>
      <c r="AG298" s="598"/>
      <c r="AH298" s="598"/>
      <c r="AI298" s="598" t="s">
        <v>1011</v>
      </c>
      <c r="AJ298" s="598" t="s">
        <v>3510</v>
      </c>
      <c r="AK298" s="626">
        <v>-3</v>
      </c>
      <c r="AL298" s="626"/>
    </row>
    <row r="299" spans="1:38" ht="18" customHeight="1">
      <c r="A299" s="593"/>
      <c r="B299" s="598">
        <v>282</v>
      </c>
      <c r="C299" s="598" t="s">
        <v>3548</v>
      </c>
      <c r="D299" s="598">
        <f t="shared" si="3"/>
        <v>265</v>
      </c>
      <c r="E299" s="616" t="s">
        <v>1810</v>
      </c>
      <c r="F299" s="616" t="s">
        <v>973</v>
      </c>
      <c r="G299" s="618" t="s">
        <v>3505</v>
      </c>
      <c r="H299" s="618" t="s">
        <v>183</v>
      </c>
      <c r="I299" s="618" t="s">
        <v>3505</v>
      </c>
      <c r="J299" s="618" t="s">
        <v>3505</v>
      </c>
      <c r="K299" s="618" t="s">
        <v>3529</v>
      </c>
      <c r="L299" s="619"/>
      <c r="M299" s="620"/>
      <c r="N299" s="620"/>
      <c r="O299" s="663" t="s">
        <v>1115</v>
      </c>
      <c r="P299" s="621"/>
      <c r="Q299" s="598"/>
      <c r="R299" s="598"/>
      <c r="S299" s="598"/>
      <c r="T299" s="598" t="s">
        <v>1090</v>
      </c>
      <c r="U299" s="663" t="s">
        <v>224</v>
      </c>
      <c r="V299" s="616" t="s">
        <v>3549</v>
      </c>
      <c r="W299" s="598" t="s">
        <v>950</v>
      </c>
      <c r="X299" s="624">
        <v>19980</v>
      </c>
      <c r="Y299" s="625">
        <f t="shared" ca="1" si="4"/>
        <v>71</v>
      </c>
      <c r="Z299" s="616" t="s">
        <v>3550</v>
      </c>
      <c r="AA299" s="598" t="s">
        <v>3551</v>
      </c>
      <c r="AB299" s="598" t="s">
        <v>996</v>
      </c>
      <c r="AC299" s="644" t="s">
        <v>997</v>
      </c>
      <c r="AD299" s="616" t="s">
        <v>973</v>
      </c>
      <c r="AE299" s="616" t="s">
        <v>973</v>
      </c>
      <c r="AF299" s="616" t="s">
        <v>3509</v>
      </c>
      <c r="AG299" s="598"/>
      <c r="AH299" s="598"/>
      <c r="AI299" s="598" t="s">
        <v>1025</v>
      </c>
      <c r="AJ299" s="598" t="s">
        <v>3510</v>
      </c>
      <c r="AK299" s="626">
        <v>-3</v>
      </c>
      <c r="AL299" s="626"/>
    </row>
    <row r="300" spans="1:38" ht="18" customHeight="1">
      <c r="A300" s="593"/>
      <c r="B300" s="598">
        <v>283</v>
      </c>
      <c r="C300" s="598" t="s">
        <v>3552</v>
      </c>
      <c r="D300" s="598">
        <f t="shared" si="3"/>
        <v>266</v>
      </c>
      <c r="E300" s="616" t="s">
        <v>1810</v>
      </c>
      <c r="F300" s="616" t="s">
        <v>973</v>
      </c>
      <c r="G300" s="618" t="s">
        <v>3505</v>
      </c>
      <c r="H300" s="618" t="s">
        <v>183</v>
      </c>
      <c r="I300" s="618" t="s">
        <v>3505</v>
      </c>
      <c r="J300" s="618" t="s">
        <v>3505</v>
      </c>
      <c r="K300" s="618" t="s">
        <v>3529</v>
      </c>
      <c r="L300" s="619"/>
      <c r="M300" s="620"/>
      <c r="N300" s="620"/>
      <c r="O300" s="663" t="s">
        <v>1115</v>
      </c>
      <c r="P300" s="621"/>
      <c r="Q300" s="598"/>
      <c r="R300" s="598"/>
      <c r="S300" s="598"/>
      <c r="T300" s="598" t="s">
        <v>1090</v>
      </c>
      <c r="U300" s="663" t="s">
        <v>243</v>
      </c>
      <c r="V300" s="616" t="s">
        <v>3553</v>
      </c>
      <c r="W300" s="598" t="s">
        <v>950</v>
      </c>
      <c r="X300" s="624">
        <v>19444</v>
      </c>
      <c r="Y300" s="625">
        <f t="shared" ca="1" si="4"/>
        <v>72</v>
      </c>
      <c r="Z300" s="616" t="s">
        <v>3554</v>
      </c>
      <c r="AA300" s="598"/>
      <c r="AB300" s="598" t="s">
        <v>996</v>
      </c>
      <c r="AC300" s="644" t="s">
        <v>997</v>
      </c>
      <c r="AD300" s="616" t="s">
        <v>973</v>
      </c>
      <c r="AE300" s="616" t="s">
        <v>973</v>
      </c>
      <c r="AF300" s="616" t="s">
        <v>3509</v>
      </c>
      <c r="AG300" s="598"/>
      <c r="AH300" s="598"/>
      <c r="AI300" s="598" t="s">
        <v>1107</v>
      </c>
      <c r="AJ300" s="598"/>
      <c r="AK300" s="626">
        <v>-3</v>
      </c>
      <c r="AL300" s="626"/>
    </row>
    <row r="301" spans="1:38" ht="18" customHeight="1">
      <c r="A301" s="593"/>
      <c r="B301" s="598">
        <v>284</v>
      </c>
      <c r="C301" s="598" t="s">
        <v>3795</v>
      </c>
      <c r="D301" s="598">
        <f t="shared" si="3"/>
        <v>267</v>
      </c>
      <c r="E301" s="616" t="s">
        <v>1810</v>
      </c>
      <c r="F301" s="616" t="s">
        <v>973</v>
      </c>
      <c r="G301" s="618" t="s">
        <v>3505</v>
      </c>
      <c r="H301" s="618" t="s">
        <v>183</v>
      </c>
      <c r="I301" s="618" t="s">
        <v>3505</v>
      </c>
      <c r="J301" s="618" t="s">
        <v>3505</v>
      </c>
      <c r="K301" s="618" t="s">
        <v>3529</v>
      </c>
      <c r="L301" s="619"/>
      <c r="M301" s="620"/>
      <c r="N301" s="620"/>
      <c r="O301" s="663" t="s">
        <v>1115</v>
      </c>
      <c r="P301" s="621"/>
      <c r="Q301" s="598"/>
      <c r="R301" s="598"/>
      <c r="S301" s="598"/>
      <c r="T301" s="598" t="s">
        <v>1090</v>
      </c>
      <c r="U301" s="663" t="s">
        <v>3797</v>
      </c>
      <c r="V301" s="616" t="s">
        <v>3798</v>
      </c>
      <c r="W301" s="598" t="s">
        <v>950</v>
      </c>
      <c r="X301" s="624">
        <v>19511</v>
      </c>
      <c r="Y301" s="625">
        <f t="shared" ca="1" si="4"/>
        <v>72</v>
      </c>
      <c r="Z301" s="616" t="s">
        <v>3799</v>
      </c>
      <c r="AA301" s="598"/>
      <c r="AB301" s="598" t="s">
        <v>996</v>
      </c>
      <c r="AC301" s="598" t="s">
        <v>1018</v>
      </c>
      <c r="AD301" s="616" t="s">
        <v>973</v>
      </c>
      <c r="AE301" s="616" t="s">
        <v>973</v>
      </c>
      <c r="AF301" s="616" t="s">
        <v>3509</v>
      </c>
      <c r="AG301" s="598" t="s">
        <v>1775</v>
      </c>
      <c r="AH301" s="598" t="s">
        <v>3800</v>
      </c>
      <c r="AI301" s="598" t="s">
        <v>1025</v>
      </c>
      <c r="AJ301" s="598"/>
      <c r="AK301" s="626">
        <v>-3</v>
      </c>
      <c r="AL301" s="626"/>
    </row>
    <row r="302" spans="1:38" ht="18" customHeight="1">
      <c r="A302" s="593"/>
      <c r="B302" s="598">
        <v>285</v>
      </c>
      <c r="C302" s="598" t="s">
        <v>3801</v>
      </c>
      <c r="D302" s="598">
        <f t="shared" si="3"/>
        <v>268</v>
      </c>
      <c r="E302" s="616" t="s">
        <v>1810</v>
      </c>
      <c r="F302" s="616" t="s">
        <v>973</v>
      </c>
      <c r="G302" s="618" t="s">
        <v>3505</v>
      </c>
      <c r="H302" s="618" t="s">
        <v>183</v>
      </c>
      <c r="I302" s="618" t="s">
        <v>3505</v>
      </c>
      <c r="J302" s="618" t="s">
        <v>3505</v>
      </c>
      <c r="K302" s="618" t="s">
        <v>3529</v>
      </c>
      <c r="L302" s="619"/>
      <c r="M302" s="620"/>
      <c r="N302" s="620"/>
      <c r="O302" s="663" t="s">
        <v>1115</v>
      </c>
      <c r="P302" s="621"/>
      <c r="Q302" s="598"/>
      <c r="R302" s="598"/>
      <c r="S302" s="598"/>
      <c r="T302" s="598" t="s">
        <v>1090</v>
      </c>
      <c r="U302" s="663" t="s">
        <v>3802</v>
      </c>
      <c r="V302" s="616" t="s">
        <v>3803</v>
      </c>
      <c r="W302" s="598" t="s">
        <v>950</v>
      </c>
      <c r="X302" s="624">
        <v>12079</v>
      </c>
      <c r="Y302" s="625">
        <f t="shared" ca="1" si="4"/>
        <v>93</v>
      </c>
      <c r="Z302" s="616" t="s">
        <v>3804</v>
      </c>
      <c r="AA302" s="652"/>
      <c r="AB302" s="598" t="s">
        <v>996</v>
      </c>
      <c r="AC302" s="598" t="s">
        <v>997</v>
      </c>
      <c r="AD302" s="616" t="s">
        <v>973</v>
      </c>
      <c r="AE302" s="616" t="s">
        <v>973</v>
      </c>
      <c r="AF302" s="616" t="s">
        <v>3509</v>
      </c>
      <c r="AG302" s="598" t="s">
        <v>1775</v>
      </c>
      <c r="AH302" s="598" t="s">
        <v>3805</v>
      </c>
      <c r="AI302" s="598" t="s">
        <v>1011</v>
      </c>
      <c r="AJ302" s="598" t="s">
        <v>3806</v>
      </c>
      <c r="AK302" s="626">
        <v>-3</v>
      </c>
      <c r="AL302" s="626"/>
    </row>
    <row r="303" spans="1:38" ht="18" customHeight="1">
      <c r="A303" s="593"/>
      <c r="B303" s="598">
        <v>286</v>
      </c>
      <c r="C303" s="598" t="s">
        <v>4657</v>
      </c>
      <c r="D303" s="598">
        <f t="shared" si="3"/>
        <v>269</v>
      </c>
      <c r="E303" s="616" t="s">
        <v>1810</v>
      </c>
      <c r="F303" s="616" t="s">
        <v>973</v>
      </c>
      <c r="G303" s="618" t="s">
        <v>3505</v>
      </c>
      <c r="H303" s="618" t="s">
        <v>183</v>
      </c>
      <c r="I303" s="618" t="s">
        <v>3505</v>
      </c>
      <c r="J303" s="618" t="s">
        <v>3505</v>
      </c>
      <c r="K303" s="618" t="s">
        <v>3529</v>
      </c>
      <c r="L303" s="619"/>
      <c r="M303" s="620"/>
      <c r="N303" s="620"/>
      <c r="O303" s="673" t="s">
        <v>1115</v>
      </c>
      <c r="P303" s="621"/>
      <c r="Q303" s="598"/>
      <c r="R303" s="598"/>
      <c r="S303" s="598"/>
      <c r="T303" s="598" t="s">
        <v>1015</v>
      </c>
      <c r="U303" s="673" t="s">
        <v>4658</v>
      </c>
      <c r="V303" s="616" t="s">
        <v>4659</v>
      </c>
      <c r="W303" s="598" t="s">
        <v>950</v>
      </c>
      <c r="X303" s="624">
        <v>23752</v>
      </c>
      <c r="Y303" s="625">
        <f t="shared" ca="1" si="4"/>
        <v>61</v>
      </c>
      <c r="Z303" s="616" t="s">
        <v>3804</v>
      </c>
      <c r="AA303" s="652"/>
      <c r="AB303" s="598" t="s">
        <v>996</v>
      </c>
      <c r="AC303" s="598" t="s">
        <v>1018</v>
      </c>
      <c r="AD303" s="616" t="s">
        <v>973</v>
      </c>
      <c r="AE303" s="616" t="s">
        <v>973</v>
      </c>
      <c r="AF303" s="616" t="s">
        <v>3509</v>
      </c>
      <c r="AG303" s="598"/>
      <c r="AH303" s="598" t="s">
        <v>4660</v>
      </c>
      <c r="AI303" s="598" t="s">
        <v>1011</v>
      </c>
      <c r="AJ303" s="598" t="s">
        <v>3806</v>
      </c>
      <c r="AK303" s="626">
        <v>-3</v>
      </c>
      <c r="AL303" s="626"/>
    </row>
    <row r="304" spans="1:38" ht="18" customHeight="1">
      <c r="A304" s="593"/>
      <c r="B304" s="598">
        <v>287</v>
      </c>
      <c r="C304" s="598" t="s">
        <v>4397</v>
      </c>
      <c r="D304" s="598">
        <f t="shared" si="3"/>
        <v>269</v>
      </c>
      <c r="E304" s="616"/>
      <c r="F304" s="616" t="s">
        <v>973</v>
      </c>
      <c r="G304" s="618" t="s">
        <v>3505</v>
      </c>
      <c r="H304" s="618" t="s">
        <v>183</v>
      </c>
      <c r="I304" s="618" t="s">
        <v>3505</v>
      </c>
      <c r="J304" s="618" t="s">
        <v>4397</v>
      </c>
      <c r="K304" s="618" t="s">
        <v>3702</v>
      </c>
      <c r="L304" s="619"/>
      <c r="M304" s="620"/>
      <c r="N304" s="620"/>
      <c r="O304" s="667" t="s">
        <v>1127</v>
      </c>
      <c r="P304" s="621"/>
      <c r="Q304" s="598" t="s">
        <v>55</v>
      </c>
      <c r="R304" s="598" t="s">
        <v>178</v>
      </c>
      <c r="S304" s="598"/>
      <c r="T304" s="623"/>
      <c r="U304" s="667" t="s">
        <v>184</v>
      </c>
      <c r="V304" s="674" t="s">
        <v>4398</v>
      </c>
      <c r="W304" s="598" t="s">
        <v>950</v>
      </c>
      <c r="X304" s="624">
        <v>36505</v>
      </c>
      <c r="Y304" s="625">
        <f t="shared" ca="1" si="4"/>
        <v>26</v>
      </c>
      <c r="Z304" s="616" t="s">
        <v>4399</v>
      </c>
      <c r="AA304" s="598"/>
      <c r="AB304" s="598" t="s">
        <v>996</v>
      </c>
      <c r="AC304" s="598" t="s">
        <v>953</v>
      </c>
      <c r="AD304" s="616" t="s">
        <v>246</v>
      </c>
      <c r="AE304" s="616" t="s">
        <v>954</v>
      </c>
      <c r="AF304" s="616" t="s">
        <v>968</v>
      </c>
      <c r="AG304" s="598" t="s">
        <v>955</v>
      </c>
      <c r="AH304" s="598"/>
      <c r="AI304" s="598"/>
      <c r="AJ304" s="598"/>
      <c r="AK304" s="626"/>
      <c r="AL304" s="626"/>
    </row>
    <row r="305" spans="1:38" ht="18" customHeight="1">
      <c r="A305" s="593"/>
      <c r="B305" s="598">
        <v>288</v>
      </c>
      <c r="C305" s="598" t="s">
        <v>3702</v>
      </c>
      <c r="D305" s="598">
        <f t="shared" si="3"/>
        <v>270</v>
      </c>
      <c r="E305" s="616" t="s">
        <v>1810</v>
      </c>
      <c r="F305" s="616" t="s">
        <v>973</v>
      </c>
      <c r="G305" s="618" t="s">
        <v>3505</v>
      </c>
      <c r="H305" s="618" t="s">
        <v>183</v>
      </c>
      <c r="I305" s="618" t="s">
        <v>3505</v>
      </c>
      <c r="J305" s="618" t="s">
        <v>4397</v>
      </c>
      <c r="K305" s="618" t="s">
        <v>3702</v>
      </c>
      <c r="L305" s="619"/>
      <c r="M305" s="620"/>
      <c r="N305" s="620"/>
      <c r="O305" s="663" t="s">
        <v>1127</v>
      </c>
      <c r="P305" s="621"/>
      <c r="Q305" s="598" t="s">
        <v>69</v>
      </c>
      <c r="R305" s="598" t="s">
        <v>562</v>
      </c>
      <c r="S305" s="598"/>
      <c r="T305" s="623" t="s">
        <v>1015</v>
      </c>
      <c r="U305" s="663" t="s">
        <v>205</v>
      </c>
      <c r="V305" s="674" t="s">
        <v>4661</v>
      </c>
      <c r="W305" s="598" t="s">
        <v>950</v>
      </c>
      <c r="X305" s="624">
        <v>34934</v>
      </c>
      <c r="Y305" s="625">
        <f t="shared" ca="1" si="4"/>
        <v>30</v>
      </c>
      <c r="Z305" s="616" t="s">
        <v>3706</v>
      </c>
      <c r="AA305" s="598" t="s">
        <v>3707</v>
      </c>
      <c r="AB305" s="598" t="s">
        <v>996</v>
      </c>
      <c r="AC305" s="644" t="s">
        <v>997</v>
      </c>
      <c r="AD305" s="616" t="s">
        <v>973</v>
      </c>
      <c r="AE305" s="616" t="s">
        <v>973</v>
      </c>
      <c r="AF305" s="616" t="s">
        <v>3686</v>
      </c>
      <c r="AG305" s="598"/>
      <c r="AH305" s="598"/>
      <c r="AI305" s="598" t="s">
        <v>1452</v>
      </c>
      <c r="AJ305" s="598" t="s">
        <v>3510</v>
      </c>
      <c r="AK305" s="626">
        <v>-3</v>
      </c>
      <c r="AL305" s="626"/>
    </row>
    <row r="306" spans="1:38" ht="18" customHeight="1">
      <c r="A306" s="593"/>
      <c r="B306" s="598">
        <v>289</v>
      </c>
      <c r="C306" s="598" t="s">
        <v>3682</v>
      </c>
      <c r="D306" s="598">
        <f t="shared" si="3"/>
        <v>271</v>
      </c>
      <c r="E306" s="616" t="s">
        <v>1810</v>
      </c>
      <c r="F306" s="616" t="s">
        <v>973</v>
      </c>
      <c r="G306" s="618" t="s">
        <v>3505</v>
      </c>
      <c r="H306" s="618" t="s">
        <v>183</v>
      </c>
      <c r="I306" s="618" t="s">
        <v>3505</v>
      </c>
      <c r="J306" s="618" t="s">
        <v>4397</v>
      </c>
      <c r="K306" s="618" t="s">
        <v>3702</v>
      </c>
      <c r="L306" s="619"/>
      <c r="M306" s="620"/>
      <c r="N306" s="620"/>
      <c r="O306" s="663" t="s">
        <v>1127</v>
      </c>
      <c r="P306" s="621"/>
      <c r="Q306" s="598"/>
      <c r="R306" s="598"/>
      <c r="S306" s="598"/>
      <c r="T306" s="623" t="s">
        <v>992</v>
      </c>
      <c r="U306" s="663" t="s">
        <v>225</v>
      </c>
      <c r="V306" s="674" t="s">
        <v>3683</v>
      </c>
      <c r="W306" s="598" t="s">
        <v>950</v>
      </c>
      <c r="X306" s="624">
        <v>34898</v>
      </c>
      <c r="Y306" s="625">
        <f t="shared" ca="1" si="4"/>
        <v>30</v>
      </c>
      <c r="Z306" s="616" t="s">
        <v>3684</v>
      </c>
      <c r="AA306" s="598" t="s">
        <v>3685</v>
      </c>
      <c r="AB306" s="598" t="s">
        <v>996</v>
      </c>
      <c r="AC306" s="598" t="s">
        <v>1018</v>
      </c>
      <c r="AD306" s="616" t="s">
        <v>973</v>
      </c>
      <c r="AE306" s="616" t="s">
        <v>973</v>
      </c>
      <c r="AF306" s="616" t="s">
        <v>3686</v>
      </c>
      <c r="AG306" s="598"/>
      <c r="AH306" s="598"/>
      <c r="AI306" s="598" t="s">
        <v>1452</v>
      </c>
      <c r="AJ306" s="598" t="s">
        <v>3510</v>
      </c>
      <c r="AK306" s="626">
        <v>-3</v>
      </c>
      <c r="AL306" s="626"/>
    </row>
    <row r="307" spans="1:38" ht="18" customHeight="1">
      <c r="A307" s="593"/>
      <c r="B307" s="598">
        <v>290</v>
      </c>
      <c r="C307" s="598" t="s">
        <v>3687</v>
      </c>
      <c r="D307" s="598">
        <f t="shared" si="3"/>
        <v>272</v>
      </c>
      <c r="E307" s="616" t="s">
        <v>1810</v>
      </c>
      <c r="F307" s="616" t="s">
        <v>973</v>
      </c>
      <c r="G307" s="618" t="s">
        <v>3505</v>
      </c>
      <c r="H307" s="618" t="s">
        <v>183</v>
      </c>
      <c r="I307" s="618" t="s">
        <v>3505</v>
      </c>
      <c r="J307" s="618" t="s">
        <v>4397</v>
      </c>
      <c r="K307" s="618" t="s">
        <v>3702</v>
      </c>
      <c r="L307" s="619"/>
      <c r="M307" s="620"/>
      <c r="N307" s="620"/>
      <c r="O307" s="663" t="s">
        <v>1127</v>
      </c>
      <c r="P307" s="621"/>
      <c r="Q307" s="598"/>
      <c r="R307" s="598"/>
      <c r="S307" s="598"/>
      <c r="T307" s="623" t="s">
        <v>992</v>
      </c>
      <c r="U307" s="663" t="s">
        <v>244</v>
      </c>
      <c r="V307" s="674" t="s">
        <v>3688</v>
      </c>
      <c r="W307" s="598" t="s">
        <v>950</v>
      </c>
      <c r="X307" s="624">
        <v>38176</v>
      </c>
      <c r="Y307" s="625">
        <f t="shared" ca="1" si="4"/>
        <v>21</v>
      </c>
      <c r="Z307" s="616" t="s">
        <v>3689</v>
      </c>
      <c r="AA307" s="598" t="s">
        <v>3690</v>
      </c>
      <c r="AB307" s="598" t="s">
        <v>996</v>
      </c>
      <c r="AC307" s="644" t="s">
        <v>997</v>
      </c>
      <c r="AD307" s="616" t="s">
        <v>973</v>
      </c>
      <c r="AE307" s="616" t="s">
        <v>973</v>
      </c>
      <c r="AF307" s="616" t="s">
        <v>3691</v>
      </c>
      <c r="AG307" s="598"/>
      <c r="AH307" s="598"/>
      <c r="AI307" s="598" t="s">
        <v>1452</v>
      </c>
      <c r="AJ307" s="598" t="s">
        <v>3510</v>
      </c>
      <c r="AK307" s="626">
        <v>-3</v>
      </c>
      <c r="AL307" s="626"/>
    </row>
    <row r="308" spans="1:38" ht="18" customHeight="1">
      <c r="A308" s="593"/>
      <c r="B308" s="598">
        <v>291</v>
      </c>
      <c r="C308" s="598" t="s">
        <v>4149</v>
      </c>
      <c r="D308" s="598">
        <f t="shared" si="3"/>
        <v>273</v>
      </c>
      <c r="E308" s="616" t="s">
        <v>3808</v>
      </c>
      <c r="F308" s="616" t="s">
        <v>973</v>
      </c>
      <c r="G308" s="618" t="s">
        <v>3505</v>
      </c>
      <c r="H308" s="618" t="s">
        <v>183</v>
      </c>
      <c r="I308" s="618" t="s">
        <v>3505</v>
      </c>
      <c r="J308" s="618" t="s">
        <v>4397</v>
      </c>
      <c r="K308" s="618" t="s">
        <v>3702</v>
      </c>
      <c r="L308" s="619"/>
      <c r="M308" s="620"/>
      <c r="N308" s="620"/>
      <c r="O308" s="663" t="s">
        <v>1127</v>
      </c>
      <c r="P308" s="621" t="s">
        <v>319</v>
      </c>
      <c r="Q308" s="598"/>
      <c r="R308" s="598"/>
      <c r="S308" s="598"/>
      <c r="T308" s="623" t="s">
        <v>992</v>
      </c>
      <c r="U308" s="663" t="s">
        <v>280</v>
      </c>
      <c r="V308" s="674" t="s">
        <v>4150</v>
      </c>
      <c r="W308" s="598" t="s">
        <v>950</v>
      </c>
      <c r="X308" s="624">
        <v>38937</v>
      </c>
      <c r="Y308" s="625">
        <f t="shared" ca="1" si="4"/>
        <v>19</v>
      </c>
      <c r="Z308" s="616" t="s">
        <v>4151</v>
      </c>
      <c r="AA308" s="598" t="s">
        <v>4152</v>
      </c>
      <c r="AB308" s="598" t="s">
        <v>996</v>
      </c>
      <c r="AC308" s="644" t="s">
        <v>997</v>
      </c>
      <c r="AD308" s="616" t="s">
        <v>246</v>
      </c>
      <c r="AE308" s="616" t="s">
        <v>246</v>
      </c>
      <c r="AF308" s="616" t="s">
        <v>3815</v>
      </c>
      <c r="AG308" s="598"/>
      <c r="AH308" s="598"/>
      <c r="AI308" s="700" t="s">
        <v>1446</v>
      </c>
      <c r="AJ308" s="598"/>
      <c r="AK308" s="626">
        <v>-3</v>
      </c>
      <c r="AL308" s="626"/>
    </row>
    <row r="309" spans="1:38" ht="18" customHeight="1">
      <c r="A309" s="593"/>
      <c r="B309" s="598">
        <v>292</v>
      </c>
      <c r="C309" s="598" t="s">
        <v>4662</v>
      </c>
      <c r="D309" s="598">
        <f t="shared" si="3"/>
        <v>274</v>
      </c>
      <c r="E309" s="616" t="s">
        <v>1810</v>
      </c>
      <c r="F309" s="616" t="s">
        <v>973</v>
      </c>
      <c r="G309" s="618" t="s">
        <v>3505</v>
      </c>
      <c r="H309" s="618" t="s">
        <v>183</v>
      </c>
      <c r="I309" s="618" t="s">
        <v>3505</v>
      </c>
      <c r="J309" s="618" t="s">
        <v>4397</v>
      </c>
      <c r="K309" s="618" t="s">
        <v>3702</v>
      </c>
      <c r="L309" s="619"/>
      <c r="M309" s="620"/>
      <c r="N309" s="620"/>
      <c r="O309" s="663" t="s">
        <v>1127</v>
      </c>
      <c r="P309" s="621"/>
      <c r="Q309" s="598"/>
      <c r="R309" s="598"/>
      <c r="S309" s="598"/>
      <c r="T309" s="623" t="s">
        <v>1015</v>
      </c>
      <c r="U309" s="664" t="s">
        <v>4663</v>
      </c>
      <c r="V309" s="674" t="s">
        <v>4664</v>
      </c>
      <c r="W309" s="598" t="s">
        <v>950</v>
      </c>
      <c r="X309" s="624">
        <v>33443</v>
      </c>
      <c r="Y309" s="625">
        <f t="shared" ca="1" si="4"/>
        <v>34</v>
      </c>
      <c r="Z309" s="616" t="s">
        <v>4665</v>
      </c>
      <c r="AA309" s="652"/>
      <c r="AB309" s="598" t="s">
        <v>996</v>
      </c>
      <c r="AC309" s="598" t="s">
        <v>1018</v>
      </c>
      <c r="AD309" s="616" t="s">
        <v>973</v>
      </c>
      <c r="AE309" s="616" t="s">
        <v>973</v>
      </c>
      <c r="AF309" s="616" t="s">
        <v>4666</v>
      </c>
      <c r="AG309" s="598"/>
      <c r="AH309" s="598" t="s">
        <v>4667</v>
      </c>
      <c r="AI309" s="598" t="s">
        <v>1452</v>
      </c>
      <c r="AJ309" s="598" t="s">
        <v>4607</v>
      </c>
      <c r="AK309" s="626">
        <v>-3</v>
      </c>
      <c r="AL309" s="626"/>
    </row>
    <row r="310" spans="1:38" ht="18" customHeight="1">
      <c r="A310" s="593"/>
      <c r="B310" s="598">
        <v>293</v>
      </c>
      <c r="C310" s="598" t="s">
        <v>3755</v>
      </c>
      <c r="D310" s="598">
        <f t="shared" si="3"/>
        <v>275</v>
      </c>
      <c r="E310" s="616" t="s">
        <v>1810</v>
      </c>
      <c r="F310" s="616" t="s">
        <v>973</v>
      </c>
      <c r="G310" s="618" t="s">
        <v>3505</v>
      </c>
      <c r="H310" s="618" t="s">
        <v>183</v>
      </c>
      <c r="I310" s="618" t="s">
        <v>3505</v>
      </c>
      <c r="J310" s="618" t="s">
        <v>4397</v>
      </c>
      <c r="K310" s="618" t="s">
        <v>3702</v>
      </c>
      <c r="L310" s="619"/>
      <c r="M310" s="620"/>
      <c r="N310" s="620"/>
      <c r="O310" s="663" t="s">
        <v>1127</v>
      </c>
      <c r="P310" s="621" t="s">
        <v>319</v>
      </c>
      <c r="Q310" s="598"/>
      <c r="R310" s="598"/>
      <c r="S310" s="598"/>
      <c r="T310" s="623" t="s">
        <v>992</v>
      </c>
      <c r="U310" s="718" t="s">
        <v>781</v>
      </c>
      <c r="V310" s="708" t="s">
        <v>3756</v>
      </c>
      <c r="W310" s="598" t="s">
        <v>950</v>
      </c>
      <c r="X310" s="682">
        <v>38591</v>
      </c>
      <c r="Y310" s="625">
        <f t="shared" ca="1" si="4"/>
        <v>20</v>
      </c>
      <c r="Z310" s="616" t="s">
        <v>3757</v>
      </c>
      <c r="AA310" s="598"/>
      <c r="AB310" s="598" t="s">
        <v>996</v>
      </c>
      <c r="AC310" s="598" t="s">
        <v>1018</v>
      </c>
      <c r="AD310" s="616" t="s">
        <v>1078</v>
      </c>
      <c r="AE310" s="616" t="s">
        <v>1078</v>
      </c>
      <c r="AF310" s="616" t="s">
        <v>3578</v>
      </c>
      <c r="AG310" s="598"/>
      <c r="AH310" s="598"/>
      <c r="AI310" s="650" t="s">
        <v>1575</v>
      </c>
      <c r="AJ310" s="626"/>
      <c r="AK310" s="626"/>
      <c r="AL310" s="626"/>
    </row>
    <row r="311" spans="1:38" ht="18" customHeight="1">
      <c r="A311" s="593"/>
      <c r="B311" s="598">
        <v>294</v>
      </c>
      <c r="C311" s="598" t="s">
        <v>3708</v>
      </c>
      <c r="D311" s="598">
        <f t="shared" si="3"/>
        <v>275</v>
      </c>
      <c r="E311" s="616"/>
      <c r="F311" s="616" t="s">
        <v>3713</v>
      </c>
      <c r="G311" s="618" t="s">
        <v>3505</v>
      </c>
      <c r="H311" s="618"/>
      <c r="I311" s="618" t="s">
        <v>1195</v>
      </c>
      <c r="J311" s="618"/>
      <c r="K311" s="618"/>
      <c r="L311" s="619"/>
      <c r="M311" s="620"/>
      <c r="N311" s="620"/>
      <c r="O311" s="667" t="s">
        <v>1044</v>
      </c>
      <c r="P311" s="621"/>
      <c r="Q311" s="598" t="s">
        <v>173</v>
      </c>
      <c r="R311" s="598" t="s">
        <v>514</v>
      </c>
      <c r="S311" s="598" t="s">
        <v>55</v>
      </c>
      <c r="T311" s="598"/>
      <c r="U311" s="667" t="s">
        <v>203</v>
      </c>
      <c r="V311" s="616" t="s">
        <v>3709</v>
      </c>
      <c r="W311" s="598" t="s">
        <v>950</v>
      </c>
      <c r="X311" s="624">
        <v>20911</v>
      </c>
      <c r="Y311" s="625">
        <f t="shared" ca="1" si="4"/>
        <v>68</v>
      </c>
      <c r="Z311" s="616" t="s">
        <v>3710</v>
      </c>
      <c r="AA311" s="598"/>
      <c r="AB311" s="598" t="s">
        <v>966</v>
      </c>
      <c r="AC311" s="598" t="s">
        <v>953</v>
      </c>
      <c r="AD311" s="616" t="s">
        <v>973</v>
      </c>
      <c r="AE311" s="616" t="s">
        <v>973</v>
      </c>
      <c r="AF311" s="616" t="s">
        <v>3509</v>
      </c>
      <c r="AG311" s="598" t="s">
        <v>955</v>
      </c>
      <c r="AH311" s="598"/>
      <c r="AI311" s="598"/>
      <c r="AJ311" s="598"/>
      <c r="AK311" s="626"/>
      <c r="AL311" s="626"/>
    </row>
    <row r="312" spans="1:38" ht="18" customHeight="1">
      <c r="A312" s="593"/>
      <c r="B312" s="598">
        <v>295</v>
      </c>
      <c r="C312" s="598" t="s">
        <v>3560</v>
      </c>
      <c r="D312" s="598">
        <f t="shared" si="3"/>
        <v>276</v>
      </c>
      <c r="E312" s="616" t="s">
        <v>1810</v>
      </c>
      <c r="F312" s="616" t="s">
        <v>3713</v>
      </c>
      <c r="G312" s="618" t="s">
        <v>3505</v>
      </c>
      <c r="H312" s="618" t="s">
        <v>203</v>
      </c>
      <c r="I312" s="618" t="s">
        <v>3708</v>
      </c>
      <c r="J312" s="618" t="s">
        <v>3708</v>
      </c>
      <c r="K312" s="618" t="s">
        <v>3560</v>
      </c>
      <c r="L312" s="619" t="s">
        <v>3712</v>
      </c>
      <c r="M312" s="620"/>
      <c r="N312" s="620"/>
      <c r="O312" s="663" t="s">
        <v>1044</v>
      </c>
      <c r="P312" s="621" t="s">
        <v>319</v>
      </c>
      <c r="Q312" s="598" t="s">
        <v>69</v>
      </c>
      <c r="R312" s="598" t="s">
        <v>562</v>
      </c>
      <c r="S312" s="598"/>
      <c r="T312" s="598" t="s">
        <v>1015</v>
      </c>
      <c r="U312" s="663" t="s">
        <v>350</v>
      </c>
      <c r="V312" s="616" t="s">
        <v>3565</v>
      </c>
      <c r="W312" s="598" t="s">
        <v>950</v>
      </c>
      <c r="X312" s="624">
        <v>22722</v>
      </c>
      <c r="Y312" s="625">
        <f t="shared" ca="1" si="4"/>
        <v>63</v>
      </c>
      <c r="Z312" s="616" t="s">
        <v>3566</v>
      </c>
      <c r="AA312" s="598" t="s">
        <v>3567</v>
      </c>
      <c r="AB312" s="598" t="s">
        <v>996</v>
      </c>
      <c r="AC312" s="644" t="s">
        <v>997</v>
      </c>
      <c r="AD312" s="616" t="s">
        <v>1078</v>
      </c>
      <c r="AE312" s="616" t="s">
        <v>1078</v>
      </c>
      <c r="AF312" s="616" t="s">
        <v>3568</v>
      </c>
      <c r="AG312" s="598"/>
      <c r="AH312" s="598"/>
      <c r="AI312" s="598" t="s">
        <v>1318</v>
      </c>
      <c r="AJ312" s="598"/>
      <c r="AK312" s="626"/>
      <c r="AL312" s="626"/>
    </row>
    <row r="313" spans="1:38" ht="18" customHeight="1">
      <c r="A313" s="593"/>
      <c r="B313" s="598">
        <v>296</v>
      </c>
      <c r="C313" s="598" t="s">
        <v>3712</v>
      </c>
      <c r="D313" s="598">
        <f t="shared" si="3"/>
        <v>277</v>
      </c>
      <c r="E313" s="616" t="s">
        <v>1810</v>
      </c>
      <c r="F313" s="616" t="s">
        <v>3713</v>
      </c>
      <c r="G313" s="618" t="s">
        <v>3505</v>
      </c>
      <c r="H313" s="618" t="s">
        <v>203</v>
      </c>
      <c r="I313" s="618" t="s">
        <v>3708</v>
      </c>
      <c r="J313" s="618" t="s">
        <v>3708</v>
      </c>
      <c r="K313" s="618" t="s">
        <v>3560</v>
      </c>
      <c r="L313" s="619" t="s">
        <v>3712</v>
      </c>
      <c r="M313" s="620"/>
      <c r="N313" s="620"/>
      <c r="O313" s="663" t="s">
        <v>1044</v>
      </c>
      <c r="P313" s="621" t="s">
        <v>319</v>
      </c>
      <c r="Q313" s="598" t="s">
        <v>69</v>
      </c>
      <c r="R313" s="598" t="s">
        <v>562</v>
      </c>
      <c r="S313" s="598"/>
      <c r="T313" s="598" t="s">
        <v>1015</v>
      </c>
      <c r="U313" s="663" t="s">
        <v>3716</v>
      </c>
      <c r="V313" s="616" t="s">
        <v>3717</v>
      </c>
      <c r="W313" s="598" t="s">
        <v>950</v>
      </c>
      <c r="X313" s="624">
        <v>21722</v>
      </c>
      <c r="Y313" s="625">
        <f t="shared" ca="1" si="4"/>
        <v>66</v>
      </c>
      <c r="Z313" s="616" t="s">
        <v>3718</v>
      </c>
      <c r="AA313" s="598" t="s">
        <v>3719</v>
      </c>
      <c r="AB313" s="598" t="s">
        <v>996</v>
      </c>
      <c r="AC313" s="644" t="s">
        <v>997</v>
      </c>
      <c r="AD313" s="616" t="s">
        <v>1078</v>
      </c>
      <c r="AE313" s="616" t="s">
        <v>1078</v>
      </c>
      <c r="AF313" s="616" t="s">
        <v>3593</v>
      </c>
      <c r="AG313" s="598"/>
      <c r="AH313" s="598"/>
      <c r="AI313" s="598" t="s">
        <v>1107</v>
      </c>
      <c r="AJ313" s="598"/>
      <c r="AK313" s="626">
        <v>-3</v>
      </c>
      <c r="AL313" s="626"/>
    </row>
    <row r="314" spans="1:38" ht="18" customHeight="1">
      <c r="A314" s="593"/>
      <c r="B314" s="598">
        <v>297</v>
      </c>
      <c r="C314" s="598" t="s">
        <v>3588</v>
      </c>
      <c r="D314" s="598">
        <f t="shared" si="3"/>
        <v>278</v>
      </c>
      <c r="E314" s="616" t="s">
        <v>1810</v>
      </c>
      <c r="F314" s="616" t="s">
        <v>3713</v>
      </c>
      <c r="G314" s="618" t="s">
        <v>3505</v>
      </c>
      <c r="H314" s="618" t="s">
        <v>203</v>
      </c>
      <c r="I314" s="618" t="s">
        <v>3708</v>
      </c>
      <c r="J314" s="618" t="s">
        <v>3708</v>
      </c>
      <c r="K314" s="618" t="s">
        <v>3560</v>
      </c>
      <c r="L314" s="619" t="s">
        <v>3712</v>
      </c>
      <c r="M314" s="620"/>
      <c r="N314" s="620"/>
      <c r="O314" s="663" t="s">
        <v>1044</v>
      </c>
      <c r="P314" s="621" t="s">
        <v>319</v>
      </c>
      <c r="Q314" s="598"/>
      <c r="R314" s="598"/>
      <c r="S314" s="598"/>
      <c r="T314" s="598" t="s">
        <v>1015</v>
      </c>
      <c r="U314" s="663" t="s">
        <v>3589</v>
      </c>
      <c r="V314" s="616" t="s">
        <v>3590</v>
      </c>
      <c r="W314" s="598" t="s">
        <v>950</v>
      </c>
      <c r="X314" s="624">
        <v>22447</v>
      </c>
      <c r="Y314" s="625">
        <f t="shared" ca="1" si="4"/>
        <v>64</v>
      </c>
      <c r="Z314" s="616" t="s">
        <v>3591</v>
      </c>
      <c r="AA314" s="598" t="s">
        <v>3592</v>
      </c>
      <c r="AB314" s="598" t="s">
        <v>996</v>
      </c>
      <c r="AC314" s="598" t="s">
        <v>1018</v>
      </c>
      <c r="AD314" s="616" t="s">
        <v>1078</v>
      </c>
      <c r="AE314" s="616" t="s">
        <v>1078</v>
      </c>
      <c r="AF314" s="616" t="s">
        <v>3593</v>
      </c>
      <c r="AG314" s="598"/>
      <c r="AH314" s="598"/>
      <c r="AI314" s="598" t="s">
        <v>1107</v>
      </c>
      <c r="AJ314" s="598"/>
      <c r="AK314" s="626">
        <v>-3</v>
      </c>
      <c r="AL314" s="626"/>
    </row>
    <row r="315" spans="1:38" ht="18" customHeight="1">
      <c r="A315" s="593"/>
      <c r="B315" s="598">
        <v>298</v>
      </c>
      <c r="C315" s="598" t="s">
        <v>3584</v>
      </c>
      <c r="D315" s="598">
        <f t="shared" si="3"/>
        <v>279</v>
      </c>
      <c r="E315" s="616" t="s">
        <v>1810</v>
      </c>
      <c r="F315" s="616" t="s">
        <v>3713</v>
      </c>
      <c r="G315" s="618" t="s">
        <v>3505</v>
      </c>
      <c r="H315" s="618" t="s">
        <v>203</v>
      </c>
      <c r="I315" s="618" t="s">
        <v>3708</v>
      </c>
      <c r="J315" s="618" t="s">
        <v>3708</v>
      </c>
      <c r="K315" s="618" t="s">
        <v>3560</v>
      </c>
      <c r="L315" s="619" t="s">
        <v>3712</v>
      </c>
      <c r="M315" s="620"/>
      <c r="N315" s="620"/>
      <c r="O315" s="663" t="s">
        <v>1044</v>
      </c>
      <c r="P315" s="621" t="s">
        <v>319</v>
      </c>
      <c r="Q315" s="598"/>
      <c r="R315" s="598"/>
      <c r="S315" s="598"/>
      <c r="T315" s="598" t="s">
        <v>1015</v>
      </c>
      <c r="U315" s="663" t="s">
        <v>391</v>
      </c>
      <c r="V315" s="616" t="s">
        <v>3585</v>
      </c>
      <c r="W315" s="598" t="s">
        <v>950</v>
      </c>
      <c r="X315" s="624">
        <v>28584</v>
      </c>
      <c r="Y315" s="625">
        <f t="shared" ca="1" si="4"/>
        <v>47</v>
      </c>
      <c r="Z315" s="616" t="s">
        <v>3586</v>
      </c>
      <c r="AA315" s="598" t="s">
        <v>3587</v>
      </c>
      <c r="AB315" s="598" t="s">
        <v>996</v>
      </c>
      <c r="AC315" s="644" t="s">
        <v>997</v>
      </c>
      <c r="AD315" s="616" t="s">
        <v>1078</v>
      </c>
      <c r="AE315" s="616" t="s">
        <v>1078</v>
      </c>
      <c r="AF315" s="616" t="s">
        <v>3578</v>
      </c>
      <c r="AG315" s="598"/>
      <c r="AH315" s="598"/>
      <c r="AI315" s="598" t="s">
        <v>1107</v>
      </c>
      <c r="AJ315" s="598"/>
      <c r="AK315" s="626">
        <v>-3</v>
      </c>
      <c r="AL315" s="626"/>
    </row>
    <row r="316" spans="1:38" ht="18" customHeight="1">
      <c r="A316" s="593"/>
      <c r="B316" s="598">
        <v>299</v>
      </c>
      <c r="C316" s="598" t="s">
        <v>3594</v>
      </c>
      <c r="D316" s="598">
        <f t="shared" si="3"/>
        <v>280</v>
      </c>
      <c r="E316" s="616" t="s">
        <v>1810</v>
      </c>
      <c r="F316" s="616" t="s">
        <v>3713</v>
      </c>
      <c r="G316" s="618" t="s">
        <v>3505</v>
      </c>
      <c r="H316" s="618" t="s">
        <v>203</v>
      </c>
      <c r="I316" s="618" t="s">
        <v>3708</v>
      </c>
      <c r="J316" s="618" t="s">
        <v>3708</v>
      </c>
      <c r="K316" s="618" t="s">
        <v>3560</v>
      </c>
      <c r="L316" s="619" t="s">
        <v>3712</v>
      </c>
      <c r="M316" s="620"/>
      <c r="N316" s="620"/>
      <c r="O316" s="663" t="s">
        <v>1044</v>
      </c>
      <c r="P316" s="621" t="s">
        <v>319</v>
      </c>
      <c r="Q316" s="598"/>
      <c r="R316" s="598"/>
      <c r="S316" s="598"/>
      <c r="T316" s="598" t="s">
        <v>1015</v>
      </c>
      <c r="U316" s="663" t="s">
        <v>416</v>
      </c>
      <c r="V316" s="616" t="s">
        <v>3595</v>
      </c>
      <c r="W316" s="598" t="s">
        <v>950</v>
      </c>
      <c r="X316" s="624">
        <v>26312</v>
      </c>
      <c r="Y316" s="625">
        <f t="shared" ca="1" si="4"/>
        <v>54</v>
      </c>
      <c r="Z316" s="616" t="s">
        <v>3596</v>
      </c>
      <c r="AA316" s="598" t="s">
        <v>3597</v>
      </c>
      <c r="AB316" s="598" t="s">
        <v>996</v>
      </c>
      <c r="AC316" s="644" t="s">
        <v>997</v>
      </c>
      <c r="AD316" s="616" t="s">
        <v>1078</v>
      </c>
      <c r="AE316" s="616" t="s">
        <v>1078</v>
      </c>
      <c r="AF316" s="616" t="s">
        <v>3578</v>
      </c>
      <c r="AG316" s="598"/>
      <c r="AH316" s="598"/>
      <c r="AI316" s="598" t="s">
        <v>1318</v>
      </c>
      <c r="AJ316" s="598"/>
      <c r="AK316" s="626"/>
      <c r="AL316" s="626"/>
    </row>
    <row r="317" spans="1:38" ht="18" customHeight="1">
      <c r="A317" s="593"/>
      <c r="B317" s="598">
        <v>300</v>
      </c>
      <c r="C317" s="598" t="s">
        <v>4668</v>
      </c>
      <c r="D317" s="598">
        <f t="shared" si="3"/>
        <v>281</v>
      </c>
      <c r="E317" s="616" t="s">
        <v>1233</v>
      </c>
      <c r="F317" s="616" t="s">
        <v>3713</v>
      </c>
      <c r="G317" s="618" t="s">
        <v>3505</v>
      </c>
      <c r="H317" s="618" t="s">
        <v>203</v>
      </c>
      <c r="I317" s="618" t="s">
        <v>3708</v>
      </c>
      <c r="J317" s="618" t="s">
        <v>3708</v>
      </c>
      <c r="K317" s="618" t="s">
        <v>3560</v>
      </c>
      <c r="L317" s="619" t="s">
        <v>3712</v>
      </c>
      <c r="M317" s="620"/>
      <c r="N317" s="620"/>
      <c r="O317" s="663" t="s">
        <v>1044</v>
      </c>
      <c r="P317" s="621" t="s">
        <v>319</v>
      </c>
      <c r="Q317" s="598"/>
      <c r="R317" s="598"/>
      <c r="S317" s="598"/>
      <c r="T317" s="598" t="s">
        <v>1015</v>
      </c>
      <c r="U317" s="664" t="s">
        <v>405</v>
      </c>
      <c r="V317" s="616" t="s">
        <v>4669</v>
      </c>
      <c r="W317" s="598" t="s">
        <v>950</v>
      </c>
      <c r="X317" s="624">
        <v>21826</v>
      </c>
      <c r="Y317" s="625">
        <f t="shared" ca="1" si="4"/>
        <v>66</v>
      </c>
      <c r="Z317" s="616" t="s">
        <v>4670</v>
      </c>
      <c r="AA317" s="652"/>
      <c r="AB317" s="598" t="s">
        <v>996</v>
      </c>
      <c r="AC317" s="598" t="s">
        <v>1018</v>
      </c>
      <c r="AD317" s="616" t="s">
        <v>1375</v>
      </c>
      <c r="AE317" s="616" t="s">
        <v>1375</v>
      </c>
      <c r="AF317" s="616" t="s">
        <v>4671</v>
      </c>
      <c r="AG317" s="598"/>
      <c r="AH317" s="598" t="s">
        <v>1019</v>
      </c>
      <c r="AI317" s="598" t="s">
        <v>1318</v>
      </c>
      <c r="AJ317" s="598"/>
      <c r="AK317" s="626"/>
      <c r="AL317" s="626"/>
    </row>
    <row r="318" spans="1:38" ht="18" customHeight="1">
      <c r="A318" s="593"/>
      <c r="B318" s="598">
        <v>301</v>
      </c>
      <c r="C318" s="598" t="s">
        <v>3720</v>
      </c>
      <c r="D318" s="598">
        <f t="shared" si="3"/>
        <v>282</v>
      </c>
      <c r="E318" s="616" t="s">
        <v>1810</v>
      </c>
      <c r="F318" s="616" t="s">
        <v>3713</v>
      </c>
      <c r="G318" s="618" t="s">
        <v>3505</v>
      </c>
      <c r="H318" s="618" t="s">
        <v>203</v>
      </c>
      <c r="I318" s="618" t="s">
        <v>3708</v>
      </c>
      <c r="J318" s="618" t="s">
        <v>3708</v>
      </c>
      <c r="K318" s="618" t="s">
        <v>3560</v>
      </c>
      <c r="L318" s="619" t="s">
        <v>3712</v>
      </c>
      <c r="M318" s="620"/>
      <c r="N318" s="620"/>
      <c r="O318" s="663" t="s">
        <v>1044</v>
      </c>
      <c r="P318" s="621" t="s">
        <v>319</v>
      </c>
      <c r="Q318" s="598"/>
      <c r="R318" s="598"/>
      <c r="S318" s="598"/>
      <c r="T318" s="598" t="s">
        <v>1015</v>
      </c>
      <c r="U318" s="720" t="s">
        <v>819</v>
      </c>
      <c r="V318" s="708" t="s">
        <v>3721</v>
      </c>
      <c r="W318" s="598" t="s">
        <v>950</v>
      </c>
      <c r="X318" s="624">
        <v>24520</v>
      </c>
      <c r="Y318" s="625">
        <f t="shared" ca="1" si="4"/>
        <v>58</v>
      </c>
      <c r="Z318" s="616" t="s">
        <v>3722</v>
      </c>
      <c r="AA318" s="598"/>
      <c r="AB318" s="598" t="s">
        <v>996</v>
      </c>
      <c r="AC318" s="598" t="s">
        <v>1018</v>
      </c>
      <c r="AD318" s="616" t="s">
        <v>1078</v>
      </c>
      <c r="AE318" s="616" t="s">
        <v>1078</v>
      </c>
      <c r="AF318" s="616" t="s">
        <v>3578</v>
      </c>
      <c r="AG318" s="598"/>
      <c r="AH318" s="598"/>
      <c r="AI318" s="650" t="s">
        <v>1575</v>
      </c>
      <c r="AJ318" s="598"/>
      <c r="AK318" s="626"/>
      <c r="AL318" s="626"/>
    </row>
    <row r="319" spans="1:38" ht="18" customHeight="1">
      <c r="A319" s="593"/>
      <c r="B319" s="598">
        <v>302</v>
      </c>
      <c r="C319" s="598" t="s">
        <v>4169</v>
      </c>
      <c r="D319" s="598">
        <f t="shared" si="3"/>
        <v>282</v>
      </c>
      <c r="E319" s="616"/>
      <c r="F319" s="616" t="s">
        <v>3713</v>
      </c>
      <c r="G319" s="618" t="s">
        <v>3505</v>
      </c>
      <c r="H319" s="618" t="s">
        <v>203</v>
      </c>
      <c r="I319" s="618" t="s">
        <v>3708</v>
      </c>
      <c r="J319" s="618" t="s">
        <v>4169</v>
      </c>
      <c r="K319" s="618"/>
      <c r="L319" s="619"/>
      <c r="M319" s="620"/>
      <c r="N319" s="620"/>
      <c r="O319" s="667" t="s">
        <v>1074</v>
      </c>
      <c r="P319" s="621"/>
      <c r="Q319" s="598" t="s">
        <v>55</v>
      </c>
      <c r="R319" s="598" t="s">
        <v>178</v>
      </c>
      <c r="S319" s="598"/>
      <c r="T319" s="598"/>
      <c r="U319" s="667" t="s">
        <v>241</v>
      </c>
      <c r="V319" s="616" t="s">
        <v>4170</v>
      </c>
      <c r="W319" s="598" t="s">
        <v>950</v>
      </c>
      <c r="X319" s="624">
        <v>25211</v>
      </c>
      <c r="Y319" s="625">
        <f t="shared" ca="1" si="4"/>
        <v>57</v>
      </c>
      <c r="Z319" s="616" t="s">
        <v>4171</v>
      </c>
      <c r="AA319" s="598"/>
      <c r="AB319" s="598" t="s">
        <v>966</v>
      </c>
      <c r="AC319" s="598" t="s">
        <v>953</v>
      </c>
      <c r="AD319" s="616" t="s">
        <v>973</v>
      </c>
      <c r="AE319" s="616" t="s">
        <v>973</v>
      </c>
      <c r="AF319" s="616" t="s">
        <v>3509</v>
      </c>
      <c r="AG319" s="598" t="s">
        <v>955</v>
      </c>
      <c r="AH319" s="598"/>
      <c r="AI319" s="598"/>
      <c r="AJ319" s="598"/>
      <c r="AK319" s="626"/>
      <c r="AL319" s="626"/>
    </row>
    <row r="320" spans="1:38" ht="18" customHeight="1">
      <c r="A320" s="593"/>
      <c r="B320" s="598">
        <v>303</v>
      </c>
      <c r="C320" s="598" t="s">
        <v>3667</v>
      </c>
      <c r="D320" s="598">
        <f t="shared" si="3"/>
        <v>283</v>
      </c>
      <c r="E320" s="616" t="s">
        <v>1810</v>
      </c>
      <c r="F320" s="616" t="s">
        <v>3713</v>
      </c>
      <c r="G320" s="618" t="s">
        <v>3505</v>
      </c>
      <c r="H320" s="618" t="s">
        <v>203</v>
      </c>
      <c r="I320" s="618" t="s">
        <v>3708</v>
      </c>
      <c r="J320" s="618" t="s">
        <v>4169</v>
      </c>
      <c r="K320" s="618" t="s">
        <v>3667</v>
      </c>
      <c r="L320" s="619"/>
      <c r="M320" s="620"/>
      <c r="N320" s="620"/>
      <c r="O320" s="663" t="s">
        <v>1074</v>
      </c>
      <c r="P320" s="621"/>
      <c r="Q320" s="598" t="s">
        <v>69</v>
      </c>
      <c r="R320" s="598" t="s">
        <v>562</v>
      </c>
      <c r="S320" s="598"/>
      <c r="T320" s="598" t="s">
        <v>992</v>
      </c>
      <c r="U320" s="663" t="s">
        <v>3670</v>
      </c>
      <c r="V320" s="616" t="s">
        <v>3671</v>
      </c>
      <c r="W320" s="598" t="s">
        <v>950</v>
      </c>
      <c r="X320" s="624">
        <v>34119</v>
      </c>
      <c r="Y320" s="625">
        <f t="shared" ca="1" si="4"/>
        <v>32</v>
      </c>
      <c r="Z320" s="616" t="s">
        <v>3672</v>
      </c>
      <c r="AA320" s="598" t="s">
        <v>3673</v>
      </c>
      <c r="AB320" s="598" t="s">
        <v>996</v>
      </c>
      <c r="AC320" s="644" t="s">
        <v>997</v>
      </c>
      <c r="AD320" s="616" t="s">
        <v>973</v>
      </c>
      <c r="AE320" s="616" t="s">
        <v>973</v>
      </c>
      <c r="AF320" s="616" t="s">
        <v>3519</v>
      </c>
      <c r="AG320" s="598"/>
      <c r="AH320" s="598"/>
      <c r="AI320" s="598" t="s">
        <v>1114</v>
      </c>
      <c r="AJ320" s="598"/>
      <c r="AK320" s="626">
        <v>-3</v>
      </c>
      <c r="AL320" s="626"/>
    </row>
    <row r="321" spans="1:38" ht="18" customHeight="1">
      <c r="A321" s="593"/>
      <c r="B321" s="598">
        <v>304</v>
      </c>
      <c r="C321" s="598" t="s">
        <v>4672</v>
      </c>
      <c r="D321" s="598">
        <f t="shared" si="3"/>
        <v>284</v>
      </c>
      <c r="E321" s="616" t="s">
        <v>1810</v>
      </c>
      <c r="F321" s="616" t="s">
        <v>3713</v>
      </c>
      <c r="G321" s="618" t="s">
        <v>3505</v>
      </c>
      <c r="H321" s="618" t="s">
        <v>203</v>
      </c>
      <c r="I321" s="618" t="s">
        <v>3708</v>
      </c>
      <c r="J321" s="618" t="s">
        <v>4169</v>
      </c>
      <c r="K321" s="618" t="s">
        <v>3667</v>
      </c>
      <c r="L321" s="619"/>
      <c r="M321" s="620"/>
      <c r="N321" s="620"/>
      <c r="O321" s="663" t="s">
        <v>1074</v>
      </c>
      <c r="P321" s="621"/>
      <c r="Q321" s="598"/>
      <c r="R321" s="598"/>
      <c r="S321" s="598"/>
      <c r="T321" s="598" t="s">
        <v>1015</v>
      </c>
      <c r="U321" s="663" t="s">
        <v>4673</v>
      </c>
      <c r="V321" s="616" t="s">
        <v>4674</v>
      </c>
      <c r="W321" s="598" t="s">
        <v>950</v>
      </c>
      <c r="X321" s="624">
        <v>33793</v>
      </c>
      <c r="Y321" s="625">
        <f t="shared" ca="1" si="4"/>
        <v>33</v>
      </c>
      <c r="Z321" s="616" t="s">
        <v>4675</v>
      </c>
      <c r="AA321" s="652"/>
      <c r="AB321" s="598" t="s">
        <v>996</v>
      </c>
      <c r="AC321" s="598" t="s">
        <v>1018</v>
      </c>
      <c r="AD321" s="616" t="s">
        <v>1078</v>
      </c>
      <c r="AE321" s="616" t="s">
        <v>1078</v>
      </c>
      <c r="AF321" s="616" t="s">
        <v>4676</v>
      </c>
      <c r="AG321" s="598"/>
      <c r="AH321" s="598"/>
      <c r="AI321" s="598" t="s">
        <v>1114</v>
      </c>
      <c r="AJ321" s="598"/>
      <c r="AK321" s="626">
        <v>-3</v>
      </c>
      <c r="AL321" s="626"/>
    </row>
    <row r="322" spans="1:38" ht="18" customHeight="1">
      <c r="A322" s="593"/>
      <c r="B322" s="598">
        <v>305</v>
      </c>
      <c r="C322" s="598" t="s">
        <v>3662</v>
      </c>
      <c r="D322" s="598">
        <f t="shared" si="3"/>
        <v>285</v>
      </c>
      <c r="E322" s="616" t="s">
        <v>1810</v>
      </c>
      <c r="F322" s="616" t="s">
        <v>3713</v>
      </c>
      <c r="G322" s="618" t="s">
        <v>3505</v>
      </c>
      <c r="H322" s="618" t="s">
        <v>203</v>
      </c>
      <c r="I322" s="618" t="s">
        <v>3708</v>
      </c>
      <c r="J322" s="618" t="s">
        <v>4169</v>
      </c>
      <c r="K322" s="618" t="s">
        <v>3667</v>
      </c>
      <c r="L322" s="619"/>
      <c r="M322" s="620"/>
      <c r="N322" s="620"/>
      <c r="O322" s="663" t="s">
        <v>1074</v>
      </c>
      <c r="P322" s="621"/>
      <c r="Q322" s="598"/>
      <c r="R322" s="598"/>
      <c r="S322" s="598"/>
      <c r="T322" s="598" t="s">
        <v>1015</v>
      </c>
      <c r="U322" s="663" t="s">
        <v>3663</v>
      </c>
      <c r="V322" s="616" t="s">
        <v>3664</v>
      </c>
      <c r="W322" s="598" t="s">
        <v>950</v>
      </c>
      <c r="X322" s="624">
        <v>34240</v>
      </c>
      <c r="Y322" s="625">
        <f t="shared" ca="1" si="4"/>
        <v>32</v>
      </c>
      <c r="Z322" s="616" t="s">
        <v>3665</v>
      </c>
      <c r="AA322" s="598" t="s">
        <v>3666</v>
      </c>
      <c r="AB322" s="598" t="s">
        <v>996</v>
      </c>
      <c r="AC322" s="598" t="s">
        <v>1018</v>
      </c>
      <c r="AD322" s="616" t="s">
        <v>1078</v>
      </c>
      <c r="AE322" s="616" t="s">
        <v>1078</v>
      </c>
      <c r="AF322" s="616" t="s">
        <v>4676</v>
      </c>
      <c r="AG322" s="598"/>
      <c r="AH322" s="598"/>
      <c r="AI322" s="598" t="s">
        <v>1114</v>
      </c>
      <c r="AJ322" s="598"/>
      <c r="AK322" s="626"/>
      <c r="AL322" s="626"/>
    </row>
    <row r="323" spans="1:38" ht="18" customHeight="1">
      <c r="A323" s="593"/>
      <c r="B323" s="598">
        <v>306</v>
      </c>
      <c r="C323" s="598" t="s">
        <v>3668</v>
      </c>
      <c r="D323" s="598">
        <f t="shared" si="3"/>
        <v>286</v>
      </c>
      <c r="E323" s="616" t="s">
        <v>1810</v>
      </c>
      <c r="F323" s="616" t="s">
        <v>3713</v>
      </c>
      <c r="G323" s="618" t="s">
        <v>3505</v>
      </c>
      <c r="H323" s="618" t="s">
        <v>203</v>
      </c>
      <c r="I323" s="618" t="s">
        <v>3708</v>
      </c>
      <c r="J323" s="618" t="s">
        <v>4169</v>
      </c>
      <c r="K323" s="618" t="s">
        <v>3667</v>
      </c>
      <c r="L323" s="619"/>
      <c r="M323" s="620"/>
      <c r="N323" s="620"/>
      <c r="O323" s="663" t="s">
        <v>1074</v>
      </c>
      <c r="P323" s="621"/>
      <c r="Q323" s="598"/>
      <c r="R323" s="598"/>
      <c r="S323" s="598"/>
      <c r="T323" s="598" t="s">
        <v>992</v>
      </c>
      <c r="U323" s="663" t="s">
        <v>3674</v>
      </c>
      <c r="V323" s="616" t="s">
        <v>3675</v>
      </c>
      <c r="W323" s="598" t="s">
        <v>950</v>
      </c>
      <c r="X323" s="624">
        <v>35234</v>
      </c>
      <c r="Y323" s="625">
        <f t="shared" ca="1" si="4"/>
        <v>29</v>
      </c>
      <c r="Z323" s="616" t="s">
        <v>3676</v>
      </c>
      <c r="AA323" s="598" t="s">
        <v>3677</v>
      </c>
      <c r="AB323" s="598" t="s">
        <v>996</v>
      </c>
      <c r="AC323" s="644" t="s">
        <v>997</v>
      </c>
      <c r="AD323" s="616" t="s">
        <v>973</v>
      </c>
      <c r="AE323" s="616" t="s">
        <v>973</v>
      </c>
      <c r="AF323" s="616" t="s">
        <v>3519</v>
      </c>
      <c r="AG323" s="598"/>
      <c r="AH323" s="598"/>
      <c r="AI323" s="598" t="s">
        <v>1114</v>
      </c>
      <c r="AJ323" s="598"/>
      <c r="AK323" s="626">
        <v>-3</v>
      </c>
      <c r="AL323" s="626"/>
    </row>
    <row r="324" spans="1:38" ht="18" customHeight="1">
      <c r="A324" s="593"/>
      <c r="B324" s="598">
        <v>307</v>
      </c>
      <c r="C324" s="598" t="s">
        <v>3621</v>
      </c>
      <c r="D324" s="598">
        <f t="shared" si="3"/>
        <v>287</v>
      </c>
      <c r="E324" s="616" t="s">
        <v>1810</v>
      </c>
      <c r="F324" s="616" t="s">
        <v>3713</v>
      </c>
      <c r="G324" s="618" t="s">
        <v>3505</v>
      </c>
      <c r="H324" s="618" t="s">
        <v>203</v>
      </c>
      <c r="I324" s="618" t="s">
        <v>3708</v>
      </c>
      <c r="J324" s="618" t="s">
        <v>4169</v>
      </c>
      <c r="K324" s="618" t="s">
        <v>3667</v>
      </c>
      <c r="L324" s="619"/>
      <c r="M324" s="620"/>
      <c r="N324" s="620"/>
      <c r="O324" s="663" t="s">
        <v>1074</v>
      </c>
      <c r="P324" s="621"/>
      <c r="Q324" s="598"/>
      <c r="R324" s="598"/>
      <c r="S324" s="598"/>
      <c r="T324" s="598" t="s">
        <v>1015</v>
      </c>
      <c r="U324" s="663" t="s">
        <v>3622</v>
      </c>
      <c r="V324" s="616" t="s">
        <v>3623</v>
      </c>
      <c r="W324" s="598" t="s">
        <v>950</v>
      </c>
      <c r="X324" s="624">
        <v>35316</v>
      </c>
      <c r="Y324" s="625">
        <f t="shared" ca="1" si="4"/>
        <v>29</v>
      </c>
      <c r="Z324" s="616" t="s">
        <v>3624</v>
      </c>
      <c r="AA324" s="598" t="s">
        <v>3625</v>
      </c>
      <c r="AB324" s="598" t="s">
        <v>996</v>
      </c>
      <c r="AC324" s="598" t="s">
        <v>997</v>
      </c>
      <c r="AD324" s="616" t="s">
        <v>973</v>
      </c>
      <c r="AE324" s="616" t="s">
        <v>973</v>
      </c>
      <c r="AF324" s="616" t="s">
        <v>3626</v>
      </c>
      <c r="AG324" s="598"/>
      <c r="AH324" s="598"/>
      <c r="AI324" s="598" t="s">
        <v>1011</v>
      </c>
      <c r="AJ324" s="598"/>
      <c r="AK324" s="626"/>
      <c r="AL324" s="626"/>
    </row>
    <row r="325" spans="1:38" ht="18" customHeight="1">
      <c r="A325" s="593"/>
      <c r="B325" s="598">
        <v>308</v>
      </c>
      <c r="C325" s="598" t="s">
        <v>4677</v>
      </c>
      <c r="D325" s="598">
        <f t="shared" si="3"/>
        <v>288</v>
      </c>
      <c r="E325" s="616" t="s">
        <v>1810</v>
      </c>
      <c r="F325" s="616" t="s">
        <v>3713</v>
      </c>
      <c r="G325" s="618" t="s">
        <v>3505</v>
      </c>
      <c r="H325" s="618" t="s">
        <v>203</v>
      </c>
      <c r="I325" s="618" t="s">
        <v>3708</v>
      </c>
      <c r="J325" s="618" t="s">
        <v>4169</v>
      </c>
      <c r="K325" s="618" t="s">
        <v>3667</v>
      </c>
      <c r="L325" s="619"/>
      <c r="M325" s="620"/>
      <c r="N325" s="620"/>
      <c r="O325" s="673" t="s">
        <v>1074</v>
      </c>
      <c r="P325" s="621"/>
      <c r="Q325" s="598"/>
      <c r="R325" s="598"/>
      <c r="S325" s="598"/>
      <c r="T325" s="598" t="s">
        <v>992</v>
      </c>
      <c r="U325" s="673" t="s">
        <v>4678</v>
      </c>
      <c r="V325" s="616" t="s">
        <v>4679</v>
      </c>
      <c r="W325" s="598" t="s">
        <v>950</v>
      </c>
      <c r="X325" s="624">
        <v>34953</v>
      </c>
      <c r="Y325" s="625">
        <f t="shared" ca="1" si="4"/>
        <v>30</v>
      </c>
      <c r="Z325" s="654" t="s">
        <v>4680</v>
      </c>
      <c r="AA325" s="652"/>
      <c r="AB325" s="598" t="s">
        <v>996</v>
      </c>
      <c r="AC325" s="598" t="s">
        <v>1018</v>
      </c>
      <c r="AD325" s="616" t="s">
        <v>973</v>
      </c>
      <c r="AE325" s="616" t="s">
        <v>973</v>
      </c>
      <c r="AF325" s="616" t="s">
        <v>3509</v>
      </c>
      <c r="AG325" s="598"/>
      <c r="AH325" s="598" t="s">
        <v>4681</v>
      </c>
      <c r="AI325" s="598" t="s">
        <v>1349</v>
      </c>
      <c r="AJ325" s="598" t="s">
        <v>4607</v>
      </c>
      <c r="AK325" s="626">
        <v>-3</v>
      </c>
      <c r="AL325" s="626"/>
    </row>
    <row r="326" spans="1:38" ht="18" customHeight="1">
      <c r="A326" s="593"/>
      <c r="B326" s="598">
        <v>309</v>
      </c>
      <c r="C326" s="598" t="s">
        <v>3559</v>
      </c>
      <c r="D326" s="598">
        <f t="shared" si="3"/>
        <v>288</v>
      </c>
      <c r="E326" s="616"/>
      <c r="F326" s="616" t="s">
        <v>3713</v>
      </c>
      <c r="G326" s="618" t="s">
        <v>3505</v>
      </c>
      <c r="H326" s="618" t="s">
        <v>203</v>
      </c>
      <c r="I326" s="618" t="s">
        <v>3708</v>
      </c>
      <c r="J326" s="618" t="s">
        <v>3559</v>
      </c>
      <c r="K326" s="618" t="s">
        <v>959</v>
      </c>
      <c r="L326" s="619"/>
      <c r="M326" s="620"/>
      <c r="N326" s="620"/>
      <c r="O326" s="667" t="s">
        <v>1115</v>
      </c>
      <c r="P326" s="621"/>
      <c r="Q326" s="598" t="s">
        <v>55</v>
      </c>
      <c r="R326" s="598" t="s">
        <v>178</v>
      </c>
      <c r="S326" s="598"/>
      <c r="T326" s="598"/>
      <c r="U326" s="667" t="s">
        <v>222</v>
      </c>
      <c r="V326" s="616" t="s">
        <v>3561</v>
      </c>
      <c r="W326" s="598" t="s">
        <v>950</v>
      </c>
      <c r="X326" s="624">
        <v>21600</v>
      </c>
      <c r="Y326" s="625">
        <f t="shared" ca="1" si="4"/>
        <v>66</v>
      </c>
      <c r="Z326" s="616" t="s">
        <v>3562</v>
      </c>
      <c r="AA326" s="598"/>
      <c r="AB326" s="598" t="s">
        <v>966</v>
      </c>
      <c r="AC326" s="598" t="s">
        <v>953</v>
      </c>
      <c r="AD326" s="616" t="s">
        <v>973</v>
      </c>
      <c r="AE326" s="616" t="s">
        <v>973</v>
      </c>
      <c r="AF326" s="616" t="s">
        <v>3509</v>
      </c>
      <c r="AG326" s="598" t="s">
        <v>955</v>
      </c>
      <c r="AH326" s="598"/>
      <c r="AI326" s="598"/>
      <c r="AJ326" s="598"/>
      <c r="AK326" s="626"/>
      <c r="AL326" s="626"/>
    </row>
    <row r="327" spans="1:38" ht="18" customHeight="1">
      <c r="A327" s="593"/>
      <c r="B327" s="598">
        <v>310</v>
      </c>
      <c r="C327" s="598" t="s">
        <v>3569</v>
      </c>
      <c r="D327" s="598">
        <f t="shared" si="3"/>
        <v>289</v>
      </c>
      <c r="E327" s="616" t="s">
        <v>1810</v>
      </c>
      <c r="F327" s="616" t="s">
        <v>3713</v>
      </c>
      <c r="G327" s="618" t="s">
        <v>3505</v>
      </c>
      <c r="H327" s="618" t="s">
        <v>203</v>
      </c>
      <c r="I327" s="618" t="s">
        <v>3708</v>
      </c>
      <c r="J327" s="618" t="s">
        <v>3559</v>
      </c>
      <c r="K327" s="618" t="s">
        <v>959</v>
      </c>
      <c r="L327" s="619"/>
      <c r="M327" s="620"/>
      <c r="N327" s="620"/>
      <c r="O327" s="663" t="s">
        <v>1115</v>
      </c>
      <c r="P327" s="621"/>
      <c r="S327" s="598"/>
      <c r="T327" s="598" t="s">
        <v>1015</v>
      </c>
      <c r="U327" s="663" t="s">
        <v>352</v>
      </c>
      <c r="V327" s="616" t="s">
        <v>3570</v>
      </c>
      <c r="W327" s="598" t="s">
        <v>950</v>
      </c>
      <c r="X327" s="624">
        <v>22712</v>
      </c>
      <c r="Y327" s="625">
        <f t="shared" ca="1" si="4"/>
        <v>63</v>
      </c>
      <c r="Z327" s="616" t="s">
        <v>3571</v>
      </c>
      <c r="AA327" s="598" t="s">
        <v>3572</v>
      </c>
      <c r="AB327" s="598" t="s">
        <v>996</v>
      </c>
      <c r="AC327" s="644" t="s">
        <v>997</v>
      </c>
      <c r="AD327" s="616" t="s">
        <v>1078</v>
      </c>
      <c r="AE327" s="616" t="s">
        <v>1078</v>
      </c>
      <c r="AF327" s="616" t="s">
        <v>3573</v>
      </c>
      <c r="AG327" s="598"/>
      <c r="AH327" s="598"/>
      <c r="AI327" s="598" t="s">
        <v>1452</v>
      </c>
      <c r="AJ327" s="598"/>
      <c r="AK327" s="626">
        <v>-3</v>
      </c>
      <c r="AL327" s="626"/>
    </row>
    <row r="328" spans="1:38" ht="18" customHeight="1">
      <c r="A328" s="593"/>
      <c r="B328" s="598">
        <v>311</v>
      </c>
      <c r="C328" s="598" t="s">
        <v>3574</v>
      </c>
      <c r="D328" s="598">
        <f t="shared" si="3"/>
        <v>290</v>
      </c>
      <c r="E328" s="616" t="s">
        <v>1810</v>
      </c>
      <c r="F328" s="616" t="s">
        <v>3713</v>
      </c>
      <c r="G328" s="618" t="s">
        <v>3505</v>
      </c>
      <c r="H328" s="618" t="s">
        <v>203</v>
      </c>
      <c r="I328" s="618" t="s">
        <v>3708</v>
      </c>
      <c r="J328" s="618" t="s">
        <v>3559</v>
      </c>
      <c r="K328" s="618" t="s">
        <v>959</v>
      </c>
      <c r="L328" s="619"/>
      <c r="M328" s="620"/>
      <c r="N328" s="620"/>
      <c r="O328" s="663" t="s">
        <v>1115</v>
      </c>
      <c r="P328" s="621"/>
      <c r="Q328" s="598"/>
      <c r="R328" s="598"/>
      <c r="S328" s="598"/>
      <c r="T328" s="598" t="s">
        <v>1015</v>
      </c>
      <c r="U328" s="663" t="s">
        <v>366</v>
      </c>
      <c r="V328" s="616" t="s">
        <v>3575</v>
      </c>
      <c r="W328" s="598" t="s">
        <v>950</v>
      </c>
      <c r="X328" s="624">
        <v>24504</v>
      </c>
      <c r="Y328" s="625">
        <f t="shared" ca="1" si="4"/>
        <v>58</v>
      </c>
      <c r="Z328" s="616" t="s">
        <v>3576</v>
      </c>
      <c r="AA328" s="598" t="s">
        <v>3577</v>
      </c>
      <c r="AB328" s="598" t="s">
        <v>996</v>
      </c>
      <c r="AC328" s="644" t="s">
        <v>997</v>
      </c>
      <c r="AD328" s="616" t="s">
        <v>1078</v>
      </c>
      <c r="AE328" s="616" t="s">
        <v>1078</v>
      </c>
      <c r="AF328" s="616" t="s">
        <v>3578</v>
      </c>
      <c r="AG328" s="598"/>
      <c r="AH328" s="598"/>
      <c r="AI328" s="598" t="s">
        <v>1452</v>
      </c>
      <c r="AJ328" s="598"/>
      <c r="AK328" s="626">
        <v>-3</v>
      </c>
      <c r="AL328" s="626"/>
    </row>
    <row r="329" spans="1:38" ht="18" customHeight="1">
      <c r="A329" s="593"/>
      <c r="B329" s="598">
        <v>312</v>
      </c>
      <c r="C329" s="598" t="s">
        <v>3579</v>
      </c>
      <c r="D329" s="598">
        <f t="shared" si="3"/>
        <v>291</v>
      </c>
      <c r="E329" s="616" t="s">
        <v>1810</v>
      </c>
      <c r="F329" s="616" t="s">
        <v>3713</v>
      </c>
      <c r="G329" s="618" t="s">
        <v>3505</v>
      </c>
      <c r="H329" s="618" t="s">
        <v>203</v>
      </c>
      <c r="I329" s="618" t="s">
        <v>3708</v>
      </c>
      <c r="J329" s="618" t="s">
        <v>3559</v>
      </c>
      <c r="K329" s="618" t="s">
        <v>959</v>
      </c>
      <c r="L329" s="619"/>
      <c r="M329" s="620"/>
      <c r="N329" s="620"/>
      <c r="O329" s="663" t="s">
        <v>1115</v>
      </c>
      <c r="P329" s="621"/>
      <c r="Q329" s="598"/>
      <c r="R329" s="598"/>
      <c r="S329" s="598"/>
      <c r="T329" s="598" t="s">
        <v>1015</v>
      </c>
      <c r="U329" s="663" t="s">
        <v>380</v>
      </c>
      <c r="V329" s="616" t="s">
        <v>3580</v>
      </c>
      <c r="W329" s="598" t="s">
        <v>950</v>
      </c>
      <c r="X329" s="624">
        <v>30050</v>
      </c>
      <c r="Y329" s="625">
        <f t="shared" ca="1" si="4"/>
        <v>43</v>
      </c>
      <c r="Z329" s="616" t="s">
        <v>3581</v>
      </c>
      <c r="AA329" s="598" t="s">
        <v>3582</v>
      </c>
      <c r="AB329" s="598" t="s">
        <v>996</v>
      </c>
      <c r="AC329" s="644" t="s">
        <v>997</v>
      </c>
      <c r="AD329" s="616" t="s">
        <v>1078</v>
      </c>
      <c r="AE329" s="616" t="s">
        <v>1078</v>
      </c>
      <c r="AF329" s="616" t="s">
        <v>3583</v>
      </c>
      <c r="AG329" s="598"/>
      <c r="AH329" s="598"/>
      <c r="AI329" s="598" t="s">
        <v>1452</v>
      </c>
      <c r="AJ329" s="598"/>
      <c r="AK329" s="626">
        <v>-3</v>
      </c>
      <c r="AL329" s="626"/>
    </row>
    <row r="330" spans="1:38" ht="18" customHeight="1">
      <c r="A330" s="593"/>
      <c r="B330" s="598">
        <v>313</v>
      </c>
      <c r="C330" s="598" t="s">
        <v>4682</v>
      </c>
      <c r="D330" s="598">
        <f t="shared" si="3"/>
        <v>292</v>
      </c>
      <c r="E330" s="616" t="s">
        <v>1810</v>
      </c>
      <c r="F330" s="616" t="s">
        <v>3713</v>
      </c>
      <c r="G330" s="618" t="s">
        <v>3505</v>
      </c>
      <c r="H330" s="618" t="s">
        <v>203</v>
      </c>
      <c r="I330" s="618" t="s">
        <v>3708</v>
      </c>
      <c r="J330" s="618" t="s">
        <v>3559</v>
      </c>
      <c r="K330" s="618" t="s">
        <v>959</v>
      </c>
      <c r="L330" s="619"/>
      <c r="M330" s="620"/>
      <c r="N330" s="620"/>
      <c r="O330" s="673" t="s">
        <v>1115</v>
      </c>
      <c r="P330" s="621"/>
      <c r="Q330" s="598"/>
      <c r="R330" s="598"/>
      <c r="S330" s="598"/>
      <c r="T330" s="598" t="s">
        <v>1015</v>
      </c>
      <c r="U330" s="673" t="s">
        <v>393</v>
      </c>
      <c r="V330" s="616" t="s">
        <v>4683</v>
      </c>
      <c r="W330" s="598" t="s">
        <v>950</v>
      </c>
      <c r="X330" s="624">
        <v>32103</v>
      </c>
      <c r="Y330" s="625">
        <f t="shared" ca="1" si="4"/>
        <v>38</v>
      </c>
      <c r="Z330" s="616" t="s">
        <v>4684</v>
      </c>
      <c r="AA330" s="652"/>
      <c r="AB330" s="598" t="s">
        <v>996</v>
      </c>
      <c r="AC330" s="598" t="s">
        <v>1018</v>
      </c>
      <c r="AD330" s="616" t="s">
        <v>1078</v>
      </c>
      <c r="AE330" s="616" t="s">
        <v>1078</v>
      </c>
      <c r="AF330" s="616" t="s">
        <v>4685</v>
      </c>
      <c r="AG330" s="598"/>
      <c r="AH330" s="598" t="s">
        <v>4686</v>
      </c>
      <c r="AI330" s="598" t="s">
        <v>1452</v>
      </c>
      <c r="AJ330" s="598" t="s">
        <v>4607</v>
      </c>
      <c r="AK330" s="626">
        <v>-3</v>
      </c>
      <c r="AL330" s="626"/>
    </row>
    <row r="331" spans="1:38" ht="18" customHeight="1">
      <c r="A331" s="593"/>
      <c r="B331" s="598">
        <v>314</v>
      </c>
      <c r="C331" s="598" t="s">
        <v>2623</v>
      </c>
      <c r="D331" s="598">
        <f t="shared" si="3"/>
        <v>293</v>
      </c>
      <c r="E331" s="616" t="s">
        <v>1798</v>
      </c>
      <c r="F331" s="616" t="s">
        <v>2624</v>
      </c>
      <c r="G331" s="618" t="s">
        <v>1225</v>
      </c>
      <c r="H331" s="618" t="s">
        <v>185</v>
      </c>
      <c r="I331" s="618" t="s">
        <v>2623</v>
      </c>
      <c r="J331" s="618" t="s">
        <v>2623</v>
      </c>
      <c r="K331" s="618" t="s">
        <v>2673</v>
      </c>
      <c r="L331" s="619" t="s">
        <v>2667</v>
      </c>
      <c r="M331" s="620"/>
      <c r="N331" s="620"/>
      <c r="O331" s="667" t="s">
        <v>1044</v>
      </c>
      <c r="P331" s="621"/>
      <c r="Q331" s="598" t="s">
        <v>173</v>
      </c>
      <c r="R331" s="598" t="s">
        <v>178</v>
      </c>
      <c r="S331" s="598"/>
      <c r="T331" s="598" t="s">
        <v>962</v>
      </c>
      <c r="U331" s="667" t="s">
        <v>185</v>
      </c>
      <c r="V331" s="616" t="s">
        <v>2627</v>
      </c>
      <c r="W331" s="598" t="s">
        <v>963</v>
      </c>
      <c r="X331" s="624">
        <v>24646</v>
      </c>
      <c r="Y331" s="625">
        <f t="shared" ca="1" si="4"/>
        <v>58</v>
      </c>
      <c r="Z331" s="654" t="s">
        <v>2628</v>
      </c>
      <c r="AA331" s="598" t="s">
        <v>2629</v>
      </c>
      <c r="AB331" s="598" t="s">
        <v>966</v>
      </c>
      <c r="AC331" s="598" t="s">
        <v>953</v>
      </c>
      <c r="AD331" s="616" t="s">
        <v>1041</v>
      </c>
      <c r="AE331" s="616" t="s">
        <v>1041</v>
      </c>
      <c r="AF331" s="616" t="s">
        <v>2630</v>
      </c>
      <c r="AG331" s="598"/>
      <c r="AH331" s="598"/>
      <c r="AI331" s="598" t="s">
        <v>1349</v>
      </c>
      <c r="AJ331" s="598"/>
      <c r="AK331" s="626"/>
      <c r="AL331" s="626"/>
    </row>
    <row r="332" spans="1:38" ht="18" customHeight="1">
      <c r="A332" s="593"/>
      <c r="B332" s="598">
        <v>315</v>
      </c>
      <c r="C332" s="598" t="s">
        <v>2673</v>
      </c>
      <c r="D332" s="598">
        <f t="shared" si="3"/>
        <v>294</v>
      </c>
      <c r="E332" s="616" t="s">
        <v>1798</v>
      </c>
      <c r="F332" s="616" t="s">
        <v>2624</v>
      </c>
      <c r="G332" s="618" t="s">
        <v>1225</v>
      </c>
      <c r="H332" s="618" t="s">
        <v>185</v>
      </c>
      <c r="I332" s="618" t="s">
        <v>2623</v>
      </c>
      <c r="J332" s="618" t="s">
        <v>2623</v>
      </c>
      <c r="K332" s="618" t="s">
        <v>2673</v>
      </c>
      <c r="L332" s="619" t="s">
        <v>2667</v>
      </c>
      <c r="M332" s="620"/>
      <c r="N332" s="620"/>
      <c r="O332" s="663" t="s">
        <v>1044</v>
      </c>
      <c r="P332" s="621"/>
      <c r="Q332" s="598" t="s">
        <v>69</v>
      </c>
      <c r="R332" s="598" t="s">
        <v>562</v>
      </c>
      <c r="S332" s="598" t="s">
        <v>2632</v>
      </c>
      <c r="T332" s="598" t="s">
        <v>962</v>
      </c>
      <c r="U332" s="663" t="s">
        <v>206</v>
      </c>
      <c r="V332" s="616" t="s">
        <v>2675</v>
      </c>
      <c r="W332" s="598" t="s">
        <v>963</v>
      </c>
      <c r="X332" s="624">
        <v>24767</v>
      </c>
      <c r="Y332" s="625">
        <f t="shared" ca="1" si="4"/>
        <v>58</v>
      </c>
      <c r="Z332" s="616" t="s">
        <v>2676</v>
      </c>
      <c r="AA332" s="598" t="s">
        <v>2677</v>
      </c>
      <c r="AB332" s="598" t="s">
        <v>996</v>
      </c>
      <c r="AC332" s="598" t="s">
        <v>997</v>
      </c>
      <c r="AD332" s="616" t="s">
        <v>1041</v>
      </c>
      <c r="AE332" s="721" t="s">
        <v>1041</v>
      </c>
      <c r="AF332" s="616" t="s">
        <v>2678</v>
      </c>
      <c r="AG332" s="598"/>
      <c r="AH332" s="598"/>
      <c r="AI332" s="598" t="s">
        <v>1452</v>
      </c>
      <c r="AJ332" s="598"/>
      <c r="AK332" s="626"/>
      <c r="AL332" s="626"/>
    </row>
    <row r="333" spans="1:38" ht="18" customHeight="1">
      <c r="A333" s="593"/>
      <c r="B333" s="598">
        <v>316</v>
      </c>
      <c r="C333" s="598" t="s">
        <v>2667</v>
      </c>
      <c r="D333" s="598">
        <f t="shared" si="3"/>
        <v>295</v>
      </c>
      <c r="E333" s="616" t="s">
        <v>1798</v>
      </c>
      <c r="F333" s="616" t="s">
        <v>2624</v>
      </c>
      <c r="G333" s="618" t="s">
        <v>1225</v>
      </c>
      <c r="H333" s="618" t="s">
        <v>185</v>
      </c>
      <c r="I333" s="618" t="s">
        <v>2623</v>
      </c>
      <c r="J333" s="618" t="s">
        <v>2623</v>
      </c>
      <c r="K333" s="618" t="s">
        <v>2673</v>
      </c>
      <c r="L333" s="619" t="s">
        <v>2667</v>
      </c>
      <c r="M333" s="620"/>
      <c r="N333" s="620"/>
      <c r="O333" s="663" t="s">
        <v>1044</v>
      </c>
      <c r="P333" s="621" t="s">
        <v>319</v>
      </c>
      <c r="Q333" s="598" t="s">
        <v>69</v>
      </c>
      <c r="R333" s="598" t="s">
        <v>562</v>
      </c>
      <c r="S333" s="598"/>
      <c r="T333" s="598" t="s">
        <v>962</v>
      </c>
      <c r="U333" s="663" t="s">
        <v>265</v>
      </c>
      <c r="V333" s="616" t="s">
        <v>2669</v>
      </c>
      <c r="W333" s="598" t="s">
        <v>963</v>
      </c>
      <c r="X333" s="624">
        <v>27502</v>
      </c>
      <c r="Y333" s="625">
        <f t="shared" ca="1" si="4"/>
        <v>50</v>
      </c>
      <c r="Z333" s="616" t="s">
        <v>2670</v>
      </c>
      <c r="AA333" s="598" t="s">
        <v>2671</v>
      </c>
      <c r="AB333" s="598" t="s">
        <v>996</v>
      </c>
      <c r="AC333" s="644" t="s">
        <v>997</v>
      </c>
      <c r="AD333" s="616" t="s">
        <v>1041</v>
      </c>
      <c r="AE333" s="721" t="s">
        <v>1041</v>
      </c>
      <c r="AF333" s="616" t="s">
        <v>2672</v>
      </c>
      <c r="AG333" s="598"/>
      <c r="AH333" s="598"/>
      <c r="AI333" s="598" t="s">
        <v>1318</v>
      </c>
      <c r="AJ333" s="598"/>
      <c r="AK333" s="626"/>
      <c r="AL333" s="626"/>
    </row>
    <row r="334" spans="1:38" ht="18" customHeight="1">
      <c r="A334" s="593"/>
      <c r="B334" s="598">
        <v>317</v>
      </c>
      <c r="C334" s="598" t="s">
        <v>2631</v>
      </c>
      <c r="D334" s="598">
        <f t="shared" si="3"/>
        <v>296</v>
      </c>
      <c r="E334" s="616" t="s">
        <v>1798</v>
      </c>
      <c r="F334" s="616" t="s">
        <v>2624</v>
      </c>
      <c r="G334" s="618" t="s">
        <v>1225</v>
      </c>
      <c r="H334" s="618" t="s">
        <v>185</v>
      </c>
      <c r="I334" s="618" t="s">
        <v>2623</v>
      </c>
      <c r="J334" s="618" t="s">
        <v>2623</v>
      </c>
      <c r="K334" s="618" t="s">
        <v>2673</v>
      </c>
      <c r="L334" s="619" t="s">
        <v>2667</v>
      </c>
      <c r="M334" s="620"/>
      <c r="N334" s="620"/>
      <c r="O334" s="663" t="s">
        <v>1044</v>
      </c>
      <c r="P334" s="621"/>
      <c r="Q334" s="598"/>
      <c r="R334" s="598"/>
      <c r="S334" s="598" t="s">
        <v>2632</v>
      </c>
      <c r="T334" s="598" t="s">
        <v>962</v>
      </c>
      <c r="U334" s="663" t="s">
        <v>226</v>
      </c>
      <c r="V334" s="616" t="s">
        <v>2633</v>
      </c>
      <c r="W334" s="598" t="s">
        <v>963</v>
      </c>
      <c r="X334" s="624">
        <v>28064</v>
      </c>
      <c r="Y334" s="625">
        <f t="shared" ca="1" si="4"/>
        <v>49</v>
      </c>
      <c r="Z334" s="616" t="s">
        <v>2634</v>
      </c>
      <c r="AA334" s="598"/>
      <c r="AB334" s="598" t="s">
        <v>996</v>
      </c>
      <c r="AC334" s="598" t="s">
        <v>997</v>
      </c>
      <c r="AD334" s="616" t="s">
        <v>1041</v>
      </c>
      <c r="AE334" s="721" t="s">
        <v>1041</v>
      </c>
      <c r="AF334" s="616" t="s">
        <v>2635</v>
      </c>
      <c r="AG334" s="598"/>
      <c r="AH334" s="598"/>
      <c r="AI334" s="598" t="s">
        <v>1452</v>
      </c>
      <c r="AJ334" s="598"/>
      <c r="AK334" s="626"/>
      <c r="AL334" s="626"/>
    </row>
    <row r="335" spans="1:38" ht="18" customHeight="1">
      <c r="A335" s="593"/>
      <c r="B335" s="598">
        <v>318</v>
      </c>
      <c r="C335" s="598" t="s">
        <v>2636</v>
      </c>
      <c r="D335" s="598">
        <f t="shared" si="3"/>
        <v>297</v>
      </c>
      <c r="E335" s="616" t="s">
        <v>1798</v>
      </c>
      <c r="F335" s="616" t="s">
        <v>2624</v>
      </c>
      <c r="G335" s="618" t="s">
        <v>1225</v>
      </c>
      <c r="H335" s="618" t="s">
        <v>185</v>
      </c>
      <c r="I335" s="618" t="s">
        <v>2623</v>
      </c>
      <c r="J335" s="618" t="s">
        <v>2623</v>
      </c>
      <c r="K335" s="618" t="s">
        <v>2673</v>
      </c>
      <c r="L335" s="619" t="s">
        <v>2667</v>
      </c>
      <c r="M335" s="620"/>
      <c r="N335" s="620"/>
      <c r="O335" s="663" t="s">
        <v>1044</v>
      </c>
      <c r="P335" s="621"/>
      <c r="Q335" s="598"/>
      <c r="R335" s="598"/>
      <c r="S335" s="598"/>
      <c r="T335" s="598" t="s">
        <v>962</v>
      </c>
      <c r="U335" s="663" t="s">
        <v>2637</v>
      </c>
      <c r="V335" s="616" t="s">
        <v>2638</v>
      </c>
      <c r="W335" s="598" t="s">
        <v>963</v>
      </c>
      <c r="X335" s="624">
        <v>28563</v>
      </c>
      <c r="Y335" s="625">
        <f t="shared" ca="1" si="4"/>
        <v>47</v>
      </c>
      <c r="Z335" s="616" t="s">
        <v>2639</v>
      </c>
      <c r="AA335" s="598" t="s">
        <v>2640</v>
      </c>
      <c r="AB335" s="598" t="s">
        <v>996</v>
      </c>
      <c r="AC335" s="644" t="s">
        <v>997</v>
      </c>
      <c r="AD335" s="616" t="s">
        <v>2069</v>
      </c>
      <c r="AE335" s="616" t="s">
        <v>2069</v>
      </c>
      <c r="AF335" s="616" t="s">
        <v>2641</v>
      </c>
      <c r="AG335" s="598"/>
      <c r="AH335" s="598"/>
      <c r="AI335" s="598" t="s">
        <v>1318</v>
      </c>
      <c r="AJ335" s="598"/>
      <c r="AK335" s="626"/>
      <c r="AL335" s="626"/>
    </row>
    <row r="336" spans="1:38" ht="18" customHeight="1">
      <c r="A336" s="593"/>
      <c r="B336" s="598">
        <v>319</v>
      </c>
      <c r="C336" s="598" t="s">
        <v>2642</v>
      </c>
      <c r="D336" s="598">
        <f t="shared" si="3"/>
        <v>298</v>
      </c>
      <c r="E336" s="616" t="s">
        <v>1798</v>
      </c>
      <c r="F336" s="616" t="s">
        <v>2624</v>
      </c>
      <c r="G336" s="618" t="s">
        <v>1225</v>
      </c>
      <c r="H336" s="618" t="s">
        <v>185</v>
      </c>
      <c r="I336" s="618" t="s">
        <v>2623</v>
      </c>
      <c r="J336" s="618" t="s">
        <v>2623</v>
      </c>
      <c r="K336" s="618" t="s">
        <v>2673</v>
      </c>
      <c r="L336" s="619" t="s">
        <v>2667</v>
      </c>
      <c r="M336" s="620"/>
      <c r="N336" s="620"/>
      <c r="O336" s="663" t="s">
        <v>1044</v>
      </c>
      <c r="P336" s="621"/>
      <c r="Q336" s="598"/>
      <c r="R336" s="598"/>
      <c r="S336" s="598"/>
      <c r="T336" s="598" t="s">
        <v>962</v>
      </c>
      <c r="U336" s="663" t="s">
        <v>292</v>
      </c>
      <c r="V336" s="616" t="s">
        <v>2643</v>
      </c>
      <c r="W336" s="598" t="s">
        <v>963</v>
      </c>
      <c r="X336" s="624">
        <v>29749</v>
      </c>
      <c r="Y336" s="625">
        <f t="shared" ca="1" si="4"/>
        <v>44</v>
      </c>
      <c r="Z336" s="616" t="s">
        <v>2644</v>
      </c>
      <c r="AA336" s="598"/>
      <c r="AB336" s="598" t="s">
        <v>996</v>
      </c>
      <c r="AC336" s="644" t="s">
        <v>997</v>
      </c>
      <c r="AD336" s="616" t="s">
        <v>1041</v>
      </c>
      <c r="AE336" s="721" t="s">
        <v>1041</v>
      </c>
      <c r="AF336" s="616" t="s">
        <v>2645</v>
      </c>
      <c r="AG336" s="598"/>
      <c r="AH336" s="598"/>
      <c r="AI336" s="598" t="s">
        <v>1318</v>
      </c>
      <c r="AJ336" s="598"/>
      <c r="AK336" s="626"/>
      <c r="AL336" s="626"/>
    </row>
    <row r="337" spans="1:38" ht="18" customHeight="1">
      <c r="A337" s="593"/>
      <c r="B337" s="598">
        <v>320</v>
      </c>
      <c r="C337" s="598" t="s">
        <v>2679</v>
      </c>
      <c r="D337" s="598">
        <f t="shared" si="3"/>
        <v>299</v>
      </c>
      <c r="E337" s="616" t="s">
        <v>1798</v>
      </c>
      <c r="F337" s="616" t="s">
        <v>2624</v>
      </c>
      <c r="G337" s="618" t="s">
        <v>1225</v>
      </c>
      <c r="H337" s="618" t="s">
        <v>185</v>
      </c>
      <c r="I337" s="618" t="s">
        <v>2623</v>
      </c>
      <c r="J337" s="618" t="s">
        <v>2623</v>
      </c>
      <c r="K337" s="618" t="s">
        <v>2673</v>
      </c>
      <c r="L337" s="619" t="s">
        <v>2667</v>
      </c>
      <c r="M337" s="620"/>
      <c r="N337" s="620"/>
      <c r="O337" s="663" t="s">
        <v>1044</v>
      </c>
      <c r="P337" s="621"/>
      <c r="Q337" s="598"/>
      <c r="R337" s="598"/>
      <c r="S337" s="598"/>
      <c r="T337" s="598" t="s">
        <v>962</v>
      </c>
      <c r="U337" s="663" t="s">
        <v>301</v>
      </c>
      <c r="V337" s="616" t="s">
        <v>2680</v>
      </c>
      <c r="W337" s="598" t="s">
        <v>963</v>
      </c>
      <c r="X337" s="624">
        <v>30427</v>
      </c>
      <c r="Y337" s="625">
        <f t="shared" ca="1" si="4"/>
        <v>42</v>
      </c>
      <c r="Z337" s="616" t="s">
        <v>2681</v>
      </c>
      <c r="AA337" s="598" t="s">
        <v>2682</v>
      </c>
      <c r="AB337" s="598" t="s">
        <v>996</v>
      </c>
      <c r="AC337" s="644" t="s">
        <v>997</v>
      </c>
      <c r="AD337" s="616" t="s">
        <v>1041</v>
      </c>
      <c r="AE337" s="721" t="s">
        <v>1041</v>
      </c>
      <c r="AF337" s="616" t="s">
        <v>2683</v>
      </c>
      <c r="AG337" s="598"/>
      <c r="AH337" s="598"/>
      <c r="AI337" s="598" t="s">
        <v>1318</v>
      </c>
      <c r="AJ337" s="598"/>
      <c r="AK337" s="626"/>
      <c r="AL337" s="626"/>
    </row>
    <row r="338" spans="1:38" ht="18" customHeight="1">
      <c r="A338" s="593"/>
      <c r="B338" s="598">
        <v>321</v>
      </c>
      <c r="C338" s="598" t="s">
        <v>2646</v>
      </c>
      <c r="D338" s="598">
        <f t="shared" si="3"/>
        <v>300</v>
      </c>
      <c r="E338" s="616" t="s">
        <v>1798</v>
      </c>
      <c r="F338" s="616" t="s">
        <v>2624</v>
      </c>
      <c r="G338" s="618" t="s">
        <v>1225</v>
      </c>
      <c r="H338" s="618" t="s">
        <v>185</v>
      </c>
      <c r="I338" s="618" t="s">
        <v>2623</v>
      </c>
      <c r="J338" s="618" t="s">
        <v>2623</v>
      </c>
      <c r="K338" s="618" t="s">
        <v>2673</v>
      </c>
      <c r="L338" s="619" t="s">
        <v>2667</v>
      </c>
      <c r="M338" s="620"/>
      <c r="N338" s="620"/>
      <c r="O338" s="663" t="s">
        <v>1044</v>
      </c>
      <c r="P338" s="621" t="s">
        <v>319</v>
      </c>
      <c r="Q338" s="598"/>
      <c r="R338" s="598"/>
      <c r="S338" s="598"/>
      <c r="T338" s="598" t="s">
        <v>1090</v>
      </c>
      <c r="U338" s="663" t="s">
        <v>306</v>
      </c>
      <c r="V338" s="616" t="s">
        <v>2647</v>
      </c>
      <c r="W338" s="598" t="s">
        <v>963</v>
      </c>
      <c r="X338" s="624">
        <v>18451</v>
      </c>
      <c r="Y338" s="625">
        <f t="shared" ca="1" si="4"/>
        <v>75</v>
      </c>
      <c r="Z338" s="616" t="s">
        <v>2648</v>
      </c>
      <c r="AA338" s="598"/>
      <c r="AB338" s="598" t="s">
        <v>996</v>
      </c>
      <c r="AC338" s="644" t="s">
        <v>997</v>
      </c>
      <c r="AD338" s="616" t="s">
        <v>1041</v>
      </c>
      <c r="AE338" s="721" t="s">
        <v>1041</v>
      </c>
      <c r="AF338" s="616" t="s">
        <v>2649</v>
      </c>
      <c r="AG338" s="598"/>
      <c r="AH338" s="598"/>
      <c r="AI338" s="634" t="s">
        <v>1359</v>
      </c>
      <c r="AJ338" s="598"/>
      <c r="AK338" s="626"/>
      <c r="AL338" s="626"/>
    </row>
    <row r="339" spans="1:38" ht="18" customHeight="1">
      <c r="A339" s="593"/>
      <c r="B339" s="598">
        <v>322</v>
      </c>
      <c r="C339" s="598" t="s">
        <v>2650</v>
      </c>
      <c r="D339" s="598">
        <f t="shared" si="3"/>
        <v>301</v>
      </c>
      <c r="E339" s="616" t="s">
        <v>1798</v>
      </c>
      <c r="F339" s="616" t="s">
        <v>2624</v>
      </c>
      <c r="G339" s="618" t="s">
        <v>1225</v>
      </c>
      <c r="H339" s="618" t="s">
        <v>185</v>
      </c>
      <c r="I339" s="618" t="s">
        <v>2623</v>
      </c>
      <c r="J339" s="618" t="s">
        <v>2623</v>
      </c>
      <c r="K339" s="618" t="s">
        <v>2673</v>
      </c>
      <c r="L339" s="619" t="s">
        <v>2667</v>
      </c>
      <c r="M339" s="620"/>
      <c r="N339" s="620"/>
      <c r="O339" s="663" t="s">
        <v>1044</v>
      </c>
      <c r="P339" s="621" t="s">
        <v>319</v>
      </c>
      <c r="Q339" s="598"/>
      <c r="R339" s="598"/>
      <c r="S339" s="598"/>
      <c r="T339" s="598" t="s">
        <v>962</v>
      </c>
      <c r="U339" s="663" t="s">
        <v>311</v>
      </c>
      <c r="V339" s="616" t="s">
        <v>2651</v>
      </c>
      <c r="W339" s="598" t="s">
        <v>963</v>
      </c>
      <c r="X339" s="624">
        <v>25791</v>
      </c>
      <c r="Y339" s="625">
        <f t="shared" ca="1" si="4"/>
        <v>55</v>
      </c>
      <c r="Z339" s="616" t="s">
        <v>2652</v>
      </c>
      <c r="AA339" s="598" t="s">
        <v>2653</v>
      </c>
      <c r="AB339" s="598" t="s">
        <v>996</v>
      </c>
      <c r="AC339" s="598" t="s">
        <v>997</v>
      </c>
      <c r="AD339" s="616" t="s">
        <v>1041</v>
      </c>
      <c r="AE339" s="721" t="s">
        <v>1041</v>
      </c>
      <c r="AF339" s="616" t="s">
        <v>2654</v>
      </c>
      <c r="AG339" s="598"/>
      <c r="AH339" s="598"/>
      <c r="AI339" s="634" t="s">
        <v>1359</v>
      </c>
      <c r="AJ339" s="598"/>
      <c r="AK339" s="626"/>
      <c r="AL339" s="626"/>
    </row>
    <row r="340" spans="1:38" ht="18" customHeight="1">
      <c r="A340" s="593"/>
      <c r="B340" s="598">
        <v>323</v>
      </c>
      <c r="C340" s="598" t="s">
        <v>2693</v>
      </c>
      <c r="D340" s="598">
        <f t="shared" si="3"/>
        <v>302</v>
      </c>
      <c r="E340" s="616" t="s">
        <v>1798</v>
      </c>
      <c r="F340" s="616" t="s">
        <v>2624</v>
      </c>
      <c r="G340" s="618" t="s">
        <v>1225</v>
      </c>
      <c r="H340" s="618" t="s">
        <v>185</v>
      </c>
      <c r="I340" s="618" t="s">
        <v>2623</v>
      </c>
      <c r="J340" s="618" t="s">
        <v>2623</v>
      </c>
      <c r="K340" s="618" t="s">
        <v>2673</v>
      </c>
      <c r="L340" s="619" t="s">
        <v>2667</v>
      </c>
      <c r="M340" s="620"/>
      <c r="N340" s="620"/>
      <c r="O340" s="663" t="s">
        <v>1044</v>
      </c>
      <c r="P340" s="621"/>
      <c r="Q340" s="598"/>
      <c r="R340" s="598"/>
      <c r="S340" s="598"/>
      <c r="T340" s="598" t="s">
        <v>962</v>
      </c>
      <c r="U340" s="663" t="s">
        <v>245</v>
      </c>
      <c r="V340" s="616" t="s">
        <v>2694</v>
      </c>
      <c r="W340" s="598" t="s">
        <v>963</v>
      </c>
      <c r="X340" s="624">
        <v>29343</v>
      </c>
      <c r="Y340" s="625">
        <f t="shared" ca="1" si="4"/>
        <v>45</v>
      </c>
      <c r="Z340" s="616" t="s">
        <v>2695</v>
      </c>
      <c r="AA340" s="598" t="s">
        <v>2696</v>
      </c>
      <c r="AB340" s="598" t="s">
        <v>996</v>
      </c>
      <c r="AC340" s="598" t="s">
        <v>1018</v>
      </c>
      <c r="AD340" s="616" t="s">
        <v>729</v>
      </c>
      <c r="AE340" s="616" t="s">
        <v>1041</v>
      </c>
      <c r="AF340" s="616" t="s">
        <v>2697</v>
      </c>
      <c r="AG340" s="598" t="s">
        <v>1775</v>
      </c>
      <c r="AH340" s="598" t="s">
        <v>2698</v>
      </c>
      <c r="AI340" s="598" t="s">
        <v>1452</v>
      </c>
      <c r="AJ340" s="598"/>
      <c r="AK340" s="626"/>
      <c r="AL340" s="626"/>
    </row>
    <row r="341" spans="1:38" ht="18" customHeight="1">
      <c r="A341" s="278"/>
      <c r="B341" s="598">
        <v>324</v>
      </c>
      <c r="C341" s="689" t="s">
        <v>2661</v>
      </c>
      <c r="D341" s="598">
        <f t="shared" si="3"/>
        <v>303</v>
      </c>
      <c r="E341" s="689" t="s">
        <v>1798</v>
      </c>
      <c r="F341" s="616" t="s">
        <v>2624</v>
      </c>
      <c r="G341" s="618" t="s">
        <v>1225</v>
      </c>
      <c r="H341" s="618" t="s">
        <v>185</v>
      </c>
      <c r="I341" s="618" t="s">
        <v>2623</v>
      </c>
      <c r="J341" s="618" t="s">
        <v>2623</v>
      </c>
      <c r="K341" s="618" t="s">
        <v>2673</v>
      </c>
      <c r="L341" s="619" t="s">
        <v>2667</v>
      </c>
      <c r="M341" s="691"/>
      <c r="N341" s="691"/>
      <c r="O341" s="663" t="s">
        <v>1044</v>
      </c>
      <c r="P341" s="693"/>
      <c r="Q341" s="694"/>
      <c r="R341" s="694"/>
      <c r="S341" s="694"/>
      <c r="T341" s="689" t="s">
        <v>992</v>
      </c>
      <c r="U341" s="719" t="s">
        <v>2662</v>
      </c>
      <c r="V341" s="689" t="s">
        <v>2663</v>
      </c>
      <c r="W341" s="689" t="s">
        <v>963</v>
      </c>
      <c r="X341" s="695">
        <v>35416</v>
      </c>
      <c r="Y341" s="696">
        <f t="shared" ca="1" si="4"/>
        <v>29</v>
      </c>
      <c r="Z341" s="694"/>
      <c r="AA341" s="722" t="s">
        <v>2664</v>
      </c>
      <c r="AB341" s="689" t="s">
        <v>996</v>
      </c>
      <c r="AC341" s="689" t="s">
        <v>997</v>
      </c>
      <c r="AD341" s="689" t="s">
        <v>1041</v>
      </c>
      <c r="AE341" s="689" t="s">
        <v>1041</v>
      </c>
      <c r="AF341" s="689" t="s">
        <v>2665</v>
      </c>
      <c r="AG341" s="697" t="s">
        <v>1775</v>
      </c>
      <c r="AH341" s="689" t="s">
        <v>2666</v>
      </c>
      <c r="AI341" s="694"/>
      <c r="AJ341" s="694"/>
      <c r="AK341" s="627"/>
      <c r="AL341" s="627"/>
    </row>
    <row r="342" spans="1:38" ht="18" customHeight="1">
      <c r="A342" s="593"/>
      <c r="B342" s="598">
        <v>325</v>
      </c>
      <c r="C342" s="598" t="s">
        <v>2699</v>
      </c>
      <c r="D342" s="598">
        <f t="shared" si="3"/>
        <v>304</v>
      </c>
      <c r="E342" s="616" t="s">
        <v>1798</v>
      </c>
      <c r="F342" s="616" t="s">
        <v>2624</v>
      </c>
      <c r="G342" s="618" t="s">
        <v>1225</v>
      </c>
      <c r="H342" s="618" t="s">
        <v>185</v>
      </c>
      <c r="I342" s="618" t="s">
        <v>2623</v>
      </c>
      <c r="J342" s="618" t="s">
        <v>2699</v>
      </c>
      <c r="K342" s="618" t="s">
        <v>2700</v>
      </c>
      <c r="L342" s="619"/>
      <c r="M342" s="620"/>
      <c r="N342" s="620"/>
      <c r="O342" s="667" t="s">
        <v>1074</v>
      </c>
      <c r="P342" s="621"/>
      <c r="Q342" s="598" t="s">
        <v>55</v>
      </c>
      <c r="R342" s="598" t="s">
        <v>178</v>
      </c>
      <c r="S342" s="598"/>
      <c r="T342" s="623" t="s">
        <v>962</v>
      </c>
      <c r="U342" s="667" t="s">
        <v>2701</v>
      </c>
      <c r="V342" s="674" t="s">
        <v>2702</v>
      </c>
      <c r="W342" s="598" t="s">
        <v>963</v>
      </c>
      <c r="X342" s="624">
        <v>26171</v>
      </c>
      <c r="Y342" s="625">
        <f t="shared" ca="1" si="4"/>
        <v>54</v>
      </c>
      <c r="Z342" s="616" t="s">
        <v>2703</v>
      </c>
      <c r="AA342" s="598" t="s">
        <v>2704</v>
      </c>
      <c r="AB342" s="598" t="s">
        <v>966</v>
      </c>
      <c r="AC342" s="598" t="s">
        <v>953</v>
      </c>
      <c r="AD342" s="616" t="s">
        <v>1041</v>
      </c>
      <c r="AE342" s="616" t="s">
        <v>1041</v>
      </c>
      <c r="AF342" s="616" t="s">
        <v>2665</v>
      </c>
      <c r="AG342" s="598"/>
      <c r="AH342" s="598"/>
      <c r="AI342" s="598"/>
      <c r="AJ342" s="598"/>
      <c r="AK342" s="626"/>
      <c r="AL342" s="626"/>
    </row>
    <row r="343" spans="1:38" ht="18" customHeight="1">
      <c r="A343" s="593"/>
      <c r="B343" s="598">
        <v>326</v>
      </c>
      <c r="C343" s="598" t="s">
        <v>2700</v>
      </c>
      <c r="D343" s="598">
        <f t="shared" si="3"/>
        <v>305</v>
      </c>
      <c r="E343" s="616" t="s">
        <v>1798</v>
      </c>
      <c r="F343" s="616" t="s">
        <v>2624</v>
      </c>
      <c r="G343" s="618" t="s">
        <v>1225</v>
      </c>
      <c r="H343" s="618" t="s">
        <v>185</v>
      </c>
      <c r="I343" s="618" t="s">
        <v>2623</v>
      </c>
      <c r="J343" s="618" t="s">
        <v>2699</v>
      </c>
      <c r="K343" s="618" t="s">
        <v>2700</v>
      </c>
      <c r="L343" s="619"/>
      <c r="M343" s="620"/>
      <c r="N343" s="620"/>
      <c r="O343" s="663" t="s">
        <v>1074</v>
      </c>
      <c r="P343" s="621"/>
      <c r="Q343" s="598" t="s">
        <v>69</v>
      </c>
      <c r="R343" s="598" t="s">
        <v>562</v>
      </c>
      <c r="S343" s="598"/>
      <c r="T343" s="623" t="s">
        <v>962</v>
      </c>
      <c r="U343" s="663" t="s">
        <v>2705</v>
      </c>
      <c r="V343" s="674" t="s">
        <v>2706</v>
      </c>
      <c r="W343" s="598" t="s">
        <v>963</v>
      </c>
      <c r="X343" s="624">
        <v>27634</v>
      </c>
      <c r="Y343" s="625">
        <f t="shared" ca="1" si="4"/>
        <v>50</v>
      </c>
      <c r="Z343" s="616" t="s">
        <v>2707</v>
      </c>
      <c r="AA343" s="598" t="s">
        <v>2708</v>
      </c>
      <c r="AB343" s="598" t="s">
        <v>966</v>
      </c>
      <c r="AC343" s="598" t="s">
        <v>953</v>
      </c>
      <c r="AD343" s="616" t="s">
        <v>1041</v>
      </c>
      <c r="AE343" s="616" t="s">
        <v>1041</v>
      </c>
      <c r="AF343" s="616" t="s">
        <v>2672</v>
      </c>
      <c r="AG343" s="598"/>
      <c r="AH343" s="598"/>
      <c r="AI343" s="598" t="s">
        <v>1125</v>
      </c>
      <c r="AJ343" s="598"/>
      <c r="AK343" s="626"/>
      <c r="AL343" s="626"/>
    </row>
    <row r="344" spans="1:38" ht="18" customHeight="1">
      <c r="A344" s="593"/>
      <c r="B344" s="598">
        <v>327</v>
      </c>
      <c r="C344" s="598" t="s">
        <v>2709</v>
      </c>
      <c r="D344" s="598">
        <f t="shared" si="3"/>
        <v>306</v>
      </c>
      <c r="E344" s="616" t="s">
        <v>1798</v>
      </c>
      <c r="F344" s="616" t="s">
        <v>2624</v>
      </c>
      <c r="G344" s="618" t="s">
        <v>1225</v>
      </c>
      <c r="H344" s="618" t="s">
        <v>185</v>
      </c>
      <c r="I344" s="618" t="s">
        <v>2623</v>
      </c>
      <c r="J344" s="618" t="s">
        <v>2699</v>
      </c>
      <c r="K344" s="618" t="s">
        <v>2700</v>
      </c>
      <c r="L344" s="619"/>
      <c r="M344" s="620"/>
      <c r="N344" s="620"/>
      <c r="O344" s="663" t="s">
        <v>1074</v>
      </c>
      <c r="P344" s="621"/>
      <c r="Q344" s="598"/>
      <c r="R344" s="598"/>
      <c r="S344" s="598"/>
      <c r="T344" s="623" t="s">
        <v>962</v>
      </c>
      <c r="U344" s="663" t="s">
        <v>302</v>
      </c>
      <c r="V344" s="674" t="s">
        <v>2710</v>
      </c>
      <c r="W344" s="598" t="s">
        <v>963</v>
      </c>
      <c r="X344" s="624">
        <v>26832</v>
      </c>
      <c r="Y344" s="625">
        <f t="shared" ca="1" si="4"/>
        <v>52</v>
      </c>
      <c r="Z344" s="616" t="s">
        <v>2711</v>
      </c>
      <c r="AA344" s="598" t="s">
        <v>2712</v>
      </c>
      <c r="AB344" s="598" t="s">
        <v>996</v>
      </c>
      <c r="AC344" s="598" t="s">
        <v>997</v>
      </c>
      <c r="AD344" s="616" t="s">
        <v>1041</v>
      </c>
      <c r="AE344" s="616" t="s">
        <v>1041</v>
      </c>
      <c r="AF344" s="616" t="s">
        <v>2713</v>
      </c>
      <c r="AG344" s="598"/>
      <c r="AH344" s="598"/>
      <c r="AI344" s="598" t="s">
        <v>1025</v>
      </c>
      <c r="AJ344" s="598"/>
      <c r="AK344" s="626"/>
      <c r="AL344" s="626"/>
    </row>
    <row r="345" spans="1:38" ht="18" customHeight="1">
      <c r="A345" s="593"/>
      <c r="B345" s="598">
        <v>328</v>
      </c>
      <c r="C345" s="598" t="s">
        <v>3846</v>
      </c>
      <c r="D345" s="598">
        <f t="shared" si="3"/>
        <v>307</v>
      </c>
      <c r="E345" s="616" t="s">
        <v>3808</v>
      </c>
      <c r="F345" s="616" t="s">
        <v>2624</v>
      </c>
      <c r="G345" s="618" t="s">
        <v>1225</v>
      </c>
      <c r="H345" s="618" t="s">
        <v>185</v>
      </c>
      <c r="I345" s="618" t="s">
        <v>2623</v>
      </c>
      <c r="J345" s="618" t="s">
        <v>2699</v>
      </c>
      <c r="K345" s="618" t="s">
        <v>2700</v>
      </c>
      <c r="L345" s="619"/>
      <c r="M345" s="620"/>
      <c r="N345" s="620"/>
      <c r="O345" s="663" t="s">
        <v>1074</v>
      </c>
      <c r="P345" s="621"/>
      <c r="Q345" s="598"/>
      <c r="R345" s="598"/>
      <c r="S345" s="598"/>
      <c r="T345" s="623" t="s">
        <v>962</v>
      </c>
      <c r="U345" s="663" t="s">
        <v>3847</v>
      </c>
      <c r="V345" s="674" t="s">
        <v>3848</v>
      </c>
      <c r="W345" s="598" t="s">
        <v>963</v>
      </c>
      <c r="X345" s="624">
        <v>23664</v>
      </c>
      <c r="Y345" s="625">
        <f t="shared" ca="1" si="4"/>
        <v>61</v>
      </c>
      <c r="Z345" s="616" t="s">
        <v>3849</v>
      </c>
      <c r="AA345" s="598" t="s">
        <v>3850</v>
      </c>
      <c r="AB345" s="598" t="s">
        <v>966</v>
      </c>
      <c r="AC345" s="598" t="s">
        <v>953</v>
      </c>
      <c r="AD345" s="616" t="s">
        <v>246</v>
      </c>
      <c r="AE345" s="616" t="s">
        <v>246</v>
      </c>
      <c r="AF345" s="616" t="s">
        <v>3815</v>
      </c>
      <c r="AG345" s="598"/>
      <c r="AH345" s="598"/>
      <c r="AI345" s="598" t="s">
        <v>1125</v>
      </c>
      <c r="AJ345" s="598"/>
      <c r="AK345" s="626">
        <v>-3</v>
      </c>
      <c r="AL345" s="626"/>
    </row>
    <row r="346" spans="1:38" ht="18" customHeight="1">
      <c r="A346" s="593"/>
      <c r="B346" s="598">
        <v>329</v>
      </c>
      <c r="C346" s="598" t="s">
        <v>1797</v>
      </c>
      <c r="D346" s="598">
        <f t="shared" si="3"/>
        <v>308</v>
      </c>
      <c r="E346" s="616" t="s">
        <v>1798</v>
      </c>
      <c r="F346" s="616" t="s">
        <v>2624</v>
      </c>
      <c r="G346" s="618" t="s">
        <v>1225</v>
      </c>
      <c r="H346" s="618" t="s">
        <v>185</v>
      </c>
      <c r="I346" s="618" t="s">
        <v>2623</v>
      </c>
      <c r="J346" s="618" t="s">
        <v>2699</v>
      </c>
      <c r="K346" s="618" t="s">
        <v>2700</v>
      </c>
      <c r="L346" s="619"/>
      <c r="M346" s="620"/>
      <c r="N346" s="620"/>
      <c r="O346" s="663" t="s">
        <v>1074</v>
      </c>
      <c r="P346" s="621"/>
      <c r="Q346" s="598"/>
      <c r="R346" s="598"/>
      <c r="S346" s="598"/>
      <c r="T346" s="623" t="s">
        <v>962</v>
      </c>
      <c r="U346" s="663" t="s">
        <v>1799</v>
      </c>
      <c r="V346" s="674" t="s">
        <v>1800</v>
      </c>
      <c r="W346" s="598" t="s">
        <v>963</v>
      </c>
      <c r="X346" s="624">
        <v>31932</v>
      </c>
      <c r="Y346" s="625">
        <f t="shared" ca="1" si="4"/>
        <v>38</v>
      </c>
      <c r="Z346" s="616" t="s">
        <v>1801</v>
      </c>
      <c r="AA346" s="598" t="s">
        <v>1802</v>
      </c>
      <c r="AB346" s="598" t="s">
        <v>966</v>
      </c>
      <c r="AC346" s="598" t="s">
        <v>953</v>
      </c>
      <c r="AD346" s="616" t="s">
        <v>1494</v>
      </c>
      <c r="AE346" s="616" t="s">
        <v>1494</v>
      </c>
      <c r="AF346" s="616" t="s">
        <v>1803</v>
      </c>
      <c r="AG346" s="598"/>
      <c r="AH346" s="598"/>
      <c r="AI346" s="598" t="s">
        <v>1125</v>
      </c>
      <c r="AJ346" s="598"/>
      <c r="AK346" s="626"/>
      <c r="AL346" s="626"/>
    </row>
    <row r="347" spans="1:38" ht="18" customHeight="1">
      <c r="A347" s="593"/>
      <c r="B347" s="598">
        <v>330</v>
      </c>
      <c r="C347" s="598" t="s">
        <v>2893</v>
      </c>
      <c r="D347" s="598">
        <f t="shared" si="3"/>
        <v>309</v>
      </c>
      <c r="E347" s="616" t="s">
        <v>1798</v>
      </c>
      <c r="F347" s="616" t="s">
        <v>2624</v>
      </c>
      <c r="G347" s="618" t="s">
        <v>1225</v>
      </c>
      <c r="H347" s="618" t="s">
        <v>185</v>
      </c>
      <c r="I347" s="618" t="s">
        <v>2623</v>
      </c>
      <c r="J347" s="618" t="s">
        <v>2699</v>
      </c>
      <c r="K347" s="618" t="s">
        <v>2700</v>
      </c>
      <c r="L347" s="619"/>
      <c r="M347" s="620"/>
      <c r="N347" s="620"/>
      <c r="O347" s="663" t="s">
        <v>1074</v>
      </c>
      <c r="P347" s="621"/>
      <c r="Q347" s="598"/>
      <c r="R347" s="598"/>
      <c r="S347" s="598"/>
      <c r="T347" s="623" t="s">
        <v>1015</v>
      </c>
      <c r="U347" s="663" t="s">
        <v>2894</v>
      </c>
      <c r="V347" s="674" t="s">
        <v>2895</v>
      </c>
      <c r="W347" s="598" t="s">
        <v>950</v>
      </c>
      <c r="X347" s="624">
        <v>27553</v>
      </c>
      <c r="Y347" s="625">
        <f t="shared" ca="1" si="4"/>
        <v>50</v>
      </c>
      <c r="Z347" s="616" t="s">
        <v>2896</v>
      </c>
      <c r="AA347" s="598" t="s">
        <v>2897</v>
      </c>
      <c r="AB347" s="598" t="s">
        <v>996</v>
      </c>
      <c r="AC347" s="598" t="s">
        <v>997</v>
      </c>
      <c r="AD347" s="616" t="s">
        <v>1041</v>
      </c>
      <c r="AE347" s="616" t="s">
        <v>1041</v>
      </c>
      <c r="AF347" s="616" t="s">
        <v>2898</v>
      </c>
      <c r="AG347" s="598"/>
      <c r="AH347" s="598"/>
      <c r="AI347" s="598" t="s">
        <v>1125</v>
      </c>
      <c r="AJ347" s="598"/>
      <c r="AK347" s="626"/>
      <c r="AL347" s="626"/>
    </row>
    <row r="348" spans="1:38" ht="18" customHeight="1">
      <c r="A348" s="593"/>
      <c r="B348" s="598">
        <v>331</v>
      </c>
      <c r="C348" s="598" t="s">
        <v>2813</v>
      </c>
      <c r="D348" s="598">
        <f t="shared" si="3"/>
        <v>310</v>
      </c>
      <c r="E348" s="616" t="s">
        <v>1798</v>
      </c>
      <c r="F348" s="616" t="s">
        <v>2624</v>
      </c>
      <c r="G348" s="618" t="s">
        <v>1225</v>
      </c>
      <c r="H348" s="618" t="s">
        <v>185</v>
      </c>
      <c r="I348" s="618" t="s">
        <v>2623</v>
      </c>
      <c r="J348" s="618" t="s">
        <v>2699</v>
      </c>
      <c r="K348" s="618" t="s">
        <v>2700</v>
      </c>
      <c r="L348" s="619"/>
      <c r="M348" s="620"/>
      <c r="N348" s="620"/>
      <c r="O348" s="663" t="s">
        <v>1074</v>
      </c>
      <c r="P348" s="621"/>
      <c r="Q348" s="598"/>
      <c r="R348" s="598"/>
      <c r="S348" s="598"/>
      <c r="T348" s="623" t="s">
        <v>1015</v>
      </c>
      <c r="U348" s="663" t="s">
        <v>2814</v>
      </c>
      <c r="V348" s="674" t="s">
        <v>2815</v>
      </c>
      <c r="W348" s="598" t="s">
        <v>950</v>
      </c>
      <c r="X348" s="624">
        <v>30200</v>
      </c>
      <c r="Y348" s="625">
        <f t="shared" ca="1" si="4"/>
        <v>43</v>
      </c>
      <c r="Z348" s="616" t="s">
        <v>2816</v>
      </c>
      <c r="AA348" s="598" t="s">
        <v>2817</v>
      </c>
      <c r="AB348" s="598" t="s">
        <v>996</v>
      </c>
      <c r="AC348" s="598" t="s">
        <v>997</v>
      </c>
      <c r="AD348" s="616" t="s">
        <v>1041</v>
      </c>
      <c r="AE348" s="616" t="s">
        <v>1041</v>
      </c>
      <c r="AF348" s="616" t="s">
        <v>2672</v>
      </c>
      <c r="AG348" s="598"/>
      <c r="AH348" s="598"/>
      <c r="AI348" s="598" t="s">
        <v>1125</v>
      </c>
      <c r="AJ348" s="598"/>
      <c r="AK348" s="626"/>
      <c r="AL348" s="626"/>
    </row>
    <row r="349" spans="1:38" ht="18" customHeight="1">
      <c r="A349" s="593"/>
      <c r="B349" s="598">
        <v>332</v>
      </c>
      <c r="C349" s="598" t="s">
        <v>2714</v>
      </c>
      <c r="D349" s="598">
        <f t="shared" si="3"/>
        <v>311</v>
      </c>
      <c r="E349" s="616" t="s">
        <v>1798</v>
      </c>
      <c r="F349" s="616" t="s">
        <v>2624</v>
      </c>
      <c r="G349" s="618" t="s">
        <v>1225</v>
      </c>
      <c r="H349" s="618" t="s">
        <v>185</v>
      </c>
      <c r="I349" s="618" t="s">
        <v>2623</v>
      </c>
      <c r="J349" s="618" t="s">
        <v>2699</v>
      </c>
      <c r="K349" s="618" t="s">
        <v>2700</v>
      </c>
      <c r="L349" s="619"/>
      <c r="M349" s="620"/>
      <c r="N349" s="620"/>
      <c r="O349" s="663" t="s">
        <v>1074</v>
      </c>
      <c r="P349" s="621"/>
      <c r="Q349" s="598"/>
      <c r="R349" s="598"/>
      <c r="S349" s="598"/>
      <c r="T349" s="623" t="s">
        <v>962</v>
      </c>
      <c r="U349" s="663" t="s">
        <v>2715</v>
      </c>
      <c r="V349" s="674" t="s">
        <v>2716</v>
      </c>
      <c r="W349" s="598" t="s">
        <v>963</v>
      </c>
      <c r="X349" s="624">
        <v>30794</v>
      </c>
      <c r="Y349" s="625">
        <f t="shared" ca="1" si="4"/>
        <v>41</v>
      </c>
      <c r="Z349" s="616" t="s">
        <v>2717</v>
      </c>
      <c r="AA349" s="598" t="s">
        <v>2718</v>
      </c>
      <c r="AB349" s="598" t="s">
        <v>996</v>
      </c>
      <c r="AC349" s="598" t="s">
        <v>997</v>
      </c>
      <c r="AD349" s="616" t="s">
        <v>1041</v>
      </c>
      <c r="AE349" s="721" t="s">
        <v>1041</v>
      </c>
      <c r="AF349" s="616" t="s">
        <v>2672</v>
      </c>
      <c r="AG349" s="598"/>
      <c r="AH349" s="598"/>
      <c r="AI349" s="598" t="s">
        <v>1107</v>
      </c>
      <c r="AJ349" s="598"/>
      <c r="AK349" s="626"/>
      <c r="AL349" s="626"/>
    </row>
    <row r="350" spans="1:38" ht="18" customHeight="1">
      <c r="A350" s="593"/>
      <c r="B350" s="598">
        <v>333</v>
      </c>
      <c r="C350" s="598" t="s">
        <v>2719</v>
      </c>
      <c r="D350" s="598">
        <f t="shared" si="3"/>
        <v>312</v>
      </c>
      <c r="E350" s="616" t="s">
        <v>1798</v>
      </c>
      <c r="F350" s="616" t="s">
        <v>2624</v>
      </c>
      <c r="G350" s="618" t="s">
        <v>1225</v>
      </c>
      <c r="H350" s="618" t="s">
        <v>185</v>
      </c>
      <c r="I350" s="618" t="s">
        <v>2623</v>
      </c>
      <c r="J350" s="618" t="s">
        <v>2699</v>
      </c>
      <c r="K350" s="618" t="s">
        <v>2700</v>
      </c>
      <c r="L350" s="619"/>
      <c r="M350" s="620"/>
      <c r="N350" s="620"/>
      <c r="O350" s="663" t="s">
        <v>1074</v>
      </c>
      <c r="P350" s="621" t="s">
        <v>319</v>
      </c>
      <c r="Q350" s="598"/>
      <c r="R350" s="598"/>
      <c r="S350" s="598"/>
      <c r="T350" s="623" t="s">
        <v>962</v>
      </c>
      <c r="U350" s="664" t="s">
        <v>307</v>
      </c>
      <c r="V350" s="674" t="s">
        <v>2720</v>
      </c>
      <c r="W350" s="598" t="s">
        <v>963</v>
      </c>
      <c r="X350" s="624">
        <v>32505</v>
      </c>
      <c r="Y350" s="625">
        <f t="shared" ca="1" si="4"/>
        <v>37</v>
      </c>
      <c r="Z350" s="616" t="s">
        <v>2721</v>
      </c>
      <c r="AA350" s="598" t="s">
        <v>2722</v>
      </c>
      <c r="AB350" s="598" t="s">
        <v>996</v>
      </c>
      <c r="AC350" s="644" t="s">
        <v>997</v>
      </c>
      <c r="AD350" s="616" t="s">
        <v>1041</v>
      </c>
      <c r="AE350" s="616" t="s">
        <v>1041</v>
      </c>
      <c r="AF350" s="616" t="s">
        <v>2672</v>
      </c>
      <c r="AG350" s="598"/>
      <c r="AH350" s="598"/>
      <c r="AI350" s="647" t="s">
        <v>1513</v>
      </c>
      <c r="AJ350" s="598"/>
      <c r="AK350" s="626"/>
      <c r="AL350" s="626"/>
    </row>
    <row r="351" spans="1:38" ht="18" customHeight="1">
      <c r="A351" s="593"/>
      <c r="B351" s="598">
        <v>334</v>
      </c>
      <c r="C351" s="598" t="s">
        <v>2723</v>
      </c>
      <c r="D351" s="598">
        <f t="shared" si="3"/>
        <v>313</v>
      </c>
      <c r="E351" s="616" t="s">
        <v>1798</v>
      </c>
      <c r="F351" s="616" t="s">
        <v>2624</v>
      </c>
      <c r="G351" s="618" t="s">
        <v>1225</v>
      </c>
      <c r="H351" s="618" t="s">
        <v>185</v>
      </c>
      <c r="I351" s="618" t="s">
        <v>2623</v>
      </c>
      <c r="J351" s="618" t="s">
        <v>2699</v>
      </c>
      <c r="K351" s="618" t="s">
        <v>2700</v>
      </c>
      <c r="L351" s="619"/>
      <c r="M351" s="620"/>
      <c r="N351" s="620"/>
      <c r="O351" s="663" t="s">
        <v>1074</v>
      </c>
      <c r="P351" s="621" t="s">
        <v>319</v>
      </c>
      <c r="Q351" s="598"/>
      <c r="R351" s="598"/>
      <c r="S351" s="598"/>
      <c r="T351" s="623" t="s">
        <v>962</v>
      </c>
      <c r="U351" s="718" t="s">
        <v>787</v>
      </c>
      <c r="V351" s="708" t="s">
        <v>2724</v>
      </c>
      <c r="W351" s="598" t="s">
        <v>963</v>
      </c>
      <c r="X351" s="624">
        <v>31410</v>
      </c>
      <c r="Y351" s="625">
        <f t="shared" ca="1" si="4"/>
        <v>40</v>
      </c>
      <c r="Z351" s="711" t="s">
        <v>2725</v>
      </c>
      <c r="AA351" s="598"/>
      <c r="AB351" s="598" t="s">
        <v>996</v>
      </c>
      <c r="AC351" s="598" t="s">
        <v>1018</v>
      </c>
      <c r="AD351" s="616" t="s">
        <v>1041</v>
      </c>
      <c r="AE351" s="616" t="s">
        <v>1250</v>
      </c>
      <c r="AF351" s="616" t="s">
        <v>2726</v>
      </c>
      <c r="AG351" s="598"/>
      <c r="AH351" s="598"/>
      <c r="AI351" s="701" t="s">
        <v>1575</v>
      </c>
      <c r="AJ351" s="598"/>
      <c r="AK351" s="626"/>
      <c r="AL351" s="626"/>
    </row>
    <row r="352" spans="1:38" ht="18" customHeight="1">
      <c r="A352" s="593"/>
      <c r="B352" s="598">
        <v>335</v>
      </c>
      <c r="C352" s="598" t="s">
        <v>2745</v>
      </c>
      <c r="D352" s="598">
        <f t="shared" si="3"/>
        <v>314</v>
      </c>
      <c r="E352" s="616" t="s">
        <v>1798</v>
      </c>
      <c r="F352" s="616" t="s">
        <v>4687</v>
      </c>
      <c r="G352" s="618" t="s">
        <v>1225</v>
      </c>
      <c r="H352" s="618" t="s">
        <v>2747</v>
      </c>
      <c r="I352" s="618" t="s">
        <v>2745</v>
      </c>
      <c r="J352" s="618" t="s">
        <v>2745</v>
      </c>
      <c r="K352" s="618"/>
      <c r="L352" s="619"/>
      <c r="M352" s="620"/>
      <c r="N352" s="620"/>
      <c r="O352" s="667" t="s">
        <v>2625</v>
      </c>
      <c r="P352" s="621"/>
      <c r="Q352" s="598" t="s">
        <v>173</v>
      </c>
      <c r="R352" s="598" t="s">
        <v>514</v>
      </c>
      <c r="S352" s="598" t="s">
        <v>55</v>
      </c>
      <c r="T352" s="598" t="s">
        <v>1015</v>
      </c>
      <c r="U352" s="669" t="s">
        <v>2747</v>
      </c>
      <c r="V352" s="616" t="s">
        <v>2749</v>
      </c>
      <c r="W352" s="598" t="s">
        <v>950</v>
      </c>
      <c r="X352" s="624">
        <v>25905</v>
      </c>
      <c r="Y352" s="625">
        <f t="shared" ca="1" si="4"/>
        <v>55</v>
      </c>
      <c r="Z352" s="616" t="s">
        <v>2750</v>
      </c>
      <c r="AA352" s="598" t="s">
        <v>2751</v>
      </c>
      <c r="AB352" s="598" t="s">
        <v>966</v>
      </c>
      <c r="AC352" s="598" t="s">
        <v>953</v>
      </c>
      <c r="AD352" s="616" t="s">
        <v>1041</v>
      </c>
      <c r="AE352" s="616" t="s">
        <v>1041</v>
      </c>
      <c r="AF352" s="616" t="s">
        <v>2630</v>
      </c>
      <c r="AG352" s="598"/>
      <c r="AH352" s="598"/>
      <c r="AI352" s="598" t="s">
        <v>1440</v>
      </c>
      <c r="AJ352" s="598"/>
      <c r="AK352" s="626"/>
      <c r="AL352" s="626"/>
    </row>
    <row r="353" spans="1:38" ht="18" customHeight="1">
      <c r="A353" s="593"/>
      <c r="B353" s="598">
        <v>337</v>
      </c>
      <c r="C353" s="598" t="s">
        <v>2785</v>
      </c>
      <c r="D353" s="598">
        <f t="shared" si="3"/>
        <v>315</v>
      </c>
      <c r="E353" s="616" t="s">
        <v>1798</v>
      </c>
      <c r="F353" s="616" t="s">
        <v>4687</v>
      </c>
      <c r="G353" s="618" t="s">
        <v>1225</v>
      </c>
      <c r="H353" s="618" t="s">
        <v>2747</v>
      </c>
      <c r="I353" s="618" t="s">
        <v>2745</v>
      </c>
      <c r="J353" s="618" t="s">
        <v>2745</v>
      </c>
      <c r="K353" s="618"/>
      <c r="L353" s="619"/>
      <c r="M353" s="620"/>
      <c r="N353" s="620"/>
      <c r="O353" s="663" t="s">
        <v>2625</v>
      </c>
      <c r="P353" s="621"/>
      <c r="Q353" s="598"/>
      <c r="R353" s="598"/>
      <c r="S353" s="598"/>
      <c r="T353" s="598" t="s">
        <v>1015</v>
      </c>
      <c r="U353" s="663" t="s">
        <v>227</v>
      </c>
      <c r="V353" s="616" t="s">
        <v>2786</v>
      </c>
      <c r="W353" s="598" t="s">
        <v>950</v>
      </c>
      <c r="X353" s="624">
        <v>23437</v>
      </c>
      <c r="Y353" s="625">
        <f t="shared" ca="1" si="4"/>
        <v>61</v>
      </c>
      <c r="Z353" s="616" t="s">
        <v>2787</v>
      </c>
      <c r="AA353" s="598" t="s">
        <v>2788</v>
      </c>
      <c r="AB353" s="598" t="s">
        <v>966</v>
      </c>
      <c r="AC353" s="598" t="s">
        <v>953</v>
      </c>
      <c r="AD353" s="616" t="s">
        <v>1041</v>
      </c>
      <c r="AE353" s="616" t="s">
        <v>1041</v>
      </c>
      <c r="AF353" s="616" t="s">
        <v>2789</v>
      </c>
      <c r="AG353" s="598"/>
      <c r="AH353" s="598"/>
      <c r="AI353" s="598"/>
      <c r="AJ353" s="598"/>
      <c r="AK353" s="626"/>
      <c r="AL353" s="626"/>
    </row>
    <row r="354" spans="1:38" ht="18" customHeight="1">
      <c r="A354" s="593"/>
      <c r="B354" s="598">
        <v>338</v>
      </c>
      <c r="C354" s="598" t="s">
        <v>2775</v>
      </c>
      <c r="D354" s="598">
        <f t="shared" si="3"/>
        <v>316</v>
      </c>
      <c r="E354" s="616" t="s">
        <v>1798</v>
      </c>
      <c r="F354" s="616" t="s">
        <v>4687</v>
      </c>
      <c r="G354" s="618" t="s">
        <v>1225</v>
      </c>
      <c r="H354" s="618" t="s">
        <v>2747</v>
      </c>
      <c r="I354" s="618" t="s">
        <v>2745</v>
      </c>
      <c r="J354" s="618" t="s">
        <v>2745</v>
      </c>
      <c r="K354" s="618"/>
      <c r="L354" s="619"/>
      <c r="M354" s="620"/>
      <c r="N354" s="620"/>
      <c r="O354" s="663" t="s">
        <v>2625</v>
      </c>
      <c r="P354" s="621"/>
      <c r="Q354" s="598" t="s">
        <v>55</v>
      </c>
      <c r="R354" s="598" t="s">
        <v>178</v>
      </c>
      <c r="S354" s="598"/>
      <c r="T354" s="598" t="s">
        <v>1015</v>
      </c>
      <c r="U354" s="663" t="s">
        <v>207</v>
      </c>
      <c r="V354" s="616" t="s">
        <v>2776</v>
      </c>
      <c r="W354" s="598" t="s">
        <v>950</v>
      </c>
      <c r="X354" s="624">
        <v>28739</v>
      </c>
      <c r="Y354" s="625">
        <f t="shared" ca="1" si="4"/>
        <v>47</v>
      </c>
      <c r="Z354" s="616" t="s">
        <v>2777</v>
      </c>
      <c r="AA354" s="598" t="s">
        <v>2778</v>
      </c>
      <c r="AB354" s="598" t="s">
        <v>966</v>
      </c>
      <c r="AC354" s="598" t="s">
        <v>953</v>
      </c>
      <c r="AD354" s="616" t="s">
        <v>2737</v>
      </c>
      <c r="AE354" s="616" t="s">
        <v>2737</v>
      </c>
      <c r="AF354" s="616" t="s">
        <v>2779</v>
      </c>
      <c r="AG354" s="598"/>
      <c r="AH354" s="598"/>
      <c r="AI354" s="598" t="s">
        <v>1440</v>
      </c>
      <c r="AJ354" s="598"/>
      <c r="AK354" s="626"/>
      <c r="AL354" s="626"/>
    </row>
    <row r="355" spans="1:38" ht="18" customHeight="1">
      <c r="A355" s="593"/>
      <c r="B355" s="598">
        <v>339</v>
      </c>
      <c r="C355" s="598" t="s">
        <v>2758</v>
      </c>
      <c r="D355" s="598">
        <f t="shared" si="3"/>
        <v>317</v>
      </c>
      <c r="E355" s="616" t="s">
        <v>1798</v>
      </c>
      <c r="F355" s="616" t="s">
        <v>4687</v>
      </c>
      <c r="G355" s="618" t="s">
        <v>1225</v>
      </c>
      <c r="H355" s="618" t="s">
        <v>2747</v>
      </c>
      <c r="I355" s="618" t="s">
        <v>2745</v>
      </c>
      <c r="J355" s="618" t="s">
        <v>2745</v>
      </c>
      <c r="K355" s="618"/>
      <c r="L355" s="619"/>
      <c r="M355" s="620"/>
      <c r="N355" s="620"/>
      <c r="O355" s="663" t="s">
        <v>2625</v>
      </c>
      <c r="P355" s="621"/>
      <c r="Q355" s="598"/>
      <c r="R355" s="598"/>
      <c r="S355" s="598"/>
      <c r="T355" s="598" t="s">
        <v>1090</v>
      </c>
      <c r="U355" s="663" t="s">
        <v>247</v>
      </c>
      <c r="V355" s="616" t="s">
        <v>2759</v>
      </c>
      <c r="W355" s="598" t="s">
        <v>950</v>
      </c>
      <c r="X355" s="624">
        <v>15634</v>
      </c>
      <c r="Y355" s="625">
        <f t="shared" ca="1" si="4"/>
        <v>83</v>
      </c>
      <c r="Z355" s="616" t="s">
        <v>2760</v>
      </c>
      <c r="AA355" s="652"/>
      <c r="AB355" s="598" t="s">
        <v>996</v>
      </c>
      <c r="AC355" s="644" t="s">
        <v>997</v>
      </c>
      <c r="AD355" s="616" t="s">
        <v>1041</v>
      </c>
      <c r="AE355" s="721" t="s">
        <v>1041</v>
      </c>
      <c r="AF355" s="616"/>
      <c r="AG355" s="598"/>
      <c r="AH355" s="598"/>
      <c r="AI355" s="700" t="s">
        <v>1612</v>
      </c>
      <c r="AJ355" s="598"/>
      <c r="AK355" s="626"/>
      <c r="AL355" s="626"/>
    </row>
    <row r="356" spans="1:38" ht="18" customHeight="1">
      <c r="A356" s="593"/>
      <c r="B356" s="598">
        <v>340</v>
      </c>
      <c r="C356" s="598" t="s">
        <v>2799</v>
      </c>
      <c r="D356" s="598">
        <f t="shared" si="3"/>
        <v>318</v>
      </c>
      <c r="E356" s="616" t="s">
        <v>1798</v>
      </c>
      <c r="F356" s="616" t="s">
        <v>4687</v>
      </c>
      <c r="G356" s="618" t="s">
        <v>1225</v>
      </c>
      <c r="H356" s="618" t="s">
        <v>2747</v>
      </c>
      <c r="I356" s="618" t="s">
        <v>2745</v>
      </c>
      <c r="J356" s="618" t="s">
        <v>2745</v>
      </c>
      <c r="K356" s="618"/>
      <c r="L356" s="619"/>
      <c r="M356" s="620"/>
      <c r="N356" s="620"/>
      <c r="O356" s="663" t="s">
        <v>2625</v>
      </c>
      <c r="P356" s="621"/>
      <c r="Q356" s="598"/>
      <c r="R356" s="598"/>
      <c r="S356" s="598"/>
      <c r="T356" s="598" t="s">
        <v>1090</v>
      </c>
      <c r="U356" s="663" t="s">
        <v>266</v>
      </c>
      <c r="V356" s="616" t="s">
        <v>2800</v>
      </c>
      <c r="W356" s="598" t="s">
        <v>950</v>
      </c>
      <c r="X356" s="624">
        <v>18124</v>
      </c>
      <c r="Y356" s="625">
        <f t="shared" ca="1" si="4"/>
        <v>76</v>
      </c>
      <c r="Z356" s="616" t="s">
        <v>2801</v>
      </c>
      <c r="AA356" s="598" t="s">
        <v>2802</v>
      </c>
      <c r="AB356" s="598" t="s">
        <v>996</v>
      </c>
      <c r="AC356" s="644" t="s">
        <v>997</v>
      </c>
      <c r="AD356" s="616" t="s">
        <v>1041</v>
      </c>
      <c r="AE356" s="721" t="s">
        <v>1041</v>
      </c>
      <c r="AF356" s="616"/>
      <c r="AG356" s="598"/>
      <c r="AH356" s="598"/>
      <c r="AI356" s="700" t="s">
        <v>1612</v>
      </c>
      <c r="AJ356" s="598"/>
      <c r="AK356" s="626"/>
      <c r="AL356" s="626"/>
    </row>
    <row r="357" spans="1:38" ht="18" customHeight="1">
      <c r="A357" s="593"/>
      <c r="B357" s="598">
        <v>341</v>
      </c>
      <c r="C357" s="598" t="s">
        <v>2762</v>
      </c>
      <c r="D357" s="598">
        <f t="shared" si="3"/>
        <v>319</v>
      </c>
      <c r="E357" s="616" t="s">
        <v>1798</v>
      </c>
      <c r="F357" s="616" t="s">
        <v>4687</v>
      </c>
      <c r="G357" s="618" t="s">
        <v>1225</v>
      </c>
      <c r="H357" s="618" t="s">
        <v>2747</v>
      </c>
      <c r="I357" s="618" t="s">
        <v>2745</v>
      </c>
      <c r="J357" s="618" t="s">
        <v>2745</v>
      </c>
      <c r="K357" s="618"/>
      <c r="L357" s="619"/>
      <c r="M357" s="620"/>
      <c r="N357" s="620"/>
      <c r="O357" s="663" t="s">
        <v>2625</v>
      </c>
      <c r="P357" s="621"/>
      <c r="Q357" s="598"/>
      <c r="R357" s="598"/>
      <c r="S357" s="598"/>
      <c r="T357" s="598" t="s">
        <v>1015</v>
      </c>
      <c r="U357" s="663" t="s">
        <v>283</v>
      </c>
      <c r="V357" s="616" t="s">
        <v>2763</v>
      </c>
      <c r="W357" s="598" t="s">
        <v>950</v>
      </c>
      <c r="X357" s="624">
        <v>25188</v>
      </c>
      <c r="Y357" s="625">
        <f t="shared" ca="1" si="4"/>
        <v>57</v>
      </c>
      <c r="Z357" s="616" t="s">
        <v>2764</v>
      </c>
      <c r="AA357" s="598"/>
      <c r="AB357" s="598" t="s">
        <v>996</v>
      </c>
      <c r="AC357" s="644" t="s">
        <v>997</v>
      </c>
      <c r="AD357" s="616" t="s">
        <v>1041</v>
      </c>
      <c r="AE357" s="721" t="s">
        <v>1041</v>
      </c>
      <c r="AF357" s="616"/>
      <c r="AG357" s="598"/>
      <c r="AH357" s="598"/>
      <c r="AI357" s="700" t="s">
        <v>1612</v>
      </c>
      <c r="AJ357" s="598"/>
      <c r="AK357" s="626"/>
      <c r="AL357" s="626"/>
    </row>
    <row r="358" spans="1:38" ht="18" customHeight="1">
      <c r="A358" s="593"/>
      <c r="B358" s="598">
        <v>336</v>
      </c>
      <c r="C358" s="598" t="s">
        <v>2765</v>
      </c>
      <c r="D358" s="598">
        <f t="shared" si="3"/>
        <v>320</v>
      </c>
      <c r="E358" s="616" t="s">
        <v>1798</v>
      </c>
      <c r="F358" s="616" t="s">
        <v>4687</v>
      </c>
      <c r="G358" s="618" t="s">
        <v>1225</v>
      </c>
      <c r="H358" s="618" t="s">
        <v>2747</v>
      </c>
      <c r="I358" s="618" t="s">
        <v>2745</v>
      </c>
      <c r="J358" s="618" t="s">
        <v>2745</v>
      </c>
      <c r="K358" s="618"/>
      <c r="L358" s="619"/>
      <c r="M358" s="620"/>
      <c r="N358" s="620"/>
      <c r="O358" s="663" t="s">
        <v>2625</v>
      </c>
      <c r="P358" s="621"/>
      <c r="Q358" s="598"/>
      <c r="R358" s="598"/>
      <c r="S358" s="598"/>
      <c r="T358" s="598" t="s">
        <v>1015</v>
      </c>
      <c r="U358" s="663" t="s">
        <v>294</v>
      </c>
      <c r="V358" s="616" t="s">
        <v>2766</v>
      </c>
      <c r="W358" s="598" t="s">
        <v>950</v>
      </c>
      <c r="X358" s="624">
        <v>26792</v>
      </c>
      <c r="Y358" s="625">
        <f t="shared" ca="1" si="4"/>
        <v>52</v>
      </c>
      <c r="Z358" s="616" t="s">
        <v>2767</v>
      </c>
      <c r="AA358" s="598" t="s">
        <v>2768</v>
      </c>
      <c r="AB358" s="598" t="s">
        <v>996</v>
      </c>
      <c r="AC358" s="644" t="s">
        <v>997</v>
      </c>
      <c r="AD358" s="616" t="s">
        <v>1041</v>
      </c>
      <c r="AE358" s="721" t="s">
        <v>1041</v>
      </c>
      <c r="AF358" s="616"/>
      <c r="AG358" s="598"/>
      <c r="AH358" s="598"/>
      <c r="AI358" s="700" t="s">
        <v>1612</v>
      </c>
      <c r="AJ358" s="598"/>
      <c r="AK358" s="626"/>
      <c r="AL358" s="626"/>
    </row>
    <row r="359" spans="1:38" ht="18" customHeight="1">
      <c r="A359" s="593"/>
      <c r="B359" s="598">
        <v>342</v>
      </c>
      <c r="C359" s="598" t="s">
        <v>2780</v>
      </c>
      <c r="D359" s="598">
        <f t="shared" si="3"/>
        <v>321</v>
      </c>
      <c r="E359" s="616" t="s">
        <v>1798</v>
      </c>
      <c r="F359" s="616" t="s">
        <v>4687</v>
      </c>
      <c r="G359" s="618" t="s">
        <v>1225</v>
      </c>
      <c r="H359" s="618" t="s">
        <v>2747</v>
      </c>
      <c r="I359" s="618" t="s">
        <v>2745</v>
      </c>
      <c r="J359" s="618" t="s">
        <v>2745</v>
      </c>
      <c r="K359" s="618"/>
      <c r="L359" s="619"/>
      <c r="M359" s="620"/>
      <c r="N359" s="620"/>
      <c r="O359" s="663" t="s">
        <v>2625</v>
      </c>
      <c r="P359" s="621"/>
      <c r="Q359" s="598"/>
      <c r="R359" s="598"/>
      <c r="S359" s="598"/>
      <c r="T359" s="598" t="s">
        <v>1015</v>
      </c>
      <c r="U359" s="723" t="s">
        <v>303</v>
      </c>
      <c r="V359" s="616" t="s">
        <v>2781</v>
      </c>
      <c r="W359" s="598" t="s">
        <v>950</v>
      </c>
      <c r="X359" s="624">
        <v>22076</v>
      </c>
      <c r="Y359" s="625">
        <f t="shared" ca="1" si="4"/>
        <v>65</v>
      </c>
      <c r="Z359" s="616" t="s">
        <v>2782</v>
      </c>
      <c r="AA359" s="598" t="s">
        <v>2783</v>
      </c>
      <c r="AB359" s="598" t="s">
        <v>996</v>
      </c>
      <c r="AC359" s="644" t="s">
        <v>997</v>
      </c>
      <c r="AD359" s="616" t="s">
        <v>1041</v>
      </c>
      <c r="AE359" s="721" t="s">
        <v>1041</v>
      </c>
      <c r="AF359" s="616"/>
      <c r="AG359" s="598"/>
      <c r="AH359" s="598"/>
      <c r="AI359" s="700" t="s">
        <v>1612</v>
      </c>
      <c r="AJ359" s="598"/>
      <c r="AK359" s="626"/>
      <c r="AL359" s="626"/>
    </row>
    <row r="360" spans="1:38" ht="18" customHeight="1">
      <c r="A360" s="278"/>
      <c r="B360" s="598">
        <v>343</v>
      </c>
      <c r="C360" s="598" t="s">
        <v>4688</v>
      </c>
      <c r="D360" s="598">
        <f t="shared" si="3"/>
        <v>322</v>
      </c>
      <c r="E360" s="724" t="s">
        <v>1798</v>
      </c>
      <c r="F360" s="616" t="s">
        <v>4687</v>
      </c>
      <c r="G360" s="618" t="s">
        <v>1225</v>
      </c>
      <c r="H360" s="618" t="s">
        <v>2747</v>
      </c>
      <c r="I360" s="618" t="s">
        <v>2745</v>
      </c>
      <c r="J360" s="618" t="s">
        <v>2745</v>
      </c>
      <c r="K360" s="618"/>
      <c r="L360" s="627"/>
      <c r="M360" s="636"/>
      <c r="N360" s="636"/>
      <c r="O360" s="663" t="s">
        <v>2625</v>
      </c>
      <c r="P360" s="637"/>
      <c r="Q360" s="627"/>
      <c r="R360" s="627"/>
      <c r="S360" s="627"/>
      <c r="T360" s="671" t="s">
        <v>992</v>
      </c>
      <c r="U360" s="725" t="s">
        <v>308</v>
      </c>
      <c r="V360" s="598" t="s">
        <v>4689</v>
      </c>
      <c r="W360" s="598" t="s">
        <v>950</v>
      </c>
      <c r="X360" s="624">
        <v>34440</v>
      </c>
      <c r="Y360" s="625">
        <f t="shared" ca="1" si="4"/>
        <v>31</v>
      </c>
      <c r="Z360" s="598" t="s">
        <v>4690</v>
      </c>
      <c r="AA360" s="598" t="s">
        <v>4691</v>
      </c>
      <c r="AB360" s="598" t="s">
        <v>1006</v>
      </c>
      <c r="AC360" s="598" t="s">
        <v>953</v>
      </c>
      <c r="AD360" s="598" t="s">
        <v>1041</v>
      </c>
      <c r="AE360" s="598" t="s">
        <v>1041</v>
      </c>
      <c r="AF360" s="598" t="s">
        <v>2665</v>
      </c>
      <c r="AG360" s="627"/>
      <c r="AH360" s="627"/>
      <c r="AI360" s="726"/>
      <c r="AJ360" s="627"/>
      <c r="AK360" s="627"/>
      <c r="AL360" s="627"/>
    </row>
    <row r="361" spans="1:38" ht="18" customHeight="1">
      <c r="A361" s="278"/>
      <c r="B361" s="598">
        <v>344</v>
      </c>
      <c r="C361" s="598" t="s">
        <v>2770</v>
      </c>
      <c r="D361" s="598">
        <f t="shared" si="3"/>
        <v>323</v>
      </c>
      <c r="E361" s="616" t="s">
        <v>1798</v>
      </c>
      <c r="F361" s="616" t="s">
        <v>4687</v>
      </c>
      <c r="G361" s="618" t="s">
        <v>1225</v>
      </c>
      <c r="H361" s="618" t="s">
        <v>2747</v>
      </c>
      <c r="I361" s="618" t="s">
        <v>2745</v>
      </c>
      <c r="J361" s="618" t="s">
        <v>2745</v>
      </c>
      <c r="K361" s="618"/>
      <c r="L361" s="619"/>
      <c r="M361" s="620"/>
      <c r="N361" s="620"/>
      <c r="O361" s="663" t="s">
        <v>2625</v>
      </c>
      <c r="P361" s="621" t="s">
        <v>319</v>
      </c>
      <c r="Q361" s="627"/>
      <c r="R361" s="627"/>
      <c r="S361" s="627"/>
      <c r="T361" s="598" t="s">
        <v>1015</v>
      </c>
      <c r="U361" s="725" t="s">
        <v>312</v>
      </c>
      <c r="V361" s="598" t="s">
        <v>2771</v>
      </c>
      <c r="W361" s="598" t="s">
        <v>950</v>
      </c>
      <c r="X361" s="624">
        <v>23216</v>
      </c>
      <c r="Y361" s="625">
        <f t="shared" ca="1" si="4"/>
        <v>62</v>
      </c>
      <c r="Z361" s="598" t="s">
        <v>2772</v>
      </c>
      <c r="AA361" s="598" t="s">
        <v>2773</v>
      </c>
      <c r="AB361" s="598" t="s">
        <v>996</v>
      </c>
      <c r="AC361" s="644" t="s">
        <v>997</v>
      </c>
      <c r="AD361" s="598" t="s">
        <v>1041</v>
      </c>
      <c r="AE361" s="598" t="s">
        <v>1041</v>
      </c>
      <c r="AF361" s="598" t="s">
        <v>2774</v>
      </c>
      <c r="AG361" s="627"/>
      <c r="AH361" s="627"/>
      <c r="AI361" s="683" t="s">
        <v>1566</v>
      </c>
      <c r="AJ361" s="627"/>
      <c r="AK361" s="627"/>
      <c r="AL361" s="627"/>
    </row>
    <row r="362" spans="1:38" ht="18" customHeight="1">
      <c r="A362" s="278"/>
      <c r="B362" s="598">
        <v>345</v>
      </c>
      <c r="C362" s="598" t="s">
        <v>3405</v>
      </c>
      <c r="D362" s="598">
        <f t="shared" si="3"/>
        <v>324</v>
      </c>
      <c r="E362" s="616" t="s">
        <v>1798</v>
      </c>
      <c r="F362" s="616" t="s">
        <v>4687</v>
      </c>
      <c r="G362" s="618" t="s">
        <v>1225</v>
      </c>
      <c r="H362" s="618" t="s">
        <v>2747</v>
      </c>
      <c r="I362" s="618" t="s">
        <v>2745</v>
      </c>
      <c r="J362" s="618" t="s">
        <v>2745</v>
      </c>
      <c r="K362" s="618"/>
      <c r="L362" s="627"/>
      <c r="M362" s="636"/>
      <c r="N362" s="636"/>
      <c r="O362" s="663" t="s">
        <v>2625</v>
      </c>
      <c r="P362" s="621" t="s">
        <v>319</v>
      </c>
      <c r="Q362" s="627"/>
      <c r="R362" s="627"/>
      <c r="S362" s="627"/>
      <c r="T362" s="598" t="s">
        <v>1015</v>
      </c>
      <c r="U362" s="725" t="s">
        <v>315</v>
      </c>
      <c r="V362" s="598" t="s">
        <v>3407</v>
      </c>
      <c r="W362" s="598" t="s">
        <v>950</v>
      </c>
      <c r="X362" s="624">
        <v>24814</v>
      </c>
      <c r="Y362" s="625">
        <f t="shared" ca="1" si="4"/>
        <v>58</v>
      </c>
      <c r="Z362" s="598" t="s">
        <v>3408</v>
      </c>
      <c r="AA362" s="598" t="s">
        <v>3409</v>
      </c>
      <c r="AB362" s="598" t="s">
        <v>996</v>
      </c>
      <c r="AC362" s="644" t="s">
        <v>997</v>
      </c>
      <c r="AD362" s="598" t="s">
        <v>1041</v>
      </c>
      <c r="AE362" s="598" t="s">
        <v>1041</v>
      </c>
      <c r="AF362" s="598" t="s">
        <v>3410</v>
      </c>
      <c r="AG362" s="627"/>
      <c r="AH362" s="627"/>
      <c r="AI362" s="683" t="s">
        <v>1566</v>
      </c>
      <c r="AJ362" s="627"/>
      <c r="AK362" s="627"/>
      <c r="AL362" s="627"/>
    </row>
    <row r="363" spans="1:38" ht="18" customHeight="1">
      <c r="A363" s="593"/>
      <c r="B363" s="598">
        <v>346</v>
      </c>
      <c r="C363" s="598" t="s">
        <v>2755</v>
      </c>
      <c r="D363" s="598">
        <f t="shared" si="3"/>
        <v>325</v>
      </c>
      <c r="E363" s="616" t="s">
        <v>1798</v>
      </c>
      <c r="F363" s="616" t="s">
        <v>4687</v>
      </c>
      <c r="G363" s="618" t="s">
        <v>1225</v>
      </c>
      <c r="H363" s="618" t="s">
        <v>2747</v>
      </c>
      <c r="I363" s="618" t="s">
        <v>2745</v>
      </c>
      <c r="J363" s="618" t="s">
        <v>2745</v>
      </c>
      <c r="K363" s="618"/>
      <c r="L363" s="619"/>
      <c r="M363" s="620"/>
      <c r="N363" s="620"/>
      <c r="O363" s="663" t="s">
        <v>2625</v>
      </c>
      <c r="P363" s="621" t="s">
        <v>319</v>
      </c>
      <c r="Q363" s="598"/>
      <c r="R363" s="598"/>
      <c r="S363" s="598"/>
      <c r="T363" s="598" t="s">
        <v>1090</v>
      </c>
      <c r="U363" s="675" t="s">
        <v>789</v>
      </c>
      <c r="V363" s="707" t="s">
        <v>2756</v>
      </c>
      <c r="W363" s="598" t="s">
        <v>950</v>
      </c>
      <c r="X363" s="624">
        <v>17823</v>
      </c>
      <c r="Y363" s="625">
        <f t="shared" ca="1" si="4"/>
        <v>77</v>
      </c>
      <c r="Z363" s="727" t="s">
        <v>2757</v>
      </c>
      <c r="AA363" s="598"/>
      <c r="AB363" s="598" t="s">
        <v>996</v>
      </c>
      <c r="AC363" s="598" t="s">
        <v>1018</v>
      </c>
      <c r="AD363" s="598" t="s">
        <v>1041</v>
      </c>
      <c r="AE363" s="598" t="s">
        <v>1041</v>
      </c>
      <c r="AF363" s="598" t="s">
        <v>2665</v>
      </c>
      <c r="AG363" s="598"/>
      <c r="AH363" s="598"/>
      <c r="AI363" s="701" t="s">
        <v>1575</v>
      </c>
      <c r="AJ363" s="598"/>
      <c r="AK363" s="626"/>
      <c r="AL363" s="626"/>
    </row>
    <row r="364" spans="1:38" ht="18" customHeight="1">
      <c r="A364" s="593"/>
      <c r="B364" s="598">
        <v>347</v>
      </c>
      <c r="C364" s="598" t="s">
        <v>2796</v>
      </c>
      <c r="D364" s="598">
        <f t="shared" si="3"/>
        <v>326</v>
      </c>
      <c r="E364" s="616" t="s">
        <v>957</v>
      </c>
      <c r="F364" s="616" t="s">
        <v>4687</v>
      </c>
      <c r="G364" s="618" t="s">
        <v>1225</v>
      </c>
      <c r="H364" s="618" t="s">
        <v>2747</v>
      </c>
      <c r="I364" s="618" t="s">
        <v>2745</v>
      </c>
      <c r="J364" s="728" t="s">
        <v>2745</v>
      </c>
      <c r="K364" s="618"/>
      <c r="L364" s="627"/>
      <c r="M364" s="620"/>
      <c r="N364" s="620"/>
      <c r="O364" s="664" t="s">
        <v>2625</v>
      </c>
      <c r="P364" s="621"/>
      <c r="Q364" s="598"/>
      <c r="R364" s="598"/>
      <c r="S364" s="598"/>
      <c r="T364" s="598" t="s">
        <v>1015</v>
      </c>
      <c r="U364" s="673" t="s">
        <v>903</v>
      </c>
      <c r="V364" s="616" t="s">
        <v>2797</v>
      </c>
      <c r="W364" s="598" t="s">
        <v>950</v>
      </c>
      <c r="X364" s="624">
        <v>31496</v>
      </c>
      <c r="Y364" s="625">
        <f t="shared" ca="1" si="4"/>
        <v>39</v>
      </c>
      <c r="Z364" s="616"/>
      <c r="AA364" s="598"/>
      <c r="AB364" s="598" t="s">
        <v>966</v>
      </c>
      <c r="AC364" s="598" t="s">
        <v>953</v>
      </c>
      <c r="AD364" s="616" t="s">
        <v>1041</v>
      </c>
      <c r="AE364" s="616" t="s">
        <v>2659</v>
      </c>
      <c r="AF364" s="616" t="s">
        <v>2660</v>
      </c>
      <c r="AG364" s="598" t="s">
        <v>1775</v>
      </c>
      <c r="AH364" s="598" t="s">
        <v>2798</v>
      </c>
      <c r="AI364" s="598"/>
      <c r="AJ364" s="598" t="s">
        <v>1020</v>
      </c>
      <c r="AK364" s="626"/>
      <c r="AL364" s="626"/>
    </row>
    <row r="365" spans="1:38" ht="18" customHeight="1">
      <c r="A365" s="593"/>
      <c r="B365" s="598">
        <v>348</v>
      </c>
      <c r="C365" s="598" t="s">
        <v>2804</v>
      </c>
      <c r="D365" s="598">
        <f t="shared" si="3"/>
        <v>327</v>
      </c>
      <c r="E365" s="616" t="s">
        <v>1798</v>
      </c>
      <c r="F365" s="616" t="s">
        <v>4687</v>
      </c>
      <c r="G365" s="618" t="s">
        <v>1225</v>
      </c>
      <c r="H365" s="618" t="s">
        <v>2747</v>
      </c>
      <c r="I365" s="618" t="s">
        <v>2745</v>
      </c>
      <c r="J365" s="618" t="s">
        <v>2804</v>
      </c>
      <c r="K365" s="618"/>
      <c r="L365" s="627"/>
      <c r="M365" s="620"/>
      <c r="N365" s="620"/>
      <c r="O365" s="667" t="s">
        <v>2668</v>
      </c>
      <c r="P365" s="621"/>
      <c r="Q365" s="598" t="s">
        <v>55</v>
      </c>
      <c r="R365" s="598" t="s">
        <v>55</v>
      </c>
      <c r="S365" s="598"/>
      <c r="T365" s="623" t="s">
        <v>1015</v>
      </c>
      <c r="U365" s="667" t="s">
        <v>187</v>
      </c>
      <c r="V365" s="674" t="s">
        <v>2805</v>
      </c>
      <c r="W365" s="598" t="s">
        <v>950</v>
      </c>
      <c r="X365" s="624">
        <v>27506</v>
      </c>
      <c r="Y365" s="625">
        <f t="shared" ca="1" si="4"/>
        <v>50</v>
      </c>
      <c r="Z365" s="616" t="s">
        <v>2806</v>
      </c>
      <c r="AA365" s="598" t="s">
        <v>2807</v>
      </c>
      <c r="AB365" s="598" t="s">
        <v>966</v>
      </c>
      <c r="AC365" s="598" t="s">
        <v>953</v>
      </c>
      <c r="AD365" s="616" t="s">
        <v>1041</v>
      </c>
      <c r="AE365" s="616" t="s">
        <v>2069</v>
      </c>
      <c r="AF365" s="616" t="s">
        <v>2808</v>
      </c>
      <c r="AG365" s="598"/>
      <c r="AH365" s="598"/>
      <c r="AI365" s="598" t="s">
        <v>1025</v>
      </c>
      <c r="AJ365" s="598"/>
      <c r="AK365" s="626"/>
      <c r="AL365" s="626"/>
    </row>
    <row r="366" spans="1:38" ht="18" customHeight="1">
      <c r="A366" s="593"/>
      <c r="B366" s="598">
        <v>349</v>
      </c>
      <c r="C366" s="598" t="s">
        <v>2809</v>
      </c>
      <c r="D366" s="598">
        <f t="shared" si="3"/>
        <v>328</v>
      </c>
      <c r="E366" s="616" t="s">
        <v>1798</v>
      </c>
      <c r="F366" s="616" t="s">
        <v>4687</v>
      </c>
      <c r="G366" s="618" t="s">
        <v>1225</v>
      </c>
      <c r="H366" s="618" t="s">
        <v>2747</v>
      </c>
      <c r="I366" s="618" t="s">
        <v>2745</v>
      </c>
      <c r="J366" s="618" t="s">
        <v>2804</v>
      </c>
      <c r="K366" s="618"/>
      <c r="L366" s="627"/>
      <c r="M366" s="620"/>
      <c r="N366" s="620"/>
      <c r="O366" s="663" t="s">
        <v>2668</v>
      </c>
      <c r="P366" s="621"/>
      <c r="Q366" s="598"/>
      <c r="R366" s="598"/>
      <c r="S366" s="598"/>
      <c r="T366" s="623" t="s">
        <v>1015</v>
      </c>
      <c r="U366" s="663" t="s">
        <v>208</v>
      </c>
      <c r="V366" s="674" t="s">
        <v>2810</v>
      </c>
      <c r="W366" s="598" t="s">
        <v>950</v>
      </c>
      <c r="X366" s="624">
        <v>21782</v>
      </c>
      <c r="Y366" s="625">
        <f t="shared" ca="1" si="4"/>
        <v>66</v>
      </c>
      <c r="Z366" s="729" t="s">
        <v>2811</v>
      </c>
      <c r="AA366" s="598" t="s">
        <v>2812</v>
      </c>
      <c r="AB366" s="598" t="s">
        <v>996</v>
      </c>
      <c r="AC366" s="598" t="s">
        <v>997</v>
      </c>
      <c r="AD366" s="616" t="s">
        <v>2069</v>
      </c>
      <c r="AE366" s="616" t="s">
        <v>2069</v>
      </c>
      <c r="AF366" s="616" t="s">
        <v>2641</v>
      </c>
      <c r="AG366" s="598"/>
      <c r="AH366" s="598"/>
      <c r="AI366" s="598" t="s">
        <v>1025</v>
      </c>
      <c r="AJ366" s="598"/>
      <c r="AK366" s="626"/>
      <c r="AL366" s="626"/>
    </row>
    <row r="367" spans="1:38" ht="18" customHeight="1">
      <c r="A367" s="593"/>
      <c r="B367" s="598">
        <v>350</v>
      </c>
      <c r="C367" s="598" t="s">
        <v>2818</v>
      </c>
      <c r="D367" s="598">
        <f t="shared" si="3"/>
        <v>329</v>
      </c>
      <c r="E367" s="616" t="s">
        <v>1798</v>
      </c>
      <c r="F367" s="616" t="s">
        <v>4687</v>
      </c>
      <c r="G367" s="618" t="s">
        <v>1225</v>
      </c>
      <c r="H367" s="618" t="s">
        <v>2747</v>
      </c>
      <c r="I367" s="618" t="s">
        <v>2745</v>
      </c>
      <c r="J367" s="618" t="s">
        <v>2804</v>
      </c>
      <c r="K367" s="618"/>
      <c r="L367" s="627"/>
      <c r="M367" s="620"/>
      <c r="N367" s="620"/>
      <c r="O367" s="663" t="s">
        <v>2668</v>
      </c>
      <c r="P367" s="621"/>
      <c r="Q367" s="598"/>
      <c r="R367" s="598"/>
      <c r="S367" s="598"/>
      <c r="T367" s="623" t="s">
        <v>1015</v>
      </c>
      <c r="U367" s="663" t="s">
        <v>228</v>
      </c>
      <c r="V367" s="674" t="s">
        <v>2819</v>
      </c>
      <c r="W367" s="598" t="s">
        <v>950</v>
      </c>
      <c r="X367" s="624">
        <v>22092</v>
      </c>
      <c r="Y367" s="625">
        <f t="shared" ca="1" si="4"/>
        <v>65</v>
      </c>
      <c r="Z367" s="729" t="s">
        <v>2820</v>
      </c>
      <c r="AA367" s="598" t="s">
        <v>2821</v>
      </c>
      <c r="AB367" s="598" t="s">
        <v>996</v>
      </c>
      <c r="AC367" s="644" t="s">
        <v>997</v>
      </c>
      <c r="AD367" s="616" t="s">
        <v>1041</v>
      </c>
      <c r="AE367" s="616" t="s">
        <v>1041</v>
      </c>
      <c r="AF367" s="616" t="s">
        <v>2822</v>
      </c>
      <c r="AG367" s="598"/>
      <c r="AH367" s="598"/>
      <c r="AI367" s="598" t="s">
        <v>1114</v>
      </c>
      <c r="AJ367" s="598"/>
      <c r="AK367" s="626"/>
      <c r="AL367" s="626"/>
    </row>
    <row r="368" spans="1:38" ht="18" customHeight="1">
      <c r="A368" s="593"/>
      <c r="B368" s="598">
        <v>351</v>
      </c>
      <c r="C368" s="598" t="s">
        <v>4692</v>
      </c>
      <c r="D368" s="598">
        <f t="shared" si="3"/>
        <v>330</v>
      </c>
      <c r="E368" s="616" t="s">
        <v>1798</v>
      </c>
      <c r="F368" s="616" t="s">
        <v>4687</v>
      </c>
      <c r="G368" s="618" t="s">
        <v>1225</v>
      </c>
      <c r="H368" s="618" t="s">
        <v>2747</v>
      </c>
      <c r="I368" s="618" t="s">
        <v>2745</v>
      </c>
      <c r="J368" s="618" t="s">
        <v>2804</v>
      </c>
      <c r="K368" s="618"/>
      <c r="L368" s="627"/>
      <c r="M368" s="620"/>
      <c r="N368" s="620"/>
      <c r="O368" s="663" t="s">
        <v>2668</v>
      </c>
      <c r="P368" s="621"/>
      <c r="Q368" s="598"/>
      <c r="R368" s="598"/>
      <c r="S368" s="598"/>
      <c r="T368" s="623" t="s">
        <v>1015</v>
      </c>
      <c r="U368" s="664" t="s">
        <v>4693</v>
      </c>
      <c r="V368" s="674" t="s">
        <v>4694</v>
      </c>
      <c r="W368" s="598" t="s">
        <v>950</v>
      </c>
      <c r="X368" s="624">
        <v>34222</v>
      </c>
      <c r="Y368" s="625">
        <f t="shared" ca="1" si="4"/>
        <v>32</v>
      </c>
      <c r="Z368" s="616"/>
      <c r="AA368" s="598" t="s">
        <v>4695</v>
      </c>
      <c r="AB368" s="598" t="s">
        <v>996</v>
      </c>
      <c r="AC368" s="598" t="s">
        <v>997</v>
      </c>
      <c r="AD368" s="616" t="s">
        <v>1041</v>
      </c>
      <c r="AE368" s="616" t="s">
        <v>1041</v>
      </c>
      <c r="AF368" s="616" t="s">
        <v>2672</v>
      </c>
      <c r="AG368" s="598"/>
      <c r="AH368" s="598" t="s">
        <v>2837</v>
      </c>
      <c r="AI368" s="598" t="s">
        <v>1440</v>
      </c>
      <c r="AJ368" s="598"/>
      <c r="AK368" s="626"/>
      <c r="AL368" s="626"/>
    </row>
    <row r="369" spans="1:38" ht="18" customHeight="1">
      <c r="A369" s="593"/>
      <c r="B369" s="598">
        <v>352</v>
      </c>
      <c r="C369" s="598" t="s">
        <v>2832</v>
      </c>
      <c r="D369" s="598">
        <f t="shared" si="3"/>
        <v>331</v>
      </c>
      <c r="E369" s="616" t="s">
        <v>1798</v>
      </c>
      <c r="F369" s="616" t="s">
        <v>4687</v>
      </c>
      <c r="G369" s="618" t="s">
        <v>1225</v>
      </c>
      <c r="H369" s="618" t="s">
        <v>2747</v>
      </c>
      <c r="I369" s="618" t="s">
        <v>2745</v>
      </c>
      <c r="J369" s="618" t="s">
        <v>2804</v>
      </c>
      <c r="K369" s="618"/>
      <c r="L369" s="627"/>
      <c r="M369" s="620"/>
      <c r="N369" s="620"/>
      <c r="O369" s="663" t="s">
        <v>2668</v>
      </c>
      <c r="P369" s="621"/>
      <c r="Q369" s="598"/>
      <c r="R369" s="598"/>
      <c r="S369" s="598"/>
      <c r="T369" s="623" t="s">
        <v>1015</v>
      </c>
      <c r="U369" s="710" t="s">
        <v>2833</v>
      </c>
      <c r="V369" s="674" t="s">
        <v>2834</v>
      </c>
      <c r="W369" s="598" t="s">
        <v>950</v>
      </c>
      <c r="X369" s="624">
        <v>30979</v>
      </c>
      <c r="Y369" s="625">
        <f t="shared" ca="1" si="4"/>
        <v>41</v>
      </c>
      <c r="Z369" s="616" t="s">
        <v>2835</v>
      </c>
      <c r="AA369" s="598" t="s">
        <v>2836</v>
      </c>
      <c r="AB369" s="598" t="s">
        <v>996</v>
      </c>
      <c r="AC369" s="598" t="s">
        <v>1018</v>
      </c>
      <c r="AD369" s="616" t="s">
        <v>1041</v>
      </c>
      <c r="AE369" s="616" t="s">
        <v>1041</v>
      </c>
      <c r="AF369" s="616" t="s">
        <v>2713</v>
      </c>
      <c r="AG369" s="598"/>
      <c r="AH369" s="598" t="s">
        <v>2837</v>
      </c>
      <c r="AI369" s="598" t="s">
        <v>1349</v>
      </c>
      <c r="AJ369" s="598"/>
      <c r="AK369" s="626"/>
      <c r="AL369" s="626"/>
    </row>
    <row r="370" spans="1:38" ht="18" customHeight="1">
      <c r="A370" s="593"/>
      <c r="B370" s="598">
        <v>353</v>
      </c>
      <c r="C370" s="598" t="s">
        <v>2823</v>
      </c>
      <c r="D370" s="598">
        <f t="shared" si="3"/>
        <v>332</v>
      </c>
      <c r="E370" s="616" t="s">
        <v>1798</v>
      </c>
      <c r="F370" s="616" t="s">
        <v>4687</v>
      </c>
      <c r="G370" s="618" t="s">
        <v>1225</v>
      </c>
      <c r="H370" s="618" t="s">
        <v>2747</v>
      </c>
      <c r="I370" s="618" t="s">
        <v>2745</v>
      </c>
      <c r="J370" s="618" t="s">
        <v>2804</v>
      </c>
      <c r="K370" s="618"/>
      <c r="L370" s="627"/>
      <c r="M370" s="620"/>
      <c r="N370" s="620"/>
      <c r="O370" s="663" t="s">
        <v>2668</v>
      </c>
      <c r="P370" s="621" t="s">
        <v>319</v>
      </c>
      <c r="Q370" s="598"/>
      <c r="R370" s="598"/>
      <c r="S370" s="598"/>
      <c r="T370" s="623" t="s">
        <v>1015</v>
      </c>
      <c r="U370" s="574" t="s">
        <v>4696</v>
      </c>
      <c r="V370" s="708" t="s">
        <v>2824</v>
      </c>
      <c r="W370" s="598" t="s">
        <v>950</v>
      </c>
      <c r="X370" s="624">
        <v>25138</v>
      </c>
      <c r="Y370" s="625">
        <f t="shared" ca="1" si="4"/>
        <v>57</v>
      </c>
      <c r="Z370" s="714" t="s">
        <v>2825</v>
      </c>
      <c r="AA370" s="598"/>
      <c r="AB370" s="598" t="s">
        <v>996</v>
      </c>
      <c r="AC370" s="598" t="s">
        <v>1018</v>
      </c>
      <c r="AD370" s="616" t="s">
        <v>1041</v>
      </c>
      <c r="AE370" s="649" t="s">
        <v>2737</v>
      </c>
      <c r="AF370" s="708" t="s">
        <v>2826</v>
      </c>
      <c r="AG370" s="598"/>
      <c r="AH370" s="598"/>
      <c r="AI370" s="701" t="s">
        <v>1575</v>
      </c>
      <c r="AJ370" s="598"/>
      <c r="AK370" s="626"/>
      <c r="AL370" s="626"/>
    </row>
    <row r="371" spans="1:38" ht="18" customHeight="1">
      <c r="A371" s="593"/>
      <c r="B371" s="598">
        <v>354</v>
      </c>
      <c r="C371" s="598" t="s">
        <v>2827</v>
      </c>
      <c r="D371" s="598">
        <f t="shared" si="3"/>
        <v>333</v>
      </c>
      <c r="E371" s="616" t="s">
        <v>1798</v>
      </c>
      <c r="F371" s="616" t="s">
        <v>4687</v>
      </c>
      <c r="G371" s="618" t="s">
        <v>1225</v>
      </c>
      <c r="H371" s="618" t="s">
        <v>2747</v>
      </c>
      <c r="I371" s="618" t="s">
        <v>2745</v>
      </c>
      <c r="J371" s="618" t="s">
        <v>2804</v>
      </c>
      <c r="K371" s="618"/>
      <c r="L371" s="627"/>
      <c r="M371" s="620"/>
      <c r="N371" s="620"/>
      <c r="O371" s="663" t="s">
        <v>2668</v>
      </c>
      <c r="P371" s="621" t="s">
        <v>319</v>
      </c>
      <c r="Q371" s="598"/>
      <c r="R371" s="598"/>
      <c r="S371" s="598"/>
      <c r="T371" s="623" t="s">
        <v>1015</v>
      </c>
      <c r="U371" s="718" t="s">
        <v>4697</v>
      </c>
      <c r="V371" s="708" t="s">
        <v>2828</v>
      </c>
      <c r="W371" s="598" t="s">
        <v>950</v>
      </c>
      <c r="X371" s="624">
        <v>28032</v>
      </c>
      <c r="Y371" s="625">
        <f t="shared" ca="1" si="4"/>
        <v>49</v>
      </c>
      <c r="Z371" s="714" t="s">
        <v>2829</v>
      </c>
      <c r="AA371" s="598"/>
      <c r="AB371" s="598" t="s">
        <v>996</v>
      </c>
      <c r="AC371" s="598" t="s">
        <v>1018</v>
      </c>
      <c r="AD371" s="616" t="s">
        <v>1041</v>
      </c>
      <c r="AE371" s="649" t="s">
        <v>2830</v>
      </c>
      <c r="AF371" s="708" t="s">
        <v>2831</v>
      </c>
      <c r="AG371" s="598"/>
      <c r="AH371" s="598"/>
      <c r="AI371" s="701" t="s">
        <v>1575</v>
      </c>
      <c r="AJ371" s="598"/>
      <c r="AK371" s="626"/>
      <c r="AL371" s="626"/>
    </row>
    <row r="372" spans="1:38" ht="18" customHeight="1">
      <c r="A372" s="593"/>
      <c r="B372" s="598">
        <v>355</v>
      </c>
      <c r="C372" s="598" t="s">
        <v>2843</v>
      </c>
      <c r="D372" s="598">
        <f t="shared" si="3"/>
        <v>334</v>
      </c>
      <c r="E372" s="616" t="s">
        <v>1798</v>
      </c>
      <c r="F372" s="616" t="s">
        <v>4687</v>
      </c>
      <c r="G372" s="618" t="s">
        <v>1225</v>
      </c>
      <c r="H372" s="618" t="s">
        <v>2747</v>
      </c>
      <c r="I372" s="618" t="s">
        <v>2745</v>
      </c>
      <c r="J372" s="619" t="s">
        <v>2843</v>
      </c>
      <c r="K372" s="618"/>
      <c r="L372" s="627"/>
      <c r="M372" s="620"/>
      <c r="N372" s="620"/>
      <c r="O372" s="667" t="s">
        <v>3101</v>
      </c>
      <c r="P372" s="621"/>
      <c r="Q372" s="598" t="s">
        <v>55</v>
      </c>
      <c r="R372" s="598" t="s">
        <v>55</v>
      </c>
      <c r="S372" s="598"/>
      <c r="T372" s="623" t="s">
        <v>992</v>
      </c>
      <c r="U372" s="667" t="s">
        <v>188</v>
      </c>
      <c r="V372" s="674" t="s">
        <v>2844</v>
      </c>
      <c r="W372" s="598" t="s">
        <v>950</v>
      </c>
      <c r="X372" s="624">
        <v>32694</v>
      </c>
      <c r="Y372" s="625">
        <f t="shared" ca="1" si="4"/>
        <v>36</v>
      </c>
      <c r="Z372" s="616" t="s">
        <v>2845</v>
      </c>
      <c r="AA372" s="598" t="s">
        <v>2846</v>
      </c>
      <c r="AB372" s="598" t="s">
        <v>996</v>
      </c>
      <c r="AC372" s="598" t="s">
        <v>997</v>
      </c>
      <c r="AD372" s="616" t="s">
        <v>1041</v>
      </c>
      <c r="AE372" s="616" t="s">
        <v>1909</v>
      </c>
      <c r="AF372" s="616" t="s">
        <v>2847</v>
      </c>
      <c r="AG372" s="598"/>
      <c r="AH372" s="598"/>
      <c r="AI372" s="598" t="s">
        <v>1025</v>
      </c>
      <c r="AJ372" s="598"/>
      <c r="AK372" s="626"/>
      <c r="AL372" s="626"/>
    </row>
    <row r="373" spans="1:38" ht="18" customHeight="1">
      <c r="A373" s="593"/>
      <c r="B373" s="598">
        <v>356</v>
      </c>
      <c r="C373" s="598" t="s">
        <v>2848</v>
      </c>
      <c r="D373" s="598">
        <f t="shared" si="3"/>
        <v>335</v>
      </c>
      <c r="E373" s="616" t="s">
        <v>1798</v>
      </c>
      <c r="F373" s="616" t="s">
        <v>4687</v>
      </c>
      <c r="G373" s="618" t="s">
        <v>1225</v>
      </c>
      <c r="H373" s="618" t="s">
        <v>2747</v>
      </c>
      <c r="I373" s="618" t="s">
        <v>2745</v>
      </c>
      <c r="J373" s="619" t="s">
        <v>2843</v>
      </c>
      <c r="K373" s="618"/>
      <c r="L373" s="627"/>
      <c r="M373" s="620"/>
      <c r="N373" s="620"/>
      <c r="O373" s="663" t="s">
        <v>3101</v>
      </c>
      <c r="P373" s="621"/>
      <c r="Q373" s="598"/>
      <c r="R373" s="598"/>
      <c r="S373" s="598"/>
      <c r="T373" s="623" t="s">
        <v>1090</v>
      </c>
      <c r="U373" s="663" t="s">
        <v>2849</v>
      </c>
      <c r="V373" s="674" t="s">
        <v>2850</v>
      </c>
      <c r="W373" s="598" t="s">
        <v>950</v>
      </c>
      <c r="X373" s="624">
        <v>19460</v>
      </c>
      <c r="Y373" s="625">
        <f t="shared" ca="1" si="4"/>
        <v>72</v>
      </c>
      <c r="Z373" s="616"/>
      <c r="AA373" s="645" t="s">
        <v>2851</v>
      </c>
      <c r="AB373" s="598" t="s">
        <v>996</v>
      </c>
      <c r="AC373" s="598" t="s">
        <v>953</v>
      </c>
      <c r="AD373" s="616" t="s">
        <v>1041</v>
      </c>
      <c r="AE373" s="616" t="s">
        <v>1041</v>
      </c>
      <c r="AF373" s="616" t="s">
        <v>2852</v>
      </c>
      <c r="AG373" s="598"/>
      <c r="AH373" s="598"/>
      <c r="AI373" s="598" t="s">
        <v>1440</v>
      </c>
      <c r="AJ373" s="598"/>
      <c r="AK373" s="626"/>
      <c r="AL373" s="626"/>
    </row>
    <row r="374" spans="1:38" ht="18" customHeight="1">
      <c r="A374" s="593"/>
      <c r="B374" s="598">
        <v>357</v>
      </c>
      <c r="C374" s="598" t="s">
        <v>2853</v>
      </c>
      <c r="D374" s="598">
        <f t="shared" si="3"/>
        <v>336</v>
      </c>
      <c r="E374" s="616" t="s">
        <v>1798</v>
      </c>
      <c r="F374" s="616" t="s">
        <v>4687</v>
      </c>
      <c r="G374" s="618" t="s">
        <v>1225</v>
      </c>
      <c r="H374" s="618" t="s">
        <v>2747</v>
      </c>
      <c r="I374" s="618" t="s">
        <v>2745</v>
      </c>
      <c r="J374" s="619" t="s">
        <v>2843</v>
      </c>
      <c r="K374" s="618"/>
      <c r="L374" s="627"/>
      <c r="M374" s="620"/>
      <c r="N374" s="620"/>
      <c r="O374" s="663" t="s">
        <v>3101</v>
      </c>
      <c r="P374" s="621"/>
      <c r="Q374" s="598"/>
      <c r="R374" s="598"/>
      <c r="S374" s="598"/>
      <c r="T374" s="623" t="s">
        <v>1090</v>
      </c>
      <c r="U374" s="663" t="s">
        <v>229</v>
      </c>
      <c r="V374" s="674" t="s">
        <v>2854</v>
      </c>
      <c r="W374" s="598" t="s">
        <v>950</v>
      </c>
      <c r="X374" s="624">
        <v>17662</v>
      </c>
      <c r="Y374" s="625">
        <f t="shared" ca="1" si="4"/>
        <v>77</v>
      </c>
      <c r="Z374" s="616" t="s">
        <v>2855</v>
      </c>
      <c r="AA374" s="598" t="s">
        <v>2856</v>
      </c>
      <c r="AB374" s="598" t="s">
        <v>966</v>
      </c>
      <c r="AC374" s="598" t="s">
        <v>953</v>
      </c>
      <c r="AD374" s="616" t="s">
        <v>1041</v>
      </c>
      <c r="AE374" s="616" t="s">
        <v>1041</v>
      </c>
      <c r="AF374" s="616" t="s">
        <v>2857</v>
      </c>
      <c r="AG374" s="598"/>
      <c r="AH374" s="598"/>
      <c r="AI374" s="598" t="s">
        <v>1025</v>
      </c>
      <c r="AJ374" s="598"/>
      <c r="AK374" s="626"/>
      <c r="AL374" s="626"/>
    </row>
    <row r="375" spans="1:38" ht="18" customHeight="1">
      <c r="A375" s="593"/>
      <c r="B375" s="598">
        <v>358</v>
      </c>
      <c r="C375" s="598" t="s">
        <v>2864</v>
      </c>
      <c r="D375" s="598">
        <f t="shared" si="3"/>
        <v>337</v>
      </c>
      <c r="E375" s="616" t="s">
        <v>1798</v>
      </c>
      <c r="F375" s="616" t="s">
        <v>4687</v>
      </c>
      <c r="G375" s="618" t="s">
        <v>1225</v>
      </c>
      <c r="H375" s="618" t="s">
        <v>2747</v>
      </c>
      <c r="I375" s="618" t="s">
        <v>2745</v>
      </c>
      <c r="J375" s="619" t="s">
        <v>2843</v>
      </c>
      <c r="K375" s="618"/>
      <c r="L375" s="627"/>
      <c r="M375" s="620"/>
      <c r="N375" s="620"/>
      <c r="O375" s="663" t="s">
        <v>3101</v>
      </c>
      <c r="P375" s="621"/>
      <c r="Q375" s="598"/>
      <c r="R375" s="598"/>
      <c r="S375" s="598"/>
      <c r="T375" s="623" t="s">
        <v>1015</v>
      </c>
      <c r="U375" s="663" t="s">
        <v>250</v>
      </c>
      <c r="V375" s="674" t="s">
        <v>2865</v>
      </c>
      <c r="W375" s="598" t="s">
        <v>950</v>
      </c>
      <c r="X375" s="624">
        <v>29101</v>
      </c>
      <c r="Y375" s="625">
        <f t="shared" ca="1" si="4"/>
        <v>46</v>
      </c>
      <c r="Z375" s="616" t="s">
        <v>2866</v>
      </c>
      <c r="AA375" s="598" t="s">
        <v>2867</v>
      </c>
      <c r="AB375" s="598" t="s">
        <v>966</v>
      </c>
      <c r="AC375" s="598" t="s">
        <v>953</v>
      </c>
      <c r="AD375" s="616" t="s">
        <v>1041</v>
      </c>
      <c r="AE375" s="616" t="s">
        <v>2147</v>
      </c>
      <c r="AF375" s="616" t="s">
        <v>2868</v>
      </c>
      <c r="AG375" s="598"/>
      <c r="AH375" s="598"/>
      <c r="AI375" s="598" t="s">
        <v>1025</v>
      </c>
      <c r="AJ375" s="598"/>
      <c r="AK375" s="626"/>
      <c r="AL375" s="626"/>
    </row>
    <row r="376" spans="1:38" ht="18" customHeight="1">
      <c r="A376" s="593"/>
      <c r="B376" s="598">
        <v>359</v>
      </c>
      <c r="C376" s="598" t="s">
        <v>2879</v>
      </c>
      <c r="D376" s="598">
        <f t="shared" si="3"/>
        <v>338</v>
      </c>
      <c r="E376" s="616" t="s">
        <v>1798</v>
      </c>
      <c r="F376" s="616" t="s">
        <v>4687</v>
      </c>
      <c r="G376" s="618" t="s">
        <v>1225</v>
      </c>
      <c r="H376" s="618" t="s">
        <v>2747</v>
      </c>
      <c r="I376" s="618" t="s">
        <v>2745</v>
      </c>
      <c r="J376" s="619" t="s">
        <v>2843</v>
      </c>
      <c r="K376" s="618"/>
      <c r="L376" s="627"/>
      <c r="M376" s="620"/>
      <c r="N376" s="620"/>
      <c r="O376" s="673" t="s">
        <v>3101</v>
      </c>
      <c r="P376" s="621"/>
      <c r="Q376" s="598"/>
      <c r="R376" s="598"/>
      <c r="S376" s="598"/>
      <c r="T376" s="623" t="s">
        <v>1015</v>
      </c>
      <c r="U376" s="673" t="s">
        <v>2880</v>
      </c>
      <c r="V376" s="674" t="s">
        <v>2881</v>
      </c>
      <c r="W376" s="598" t="s">
        <v>950</v>
      </c>
      <c r="X376" s="624">
        <v>30956</v>
      </c>
      <c r="Y376" s="625">
        <f t="shared" ca="1" si="4"/>
        <v>41</v>
      </c>
      <c r="Z376" s="616" t="s">
        <v>2882</v>
      </c>
      <c r="AA376" s="598" t="s">
        <v>2883</v>
      </c>
      <c r="AB376" s="598" t="s">
        <v>996</v>
      </c>
      <c r="AC376" s="598" t="s">
        <v>997</v>
      </c>
      <c r="AD376" s="616" t="s">
        <v>1041</v>
      </c>
      <c r="AE376" s="616" t="s">
        <v>1041</v>
      </c>
      <c r="AF376" s="616" t="s">
        <v>2884</v>
      </c>
      <c r="AG376" s="598"/>
      <c r="AH376" s="598"/>
      <c r="AI376" s="598" t="s">
        <v>1125</v>
      </c>
      <c r="AJ376" s="598"/>
      <c r="AK376" s="626"/>
      <c r="AL376" s="626"/>
    </row>
    <row r="377" spans="1:38" ht="18" customHeight="1">
      <c r="A377" s="593"/>
      <c r="B377" s="598">
        <v>360</v>
      </c>
      <c r="C377" s="598" t="s">
        <v>2885</v>
      </c>
      <c r="D377" s="598">
        <f t="shared" si="3"/>
        <v>339</v>
      </c>
      <c r="E377" s="616" t="s">
        <v>1798</v>
      </c>
      <c r="F377" s="616" t="s">
        <v>4687</v>
      </c>
      <c r="G377" s="618" t="s">
        <v>1225</v>
      </c>
      <c r="H377" s="618" t="s">
        <v>2747</v>
      </c>
      <c r="I377" s="618" t="s">
        <v>2745</v>
      </c>
      <c r="J377" s="618" t="s">
        <v>2885</v>
      </c>
      <c r="K377" s="618" t="s">
        <v>2886</v>
      </c>
      <c r="L377" s="619"/>
      <c r="M377" s="620"/>
      <c r="N377" s="620"/>
      <c r="O377" s="669" t="s">
        <v>1074</v>
      </c>
      <c r="P377" s="621"/>
      <c r="Q377" s="598" t="s">
        <v>55</v>
      </c>
      <c r="R377" s="598" t="s">
        <v>178</v>
      </c>
      <c r="S377" s="598"/>
      <c r="T377" s="598" t="s">
        <v>1015</v>
      </c>
      <c r="U377" s="667" t="s">
        <v>189</v>
      </c>
      <c r="V377" s="616" t="s">
        <v>2887</v>
      </c>
      <c r="W377" s="598" t="s">
        <v>950</v>
      </c>
      <c r="X377" s="624">
        <v>23890</v>
      </c>
      <c r="Y377" s="625">
        <f t="shared" ca="1" si="4"/>
        <v>60</v>
      </c>
      <c r="Z377" s="616" t="s">
        <v>2888</v>
      </c>
      <c r="AA377" s="598" t="s">
        <v>2889</v>
      </c>
      <c r="AB377" s="598" t="s">
        <v>966</v>
      </c>
      <c r="AC377" s="598" t="s">
        <v>953</v>
      </c>
      <c r="AD377" s="616" t="s">
        <v>729</v>
      </c>
      <c r="AE377" s="616" t="s">
        <v>1041</v>
      </c>
      <c r="AF377" s="616" t="s">
        <v>2713</v>
      </c>
      <c r="AG377" s="598"/>
      <c r="AH377" s="598"/>
      <c r="AI377" s="598" t="s">
        <v>1440</v>
      </c>
      <c r="AJ377" s="598"/>
      <c r="AK377" s="626"/>
      <c r="AL377" s="626"/>
    </row>
    <row r="378" spans="1:38" ht="18" customHeight="1">
      <c r="A378" s="593"/>
      <c r="B378" s="598">
        <v>361</v>
      </c>
      <c r="C378" s="598" t="s">
        <v>2886</v>
      </c>
      <c r="D378" s="598">
        <f t="shared" si="3"/>
        <v>340</v>
      </c>
      <c r="E378" s="616" t="s">
        <v>1798</v>
      </c>
      <c r="F378" s="616" t="s">
        <v>4687</v>
      </c>
      <c r="G378" s="618" t="s">
        <v>1225</v>
      </c>
      <c r="H378" s="618" t="s">
        <v>2747</v>
      </c>
      <c r="I378" s="618" t="s">
        <v>2745</v>
      </c>
      <c r="J378" s="618" t="s">
        <v>2885</v>
      </c>
      <c r="K378" s="618" t="s">
        <v>2886</v>
      </c>
      <c r="L378" s="619"/>
      <c r="M378" s="620"/>
      <c r="N378" s="620"/>
      <c r="O378" s="663" t="s">
        <v>1074</v>
      </c>
      <c r="P378" s="621"/>
      <c r="Q378" s="598" t="s">
        <v>69</v>
      </c>
      <c r="R378" s="598" t="s">
        <v>562</v>
      </c>
      <c r="S378" s="598"/>
      <c r="T378" s="598" t="s">
        <v>1015</v>
      </c>
      <c r="U378" s="663" t="s">
        <v>209</v>
      </c>
      <c r="V378" s="616" t="s">
        <v>2890</v>
      </c>
      <c r="W378" s="598" t="s">
        <v>950</v>
      </c>
      <c r="X378" s="624">
        <v>21150</v>
      </c>
      <c r="Y378" s="625">
        <f t="shared" ca="1" si="4"/>
        <v>68</v>
      </c>
      <c r="Z378" s="616" t="s">
        <v>2891</v>
      </c>
      <c r="AA378" s="598" t="s">
        <v>2892</v>
      </c>
      <c r="AB378" s="598" t="s">
        <v>996</v>
      </c>
      <c r="AC378" s="598" t="s">
        <v>997</v>
      </c>
      <c r="AD378" s="616" t="s">
        <v>1041</v>
      </c>
      <c r="AE378" s="721" t="s">
        <v>1041</v>
      </c>
      <c r="AF378" s="616" t="s">
        <v>1382</v>
      </c>
      <c r="AG378" s="598"/>
      <c r="AH378" s="598"/>
      <c r="AI378" s="598" t="s">
        <v>1452</v>
      </c>
      <c r="AJ378" s="598"/>
      <c r="AK378" s="626"/>
      <c r="AL378" s="626"/>
    </row>
    <row r="379" spans="1:38" ht="18" customHeight="1">
      <c r="A379" s="593"/>
      <c r="B379" s="598">
        <v>362</v>
      </c>
      <c r="C379" s="598" t="s">
        <v>2899</v>
      </c>
      <c r="D379" s="598">
        <f t="shared" si="3"/>
        <v>341</v>
      </c>
      <c r="E379" s="616" t="s">
        <v>1798</v>
      </c>
      <c r="F379" s="616" t="s">
        <v>4687</v>
      </c>
      <c r="G379" s="618" t="s">
        <v>1225</v>
      </c>
      <c r="H379" s="618" t="s">
        <v>2747</v>
      </c>
      <c r="I379" s="618" t="s">
        <v>2745</v>
      </c>
      <c r="J379" s="618" t="s">
        <v>2885</v>
      </c>
      <c r="K379" s="618" t="s">
        <v>2886</v>
      </c>
      <c r="L379" s="619"/>
      <c r="M379" s="620"/>
      <c r="N379" s="620"/>
      <c r="O379" s="663" t="s">
        <v>1074</v>
      </c>
      <c r="P379" s="621"/>
      <c r="Q379" s="598"/>
      <c r="R379" s="598"/>
      <c r="S379" s="598"/>
      <c r="T379" s="598" t="s">
        <v>1015</v>
      </c>
      <c r="U379" s="663" t="s">
        <v>230</v>
      </c>
      <c r="V379" s="616" t="s">
        <v>2900</v>
      </c>
      <c r="W379" s="598" t="s">
        <v>950</v>
      </c>
      <c r="X379" s="624">
        <v>21259</v>
      </c>
      <c r="Y379" s="625">
        <f t="shared" ca="1" si="4"/>
        <v>67</v>
      </c>
      <c r="Z379" s="616" t="s">
        <v>2901</v>
      </c>
      <c r="AA379" s="598" t="s">
        <v>2902</v>
      </c>
      <c r="AB379" s="598" t="s">
        <v>996</v>
      </c>
      <c r="AC379" s="598" t="s">
        <v>997</v>
      </c>
      <c r="AD379" s="616" t="s">
        <v>1041</v>
      </c>
      <c r="AE379" s="721" t="s">
        <v>1041</v>
      </c>
      <c r="AF379" s="616" t="s">
        <v>2903</v>
      </c>
      <c r="AG379" s="598"/>
      <c r="AH379" s="598"/>
      <c r="AI379" s="598" t="s">
        <v>1452</v>
      </c>
      <c r="AJ379" s="598"/>
      <c r="AK379" s="626"/>
      <c r="AL379" s="626"/>
    </row>
    <row r="380" spans="1:38" ht="18" customHeight="1">
      <c r="A380" s="593"/>
      <c r="B380" s="598">
        <v>363</v>
      </c>
      <c r="C380" s="598" t="s">
        <v>2904</v>
      </c>
      <c r="D380" s="598">
        <f t="shared" si="3"/>
        <v>342</v>
      </c>
      <c r="E380" s="616" t="s">
        <v>1798</v>
      </c>
      <c r="F380" s="616" t="s">
        <v>4687</v>
      </c>
      <c r="G380" s="618" t="s">
        <v>1225</v>
      </c>
      <c r="H380" s="618" t="s">
        <v>2747</v>
      </c>
      <c r="I380" s="618" t="s">
        <v>2745</v>
      </c>
      <c r="J380" s="618" t="s">
        <v>2885</v>
      </c>
      <c r="K380" s="618" t="s">
        <v>2886</v>
      </c>
      <c r="L380" s="619"/>
      <c r="M380" s="620"/>
      <c r="N380" s="620"/>
      <c r="O380" s="663" t="s">
        <v>1074</v>
      </c>
      <c r="P380" s="621"/>
      <c r="Q380" s="598"/>
      <c r="R380" s="598"/>
      <c r="S380" s="598"/>
      <c r="T380" s="598" t="s">
        <v>1015</v>
      </c>
      <c r="U380" s="663" t="s">
        <v>251</v>
      </c>
      <c r="V380" s="616" t="s">
        <v>2905</v>
      </c>
      <c r="W380" s="598" t="s">
        <v>950</v>
      </c>
      <c r="X380" s="624">
        <v>21707</v>
      </c>
      <c r="Y380" s="625">
        <f t="shared" ca="1" si="4"/>
        <v>66</v>
      </c>
      <c r="Z380" s="616" t="s">
        <v>2906</v>
      </c>
      <c r="AA380" s="598" t="s">
        <v>2907</v>
      </c>
      <c r="AB380" s="598" t="s">
        <v>996</v>
      </c>
      <c r="AC380" s="598" t="s">
        <v>997</v>
      </c>
      <c r="AD380" s="616" t="s">
        <v>1041</v>
      </c>
      <c r="AE380" s="640" t="s">
        <v>729</v>
      </c>
      <c r="AF380" s="616" t="s">
        <v>2908</v>
      </c>
      <c r="AG380" s="598"/>
      <c r="AH380" s="598"/>
      <c r="AI380" s="598" t="s">
        <v>1452</v>
      </c>
      <c r="AJ380" s="598"/>
      <c r="AK380" s="626"/>
      <c r="AL380" s="626"/>
    </row>
    <row r="381" spans="1:38" ht="18" customHeight="1">
      <c r="A381" s="593"/>
      <c r="B381" s="598">
        <v>364</v>
      </c>
      <c r="C381" s="598" t="s">
        <v>4698</v>
      </c>
      <c r="D381" s="598">
        <f t="shared" si="3"/>
        <v>343</v>
      </c>
      <c r="E381" s="616" t="s">
        <v>1798</v>
      </c>
      <c r="F381" s="616" t="s">
        <v>4687</v>
      </c>
      <c r="G381" s="618" t="s">
        <v>1225</v>
      </c>
      <c r="H381" s="618" t="s">
        <v>2747</v>
      </c>
      <c r="I381" s="618" t="s">
        <v>2745</v>
      </c>
      <c r="J381" s="618" t="s">
        <v>2885</v>
      </c>
      <c r="K381" s="618" t="s">
        <v>2886</v>
      </c>
      <c r="L381" s="619"/>
      <c r="M381" s="620"/>
      <c r="N381" s="620"/>
      <c r="O381" s="663" t="s">
        <v>1074</v>
      </c>
      <c r="P381" s="621"/>
      <c r="Q381" s="598"/>
      <c r="R381" s="598"/>
      <c r="S381" s="598"/>
      <c r="T381" s="598" t="s">
        <v>1015</v>
      </c>
      <c r="U381" s="663" t="s">
        <v>268</v>
      </c>
      <c r="V381" s="616" t="s">
        <v>4699</v>
      </c>
      <c r="W381" s="598" t="s">
        <v>950</v>
      </c>
      <c r="X381" s="624">
        <v>26474</v>
      </c>
      <c r="Y381" s="625">
        <f t="shared" ca="1" si="4"/>
        <v>53</v>
      </c>
      <c r="Z381" s="616" t="s">
        <v>4700</v>
      </c>
      <c r="AA381" s="652"/>
      <c r="AB381" s="598" t="s">
        <v>996</v>
      </c>
      <c r="AC381" s="598" t="s">
        <v>1018</v>
      </c>
      <c r="AD381" s="616" t="s">
        <v>1041</v>
      </c>
      <c r="AE381" s="721" t="s">
        <v>1041</v>
      </c>
      <c r="AF381" s="616" t="s">
        <v>4701</v>
      </c>
      <c r="AG381" s="598"/>
      <c r="AH381" s="598" t="s">
        <v>4702</v>
      </c>
      <c r="AI381" s="598" t="s">
        <v>1452</v>
      </c>
      <c r="AJ381" s="598"/>
      <c r="AK381" s="626"/>
      <c r="AL381" s="626"/>
    </row>
    <row r="382" spans="1:38" ht="18" customHeight="1">
      <c r="A382" s="593"/>
      <c r="B382" s="598">
        <v>365</v>
      </c>
      <c r="C382" s="598" t="s">
        <v>4703</v>
      </c>
      <c r="D382" s="598">
        <f t="shared" si="3"/>
        <v>344</v>
      </c>
      <c r="E382" s="616" t="s">
        <v>1798</v>
      </c>
      <c r="F382" s="616" t="s">
        <v>4687</v>
      </c>
      <c r="G382" s="618" t="s">
        <v>1225</v>
      </c>
      <c r="H382" s="618" t="s">
        <v>2747</v>
      </c>
      <c r="I382" s="618" t="s">
        <v>2745</v>
      </c>
      <c r="J382" s="618" t="s">
        <v>2885</v>
      </c>
      <c r="K382" s="618" t="s">
        <v>2886</v>
      </c>
      <c r="L382" s="619"/>
      <c r="M382" s="620"/>
      <c r="N382" s="620"/>
      <c r="O382" s="663" t="s">
        <v>1074</v>
      </c>
      <c r="P382" s="621"/>
      <c r="Q382" s="598"/>
      <c r="R382" s="598"/>
      <c r="S382" s="598"/>
      <c r="T382" s="598" t="s">
        <v>1015</v>
      </c>
      <c r="U382" s="663" t="s">
        <v>284</v>
      </c>
      <c r="V382" s="616" t="s">
        <v>4704</v>
      </c>
      <c r="W382" s="598" t="s">
        <v>950</v>
      </c>
      <c r="X382" s="624">
        <v>30766</v>
      </c>
      <c r="Y382" s="625">
        <f t="shared" ca="1" si="4"/>
        <v>41</v>
      </c>
      <c r="Z382" s="616" t="s">
        <v>4705</v>
      </c>
      <c r="AA382" s="652"/>
      <c r="AB382" s="598" t="s">
        <v>996</v>
      </c>
      <c r="AC382" s="598" t="s">
        <v>1018</v>
      </c>
      <c r="AD382" s="616" t="s">
        <v>1041</v>
      </c>
      <c r="AE382" s="721" t="s">
        <v>1041</v>
      </c>
      <c r="AF382" s="616" t="s">
        <v>4706</v>
      </c>
      <c r="AG382" s="598"/>
      <c r="AH382" s="598"/>
      <c r="AI382" s="598" t="s">
        <v>1452</v>
      </c>
      <c r="AJ382" s="598"/>
      <c r="AK382" s="626"/>
      <c r="AL382" s="626"/>
    </row>
    <row r="383" spans="1:38" ht="18" customHeight="1">
      <c r="A383" s="593"/>
      <c r="B383" s="598">
        <v>366</v>
      </c>
      <c r="C383" s="598" t="s">
        <v>2909</v>
      </c>
      <c r="D383" s="598">
        <f t="shared" si="3"/>
        <v>345</v>
      </c>
      <c r="E383" s="616" t="s">
        <v>1798</v>
      </c>
      <c r="F383" s="616" t="s">
        <v>4687</v>
      </c>
      <c r="G383" s="618" t="s">
        <v>1225</v>
      </c>
      <c r="H383" s="618" t="s">
        <v>2747</v>
      </c>
      <c r="I383" s="618" t="s">
        <v>2745</v>
      </c>
      <c r="J383" s="618" t="s">
        <v>2885</v>
      </c>
      <c r="K383" s="618" t="s">
        <v>2886</v>
      </c>
      <c r="L383" s="619"/>
      <c r="M383" s="620"/>
      <c r="N383" s="620"/>
      <c r="O383" s="673" t="s">
        <v>1074</v>
      </c>
      <c r="P383" s="621"/>
      <c r="Q383" s="598"/>
      <c r="R383" s="598"/>
      <c r="S383" s="598"/>
      <c r="T383" s="598" t="s">
        <v>1015</v>
      </c>
      <c r="U383" s="673" t="s">
        <v>295</v>
      </c>
      <c r="V383" s="616" t="s">
        <v>2910</v>
      </c>
      <c r="W383" s="598" t="s">
        <v>950</v>
      </c>
      <c r="X383" s="624">
        <v>31673</v>
      </c>
      <c r="Y383" s="625">
        <f t="shared" ca="1" si="4"/>
        <v>39</v>
      </c>
      <c r="Z383" s="616" t="s">
        <v>2911</v>
      </c>
      <c r="AA383" s="598" t="s">
        <v>2912</v>
      </c>
      <c r="AB383" s="598" t="s">
        <v>996</v>
      </c>
      <c r="AC383" s="598" t="s">
        <v>997</v>
      </c>
      <c r="AD383" s="616" t="s">
        <v>1041</v>
      </c>
      <c r="AE383" s="721" t="s">
        <v>1041</v>
      </c>
      <c r="AF383" s="616" t="s">
        <v>2683</v>
      </c>
      <c r="AG383" s="598"/>
      <c r="AH383" s="598"/>
      <c r="AI383" s="598" t="s">
        <v>1452</v>
      </c>
      <c r="AJ383" s="598"/>
      <c r="AK383" s="626"/>
      <c r="AL383" s="626"/>
    </row>
    <row r="384" spans="1:38" ht="18" customHeight="1">
      <c r="A384" s="593"/>
      <c r="B384" s="598">
        <v>367</v>
      </c>
      <c r="C384" s="598" t="s">
        <v>2926</v>
      </c>
      <c r="D384" s="598">
        <f t="shared" si="3"/>
        <v>346</v>
      </c>
      <c r="E384" s="616" t="s">
        <v>1798</v>
      </c>
      <c r="F384" s="616" t="s">
        <v>4687</v>
      </c>
      <c r="G384" s="618" t="s">
        <v>1225</v>
      </c>
      <c r="H384" s="618" t="s">
        <v>2747</v>
      </c>
      <c r="I384" s="618" t="s">
        <v>2745</v>
      </c>
      <c r="J384" s="618" t="s">
        <v>2926</v>
      </c>
      <c r="K384" s="619" t="s">
        <v>2927</v>
      </c>
      <c r="L384" s="619"/>
      <c r="M384" s="620"/>
      <c r="N384" s="620"/>
      <c r="O384" s="663" t="s">
        <v>1115</v>
      </c>
      <c r="P384" s="621"/>
      <c r="Q384" s="598" t="s">
        <v>55</v>
      </c>
      <c r="R384" s="598" t="s">
        <v>178</v>
      </c>
      <c r="S384" s="598"/>
      <c r="T384" s="598" t="s">
        <v>1015</v>
      </c>
      <c r="U384" s="663" t="s">
        <v>190</v>
      </c>
      <c r="V384" s="616" t="s">
        <v>2928</v>
      </c>
      <c r="W384" s="598" t="s">
        <v>950</v>
      </c>
      <c r="X384" s="624">
        <v>25699</v>
      </c>
      <c r="Y384" s="625">
        <f t="shared" ca="1" si="4"/>
        <v>55</v>
      </c>
      <c r="Z384" s="616" t="s">
        <v>2929</v>
      </c>
      <c r="AA384" s="598" t="s">
        <v>2930</v>
      </c>
      <c r="AB384" s="598" t="s">
        <v>966</v>
      </c>
      <c r="AC384" s="598" t="s">
        <v>953</v>
      </c>
      <c r="AD384" s="616" t="s">
        <v>1041</v>
      </c>
      <c r="AE384" s="721" t="s">
        <v>1041</v>
      </c>
      <c r="AF384" s="616" t="s">
        <v>2784</v>
      </c>
      <c r="AG384" s="598"/>
      <c r="AH384" s="598"/>
      <c r="AI384" s="598" t="s">
        <v>1125</v>
      </c>
      <c r="AJ384" s="598"/>
      <c r="AK384" s="626"/>
      <c r="AL384" s="626"/>
    </row>
    <row r="385" spans="1:38" ht="18" customHeight="1">
      <c r="A385" s="278"/>
      <c r="B385" s="598">
        <v>368</v>
      </c>
      <c r="C385" s="598" t="s">
        <v>2927</v>
      </c>
      <c r="D385" s="598">
        <f t="shared" si="3"/>
        <v>347</v>
      </c>
      <c r="E385" s="616" t="s">
        <v>1798</v>
      </c>
      <c r="F385" s="598" t="s">
        <v>4687</v>
      </c>
      <c r="G385" s="618" t="s">
        <v>1225</v>
      </c>
      <c r="H385" s="618" t="s">
        <v>2747</v>
      </c>
      <c r="I385" s="618" t="s">
        <v>2745</v>
      </c>
      <c r="J385" s="618" t="s">
        <v>2926</v>
      </c>
      <c r="K385" s="619" t="s">
        <v>2927</v>
      </c>
      <c r="L385" s="619"/>
      <c r="M385" s="636"/>
      <c r="N385" s="636"/>
      <c r="O385" s="672" t="s">
        <v>1115</v>
      </c>
      <c r="P385" s="621"/>
      <c r="Q385" s="598" t="s">
        <v>69</v>
      </c>
      <c r="R385" s="598" t="s">
        <v>562</v>
      </c>
      <c r="S385" s="627"/>
      <c r="T385" s="703" t="s">
        <v>1015</v>
      </c>
      <c r="U385" s="672" t="s">
        <v>252</v>
      </c>
      <c r="V385" s="598" t="s">
        <v>2931</v>
      </c>
      <c r="W385" s="598" t="s">
        <v>950</v>
      </c>
      <c r="X385" s="624">
        <v>23880</v>
      </c>
      <c r="Y385" s="625">
        <f t="shared" ca="1" si="4"/>
        <v>60</v>
      </c>
      <c r="Z385" s="598" t="s">
        <v>2932</v>
      </c>
      <c r="AA385" s="598" t="s">
        <v>2933</v>
      </c>
      <c r="AB385" s="598" t="s">
        <v>996</v>
      </c>
      <c r="AC385" s="644" t="s">
        <v>997</v>
      </c>
      <c r="AD385" s="598" t="s">
        <v>1041</v>
      </c>
      <c r="AE385" s="598" t="s">
        <v>2934</v>
      </c>
      <c r="AF385" s="598" t="s">
        <v>2935</v>
      </c>
      <c r="AG385" s="627"/>
      <c r="AH385" s="627"/>
      <c r="AI385" s="598" t="s">
        <v>1318</v>
      </c>
      <c r="AJ385" s="627"/>
      <c r="AK385" s="627"/>
      <c r="AL385" s="627"/>
    </row>
    <row r="386" spans="1:38" ht="18" customHeight="1">
      <c r="A386" s="593"/>
      <c r="B386" s="598">
        <v>369</v>
      </c>
      <c r="C386" s="598" t="s">
        <v>3647</v>
      </c>
      <c r="D386" s="598">
        <f t="shared" si="3"/>
        <v>348</v>
      </c>
      <c r="E386" s="616" t="s">
        <v>1798</v>
      </c>
      <c r="F386" s="616" t="s">
        <v>4687</v>
      </c>
      <c r="G386" s="618" t="s">
        <v>1225</v>
      </c>
      <c r="H386" s="618" t="s">
        <v>2747</v>
      </c>
      <c r="I386" s="618" t="s">
        <v>2745</v>
      </c>
      <c r="J386" s="618" t="s">
        <v>2926</v>
      </c>
      <c r="K386" s="619" t="s">
        <v>2927</v>
      </c>
      <c r="L386" s="619"/>
      <c r="M386" s="620"/>
      <c r="N386" s="620"/>
      <c r="O386" s="663" t="s">
        <v>1115</v>
      </c>
      <c r="P386" s="621"/>
      <c r="Q386" s="598"/>
      <c r="R386" s="598"/>
      <c r="S386" s="598"/>
      <c r="T386" s="598" t="s">
        <v>1090</v>
      </c>
      <c r="U386" s="663" t="s">
        <v>210</v>
      </c>
      <c r="V386" s="616" t="s">
        <v>3648</v>
      </c>
      <c r="W386" s="598" t="s">
        <v>950</v>
      </c>
      <c r="X386" s="624">
        <v>19481</v>
      </c>
      <c r="Y386" s="625">
        <f t="shared" ca="1" si="4"/>
        <v>72</v>
      </c>
      <c r="Z386" s="616" t="s">
        <v>3649</v>
      </c>
      <c r="AA386" s="645" t="s">
        <v>3650</v>
      </c>
      <c r="AB386" s="598" t="s">
        <v>996</v>
      </c>
      <c r="AC386" s="644" t="s">
        <v>997</v>
      </c>
      <c r="AD386" s="616" t="s">
        <v>1078</v>
      </c>
      <c r="AE386" s="616" t="s">
        <v>3651</v>
      </c>
      <c r="AF386" s="616" t="s">
        <v>3652</v>
      </c>
      <c r="AG386" s="598"/>
      <c r="AH386" s="598"/>
      <c r="AI386" s="598" t="s">
        <v>1318</v>
      </c>
      <c r="AJ386" s="598"/>
      <c r="AK386" s="626"/>
      <c r="AL386" s="626"/>
    </row>
    <row r="387" spans="1:38" ht="18" customHeight="1">
      <c r="A387" s="593"/>
      <c r="B387" s="598">
        <v>370</v>
      </c>
      <c r="C387" s="598" t="s">
        <v>2936</v>
      </c>
      <c r="D387" s="598">
        <f t="shared" si="3"/>
        <v>349</v>
      </c>
      <c r="E387" s="616" t="s">
        <v>1798</v>
      </c>
      <c r="F387" s="616" t="s">
        <v>4687</v>
      </c>
      <c r="G387" s="618" t="s">
        <v>1225</v>
      </c>
      <c r="H387" s="618" t="s">
        <v>2747</v>
      </c>
      <c r="I387" s="618" t="s">
        <v>2745</v>
      </c>
      <c r="J387" s="618" t="s">
        <v>2926</v>
      </c>
      <c r="K387" s="619" t="s">
        <v>2927</v>
      </c>
      <c r="L387" s="619"/>
      <c r="M387" s="620"/>
      <c r="N387" s="620"/>
      <c r="O387" s="663" t="s">
        <v>1115</v>
      </c>
      <c r="P387" s="621"/>
      <c r="Q387" s="598"/>
      <c r="R387" s="598"/>
      <c r="S387" s="598"/>
      <c r="T387" s="598" t="s">
        <v>1090</v>
      </c>
      <c r="U387" s="663" t="s">
        <v>231</v>
      </c>
      <c r="V387" s="616" t="s">
        <v>2937</v>
      </c>
      <c r="W387" s="598" t="s">
        <v>950</v>
      </c>
      <c r="X387" s="624">
        <v>19809</v>
      </c>
      <c r="Y387" s="625">
        <f t="shared" ca="1" si="4"/>
        <v>71</v>
      </c>
      <c r="Z387" s="616" t="s">
        <v>2938</v>
      </c>
      <c r="AA387" s="598" t="s">
        <v>2939</v>
      </c>
      <c r="AB387" s="598" t="s">
        <v>996</v>
      </c>
      <c r="AC387" s="644" t="s">
        <v>997</v>
      </c>
      <c r="AD387" s="616" t="s">
        <v>1041</v>
      </c>
      <c r="AE387" s="721" t="s">
        <v>1041</v>
      </c>
      <c r="AF387" s="616" t="s">
        <v>1382</v>
      </c>
      <c r="AG387" s="598"/>
      <c r="AH387" s="598"/>
      <c r="AI387" s="598" t="s">
        <v>1318</v>
      </c>
      <c r="AJ387" s="598"/>
      <c r="AK387" s="626"/>
      <c r="AL387" s="626"/>
    </row>
    <row r="388" spans="1:38" ht="18" customHeight="1">
      <c r="A388" s="593"/>
      <c r="B388" s="598">
        <v>371</v>
      </c>
      <c r="C388" s="598" t="s">
        <v>2946</v>
      </c>
      <c r="D388" s="598">
        <f t="shared" si="3"/>
        <v>350</v>
      </c>
      <c r="E388" s="616" t="s">
        <v>1798</v>
      </c>
      <c r="F388" s="616" t="s">
        <v>4687</v>
      </c>
      <c r="G388" s="618" t="s">
        <v>1225</v>
      </c>
      <c r="H388" s="618" t="s">
        <v>2747</v>
      </c>
      <c r="I388" s="618" t="s">
        <v>2745</v>
      </c>
      <c r="J388" s="618" t="s">
        <v>2926</v>
      </c>
      <c r="K388" s="619" t="s">
        <v>2927</v>
      </c>
      <c r="L388" s="619"/>
      <c r="M388" s="620"/>
      <c r="N388" s="620"/>
      <c r="O388" s="673" t="s">
        <v>1115</v>
      </c>
      <c r="P388" s="621"/>
      <c r="Q388" s="598"/>
      <c r="R388" s="598"/>
      <c r="S388" s="598"/>
      <c r="T388" s="598" t="s">
        <v>1015</v>
      </c>
      <c r="U388" s="673" t="s">
        <v>269</v>
      </c>
      <c r="V388" s="616" t="s">
        <v>2947</v>
      </c>
      <c r="W388" s="598" t="s">
        <v>950</v>
      </c>
      <c r="X388" s="624">
        <v>26431</v>
      </c>
      <c r="Y388" s="625">
        <f t="shared" ca="1" si="4"/>
        <v>53</v>
      </c>
      <c r="Z388" s="616" t="s">
        <v>2948</v>
      </c>
      <c r="AA388" s="730" t="s">
        <v>2949</v>
      </c>
      <c r="AB388" s="598" t="s">
        <v>996</v>
      </c>
      <c r="AC388" s="644" t="s">
        <v>997</v>
      </c>
      <c r="AD388" s="616" t="s">
        <v>1041</v>
      </c>
      <c r="AE388" s="721" t="s">
        <v>1041</v>
      </c>
      <c r="AF388" s="616" t="s">
        <v>2683</v>
      </c>
      <c r="AG388" s="598"/>
      <c r="AH388" s="598"/>
      <c r="AI388" s="598" t="s">
        <v>1318</v>
      </c>
      <c r="AJ388" s="598"/>
      <c r="AK388" s="626"/>
      <c r="AL388" s="626"/>
    </row>
    <row r="389" spans="1:38" ht="18" customHeight="1">
      <c r="A389" s="593"/>
      <c r="B389" s="598">
        <v>372</v>
      </c>
      <c r="C389" s="598" t="s">
        <v>1303</v>
      </c>
      <c r="D389" s="598">
        <f t="shared" si="3"/>
        <v>350</v>
      </c>
      <c r="E389" s="616"/>
      <c r="F389" s="616" t="s">
        <v>4687</v>
      </c>
      <c r="G389" s="618" t="s">
        <v>1225</v>
      </c>
      <c r="H389" s="618" t="s">
        <v>2747</v>
      </c>
      <c r="I389" s="618" t="s">
        <v>1195</v>
      </c>
      <c r="J389" s="618" t="s">
        <v>1303</v>
      </c>
      <c r="K389" s="618" t="s">
        <v>3002</v>
      </c>
      <c r="L389" s="619" t="s">
        <v>3001</v>
      </c>
      <c r="M389" s="620"/>
      <c r="N389" s="620"/>
      <c r="O389" s="667" t="s">
        <v>1127</v>
      </c>
      <c r="P389" s="621"/>
      <c r="Q389" s="598" t="s">
        <v>55</v>
      </c>
      <c r="R389" s="598" t="s">
        <v>55</v>
      </c>
      <c r="S389" s="598"/>
      <c r="T389" s="598"/>
      <c r="U389" s="667" t="s">
        <v>176</v>
      </c>
      <c r="V389" s="616" t="s">
        <v>1305</v>
      </c>
      <c r="W389" s="598" t="s">
        <v>950</v>
      </c>
      <c r="X389" s="624">
        <v>21384</v>
      </c>
      <c r="Y389" s="625">
        <f t="shared" ca="1" si="4"/>
        <v>67</v>
      </c>
      <c r="Z389" s="616" t="s">
        <v>1306</v>
      </c>
      <c r="AA389" s="598"/>
      <c r="AB389" s="598" t="s">
        <v>996</v>
      </c>
      <c r="AC389" s="598" t="s">
        <v>953</v>
      </c>
      <c r="AD389" s="616" t="s">
        <v>729</v>
      </c>
      <c r="AE389" s="616" t="s">
        <v>1239</v>
      </c>
      <c r="AF389" s="616" t="s">
        <v>1258</v>
      </c>
      <c r="AG389" s="598" t="s">
        <v>955</v>
      </c>
      <c r="AH389" s="598"/>
      <c r="AI389" s="598"/>
      <c r="AJ389" s="598"/>
      <c r="AK389" s="626"/>
      <c r="AL389" s="626"/>
    </row>
    <row r="390" spans="1:38" ht="18" customHeight="1">
      <c r="A390" s="278"/>
      <c r="B390" s="598">
        <v>373</v>
      </c>
      <c r="C390" s="598" t="s">
        <v>3002</v>
      </c>
      <c r="D390" s="598">
        <f t="shared" si="3"/>
        <v>351</v>
      </c>
      <c r="E390" s="616" t="s">
        <v>1798</v>
      </c>
      <c r="F390" s="598" t="s">
        <v>4687</v>
      </c>
      <c r="G390" s="618" t="s">
        <v>1225</v>
      </c>
      <c r="H390" s="618" t="s">
        <v>2747</v>
      </c>
      <c r="I390" s="618" t="s">
        <v>1195</v>
      </c>
      <c r="J390" s="618" t="s">
        <v>1303</v>
      </c>
      <c r="K390" s="618" t="s">
        <v>3002</v>
      </c>
      <c r="L390" s="619" t="s">
        <v>3001</v>
      </c>
      <c r="M390" s="636"/>
      <c r="N390" s="636"/>
      <c r="O390" s="672" t="s">
        <v>1127</v>
      </c>
      <c r="P390" s="621" t="s">
        <v>319</v>
      </c>
      <c r="Q390" s="598" t="s">
        <v>69</v>
      </c>
      <c r="R390" s="598" t="s">
        <v>562</v>
      </c>
      <c r="S390" s="627"/>
      <c r="T390" s="703" t="s">
        <v>1015</v>
      </c>
      <c r="U390" s="672" t="s">
        <v>253</v>
      </c>
      <c r="V390" s="598" t="s">
        <v>3006</v>
      </c>
      <c r="W390" s="598" t="s">
        <v>950</v>
      </c>
      <c r="X390" s="624">
        <v>25424</v>
      </c>
      <c r="Y390" s="625">
        <f t="shared" ca="1" si="4"/>
        <v>56</v>
      </c>
      <c r="Z390" s="598" t="s">
        <v>3007</v>
      </c>
      <c r="AA390" s="598" t="s">
        <v>3008</v>
      </c>
      <c r="AB390" s="598" t="s">
        <v>996</v>
      </c>
      <c r="AC390" s="644" t="s">
        <v>997</v>
      </c>
      <c r="AD390" s="598" t="s">
        <v>1041</v>
      </c>
      <c r="AE390" s="721" t="s">
        <v>1041</v>
      </c>
      <c r="AF390" s="598" t="s">
        <v>1473</v>
      </c>
      <c r="AG390" s="627"/>
      <c r="AH390" s="627"/>
      <c r="AI390" s="629" t="s">
        <v>1359</v>
      </c>
      <c r="AJ390" s="627"/>
      <c r="AK390" s="627"/>
      <c r="AL390" s="627"/>
    </row>
    <row r="391" spans="1:38" ht="18" customHeight="1">
      <c r="A391" s="593"/>
      <c r="B391" s="598">
        <v>374</v>
      </c>
      <c r="C391" s="598" t="s">
        <v>3001</v>
      </c>
      <c r="D391" s="598">
        <f t="shared" si="3"/>
        <v>352</v>
      </c>
      <c r="E391" s="616" t="s">
        <v>1798</v>
      </c>
      <c r="F391" s="616" t="s">
        <v>4687</v>
      </c>
      <c r="G391" s="618" t="s">
        <v>1225</v>
      </c>
      <c r="H391" s="618" t="s">
        <v>2747</v>
      </c>
      <c r="I391" s="618" t="s">
        <v>1195</v>
      </c>
      <c r="J391" s="618" t="s">
        <v>1303</v>
      </c>
      <c r="K391" s="618" t="s">
        <v>3002</v>
      </c>
      <c r="L391" s="619" t="s">
        <v>3001</v>
      </c>
      <c r="M391" s="620"/>
      <c r="N391" s="620"/>
      <c r="O391" s="663" t="s">
        <v>1127</v>
      </c>
      <c r="P391" s="621" t="s">
        <v>319</v>
      </c>
      <c r="Q391" s="598" t="s">
        <v>69</v>
      </c>
      <c r="R391" s="598" t="s">
        <v>562</v>
      </c>
      <c r="S391" s="598"/>
      <c r="T391" s="598" t="s">
        <v>1015</v>
      </c>
      <c r="U391" s="663" t="s">
        <v>296</v>
      </c>
      <c r="V391" s="616" t="s">
        <v>3003</v>
      </c>
      <c r="W391" s="598" t="s">
        <v>950</v>
      </c>
      <c r="X391" s="624">
        <v>25965</v>
      </c>
      <c r="Y391" s="625">
        <f t="shared" ca="1" si="4"/>
        <v>54</v>
      </c>
      <c r="Z391" s="616" t="s">
        <v>3004</v>
      </c>
      <c r="AA391" s="598" t="s">
        <v>3005</v>
      </c>
      <c r="AB391" s="598" t="s">
        <v>996</v>
      </c>
      <c r="AC391" s="644" t="s">
        <v>997</v>
      </c>
      <c r="AD391" s="616" t="s">
        <v>1041</v>
      </c>
      <c r="AE391" s="721" t="s">
        <v>1041</v>
      </c>
      <c r="AF391" s="616" t="s">
        <v>2645</v>
      </c>
      <c r="AG391" s="598"/>
      <c r="AH391" s="598"/>
      <c r="AI391" s="634" t="s">
        <v>1359</v>
      </c>
      <c r="AJ391" s="598"/>
      <c r="AK391" s="626"/>
      <c r="AL391" s="626"/>
    </row>
    <row r="392" spans="1:38" ht="18" customHeight="1">
      <c r="A392" s="593"/>
      <c r="B392" s="598">
        <v>375</v>
      </c>
      <c r="C392" s="598" t="s">
        <v>2992</v>
      </c>
      <c r="D392" s="598">
        <f t="shared" si="3"/>
        <v>353</v>
      </c>
      <c r="E392" s="616" t="s">
        <v>1798</v>
      </c>
      <c r="F392" s="616" t="s">
        <v>4687</v>
      </c>
      <c r="G392" s="618" t="s">
        <v>1225</v>
      </c>
      <c r="H392" s="618" t="s">
        <v>2747</v>
      </c>
      <c r="I392" s="618" t="s">
        <v>1195</v>
      </c>
      <c r="J392" s="618" t="s">
        <v>1303</v>
      </c>
      <c r="K392" s="618" t="s">
        <v>3002</v>
      </c>
      <c r="L392" s="619" t="s">
        <v>3001</v>
      </c>
      <c r="M392" s="620"/>
      <c r="N392" s="620"/>
      <c r="O392" s="663" t="s">
        <v>1127</v>
      </c>
      <c r="P392" s="621" t="s">
        <v>319</v>
      </c>
      <c r="Q392" s="598"/>
      <c r="R392" s="598"/>
      <c r="S392" s="598"/>
      <c r="T392" s="598" t="s">
        <v>1015</v>
      </c>
      <c r="U392" s="663" t="s">
        <v>211</v>
      </c>
      <c r="V392" s="616" t="s">
        <v>2993</v>
      </c>
      <c r="W392" s="598" t="s">
        <v>950</v>
      </c>
      <c r="X392" s="624">
        <v>21961</v>
      </c>
      <c r="Y392" s="625">
        <f t="shared" ca="1" si="4"/>
        <v>65</v>
      </c>
      <c r="Z392" s="616" t="s">
        <v>2994</v>
      </c>
      <c r="AA392" s="598" t="s">
        <v>2995</v>
      </c>
      <c r="AB392" s="598" t="s">
        <v>996</v>
      </c>
      <c r="AC392" s="644" t="s">
        <v>997</v>
      </c>
      <c r="AD392" s="616" t="s">
        <v>1041</v>
      </c>
      <c r="AE392" s="721" t="s">
        <v>1041</v>
      </c>
      <c r="AF392" s="616" t="s">
        <v>1473</v>
      </c>
      <c r="AG392" s="598"/>
      <c r="AH392" s="598"/>
      <c r="AI392" s="634" t="s">
        <v>1359</v>
      </c>
      <c r="AJ392" s="598"/>
      <c r="AK392" s="626"/>
      <c r="AL392" s="626"/>
    </row>
    <row r="393" spans="1:38" ht="18" customHeight="1">
      <c r="A393" s="593"/>
      <c r="B393" s="598">
        <v>376</v>
      </c>
      <c r="C393" s="598" t="s">
        <v>3013</v>
      </c>
      <c r="D393" s="598">
        <f t="shared" si="3"/>
        <v>354</v>
      </c>
      <c r="E393" s="616" t="s">
        <v>1798</v>
      </c>
      <c r="F393" s="616" t="s">
        <v>4687</v>
      </c>
      <c r="G393" s="618" t="s">
        <v>1225</v>
      </c>
      <c r="H393" s="618" t="s">
        <v>2747</v>
      </c>
      <c r="I393" s="618" t="s">
        <v>1195</v>
      </c>
      <c r="J393" s="618" t="s">
        <v>1303</v>
      </c>
      <c r="K393" s="618" t="s">
        <v>3002</v>
      </c>
      <c r="L393" s="619" t="s">
        <v>3001</v>
      </c>
      <c r="M393" s="620"/>
      <c r="N393" s="620"/>
      <c r="O393" s="663" t="s">
        <v>1127</v>
      </c>
      <c r="P393" s="621" t="s">
        <v>319</v>
      </c>
      <c r="Q393" s="598"/>
      <c r="R393" s="598"/>
      <c r="S393" s="598"/>
      <c r="T393" s="598" t="s">
        <v>1015</v>
      </c>
      <c r="U393" s="663" t="s">
        <v>232</v>
      </c>
      <c r="V393" s="616" t="s">
        <v>3014</v>
      </c>
      <c r="W393" s="598" t="s">
        <v>950</v>
      </c>
      <c r="X393" s="624">
        <v>22297</v>
      </c>
      <c r="Y393" s="625">
        <f t="shared" ca="1" si="4"/>
        <v>65</v>
      </c>
      <c r="Z393" s="616" t="s">
        <v>3015</v>
      </c>
      <c r="AA393" s="598" t="s">
        <v>3016</v>
      </c>
      <c r="AB393" s="598" t="s">
        <v>996</v>
      </c>
      <c r="AC393" s="644" t="s">
        <v>997</v>
      </c>
      <c r="AD393" s="616" t="s">
        <v>1041</v>
      </c>
      <c r="AE393" s="721" t="s">
        <v>1041</v>
      </c>
      <c r="AF393" s="616" t="s">
        <v>3017</v>
      </c>
      <c r="AG393" s="598"/>
      <c r="AH393" s="598"/>
      <c r="AI393" s="634" t="s">
        <v>1359</v>
      </c>
      <c r="AJ393" s="598"/>
      <c r="AK393" s="626"/>
      <c r="AL393" s="626"/>
    </row>
    <row r="394" spans="1:38" ht="18" customHeight="1">
      <c r="A394" s="593"/>
      <c r="B394" s="598">
        <v>377</v>
      </c>
      <c r="C394" s="598" t="s">
        <v>3018</v>
      </c>
      <c r="D394" s="598">
        <f t="shared" si="3"/>
        <v>355</v>
      </c>
      <c r="E394" s="616" t="s">
        <v>1798</v>
      </c>
      <c r="F394" s="616" t="s">
        <v>4687</v>
      </c>
      <c r="G394" s="618" t="s">
        <v>1225</v>
      </c>
      <c r="H394" s="618" t="s">
        <v>2747</v>
      </c>
      <c r="I394" s="618" t="s">
        <v>1195</v>
      </c>
      <c r="J394" s="618" t="s">
        <v>1303</v>
      </c>
      <c r="K394" s="618" t="s">
        <v>3002</v>
      </c>
      <c r="L394" s="619" t="s">
        <v>3001</v>
      </c>
      <c r="M394" s="620"/>
      <c r="N394" s="620"/>
      <c r="O394" s="663" t="s">
        <v>1127</v>
      </c>
      <c r="P394" s="621" t="s">
        <v>319</v>
      </c>
      <c r="Q394" s="598"/>
      <c r="R394" s="598"/>
      <c r="S394" s="598"/>
      <c r="T394" s="598" t="s">
        <v>1015</v>
      </c>
      <c r="U394" s="663" t="s">
        <v>270</v>
      </c>
      <c r="V394" s="616" t="s">
        <v>3019</v>
      </c>
      <c r="W394" s="598" t="s">
        <v>950</v>
      </c>
      <c r="X394" s="624">
        <v>25568</v>
      </c>
      <c r="Y394" s="625">
        <f t="shared" ca="1" si="4"/>
        <v>56</v>
      </c>
      <c r="Z394" s="616" t="s">
        <v>3020</v>
      </c>
      <c r="AA394" s="598" t="s">
        <v>3021</v>
      </c>
      <c r="AB394" s="598" t="s">
        <v>996</v>
      </c>
      <c r="AC394" s="644" t="s">
        <v>997</v>
      </c>
      <c r="AD394" s="616" t="s">
        <v>1041</v>
      </c>
      <c r="AE394" s="721" t="s">
        <v>1041</v>
      </c>
      <c r="AF394" s="616" t="s">
        <v>2654</v>
      </c>
      <c r="AG394" s="598"/>
      <c r="AH394" s="598"/>
      <c r="AI394" s="634" t="s">
        <v>1359</v>
      </c>
      <c r="AJ394" s="598"/>
      <c r="AK394" s="626"/>
      <c r="AL394" s="626"/>
    </row>
    <row r="395" spans="1:38" ht="18" customHeight="1">
      <c r="A395" s="593"/>
      <c r="B395" s="598">
        <v>378</v>
      </c>
      <c r="C395" s="598" t="s">
        <v>3009</v>
      </c>
      <c r="D395" s="598">
        <f t="shared" si="3"/>
        <v>356</v>
      </c>
      <c r="E395" s="616" t="s">
        <v>1798</v>
      </c>
      <c r="F395" s="616" t="s">
        <v>4687</v>
      </c>
      <c r="G395" s="618" t="s">
        <v>1225</v>
      </c>
      <c r="H395" s="618" t="s">
        <v>2747</v>
      </c>
      <c r="I395" s="618" t="s">
        <v>1195</v>
      </c>
      <c r="J395" s="618" t="s">
        <v>1303</v>
      </c>
      <c r="K395" s="618" t="s">
        <v>3002</v>
      </c>
      <c r="L395" s="619" t="s">
        <v>3001</v>
      </c>
      <c r="M395" s="620"/>
      <c r="N395" s="620"/>
      <c r="O395" s="663" t="s">
        <v>1127</v>
      </c>
      <c r="P395" s="621" t="s">
        <v>319</v>
      </c>
      <c r="Q395" s="598"/>
      <c r="R395" s="598"/>
      <c r="S395" s="598"/>
      <c r="T395" s="598" t="s">
        <v>1015</v>
      </c>
      <c r="U395" s="663" t="s">
        <v>285</v>
      </c>
      <c r="V395" s="616" t="s">
        <v>3010</v>
      </c>
      <c r="W395" s="598" t="s">
        <v>950</v>
      </c>
      <c r="X395" s="624">
        <v>25925</v>
      </c>
      <c r="Y395" s="625">
        <f t="shared" ca="1" si="4"/>
        <v>55</v>
      </c>
      <c r="Z395" s="616" t="s">
        <v>3011</v>
      </c>
      <c r="AA395" s="598" t="s">
        <v>3012</v>
      </c>
      <c r="AB395" s="598" t="s">
        <v>996</v>
      </c>
      <c r="AC395" s="644" t="s">
        <v>997</v>
      </c>
      <c r="AD395" s="616" t="s">
        <v>1041</v>
      </c>
      <c r="AE395" s="721" t="s">
        <v>1041</v>
      </c>
      <c r="AF395" s="616" t="s">
        <v>2654</v>
      </c>
      <c r="AG395" s="598"/>
      <c r="AH395" s="598"/>
      <c r="AI395" s="634" t="s">
        <v>1359</v>
      </c>
      <c r="AJ395" s="598"/>
      <c r="AK395" s="626"/>
      <c r="AL395" s="626"/>
    </row>
    <row r="396" spans="1:38" ht="18" customHeight="1">
      <c r="A396" s="593"/>
      <c r="B396" s="598">
        <v>379</v>
      </c>
      <c r="C396" s="598" t="s">
        <v>4707</v>
      </c>
      <c r="D396" s="598">
        <f t="shared" si="3"/>
        <v>357</v>
      </c>
      <c r="E396" s="616" t="s">
        <v>1798</v>
      </c>
      <c r="F396" s="616" t="s">
        <v>4687</v>
      </c>
      <c r="G396" s="618" t="s">
        <v>1225</v>
      </c>
      <c r="H396" s="618" t="s">
        <v>2747</v>
      </c>
      <c r="I396" s="618" t="s">
        <v>1195</v>
      </c>
      <c r="J396" s="618" t="s">
        <v>1303</v>
      </c>
      <c r="K396" s="618" t="s">
        <v>3002</v>
      </c>
      <c r="L396" s="619" t="s">
        <v>3001</v>
      </c>
      <c r="M396" s="620"/>
      <c r="N396" s="620"/>
      <c r="O396" s="663" t="s">
        <v>1127</v>
      </c>
      <c r="P396" s="621" t="s">
        <v>319</v>
      </c>
      <c r="Q396" s="598"/>
      <c r="R396" s="598"/>
      <c r="S396" s="598"/>
      <c r="T396" s="598" t="s">
        <v>1015</v>
      </c>
      <c r="U396" s="663" t="s">
        <v>4708</v>
      </c>
      <c r="V396" s="616" t="s">
        <v>4709</v>
      </c>
      <c r="W396" s="598" t="s">
        <v>950</v>
      </c>
      <c r="X396" s="624">
        <v>26507</v>
      </c>
      <c r="Y396" s="625">
        <f t="shared" ca="1" si="4"/>
        <v>53</v>
      </c>
      <c r="Z396" s="616" t="s">
        <v>4710</v>
      </c>
      <c r="AA396" s="652"/>
      <c r="AB396" s="598" t="s">
        <v>996</v>
      </c>
      <c r="AC396" s="598" t="s">
        <v>1018</v>
      </c>
      <c r="AD396" s="616" t="s">
        <v>2069</v>
      </c>
      <c r="AE396" s="616" t="s">
        <v>2069</v>
      </c>
      <c r="AF396" s="616" t="s">
        <v>4711</v>
      </c>
      <c r="AG396" s="598"/>
      <c r="AH396" s="598" t="s">
        <v>2310</v>
      </c>
      <c r="AI396" s="634" t="s">
        <v>1359</v>
      </c>
      <c r="AJ396" s="598" t="s">
        <v>1020</v>
      </c>
      <c r="AK396" s="626"/>
      <c r="AL396" s="626"/>
    </row>
    <row r="397" spans="1:38" ht="18" customHeight="1">
      <c r="A397" s="593"/>
      <c r="B397" s="598">
        <v>380</v>
      </c>
      <c r="C397" s="598" t="s">
        <v>3022</v>
      </c>
      <c r="D397" s="598">
        <f t="shared" si="3"/>
        <v>358</v>
      </c>
      <c r="E397" s="616" t="s">
        <v>1798</v>
      </c>
      <c r="F397" s="616" t="s">
        <v>4687</v>
      </c>
      <c r="G397" s="618" t="s">
        <v>1225</v>
      </c>
      <c r="H397" s="618" t="s">
        <v>2747</v>
      </c>
      <c r="I397" s="618" t="s">
        <v>1195</v>
      </c>
      <c r="J397" s="618" t="s">
        <v>1303</v>
      </c>
      <c r="K397" s="618" t="s">
        <v>3002</v>
      </c>
      <c r="L397" s="619" t="s">
        <v>3001</v>
      </c>
      <c r="M397" s="620"/>
      <c r="N397" s="620"/>
      <c r="O397" s="663" t="s">
        <v>1127</v>
      </c>
      <c r="P397" s="621" t="s">
        <v>319</v>
      </c>
      <c r="Q397" s="598"/>
      <c r="R397" s="598"/>
      <c r="S397" s="598"/>
      <c r="T397" s="598" t="s">
        <v>1015</v>
      </c>
      <c r="U397" s="663" t="s">
        <v>309</v>
      </c>
      <c r="V397" s="616" t="s">
        <v>3023</v>
      </c>
      <c r="W397" s="598" t="s">
        <v>950</v>
      </c>
      <c r="X397" s="624">
        <v>29212</v>
      </c>
      <c r="Y397" s="625">
        <f t="shared" ca="1" si="4"/>
        <v>46</v>
      </c>
      <c r="Z397" s="616" t="s">
        <v>3024</v>
      </c>
      <c r="AA397" s="598" t="s">
        <v>3025</v>
      </c>
      <c r="AB397" s="598" t="s">
        <v>996</v>
      </c>
      <c r="AC397" s="598" t="s">
        <v>997</v>
      </c>
      <c r="AD397" s="616" t="s">
        <v>1041</v>
      </c>
      <c r="AE397" s="616" t="s">
        <v>3026</v>
      </c>
      <c r="AF397" s="616" t="s">
        <v>3027</v>
      </c>
      <c r="AG397" s="598"/>
      <c r="AH397" s="598"/>
      <c r="AI397" s="634" t="s">
        <v>1359</v>
      </c>
      <c r="AJ397" s="598"/>
      <c r="AK397" s="626"/>
      <c r="AL397" s="626"/>
    </row>
    <row r="398" spans="1:38" ht="18" customHeight="1">
      <c r="A398" s="593"/>
      <c r="B398" s="598">
        <v>381</v>
      </c>
      <c r="C398" s="598" t="s">
        <v>2748</v>
      </c>
      <c r="D398" s="598">
        <f t="shared" si="3"/>
        <v>359</v>
      </c>
      <c r="E398" s="616" t="s">
        <v>1798</v>
      </c>
      <c r="F398" s="616" t="s">
        <v>4687</v>
      </c>
      <c r="G398" s="618" t="s">
        <v>1225</v>
      </c>
      <c r="H398" s="618" t="s">
        <v>2747</v>
      </c>
      <c r="I398" s="618" t="s">
        <v>1195</v>
      </c>
      <c r="J398" s="618" t="s">
        <v>1303</v>
      </c>
      <c r="K398" s="618" t="s">
        <v>3002</v>
      </c>
      <c r="L398" s="619" t="s">
        <v>3001</v>
      </c>
      <c r="M398" s="620"/>
      <c r="N398" s="620"/>
      <c r="O398" s="673" t="s">
        <v>1127</v>
      </c>
      <c r="P398" s="621" t="s">
        <v>319</v>
      </c>
      <c r="Q398" s="598"/>
      <c r="R398" s="598"/>
      <c r="S398" s="598"/>
      <c r="T398" s="598" t="s">
        <v>1015</v>
      </c>
      <c r="U398" s="673" t="s">
        <v>313</v>
      </c>
      <c r="V398" s="616" t="s">
        <v>2752</v>
      </c>
      <c r="W398" s="598" t="s">
        <v>950</v>
      </c>
      <c r="X398" s="624">
        <v>31483</v>
      </c>
      <c r="Y398" s="625">
        <f t="shared" ca="1" si="4"/>
        <v>39</v>
      </c>
      <c r="Z398" s="616" t="s">
        <v>2753</v>
      </c>
      <c r="AA398" s="598" t="s">
        <v>2754</v>
      </c>
      <c r="AB398" s="598" t="s">
        <v>996</v>
      </c>
      <c r="AC398" s="598" t="s">
        <v>997</v>
      </c>
      <c r="AD398" s="616" t="s">
        <v>1041</v>
      </c>
      <c r="AE398" s="721" t="s">
        <v>1041</v>
      </c>
      <c r="AF398" s="616" t="s">
        <v>2649</v>
      </c>
      <c r="AG398" s="598"/>
      <c r="AH398" s="598"/>
      <c r="AI398" s="634" t="s">
        <v>1359</v>
      </c>
      <c r="AJ398" s="598"/>
      <c r="AK398" s="626"/>
      <c r="AL398" s="626"/>
    </row>
    <row r="399" spans="1:38" ht="18" customHeight="1">
      <c r="A399" s="593"/>
      <c r="B399" s="598">
        <v>382</v>
      </c>
      <c r="C399" s="598" t="s">
        <v>1225</v>
      </c>
      <c r="D399" s="598">
        <f t="shared" si="3"/>
        <v>359</v>
      </c>
      <c r="E399" s="616"/>
      <c r="F399" s="616" t="s">
        <v>1226</v>
      </c>
      <c r="G399" s="618" t="s">
        <v>1225</v>
      </c>
      <c r="H399" s="618" t="s">
        <v>114</v>
      </c>
      <c r="I399" s="618" t="s">
        <v>1225</v>
      </c>
      <c r="J399" s="618" t="s">
        <v>4688</v>
      </c>
      <c r="K399" s="618"/>
      <c r="L399" s="619"/>
      <c r="M399" s="620"/>
      <c r="N399" s="620"/>
      <c r="O399" s="667" t="s">
        <v>1044</v>
      </c>
      <c r="P399" s="621"/>
      <c r="Q399" s="598" t="s">
        <v>173</v>
      </c>
      <c r="R399" s="598" t="s">
        <v>1228</v>
      </c>
      <c r="S399" s="598" t="s">
        <v>55</v>
      </c>
      <c r="T399" s="598"/>
      <c r="U399" s="667" t="s">
        <v>114</v>
      </c>
      <c r="V399" s="616" t="s">
        <v>1229</v>
      </c>
      <c r="W399" s="598" t="s">
        <v>950</v>
      </c>
      <c r="X399" s="616"/>
      <c r="Y399" s="616"/>
      <c r="Z399" s="616"/>
      <c r="AA399" s="598"/>
      <c r="AB399" s="598"/>
      <c r="AC399" s="598"/>
      <c r="AD399" s="598"/>
      <c r="AE399" s="598"/>
      <c r="AF399" s="598"/>
      <c r="AG399" s="598" t="s">
        <v>955</v>
      </c>
      <c r="AH399" s="598"/>
      <c r="AI399" s="598"/>
      <c r="AJ399" s="598"/>
      <c r="AK399" s="626"/>
      <c r="AL399" s="626"/>
    </row>
    <row r="400" spans="1:38" ht="18" customHeight="1">
      <c r="A400" s="593"/>
      <c r="B400" s="598">
        <v>383</v>
      </c>
      <c r="C400" s="598" t="s">
        <v>3092</v>
      </c>
      <c r="D400" s="598">
        <f t="shared" si="3"/>
        <v>360</v>
      </c>
      <c r="E400" s="616" t="s">
        <v>1798</v>
      </c>
      <c r="F400" s="616" t="s">
        <v>1226</v>
      </c>
      <c r="G400" s="618" t="s">
        <v>1225</v>
      </c>
      <c r="H400" s="618" t="s">
        <v>114</v>
      </c>
      <c r="I400" s="618" t="s">
        <v>1225</v>
      </c>
      <c r="J400" s="618" t="s">
        <v>4688</v>
      </c>
      <c r="K400" s="618"/>
      <c r="L400" s="619"/>
      <c r="M400" s="620"/>
      <c r="N400" s="620"/>
      <c r="O400" s="663" t="s">
        <v>1044</v>
      </c>
      <c r="P400" s="621"/>
      <c r="Q400" s="598"/>
      <c r="R400" s="598"/>
      <c r="S400" s="598"/>
      <c r="T400" s="598" t="s">
        <v>992</v>
      </c>
      <c r="U400" s="663" t="s">
        <v>3093</v>
      </c>
      <c r="V400" s="616" t="s">
        <v>3094</v>
      </c>
      <c r="W400" s="598" t="s">
        <v>950</v>
      </c>
      <c r="X400" s="624">
        <v>35049</v>
      </c>
      <c r="Y400" s="625">
        <f t="shared" ref="Y400:Y596" ca="1" si="5">DATEDIF(X400,TODAY(),"Y")</f>
        <v>30</v>
      </c>
      <c r="Z400" s="616"/>
      <c r="AA400" s="598"/>
      <c r="AB400" s="598" t="s">
        <v>996</v>
      </c>
      <c r="AC400" s="598" t="s">
        <v>953</v>
      </c>
      <c r="AD400" s="616" t="s">
        <v>1041</v>
      </c>
      <c r="AE400" s="616" t="s">
        <v>1041</v>
      </c>
      <c r="AF400" s="616" t="s">
        <v>2665</v>
      </c>
      <c r="AG400" s="598"/>
      <c r="AH400" s="598" t="s">
        <v>2837</v>
      </c>
      <c r="AI400" s="598"/>
      <c r="AJ400" s="598"/>
      <c r="AK400" s="626"/>
      <c r="AL400" s="626"/>
    </row>
    <row r="401" spans="1:38" ht="18" customHeight="1">
      <c r="A401" s="593"/>
      <c r="B401" s="598">
        <v>384</v>
      </c>
      <c r="C401" s="598" t="s">
        <v>2920</v>
      </c>
      <c r="D401" s="598">
        <f t="shared" si="3"/>
        <v>361</v>
      </c>
      <c r="E401" s="616" t="s">
        <v>1798</v>
      </c>
      <c r="F401" s="616" t="s">
        <v>1226</v>
      </c>
      <c r="G401" s="618" t="s">
        <v>1225</v>
      </c>
      <c r="H401" s="618" t="s">
        <v>114</v>
      </c>
      <c r="I401" s="618" t="s">
        <v>1225</v>
      </c>
      <c r="J401" s="618" t="s">
        <v>4688</v>
      </c>
      <c r="K401" s="618"/>
      <c r="L401" s="619"/>
      <c r="M401" s="620"/>
      <c r="N401" s="620"/>
      <c r="O401" s="663" t="s">
        <v>1044</v>
      </c>
      <c r="P401" s="621"/>
      <c r="Q401" s="598"/>
      <c r="R401" s="598"/>
      <c r="S401" s="598"/>
      <c r="T401" s="598" t="s">
        <v>1015</v>
      </c>
      <c r="U401" s="663" t="s">
        <v>2921</v>
      </c>
      <c r="V401" s="616" t="s">
        <v>2922</v>
      </c>
      <c r="W401" s="598" t="s">
        <v>950</v>
      </c>
      <c r="X401" s="624">
        <v>29815</v>
      </c>
      <c r="Y401" s="625">
        <f t="shared" ca="1" si="5"/>
        <v>44</v>
      </c>
      <c r="Z401" s="616" t="s">
        <v>2923</v>
      </c>
      <c r="AA401" s="598"/>
      <c r="AB401" s="598" t="s">
        <v>996</v>
      </c>
      <c r="AC401" s="598" t="s">
        <v>953</v>
      </c>
      <c r="AD401" s="616" t="s">
        <v>1041</v>
      </c>
      <c r="AE401" s="616" t="s">
        <v>1041</v>
      </c>
      <c r="AF401" s="616" t="s">
        <v>2924</v>
      </c>
      <c r="AG401" s="598"/>
      <c r="AH401" s="598" t="s">
        <v>2925</v>
      </c>
      <c r="AI401" s="598"/>
      <c r="AJ401" s="598"/>
      <c r="AK401" s="626"/>
      <c r="AL401" s="626"/>
    </row>
    <row r="402" spans="1:38" ht="18" customHeight="1">
      <c r="A402" s="593"/>
      <c r="B402" s="598">
        <v>385</v>
      </c>
      <c r="C402" s="598" t="s">
        <v>3095</v>
      </c>
      <c r="D402" s="598">
        <f t="shared" si="3"/>
        <v>362</v>
      </c>
      <c r="E402" s="616" t="s">
        <v>1798</v>
      </c>
      <c r="F402" s="616" t="s">
        <v>1226</v>
      </c>
      <c r="G402" s="618" t="s">
        <v>1225</v>
      </c>
      <c r="H402" s="618" t="s">
        <v>114</v>
      </c>
      <c r="I402" s="618" t="s">
        <v>1225</v>
      </c>
      <c r="J402" s="618" t="s">
        <v>4688</v>
      </c>
      <c r="K402" s="618"/>
      <c r="L402" s="619"/>
      <c r="M402" s="620"/>
      <c r="N402" s="620"/>
      <c r="O402" s="673" t="s">
        <v>1044</v>
      </c>
      <c r="P402" s="621"/>
      <c r="Q402" s="598"/>
      <c r="R402" s="598"/>
      <c r="S402" s="598"/>
      <c r="T402" s="598" t="s">
        <v>992</v>
      </c>
      <c r="U402" s="673" t="s">
        <v>3096</v>
      </c>
      <c r="V402" s="616" t="s">
        <v>3097</v>
      </c>
      <c r="W402" s="598" t="s">
        <v>950</v>
      </c>
      <c r="X402" s="624">
        <v>38225</v>
      </c>
      <c r="Y402" s="625">
        <f t="shared" ca="1" si="5"/>
        <v>21</v>
      </c>
      <c r="Z402" s="616" t="s">
        <v>3098</v>
      </c>
      <c r="AA402" s="598"/>
      <c r="AB402" s="598" t="s">
        <v>996</v>
      </c>
      <c r="AC402" s="598" t="s">
        <v>1018</v>
      </c>
      <c r="AD402" s="616" t="s">
        <v>1041</v>
      </c>
      <c r="AE402" s="616" t="s">
        <v>1041</v>
      </c>
      <c r="AF402" s="616" t="s">
        <v>3099</v>
      </c>
      <c r="AG402" s="598"/>
      <c r="AH402" s="663"/>
      <c r="AI402" s="598" t="s">
        <v>1125</v>
      </c>
      <c r="AJ402" s="598"/>
      <c r="AK402" s="626"/>
      <c r="AL402" s="626"/>
    </row>
    <row r="403" spans="1:38" ht="18" customHeight="1">
      <c r="A403" s="593"/>
      <c r="B403" s="598">
        <v>386</v>
      </c>
      <c r="C403" s="598" t="s">
        <v>3028</v>
      </c>
      <c r="D403" s="598">
        <f t="shared" si="3"/>
        <v>363</v>
      </c>
      <c r="E403" s="616" t="s">
        <v>1798</v>
      </c>
      <c r="F403" s="616" t="s">
        <v>1226</v>
      </c>
      <c r="G403" s="618" t="s">
        <v>1225</v>
      </c>
      <c r="H403" s="618" t="s">
        <v>114</v>
      </c>
      <c r="I403" s="618" t="s">
        <v>1225</v>
      </c>
      <c r="J403" s="618" t="s">
        <v>3028</v>
      </c>
      <c r="K403" s="618" t="s">
        <v>3074</v>
      </c>
      <c r="L403" s="619" t="s">
        <v>3029</v>
      </c>
      <c r="M403" s="620"/>
      <c r="N403" s="620"/>
      <c r="O403" s="667" t="s">
        <v>1074</v>
      </c>
      <c r="P403" s="621"/>
      <c r="Q403" s="598" t="s">
        <v>55</v>
      </c>
      <c r="R403" s="598" t="s">
        <v>178</v>
      </c>
      <c r="S403" s="598"/>
      <c r="T403" s="598" t="s">
        <v>992</v>
      </c>
      <c r="U403" s="667" t="s">
        <v>340</v>
      </c>
      <c r="V403" s="616" t="s">
        <v>3030</v>
      </c>
      <c r="W403" s="598" t="s">
        <v>963</v>
      </c>
      <c r="X403" s="624">
        <v>37769</v>
      </c>
      <c r="Y403" s="625">
        <f t="shared" ca="1" si="5"/>
        <v>22</v>
      </c>
      <c r="Z403" s="616" t="s">
        <v>3031</v>
      </c>
      <c r="AA403" s="598" t="s">
        <v>3032</v>
      </c>
      <c r="AB403" s="598" t="s">
        <v>996</v>
      </c>
      <c r="AC403" s="598" t="s">
        <v>953</v>
      </c>
      <c r="AD403" s="616" t="s">
        <v>1041</v>
      </c>
      <c r="AE403" s="616" t="s">
        <v>1041</v>
      </c>
      <c r="AF403" s="616" t="s">
        <v>1473</v>
      </c>
      <c r="AG403" s="598"/>
      <c r="AH403" s="598"/>
      <c r="AI403" s="598" t="s">
        <v>1440</v>
      </c>
      <c r="AJ403" s="598"/>
      <c r="AK403" s="626"/>
      <c r="AL403" s="626"/>
    </row>
    <row r="404" spans="1:38" ht="18" customHeight="1">
      <c r="A404" s="593"/>
      <c r="B404" s="598">
        <v>387</v>
      </c>
      <c r="C404" s="598" t="s">
        <v>3074</v>
      </c>
      <c r="D404" s="598">
        <f t="shared" si="3"/>
        <v>364</v>
      </c>
      <c r="E404" s="616" t="s">
        <v>1798</v>
      </c>
      <c r="F404" s="616" t="s">
        <v>1226</v>
      </c>
      <c r="G404" s="618" t="s">
        <v>1225</v>
      </c>
      <c r="H404" s="618" t="s">
        <v>114</v>
      </c>
      <c r="I404" s="618" t="s">
        <v>1225</v>
      </c>
      <c r="J404" s="618" t="s">
        <v>3028</v>
      </c>
      <c r="K404" s="618" t="s">
        <v>3074</v>
      </c>
      <c r="L404" s="619" t="s">
        <v>3029</v>
      </c>
      <c r="M404" s="620"/>
      <c r="N404" s="620"/>
      <c r="O404" s="663" t="s">
        <v>1074</v>
      </c>
      <c r="P404" s="621"/>
      <c r="Q404" s="598" t="s">
        <v>69</v>
      </c>
      <c r="R404" s="598" t="s">
        <v>562</v>
      </c>
      <c r="S404" s="598"/>
      <c r="T404" s="598" t="s">
        <v>992</v>
      </c>
      <c r="U404" s="663" t="s">
        <v>354</v>
      </c>
      <c r="V404" s="616" t="s">
        <v>3075</v>
      </c>
      <c r="W404" s="598" t="s">
        <v>950</v>
      </c>
      <c r="X404" s="624">
        <v>37727</v>
      </c>
      <c r="Y404" s="625">
        <f t="shared" ca="1" si="5"/>
        <v>22</v>
      </c>
      <c r="Z404" s="616" t="s">
        <v>3076</v>
      </c>
      <c r="AA404" s="598" t="s">
        <v>3077</v>
      </c>
      <c r="AB404" s="598" t="s">
        <v>1006</v>
      </c>
      <c r="AC404" s="598" t="s">
        <v>953</v>
      </c>
      <c r="AD404" s="616" t="s">
        <v>1041</v>
      </c>
      <c r="AE404" s="616" t="s">
        <v>1041</v>
      </c>
      <c r="AF404" s="616" t="s">
        <v>2645</v>
      </c>
      <c r="AG404" s="598"/>
      <c r="AH404" s="598"/>
      <c r="AI404" s="598" t="s">
        <v>1025</v>
      </c>
      <c r="AJ404" s="598"/>
      <c r="AK404" s="626"/>
      <c r="AL404" s="626"/>
    </row>
    <row r="405" spans="1:38" ht="18" customHeight="1">
      <c r="A405" s="593"/>
      <c r="B405" s="598">
        <v>388</v>
      </c>
      <c r="C405" s="598" t="s">
        <v>3029</v>
      </c>
      <c r="D405" s="598">
        <f t="shared" si="3"/>
        <v>365</v>
      </c>
      <c r="E405" s="616" t="s">
        <v>1798</v>
      </c>
      <c r="F405" s="616" t="s">
        <v>1226</v>
      </c>
      <c r="G405" s="618" t="s">
        <v>1225</v>
      </c>
      <c r="H405" s="618" t="s">
        <v>114</v>
      </c>
      <c r="I405" s="618" t="s">
        <v>1225</v>
      </c>
      <c r="J405" s="618" t="s">
        <v>3028</v>
      </c>
      <c r="K405" s="618" t="s">
        <v>3074</v>
      </c>
      <c r="L405" s="619" t="s">
        <v>3029</v>
      </c>
      <c r="M405" s="620"/>
      <c r="N405" s="620"/>
      <c r="O405" s="663" t="s">
        <v>1074</v>
      </c>
      <c r="P405" s="621"/>
      <c r="Q405" s="598" t="s">
        <v>69</v>
      </c>
      <c r="R405" s="598" t="s">
        <v>562</v>
      </c>
      <c r="S405" s="598"/>
      <c r="T405" s="598" t="s">
        <v>992</v>
      </c>
      <c r="U405" s="663" t="s">
        <v>3033</v>
      </c>
      <c r="V405" s="616" t="s">
        <v>3034</v>
      </c>
      <c r="W405" s="598" t="s">
        <v>963</v>
      </c>
      <c r="X405" s="624">
        <v>38733</v>
      </c>
      <c r="Y405" s="625">
        <f t="shared" ca="1" si="5"/>
        <v>20</v>
      </c>
      <c r="Z405" s="616" t="s">
        <v>3035</v>
      </c>
      <c r="AA405" s="598" t="s">
        <v>3036</v>
      </c>
      <c r="AB405" s="598" t="s">
        <v>996</v>
      </c>
      <c r="AC405" s="598" t="s">
        <v>953</v>
      </c>
      <c r="AD405" s="616" t="s">
        <v>1041</v>
      </c>
      <c r="AE405" s="616" t="s">
        <v>1250</v>
      </c>
      <c r="AF405" s="616"/>
      <c r="AG405" s="598"/>
      <c r="AH405" s="598"/>
      <c r="AI405" s="598" t="s">
        <v>1125</v>
      </c>
      <c r="AJ405" s="598"/>
      <c r="AK405" s="626"/>
      <c r="AL405" s="626"/>
    </row>
    <row r="406" spans="1:38" ht="18" customHeight="1">
      <c r="A406" s="593"/>
      <c r="B406" s="598">
        <v>389</v>
      </c>
      <c r="C406" s="598" t="s">
        <v>3043</v>
      </c>
      <c r="D406" s="598">
        <f t="shared" si="3"/>
        <v>366</v>
      </c>
      <c r="E406" s="616" t="s">
        <v>1798</v>
      </c>
      <c r="F406" s="616" t="s">
        <v>1226</v>
      </c>
      <c r="G406" s="618" t="s">
        <v>1225</v>
      </c>
      <c r="H406" s="618" t="s">
        <v>114</v>
      </c>
      <c r="I406" s="618" t="s">
        <v>1225</v>
      </c>
      <c r="J406" s="618" t="s">
        <v>3028</v>
      </c>
      <c r="K406" s="618" t="s">
        <v>3074</v>
      </c>
      <c r="L406" s="619" t="s">
        <v>3029</v>
      </c>
      <c r="M406" s="620"/>
      <c r="N406" s="620"/>
      <c r="O406" s="663" t="s">
        <v>1074</v>
      </c>
      <c r="P406" s="621"/>
      <c r="Q406" s="598"/>
      <c r="R406" s="598"/>
      <c r="S406" s="598"/>
      <c r="T406" s="598" t="s">
        <v>992</v>
      </c>
      <c r="U406" s="663" t="s">
        <v>381</v>
      </c>
      <c r="V406" s="616" t="s">
        <v>3044</v>
      </c>
      <c r="W406" s="598" t="s">
        <v>963</v>
      </c>
      <c r="X406" s="624">
        <v>36875</v>
      </c>
      <c r="Y406" s="625">
        <f t="shared" ca="1" si="5"/>
        <v>25</v>
      </c>
      <c r="Z406" s="654" t="s">
        <v>3045</v>
      </c>
      <c r="AA406" s="598" t="s">
        <v>3046</v>
      </c>
      <c r="AB406" s="598" t="s">
        <v>996</v>
      </c>
      <c r="AC406" s="598" t="s">
        <v>953</v>
      </c>
      <c r="AD406" s="616" t="s">
        <v>1041</v>
      </c>
      <c r="AE406" s="616" t="s">
        <v>1041</v>
      </c>
      <c r="AF406" s="616" t="s">
        <v>2665</v>
      </c>
      <c r="AG406" s="598"/>
      <c r="AH406" s="598"/>
      <c r="AI406" s="598"/>
      <c r="AJ406" s="598"/>
      <c r="AK406" s="626"/>
      <c r="AL406" s="626"/>
    </row>
    <row r="407" spans="1:38" ht="18" customHeight="1">
      <c r="A407" s="593"/>
      <c r="B407" s="598">
        <v>390</v>
      </c>
      <c r="C407" s="598" t="s">
        <v>3047</v>
      </c>
      <c r="D407" s="598">
        <f t="shared" si="3"/>
        <v>367</v>
      </c>
      <c r="E407" s="616" t="s">
        <v>1798</v>
      </c>
      <c r="F407" s="616" t="s">
        <v>1226</v>
      </c>
      <c r="G407" s="618" t="s">
        <v>1225</v>
      </c>
      <c r="H407" s="618" t="s">
        <v>114</v>
      </c>
      <c r="I407" s="618" t="s">
        <v>1225</v>
      </c>
      <c r="J407" s="618" t="s">
        <v>3028</v>
      </c>
      <c r="K407" s="618" t="s">
        <v>3074</v>
      </c>
      <c r="L407" s="619" t="s">
        <v>3029</v>
      </c>
      <c r="M407" s="620"/>
      <c r="N407" s="620"/>
      <c r="O407" s="663" t="s">
        <v>1074</v>
      </c>
      <c r="P407" s="621"/>
      <c r="Q407" s="598"/>
      <c r="R407" s="598"/>
      <c r="S407" s="598"/>
      <c r="T407" s="598" t="s">
        <v>992</v>
      </c>
      <c r="U407" s="663" t="s">
        <v>394</v>
      </c>
      <c r="V407" s="616" t="s">
        <v>3048</v>
      </c>
      <c r="W407" s="598" t="s">
        <v>963</v>
      </c>
      <c r="X407" s="624">
        <v>36083</v>
      </c>
      <c r="Y407" s="625">
        <f t="shared" ca="1" si="5"/>
        <v>27</v>
      </c>
      <c r="Z407" s="616" t="s">
        <v>3049</v>
      </c>
      <c r="AA407" s="598" t="s">
        <v>3050</v>
      </c>
      <c r="AB407" s="598" t="s">
        <v>1006</v>
      </c>
      <c r="AC407" s="598" t="s">
        <v>953</v>
      </c>
      <c r="AD407" s="616" t="s">
        <v>1041</v>
      </c>
      <c r="AE407" s="616" t="s">
        <v>2985</v>
      </c>
      <c r="AF407" s="616" t="s">
        <v>2986</v>
      </c>
      <c r="AG407" s="598"/>
      <c r="AH407" s="598"/>
      <c r="AI407" s="598" t="s">
        <v>1011</v>
      </c>
      <c r="AJ407" s="598"/>
      <c r="AK407" s="626"/>
      <c r="AL407" s="626"/>
    </row>
    <row r="408" spans="1:38" ht="18" customHeight="1">
      <c r="A408" s="593"/>
      <c r="B408" s="598">
        <v>391</v>
      </c>
      <c r="C408" s="598" t="s">
        <v>3078</v>
      </c>
      <c r="D408" s="598">
        <f t="shared" si="3"/>
        <v>368</v>
      </c>
      <c r="E408" s="616" t="s">
        <v>1798</v>
      </c>
      <c r="F408" s="616" t="s">
        <v>1226</v>
      </c>
      <c r="G408" s="618" t="s">
        <v>1225</v>
      </c>
      <c r="H408" s="618" t="s">
        <v>114</v>
      </c>
      <c r="I408" s="618" t="s">
        <v>1225</v>
      </c>
      <c r="J408" s="618" t="s">
        <v>3028</v>
      </c>
      <c r="K408" s="618" t="s">
        <v>3074</v>
      </c>
      <c r="L408" s="619" t="s">
        <v>3029</v>
      </c>
      <c r="M408" s="620"/>
      <c r="N408" s="620"/>
      <c r="O408" s="663" t="s">
        <v>1074</v>
      </c>
      <c r="P408" s="621"/>
      <c r="Q408" s="598"/>
      <c r="R408" s="598"/>
      <c r="S408" s="598"/>
      <c r="T408" s="598" t="s">
        <v>992</v>
      </c>
      <c r="U408" s="663" t="s">
        <v>406</v>
      </c>
      <c r="V408" s="616" t="s">
        <v>3079</v>
      </c>
      <c r="W408" s="598" t="s">
        <v>950</v>
      </c>
      <c r="X408" s="624">
        <v>37305</v>
      </c>
      <c r="Y408" s="625">
        <f t="shared" ca="1" si="5"/>
        <v>23</v>
      </c>
      <c r="Z408" s="616" t="s">
        <v>3080</v>
      </c>
      <c r="AA408" s="598" t="s">
        <v>3081</v>
      </c>
      <c r="AB408" s="598" t="s">
        <v>1006</v>
      </c>
      <c r="AC408" s="598" t="s">
        <v>953</v>
      </c>
      <c r="AD408" s="616" t="s">
        <v>1041</v>
      </c>
      <c r="AE408" s="616" t="s">
        <v>2325</v>
      </c>
      <c r="AF408" s="616" t="s">
        <v>2945</v>
      </c>
      <c r="AG408" s="598"/>
      <c r="AH408" s="598"/>
      <c r="AI408" s="598" t="s">
        <v>1025</v>
      </c>
      <c r="AJ408" s="598"/>
      <c r="AK408" s="626"/>
      <c r="AL408" s="626"/>
    </row>
    <row r="409" spans="1:38" ht="18" customHeight="1">
      <c r="A409" s="593"/>
      <c r="B409" s="598">
        <v>392</v>
      </c>
      <c r="C409" s="598" t="s">
        <v>3082</v>
      </c>
      <c r="D409" s="598">
        <f t="shared" si="3"/>
        <v>369</v>
      </c>
      <c r="E409" s="616" t="s">
        <v>1798</v>
      </c>
      <c r="F409" s="616" t="s">
        <v>1226</v>
      </c>
      <c r="G409" s="618" t="s">
        <v>1225</v>
      </c>
      <c r="H409" s="618" t="s">
        <v>114</v>
      </c>
      <c r="I409" s="618" t="s">
        <v>1225</v>
      </c>
      <c r="J409" s="618" t="s">
        <v>3028</v>
      </c>
      <c r="K409" s="618" t="s">
        <v>3074</v>
      </c>
      <c r="L409" s="619" t="s">
        <v>3029</v>
      </c>
      <c r="M409" s="620"/>
      <c r="N409" s="620"/>
      <c r="O409" s="663" t="s">
        <v>1074</v>
      </c>
      <c r="P409" s="621"/>
      <c r="Q409" s="598"/>
      <c r="R409" s="598"/>
      <c r="S409" s="598"/>
      <c r="T409" s="598" t="s">
        <v>992</v>
      </c>
      <c r="U409" s="663" t="s">
        <v>418</v>
      </c>
      <c r="V409" s="616" t="s">
        <v>3083</v>
      </c>
      <c r="W409" s="598" t="s">
        <v>950</v>
      </c>
      <c r="X409" s="624">
        <v>37780</v>
      </c>
      <c r="Y409" s="625">
        <f t="shared" ca="1" si="5"/>
        <v>22</v>
      </c>
      <c r="Z409" s="616" t="s">
        <v>3084</v>
      </c>
      <c r="AA409" s="598" t="s">
        <v>3085</v>
      </c>
      <c r="AB409" s="598" t="s">
        <v>996</v>
      </c>
      <c r="AC409" s="598" t="s">
        <v>953</v>
      </c>
      <c r="AD409" s="616" t="s">
        <v>1041</v>
      </c>
      <c r="AE409" s="616" t="s">
        <v>1041</v>
      </c>
      <c r="AF409" s="616" t="s">
        <v>3086</v>
      </c>
      <c r="AG409" s="598"/>
      <c r="AH409" s="598"/>
      <c r="AI409" s="598" t="s">
        <v>1025</v>
      </c>
      <c r="AJ409" s="598"/>
      <c r="AK409" s="626"/>
      <c r="AL409" s="626"/>
    </row>
    <row r="410" spans="1:38" ht="18" customHeight="1">
      <c r="A410" s="593"/>
      <c r="B410" s="598">
        <v>393</v>
      </c>
      <c r="C410" s="598" t="s">
        <v>3062</v>
      </c>
      <c r="D410" s="598">
        <f t="shared" si="3"/>
        <v>370</v>
      </c>
      <c r="E410" s="616" t="s">
        <v>1798</v>
      </c>
      <c r="F410" s="616" t="s">
        <v>1226</v>
      </c>
      <c r="G410" s="618" t="s">
        <v>1225</v>
      </c>
      <c r="H410" s="618" t="s">
        <v>114</v>
      </c>
      <c r="I410" s="618" t="s">
        <v>1225</v>
      </c>
      <c r="J410" s="618" t="s">
        <v>3028</v>
      </c>
      <c r="K410" s="618" t="s">
        <v>3074</v>
      </c>
      <c r="L410" s="619" t="s">
        <v>3029</v>
      </c>
      <c r="M410" s="620"/>
      <c r="N410" s="620"/>
      <c r="O410" s="663" t="s">
        <v>1074</v>
      </c>
      <c r="P410" s="621"/>
      <c r="Q410" s="598"/>
      <c r="R410" s="598"/>
      <c r="S410" s="598"/>
      <c r="T410" s="598" t="s">
        <v>1705</v>
      </c>
      <c r="U410" s="663" t="s">
        <v>3063</v>
      </c>
      <c r="V410" s="616" t="s">
        <v>3064</v>
      </c>
      <c r="W410" s="598" t="s">
        <v>963</v>
      </c>
      <c r="X410" s="624">
        <v>39172</v>
      </c>
      <c r="Y410" s="625">
        <f t="shared" ca="1" si="5"/>
        <v>18</v>
      </c>
      <c r="Z410" s="616" t="s">
        <v>3065</v>
      </c>
      <c r="AA410" s="598" t="s">
        <v>3066</v>
      </c>
      <c r="AB410" s="598" t="s">
        <v>996</v>
      </c>
      <c r="AC410" s="598" t="s">
        <v>997</v>
      </c>
      <c r="AD410" s="616" t="s">
        <v>1041</v>
      </c>
      <c r="AE410" s="616" t="s">
        <v>1041</v>
      </c>
      <c r="AF410" s="616" t="s">
        <v>3067</v>
      </c>
      <c r="AG410" s="598"/>
      <c r="AH410" s="598"/>
      <c r="AI410" s="598" t="s">
        <v>1125</v>
      </c>
      <c r="AJ410" s="598"/>
      <c r="AK410" s="626"/>
      <c r="AL410" s="626"/>
    </row>
    <row r="411" spans="1:38" ht="18" customHeight="1">
      <c r="A411" s="593"/>
      <c r="B411" s="598">
        <v>394</v>
      </c>
      <c r="C411" s="598" t="s">
        <v>3051</v>
      </c>
      <c r="D411" s="598">
        <f t="shared" si="3"/>
        <v>371</v>
      </c>
      <c r="E411" s="616" t="s">
        <v>1798</v>
      </c>
      <c r="F411" s="616" t="s">
        <v>1226</v>
      </c>
      <c r="G411" s="618" t="s">
        <v>1225</v>
      </c>
      <c r="H411" s="618" t="s">
        <v>114</v>
      </c>
      <c r="I411" s="618" t="s">
        <v>1225</v>
      </c>
      <c r="J411" s="618" t="s">
        <v>3028</v>
      </c>
      <c r="K411" s="618" t="s">
        <v>3074</v>
      </c>
      <c r="L411" s="619" t="s">
        <v>3029</v>
      </c>
      <c r="M411" s="620"/>
      <c r="N411" s="620"/>
      <c r="O411" s="663" t="s">
        <v>1074</v>
      </c>
      <c r="P411" s="621" t="s">
        <v>319</v>
      </c>
      <c r="Q411" s="598"/>
      <c r="R411" s="598"/>
      <c r="S411" s="598"/>
      <c r="T411" s="598" t="s">
        <v>992</v>
      </c>
      <c r="U411" s="663" t="s">
        <v>434</v>
      </c>
      <c r="V411" s="616" t="s">
        <v>3052</v>
      </c>
      <c r="W411" s="598" t="s">
        <v>963</v>
      </c>
      <c r="X411" s="624">
        <v>38008</v>
      </c>
      <c r="Y411" s="625">
        <f t="shared" ca="1" si="5"/>
        <v>22</v>
      </c>
      <c r="Z411" s="616" t="s">
        <v>3053</v>
      </c>
      <c r="AA411" s="598" t="s">
        <v>3054</v>
      </c>
      <c r="AB411" s="598" t="s">
        <v>996</v>
      </c>
      <c r="AC411" s="644" t="s">
        <v>997</v>
      </c>
      <c r="AD411" s="616" t="s">
        <v>1041</v>
      </c>
      <c r="AE411" s="721" t="s">
        <v>1041</v>
      </c>
      <c r="AF411" s="616" t="s">
        <v>2803</v>
      </c>
      <c r="AG411" s="598"/>
      <c r="AH411" s="598"/>
      <c r="AI411" s="700" t="s">
        <v>1612</v>
      </c>
      <c r="AJ411" s="598"/>
      <c r="AK411" s="626"/>
      <c r="AL411" s="626"/>
    </row>
    <row r="412" spans="1:38" ht="18" customHeight="1">
      <c r="A412" s="593"/>
      <c r="B412" s="598">
        <v>395</v>
      </c>
      <c r="C412" s="598" t="s">
        <v>3055</v>
      </c>
      <c r="D412" s="598">
        <f t="shared" si="3"/>
        <v>372</v>
      </c>
      <c r="E412" s="616" t="s">
        <v>1798</v>
      </c>
      <c r="F412" s="616" t="s">
        <v>1226</v>
      </c>
      <c r="G412" s="618" t="s">
        <v>1225</v>
      </c>
      <c r="H412" s="618" t="s">
        <v>114</v>
      </c>
      <c r="I412" s="618" t="s">
        <v>1225</v>
      </c>
      <c r="J412" s="618" t="s">
        <v>3028</v>
      </c>
      <c r="K412" s="618" t="s">
        <v>3074</v>
      </c>
      <c r="L412" s="619" t="s">
        <v>3029</v>
      </c>
      <c r="M412" s="620"/>
      <c r="N412" s="620"/>
      <c r="O412" s="663" t="s">
        <v>1074</v>
      </c>
      <c r="P412" s="621" t="s">
        <v>319</v>
      </c>
      <c r="Q412" s="598"/>
      <c r="R412" s="598"/>
      <c r="S412" s="598"/>
      <c r="T412" s="598" t="s">
        <v>992</v>
      </c>
      <c r="U412" s="663" t="s">
        <v>442</v>
      </c>
      <c r="V412" s="616" t="s">
        <v>3056</v>
      </c>
      <c r="W412" s="598" t="s">
        <v>963</v>
      </c>
      <c r="X412" s="624">
        <v>37580</v>
      </c>
      <c r="Y412" s="625">
        <f t="shared" ca="1" si="5"/>
        <v>23</v>
      </c>
      <c r="Z412" s="616" t="s">
        <v>3057</v>
      </c>
      <c r="AA412" s="598" t="s">
        <v>3058</v>
      </c>
      <c r="AB412" s="598" t="s">
        <v>996</v>
      </c>
      <c r="AC412" s="644" t="s">
        <v>997</v>
      </c>
      <c r="AD412" s="616" t="s">
        <v>1041</v>
      </c>
      <c r="AE412" s="721" t="s">
        <v>1041</v>
      </c>
      <c r="AF412" s="616" t="s">
        <v>2803</v>
      </c>
      <c r="AG412" s="598"/>
      <c r="AH412" s="598"/>
      <c r="AI412" s="700" t="s">
        <v>1612</v>
      </c>
      <c r="AJ412" s="598"/>
      <c r="AK412" s="626"/>
      <c r="AL412" s="626"/>
    </row>
    <row r="413" spans="1:38" ht="18" customHeight="1">
      <c r="A413" s="593"/>
      <c r="B413" s="598">
        <v>396</v>
      </c>
      <c r="C413" s="598" t="s">
        <v>3059</v>
      </c>
      <c r="D413" s="598">
        <f t="shared" si="3"/>
        <v>373</v>
      </c>
      <c r="E413" s="616" t="s">
        <v>1798</v>
      </c>
      <c r="F413" s="616" t="s">
        <v>1226</v>
      </c>
      <c r="G413" s="618" t="s">
        <v>1225</v>
      </c>
      <c r="H413" s="618" t="s">
        <v>114</v>
      </c>
      <c r="I413" s="618" t="s">
        <v>1225</v>
      </c>
      <c r="J413" s="618" t="s">
        <v>3028</v>
      </c>
      <c r="K413" s="618" t="s">
        <v>3074</v>
      </c>
      <c r="L413" s="619" t="s">
        <v>3029</v>
      </c>
      <c r="M413" s="620"/>
      <c r="N413" s="620"/>
      <c r="O413" s="663" t="s">
        <v>1074</v>
      </c>
      <c r="P413" s="621" t="s">
        <v>319</v>
      </c>
      <c r="Q413" s="598"/>
      <c r="R413" s="598"/>
      <c r="S413" s="598"/>
      <c r="T413" s="598" t="s">
        <v>992</v>
      </c>
      <c r="U413" s="663" t="s">
        <v>446</v>
      </c>
      <c r="V413" s="616" t="s">
        <v>3060</v>
      </c>
      <c r="W413" s="598" t="s">
        <v>963</v>
      </c>
      <c r="X413" s="624">
        <v>37196</v>
      </c>
      <c r="Y413" s="625">
        <f t="shared" ca="1" si="5"/>
        <v>24</v>
      </c>
      <c r="Z413" s="616" t="s">
        <v>3061</v>
      </c>
      <c r="AA413" s="598"/>
      <c r="AB413" s="598" t="s">
        <v>996</v>
      </c>
      <c r="AC413" s="644" t="s">
        <v>997</v>
      </c>
      <c r="AD413" s="616" t="s">
        <v>1041</v>
      </c>
      <c r="AE413" s="721" t="s">
        <v>1041</v>
      </c>
      <c r="AF413" s="616" t="s">
        <v>2803</v>
      </c>
      <c r="AG413" s="598"/>
      <c r="AH413" s="598"/>
      <c r="AI413" s="700" t="s">
        <v>1612</v>
      </c>
      <c r="AJ413" s="598"/>
      <c r="AK413" s="626"/>
      <c r="AL413" s="626"/>
    </row>
    <row r="414" spans="1:38" ht="18" customHeight="1">
      <c r="A414" s="593"/>
      <c r="B414" s="598">
        <v>397</v>
      </c>
      <c r="C414" s="598" t="s">
        <v>4712</v>
      </c>
      <c r="D414" s="598">
        <f t="shared" si="3"/>
        <v>374</v>
      </c>
      <c r="E414" s="616" t="s">
        <v>1351</v>
      </c>
      <c r="F414" s="616" t="s">
        <v>1226</v>
      </c>
      <c r="G414" s="618" t="s">
        <v>1225</v>
      </c>
      <c r="H414" s="618" t="s">
        <v>114</v>
      </c>
      <c r="I414" s="618" t="s">
        <v>1225</v>
      </c>
      <c r="J414" s="618" t="s">
        <v>3028</v>
      </c>
      <c r="K414" s="618" t="s">
        <v>3074</v>
      </c>
      <c r="L414" s="619" t="s">
        <v>3029</v>
      </c>
      <c r="M414" s="620"/>
      <c r="N414" s="620"/>
      <c r="O414" s="663" t="s">
        <v>1074</v>
      </c>
      <c r="P414" s="621"/>
      <c r="Q414" s="598"/>
      <c r="R414" s="598"/>
      <c r="S414" s="598"/>
      <c r="T414" s="598" t="s">
        <v>1705</v>
      </c>
      <c r="U414" s="663" t="s">
        <v>448</v>
      </c>
      <c r="V414" s="616" t="s">
        <v>4713</v>
      </c>
      <c r="W414" s="598" t="s">
        <v>963</v>
      </c>
      <c r="X414" s="624">
        <v>39093</v>
      </c>
      <c r="Y414" s="625">
        <f t="shared" ca="1" si="5"/>
        <v>19</v>
      </c>
      <c r="Z414" s="616" t="s">
        <v>4714</v>
      </c>
      <c r="AA414" s="598" t="s">
        <v>4715</v>
      </c>
      <c r="AB414" s="598" t="s">
        <v>996</v>
      </c>
      <c r="AC414" s="598" t="s">
        <v>1018</v>
      </c>
      <c r="AD414" s="616" t="s">
        <v>729</v>
      </c>
      <c r="AE414" s="616" t="s">
        <v>729</v>
      </c>
      <c r="AF414" s="616" t="s">
        <v>1774</v>
      </c>
      <c r="AG414" s="598"/>
      <c r="AH414" s="598"/>
      <c r="AI414" s="598" t="s">
        <v>1318</v>
      </c>
      <c r="AJ414" s="598"/>
      <c r="AK414" s="626">
        <v>-2</v>
      </c>
      <c r="AL414" s="626"/>
    </row>
    <row r="415" spans="1:38" ht="18" customHeight="1">
      <c r="A415" s="593"/>
      <c r="B415" s="598">
        <v>398</v>
      </c>
      <c r="C415" s="598" t="s">
        <v>3697</v>
      </c>
      <c r="D415" s="598">
        <f t="shared" si="3"/>
        <v>375</v>
      </c>
      <c r="E415" s="616" t="s">
        <v>1351</v>
      </c>
      <c r="F415" s="616" t="s">
        <v>1226</v>
      </c>
      <c r="G415" s="618" t="s">
        <v>1225</v>
      </c>
      <c r="H415" s="618" t="s">
        <v>114</v>
      </c>
      <c r="I415" s="618" t="s">
        <v>1225</v>
      </c>
      <c r="J415" s="618" t="s">
        <v>3028</v>
      </c>
      <c r="K415" s="618" t="s">
        <v>3074</v>
      </c>
      <c r="L415" s="619" t="s">
        <v>3029</v>
      </c>
      <c r="M415" s="620"/>
      <c r="N415" s="620"/>
      <c r="O415" s="663" t="s">
        <v>1074</v>
      </c>
      <c r="P415" s="621"/>
      <c r="Q415" s="598"/>
      <c r="R415" s="598"/>
      <c r="S415" s="598"/>
      <c r="T415" s="598" t="s">
        <v>1705</v>
      </c>
      <c r="U415" s="663" t="s">
        <v>450</v>
      </c>
      <c r="V415" s="616" t="s">
        <v>3698</v>
      </c>
      <c r="W415" s="598" t="s">
        <v>963</v>
      </c>
      <c r="X415" s="624">
        <v>40221</v>
      </c>
      <c r="Y415" s="625">
        <f t="shared" ca="1" si="5"/>
        <v>15</v>
      </c>
      <c r="Z415" s="616" t="s">
        <v>3699</v>
      </c>
      <c r="AA415" s="598" t="s">
        <v>3700</v>
      </c>
      <c r="AB415" s="598" t="s">
        <v>996</v>
      </c>
      <c r="AC415" s="644" t="s">
        <v>997</v>
      </c>
      <c r="AD415" s="616" t="s">
        <v>973</v>
      </c>
      <c r="AE415" s="616" t="s">
        <v>973</v>
      </c>
      <c r="AF415" s="616" t="s">
        <v>3509</v>
      </c>
      <c r="AG415" s="598"/>
      <c r="AH415" s="598"/>
      <c r="AI415" s="598" t="s">
        <v>1318</v>
      </c>
      <c r="AJ415" s="598"/>
      <c r="AK415" s="626"/>
      <c r="AL415" s="626"/>
    </row>
    <row r="416" spans="1:38" ht="18" customHeight="1">
      <c r="A416" s="593"/>
      <c r="B416" s="598">
        <v>399</v>
      </c>
      <c r="C416" s="598" t="s">
        <v>4716</v>
      </c>
      <c r="D416" s="598">
        <f t="shared" si="3"/>
        <v>376</v>
      </c>
      <c r="E416" s="616" t="s">
        <v>1798</v>
      </c>
      <c r="F416" s="616" t="s">
        <v>1226</v>
      </c>
      <c r="G416" s="618" t="s">
        <v>1225</v>
      </c>
      <c r="H416" s="618" t="s">
        <v>114</v>
      </c>
      <c r="I416" s="618" t="s">
        <v>1225</v>
      </c>
      <c r="J416" s="618" t="s">
        <v>3028</v>
      </c>
      <c r="K416" s="618" t="s">
        <v>3074</v>
      </c>
      <c r="L416" s="619" t="s">
        <v>3029</v>
      </c>
      <c r="M416" s="620"/>
      <c r="N416" s="620"/>
      <c r="O416" s="663" t="s">
        <v>1074</v>
      </c>
      <c r="P416" s="621"/>
      <c r="Q416" s="598"/>
      <c r="R416" s="598"/>
      <c r="S416" s="598"/>
      <c r="T416" s="598" t="s">
        <v>992</v>
      </c>
      <c r="U416" s="663" t="s">
        <v>452</v>
      </c>
      <c r="V416" s="616" t="s">
        <v>4717</v>
      </c>
      <c r="W416" s="598" t="s">
        <v>963</v>
      </c>
      <c r="X416" s="624">
        <v>36480</v>
      </c>
      <c r="Y416" s="625">
        <f t="shared" ca="1" si="5"/>
        <v>26</v>
      </c>
      <c r="Z416" s="616" t="s">
        <v>4718</v>
      </c>
      <c r="AA416" s="598" t="s">
        <v>4719</v>
      </c>
      <c r="AB416" s="598" t="s">
        <v>996</v>
      </c>
      <c r="AC416" s="598" t="s">
        <v>997</v>
      </c>
      <c r="AD416" s="616" t="s">
        <v>1041</v>
      </c>
      <c r="AE416" s="616" t="s">
        <v>1791</v>
      </c>
      <c r="AF416" s="616" t="s">
        <v>4720</v>
      </c>
      <c r="AG416" s="598"/>
      <c r="AH416" s="598"/>
      <c r="AI416" s="598" t="s">
        <v>1025</v>
      </c>
      <c r="AJ416" s="598"/>
      <c r="AK416" s="626"/>
      <c r="AL416" s="626"/>
    </row>
    <row r="417" spans="1:38" ht="18" customHeight="1">
      <c r="A417" s="593"/>
      <c r="B417" s="598">
        <v>400</v>
      </c>
      <c r="C417" s="598" t="s">
        <v>4721</v>
      </c>
      <c r="D417" s="598">
        <f t="shared" si="3"/>
        <v>377</v>
      </c>
      <c r="E417" s="616" t="s">
        <v>1798</v>
      </c>
      <c r="F417" s="616" t="s">
        <v>1226</v>
      </c>
      <c r="G417" s="618" t="s">
        <v>1225</v>
      </c>
      <c r="H417" s="618" t="s">
        <v>114</v>
      </c>
      <c r="I417" s="618" t="s">
        <v>1225</v>
      </c>
      <c r="J417" s="618" t="s">
        <v>3028</v>
      </c>
      <c r="K417" s="618" t="s">
        <v>3074</v>
      </c>
      <c r="L417" s="619" t="s">
        <v>3029</v>
      </c>
      <c r="M417" s="620"/>
      <c r="N417" s="620"/>
      <c r="O417" s="663" t="s">
        <v>1074</v>
      </c>
      <c r="P417" s="621"/>
      <c r="Q417" s="598"/>
      <c r="R417" s="598"/>
      <c r="S417" s="598"/>
      <c r="T417" s="598" t="s">
        <v>992</v>
      </c>
      <c r="U417" s="663" t="s">
        <v>4722</v>
      </c>
      <c r="V417" s="616" t="s">
        <v>4723</v>
      </c>
      <c r="W417" s="598" t="s">
        <v>963</v>
      </c>
      <c r="X417" s="624">
        <v>31601</v>
      </c>
      <c r="Y417" s="625">
        <f t="shared" ca="1" si="5"/>
        <v>39</v>
      </c>
      <c r="Z417" s="616" t="s">
        <v>4724</v>
      </c>
      <c r="AA417" s="731"/>
      <c r="AB417" s="598" t="s">
        <v>996</v>
      </c>
      <c r="AC417" s="598" t="s">
        <v>1018</v>
      </c>
      <c r="AD417" s="616" t="s">
        <v>1041</v>
      </c>
      <c r="AE417" s="616" t="s">
        <v>1041</v>
      </c>
      <c r="AF417" s="616" t="s">
        <v>2654</v>
      </c>
      <c r="AG417" s="598"/>
      <c r="AH417" s="598" t="s">
        <v>4725</v>
      </c>
      <c r="AI417" s="598" t="s">
        <v>1025</v>
      </c>
      <c r="AJ417" s="598"/>
      <c r="AK417" s="626"/>
      <c r="AL417" s="626"/>
    </row>
    <row r="418" spans="1:38" ht="18" customHeight="1">
      <c r="A418" s="593"/>
      <c r="B418" s="598">
        <v>401</v>
      </c>
      <c r="C418" s="598" t="s">
        <v>4726</v>
      </c>
      <c r="D418" s="598">
        <f t="shared" si="3"/>
        <v>378</v>
      </c>
      <c r="E418" s="616" t="s">
        <v>1798</v>
      </c>
      <c r="F418" s="616" t="s">
        <v>1226</v>
      </c>
      <c r="G418" s="618" t="s">
        <v>1225</v>
      </c>
      <c r="H418" s="618" t="s">
        <v>114</v>
      </c>
      <c r="I418" s="618" t="s">
        <v>1225</v>
      </c>
      <c r="J418" s="618" t="s">
        <v>3028</v>
      </c>
      <c r="K418" s="618" t="s">
        <v>3074</v>
      </c>
      <c r="L418" s="619" t="s">
        <v>3029</v>
      </c>
      <c r="M418" s="620"/>
      <c r="N418" s="620"/>
      <c r="O418" s="663" t="s">
        <v>1074</v>
      </c>
      <c r="P418" s="621"/>
      <c r="Q418" s="598"/>
      <c r="R418" s="598"/>
      <c r="S418" s="598"/>
      <c r="T418" s="598" t="s">
        <v>992</v>
      </c>
      <c r="U418" s="663" t="s">
        <v>4727</v>
      </c>
      <c r="V418" s="616" t="s">
        <v>4728</v>
      </c>
      <c r="W418" s="598" t="s">
        <v>950</v>
      </c>
      <c r="X418" s="624">
        <v>37074</v>
      </c>
      <c r="Y418" s="625">
        <f t="shared" ca="1" si="5"/>
        <v>24</v>
      </c>
      <c r="Z418" s="616" t="s">
        <v>4729</v>
      </c>
      <c r="AA418" s="598" t="s">
        <v>4730</v>
      </c>
      <c r="AB418" s="598" t="s">
        <v>996</v>
      </c>
      <c r="AC418" s="598" t="s">
        <v>1018</v>
      </c>
      <c r="AD418" s="616" t="s">
        <v>1494</v>
      </c>
      <c r="AE418" s="616" t="s">
        <v>1494</v>
      </c>
      <c r="AF418" s="616" t="s">
        <v>1495</v>
      </c>
      <c r="AG418" s="598"/>
      <c r="AH418" s="598" t="s">
        <v>4731</v>
      </c>
      <c r="AI418" s="598" t="s">
        <v>1025</v>
      </c>
      <c r="AJ418" s="598"/>
      <c r="AK418" s="626"/>
      <c r="AL418" s="626"/>
    </row>
    <row r="419" spans="1:38" ht="18" customHeight="1">
      <c r="A419" s="593"/>
      <c r="B419" s="598">
        <v>402</v>
      </c>
      <c r="C419" s="598" t="s">
        <v>4732</v>
      </c>
      <c r="D419" s="598">
        <f t="shared" si="3"/>
        <v>379</v>
      </c>
      <c r="E419" s="616" t="s">
        <v>1810</v>
      </c>
      <c r="F419" s="616" t="s">
        <v>1226</v>
      </c>
      <c r="G419" s="618" t="s">
        <v>1225</v>
      </c>
      <c r="H419" s="618" t="s">
        <v>114</v>
      </c>
      <c r="I419" s="618" t="s">
        <v>1225</v>
      </c>
      <c r="J419" s="618" t="s">
        <v>3028</v>
      </c>
      <c r="K419" s="618" t="s">
        <v>3074</v>
      </c>
      <c r="L419" s="619" t="s">
        <v>3029</v>
      </c>
      <c r="M419" s="620"/>
      <c r="N419" s="620"/>
      <c r="O419" s="663" t="s">
        <v>1074</v>
      </c>
      <c r="P419" s="621"/>
      <c r="Q419" s="598"/>
      <c r="R419" s="598"/>
      <c r="S419" s="598"/>
      <c r="T419" s="598" t="s">
        <v>992</v>
      </c>
      <c r="U419" s="663" t="s">
        <v>4733</v>
      </c>
      <c r="V419" s="616" t="s">
        <v>4734</v>
      </c>
      <c r="W419" s="598" t="s">
        <v>963</v>
      </c>
      <c r="X419" s="624">
        <v>37324</v>
      </c>
      <c r="Y419" s="625">
        <f t="shared" ca="1" si="5"/>
        <v>23</v>
      </c>
      <c r="Z419" s="616" t="s">
        <v>4735</v>
      </c>
      <c r="AA419" s="652"/>
      <c r="AB419" s="598" t="s">
        <v>996</v>
      </c>
      <c r="AC419" s="598" t="s">
        <v>1018</v>
      </c>
      <c r="AD419" s="616" t="s">
        <v>1868</v>
      </c>
      <c r="AE419" s="616" t="s">
        <v>1868</v>
      </c>
      <c r="AF419" s="616" t="s">
        <v>4736</v>
      </c>
      <c r="AG419" s="598" t="s">
        <v>1775</v>
      </c>
      <c r="AH419" s="598" t="s">
        <v>4737</v>
      </c>
      <c r="AI419" s="598" t="s">
        <v>1025</v>
      </c>
      <c r="AJ419" s="598" t="s">
        <v>4607</v>
      </c>
      <c r="AK419" s="626"/>
      <c r="AL419" s="626"/>
    </row>
    <row r="420" spans="1:38" ht="18" customHeight="1">
      <c r="A420" s="593"/>
      <c r="B420" s="598">
        <v>403</v>
      </c>
      <c r="C420" s="598" t="s">
        <v>4738</v>
      </c>
      <c r="D420" s="598">
        <f t="shared" si="3"/>
        <v>380</v>
      </c>
      <c r="E420" s="616" t="s">
        <v>1810</v>
      </c>
      <c r="F420" s="616" t="s">
        <v>1226</v>
      </c>
      <c r="G420" s="618" t="s">
        <v>1225</v>
      </c>
      <c r="H420" s="618" t="s">
        <v>114</v>
      </c>
      <c r="I420" s="618" t="s">
        <v>1225</v>
      </c>
      <c r="J420" s="618" t="s">
        <v>3028</v>
      </c>
      <c r="K420" s="618" t="s">
        <v>3074</v>
      </c>
      <c r="L420" s="619" t="s">
        <v>3029</v>
      </c>
      <c r="M420" s="620"/>
      <c r="N420" s="620"/>
      <c r="O420" s="663" t="s">
        <v>1074</v>
      </c>
      <c r="P420" s="621"/>
      <c r="Q420" s="598"/>
      <c r="R420" s="598"/>
      <c r="S420" s="598"/>
      <c r="T420" s="598" t="s">
        <v>992</v>
      </c>
      <c r="U420" s="663" t="s">
        <v>4739</v>
      </c>
      <c r="V420" s="616" t="s">
        <v>4740</v>
      </c>
      <c r="W420" s="598" t="s">
        <v>950</v>
      </c>
      <c r="X420" s="624">
        <v>37492</v>
      </c>
      <c r="Y420" s="625">
        <f t="shared" ca="1" si="5"/>
        <v>23</v>
      </c>
      <c r="Z420" s="616" t="s">
        <v>4741</v>
      </c>
      <c r="AA420" s="652"/>
      <c r="AB420" s="598" t="s">
        <v>996</v>
      </c>
      <c r="AC420" s="598" t="s">
        <v>1018</v>
      </c>
      <c r="AD420" s="616" t="s">
        <v>1868</v>
      </c>
      <c r="AE420" s="616" t="s">
        <v>1868</v>
      </c>
      <c r="AF420" s="616" t="s">
        <v>4736</v>
      </c>
      <c r="AG420" s="598"/>
      <c r="AH420" s="598" t="s">
        <v>2837</v>
      </c>
      <c r="AI420" s="598" t="s">
        <v>1025</v>
      </c>
      <c r="AJ420" s="598" t="s">
        <v>4607</v>
      </c>
      <c r="AK420" s="626"/>
      <c r="AL420" s="626"/>
    </row>
    <row r="421" spans="1:38" ht="18" customHeight="1">
      <c r="A421" s="593"/>
      <c r="B421" s="598">
        <v>404</v>
      </c>
      <c r="C421" s="598" t="s">
        <v>4742</v>
      </c>
      <c r="D421" s="598">
        <f t="shared" si="3"/>
        <v>381</v>
      </c>
      <c r="E421" s="616" t="s">
        <v>1810</v>
      </c>
      <c r="F421" s="616" t="s">
        <v>1226</v>
      </c>
      <c r="G421" s="618" t="s">
        <v>1225</v>
      </c>
      <c r="H421" s="618" t="s">
        <v>114</v>
      </c>
      <c r="I421" s="618" t="s">
        <v>1225</v>
      </c>
      <c r="J421" s="618" t="s">
        <v>3028</v>
      </c>
      <c r="K421" s="618" t="s">
        <v>3074</v>
      </c>
      <c r="L421" s="619" t="s">
        <v>3029</v>
      </c>
      <c r="M421" s="620"/>
      <c r="N421" s="620"/>
      <c r="O421" s="673" t="s">
        <v>1074</v>
      </c>
      <c r="P421" s="621"/>
      <c r="Q421" s="598"/>
      <c r="R421" s="598"/>
      <c r="S421" s="598"/>
      <c r="T421" s="598" t="s">
        <v>992</v>
      </c>
      <c r="U421" s="673" t="s">
        <v>4743</v>
      </c>
      <c r="V421" s="616" t="s">
        <v>4744</v>
      </c>
      <c r="W421" s="598" t="s">
        <v>963</v>
      </c>
      <c r="X421" s="624">
        <v>37852</v>
      </c>
      <c r="Y421" s="625">
        <f t="shared" ca="1" si="5"/>
        <v>22</v>
      </c>
      <c r="Z421" s="616" t="s">
        <v>4745</v>
      </c>
      <c r="AA421" s="652"/>
      <c r="AB421" s="598" t="s">
        <v>996</v>
      </c>
      <c r="AC421" s="598" t="s">
        <v>1018</v>
      </c>
      <c r="AD421" s="616" t="s">
        <v>1868</v>
      </c>
      <c r="AE421" s="616" t="s">
        <v>1868</v>
      </c>
      <c r="AF421" s="616" t="s">
        <v>4736</v>
      </c>
      <c r="AG421" s="598"/>
      <c r="AH421" s="598" t="s">
        <v>2837</v>
      </c>
      <c r="AI421" s="598" t="s">
        <v>1025</v>
      </c>
      <c r="AJ421" s="680" t="s">
        <v>4505</v>
      </c>
      <c r="AK421" s="626"/>
      <c r="AL421" s="626"/>
    </row>
    <row r="422" spans="1:38" ht="18" customHeight="1">
      <c r="A422" s="593"/>
      <c r="B422" s="598">
        <v>405</v>
      </c>
      <c r="C422" s="598" t="s">
        <v>3132</v>
      </c>
      <c r="D422" s="598">
        <f t="shared" si="3"/>
        <v>382</v>
      </c>
      <c r="E422" s="616" t="s">
        <v>1798</v>
      </c>
      <c r="F422" s="616" t="s">
        <v>1226</v>
      </c>
      <c r="G422" s="618" t="s">
        <v>1225</v>
      </c>
      <c r="H422" s="618" t="s">
        <v>114</v>
      </c>
      <c r="I422" s="618" t="s">
        <v>1225</v>
      </c>
      <c r="J422" s="618" t="s">
        <v>3132</v>
      </c>
      <c r="K422" s="618" t="s">
        <v>3110</v>
      </c>
      <c r="L422" s="619" t="s">
        <v>3133</v>
      </c>
      <c r="M422" s="620"/>
      <c r="N422" s="620"/>
      <c r="O422" s="667" t="s">
        <v>1115</v>
      </c>
      <c r="P422" s="621"/>
      <c r="Q422" s="598" t="s">
        <v>55</v>
      </c>
      <c r="R422" s="598" t="s">
        <v>178</v>
      </c>
      <c r="S422" s="598"/>
      <c r="T422" s="598" t="s">
        <v>992</v>
      </c>
      <c r="U422" s="667" t="s">
        <v>3134</v>
      </c>
      <c r="V422" s="616" t="s">
        <v>3135</v>
      </c>
      <c r="W422" s="598" t="s">
        <v>950</v>
      </c>
      <c r="X422" s="624">
        <v>37703</v>
      </c>
      <c r="Y422" s="625">
        <f t="shared" ca="1" si="5"/>
        <v>22</v>
      </c>
      <c r="Z422" s="616" t="s">
        <v>3136</v>
      </c>
      <c r="AA422" s="598" t="s">
        <v>3137</v>
      </c>
      <c r="AB422" s="598" t="s">
        <v>996</v>
      </c>
      <c r="AC422" s="598" t="s">
        <v>997</v>
      </c>
      <c r="AD422" s="616" t="s">
        <v>1041</v>
      </c>
      <c r="AE422" s="616" t="s">
        <v>1250</v>
      </c>
      <c r="AF422" s="616" t="s">
        <v>3138</v>
      </c>
      <c r="AG422" s="598"/>
      <c r="AH422" s="598"/>
      <c r="AI422" s="598" t="s">
        <v>1125</v>
      </c>
      <c r="AJ422" s="598"/>
      <c r="AK422" s="626"/>
      <c r="AL422" s="626"/>
    </row>
    <row r="423" spans="1:38" ht="18" customHeight="1">
      <c r="A423" s="593"/>
      <c r="B423" s="598">
        <v>406</v>
      </c>
      <c r="C423" s="598" t="s">
        <v>3110</v>
      </c>
      <c r="D423" s="598">
        <f t="shared" si="3"/>
        <v>383</v>
      </c>
      <c r="E423" s="616" t="s">
        <v>1798</v>
      </c>
      <c r="F423" s="616" t="s">
        <v>1226</v>
      </c>
      <c r="G423" s="618" t="s">
        <v>1225</v>
      </c>
      <c r="H423" s="618" t="s">
        <v>114</v>
      </c>
      <c r="I423" s="618" t="s">
        <v>1225</v>
      </c>
      <c r="J423" s="618" t="s">
        <v>3132</v>
      </c>
      <c r="K423" s="618" t="s">
        <v>3110</v>
      </c>
      <c r="L423" s="619" t="s">
        <v>3133</v>
      </c>
      <c r="M423" s="620"/>
      <c r="N423" s="620"/>
      <c r="O423" s="663" t="s">
        <v>1115</v>
      </c>
      <c r="P423" s="621"/>
      <c r="Q423" s="598"/>
      <c r="R423" s="598" t="s">
        <v>562</v>
      </c>
      <c r="S423" s="598"/>
      <c r="T423" s="598" t="s">
        <v>1705</v>
      </c>
      <c r="U423" s="663" t="s">
        <v>3111</v>
      </c>
      <c r="V423" s="616" t="s">
        <v>3112</v>
      </c>
      <c r="W423" s="598" t="s">
        <v>950</v>
      </c>
      <c r="X423" s="624">
        <v>39645</v>
      </c>
      <c r="Y423" s="625">
        <f t="shared" ca="1" si="5"/>
        <v>17</v>
      </c>
      <c r="Z423" s="616" t="s">
        <v>3113</v>
      </c>
      <c r="AA423" s="598" t="s">
        <v>3114</v>
      </c>
      <c r="AB423" s="598" t="s">
        <v>996</v>
      </c>
      <c r="AC423" s="598" t="s">
        <v>953</v>
      </c>
      <c r="AD423" s="616" t="s">
        <v>1041</v>
      </c>
      <c r="AE423" s="616" t="s">
        <v>3115</v>
      </c>
      <c r="AF423" s="616"/>
      <c r="AG423" s="598"/>
      <c r="AH423" s="598"/>
      <c r="AI423" s="598" t="s">
        <v>1125</v>
      </c>
      <c r="AJ423" s="598"/>
      <c r="AK423" s="626"/>
      <c r="AL423" s="626"/>
    </row>
    <row r="424" spans="1:38" ht="18" customHeight="1">
      <c r="A424" s="593"/>
      <c r="B424" s="598">
        <v>407</v>
      </c>
      <c r="C424" s="598" t="s">
        <v>3133</v>
      </c>
      <c r="D424" s="598">
        <f t="shared" si="3"/>
        <v>384</v>
      </c>
      <c r="E424" s="616" t="s">
        <v>1798</v>
      </c>
      <c r="F424" s="616" t="s">
        <v>1226</v>
      </c>
      <c r="G424" s="618" t="s">
        <v>1225</v>
      </c>
      <c r="H424" s="618" t="s">
        <v>114</v>
      </c>
      <c r="I424" s="618" t="s">
        <v>1225</v>
      </c>
      <c r="J424" s="618" t="s">
        <v>3132</v>
      </c>
      <c r="K424" s="618" t="s">
        <v>3110</v>
      </c>
      <c r="L424" s="619" t="s">
        <v>3133</v>
      </c>
      <c r="M424" s="620"/>
      <c r="N424" s="620"/>
      <c r="O424" s="663" t="s">
        <v>1115</v>
      </c>
      <c r="P424" s="621"/>
      <c r="Q424" s="598" t="s">
        <v>69</v>
      </c>
      <c r="R424" s="598" t="s">
        <v>562</v>
      </c>
      <c r="S424" s="598"/>
      <c r="T424" s="598" t="s">
        <v>992</v>
      </c>
      <c r="U424" s="663" t="s">
        <v>368</v>
      </c>
      <c r="V424" s="616" t="s">
        <v>3139</v>
      </c>
      <c r="W424" s="598" t="s">
        <v>950</v>
      </c>
      <c r="X424" s="624">
        <v>37883</v>
      </c>
      <c r="Y424" s="625">
        <f t="shared" ca="1" si="5"/>
        <v>22</v>
      </c>
      <c r="Z424" s="616" t="s">
        <v>3140</v>
      </c>
      <c r="AA424" s="598" t="s">
        <v>3141</v>
      </c>
      <c r="AB424" s="598" t="s">
        <v>996</v>
      </c>
      <c r="AC424" s="598" t="s">
        <v>997</v>
      </c>
      <c r="AD424" s="616" t="s">
        <v>729</v>
      </c>
      <c r="AE424" s="640" t="s">
        <v>729</v>
      </c>
      <c r="AF424" s="616" t="s">
        <v>2683</v>
      </c>
      <c r="AG424" s="598"/>
      <c r="AH424" s="598"/>
      <c r="AI424" s="598" t="s">
        <v>1318</v>
      </c>
      <c r="AJ424" s="598"/>
      <c r="AK424" s="626">
        <v>-5</v>
      </c>
      <c r="AL424" s="626"/>
    </row>
    <row r="425" spans="1:38" ht="18" customHeight="1">
      <c r="A425" s="593"/>
      <c r="B425" s="598">
        <v>408</v>
      </c>
      <c r="C425" s="598" t="s">
        <v>2209</v>
      </c>
      <c r="D425" s="598">
        <f t="shared" si="3"/>
        <v>385</v>
      </c>
      <c r="E425" s="616" t="s">
        <v>1798</v>
      </c>
      <c r="F425" s="616" t="s">
        <v>1226</v>
      </c>
      <c r="G425" s="618" t="s">
        <v>1225</v>
      </c>
      <c r="H425" s="618" t="s">
        <v>114</v>
      </c>
      <c r="I425" s="618" t="s">
        <v>1225</v>
      </c>
      <c r="J425" s="618" t="s">
        <v>3132</v>
      </c>
      <c r="K425" s="618" t="s">
        <v>3110</v>
      </c>
      <c r="L425" s="619" t="s">
        <v>3133</v>
      </c>
      <c r="M425" s="620"/>
      <c r="N425" s="620"/>
      <c r="O425" s="663" t="s">
        <v>1115</v>
      </c>
      <c r="P425" s="621"/>
      <c r="Q425" s="598"/>
      <c r="R425" s="598"/>
      <c r="S425" s="598"/>
      <c r="T425" s="598" t="s">
        <v>992</v>
      </c>
      <c r="U425" s="663" t="s">
        <v>3147</v>
      </c>
      <c r="V425" s="616" t="s">
        <v>3148</v>
      </c>
      <c r="W425" s="598" t="s">
        <v>950</v>
      </c>
      <c r="X425" s="624">
        <v>36932</v>
      </c>
      <c r="Y425" s="625">
        <f t="shared" ca="1" si="5"/>
        <v>24</v>
      </c>
      <c r="Z425" s="616"/>
      <c r="AA425" s="598" t="s">
        <v>3149</v>
      </c>
      <c r="AB425" s="598" t="s">
        <v>996</v>
      </c>
      <c r="AC425" s="598" t="s">
        <v>997</v>
      </c>
      <c r="AD425" s="616" t="s">
        <v>1041</v>
      </c>
      <c r="AE425" s="616" t="s">
        <v>3150</v>
      </c>
      <c r="AF425" s="616" t="s">
        <v>3151</v>
      </c>
      <c r="AG425" s="598"/>
      <c r="AH425" s="598"/>
      <c r="AI425" s="598" t="s">
        <v>1011</v>
      </c>
      <c r="AJ425" s="598"/>
      <c r="AK425" s="626"/>
      <c r="AL425" s="626"/>
    </row>
    <row r="426" spans="1:38" ht="18" customHeight="1">
      <c r="A426" s="593"/>
      <c r="B426" s="598">
        <v>409</v>
      </c>
      <c r="C426" s="598" t="s">
        <v>3156</v>
      </c>
      <c r="D426" s="598">
        <f t="shared" si="3"/>
        <v>386</v>
      </c>
      <c r="E426" s="616" t="s">
        <v>1798</v>
      </c>
      <c r="F426" s="616" t="s">
        <v>1226</v>
      </c>
      <c r="G426" s="618" t="s">
        <v>1225</v>
      </c>
      <c r="H426" s="618" t="s">
        <v>114</v>
      </c>
      <c r="I426" s="618" t="s">
        <v>1225</v>
      </c>
      <c r="J426" s="618" t="s">
        <v>3132</v>
      </c>
      <c r="K426" s="618" t="s">
        <v>3110</v>
      </c>
      <c r="L426" s="619" t="s">
        <v>3133</v>
      </c>
      <c r="M426" s="620"/>
      <c r="N426" s="620"/>
      <c r="O426" s="663" t="s">
        <v>1115</v>
      </c>
      <c r="P426" s="621"/>
      <c r="Q426" s="598"/>
      <c r="R426" s="598"/>
      <c r="S426" s="598"/>
      <c r="T426" s="598" t="s">
        <v>992</v>
      </c>
      <c r="U426" s="663" t="s">
        <v>3157</v>
      </c>
      <c r="V426" s="616" t="s">
        <v>3158</v>
      </c>
      <c r="W426" s="598" t="s">
        <v>950</v>
      </c>
      <c r="X426" s="624">
        <v>36693</v>
      </c>
      <c r="Y426" s="625">
        <f t="shared" ca="1" si="5"/>
        <v>25</v>
      </c>
      <c r="Z426" s="616" t="s">
        <v>3159</v>
      </c>
      <c r="AA426" s="598" t="s">
        <v>3160</v>
      </c>
      <c r="AB426" s="598" t="s">
        <v>996</v>
      </c>
      <c r="AC426" s="598" t="s">
        <v>1018</v>
      </c>
      <c r="AD426" s="616" t="s">
        <v>1041</v>
      </c>
      <c r="AE426" s="616" t="s">
        <v>1250</v>
      </c>
      <c r="AF426" s="616" t="s">
        <v>3161</v>
      </c>
      <c r="AG426" s="598"/>
      <c r="AH426" s="598"/>
      <c r="AI426" s="598" t="s">
        <v>1125</v>
      </c>
      <c r="AJ426" s="598"/>
      <c r="AK426" s="626"/>
      <c r="AL426" s="626"/>
    </row>
    <row r="427" spans="1:38" ht="18" customHeight="1">
      <c r="A427" s="593"/>
      <c r="B427" s="598">
        <v>410</v>
      </c>
      <c r="C427" s="598" t="s">
        <v>3142</v>
      </c>
      <c r="D427" s="598">
        <f t="shared" si="3"/>
        <v>387</v>
      </c>
      <c r="E427" s="616" t="s">
        <v>1798</v>
      </c>
      <c r="F427" s="616" t="s">
        <v>1226</v>
      </c>
      <c r="G427" s="618" t="s">
        <v>1225</v>
      </c>
      <c r="H427" s="618" t="s">
        <v>114</v>
      </c>
      <c r="I427" s="618" t="s">
        <v>1225</v>
      </c>
      <c r="J427" s="618" t="s">
        <v>3132</v>
      </c>
      <c r="K427" s="618" t="s">
        <v>3110</v>
      </c>
      <c r="L427" s="619" t="s">
        <v>3133</v>
      </c>
      <c r="M427" s="620"/>
      <c r="N427" s="620"/>
      <c r="O427" s="663" t="s">
        <v>1115</v>
      </c>
      <c r="P427" s="621"/>
      <c r="Q427" s="598"/>
      <c r="R427" s="598"/>
      <c r="S427" s="598"/>
      <c r="T427" s="598" t="s">
        <v>992</v>
      </c>
      <c r="U427" s="663" t="s">
        <v>3143</v>
      </c>
      <c r="V427" s="616" t="s">
        <v>3144</v>
      </c>
      <c r="W427" s="598" t="s">
        <v>950</v>
      </c>
      <c r="X427" s="624">
        <v>37525</v>
      </c>
      <c r="Y427" s="625">
        <f t="shared" ca="1" si="5"/>
        <v>23</v>
      </c>
      <c r="Z427" s="616" t="s">
        <v>3145</v>
      </c>
      <c r="AA427" s="598" t="s">
        <v>3146</v>
      </c>
      <c r="AB427" s="598" t="s">
        <v>996</v>
      </c>
      <c r="AC427" s="598" t="s">
        <v>997</v>
      </c>
      <c r="AD427" s="616" t="s">
        <v>1041</v>
      </c>
      <c r="AE427" s="616" t="s">
        <v>1041</v>
      </c>
      <c r="AF427" s="616" t="s">
        <v>2672</v>
      </c>
      <c r="AG427" s="598"/>
      <c r="AH427" s="598"/>
      <c r="AI427" s="598" t="s">
        <v>1125</v>
      </c>
      <c r="AJ427" s="598"/>
      <c r="AK427" s="626"/>
      <c r="AL427" s="626"/>
    </row>
    <row r="428" spans="1:38" ht="18" customHeight="1">
      <c r="A428" s="593"/>
      <c r="B428" s="598">
        <v>411</v>
      </c>
      <c r="C428" s="598" t="s">
        <v>3087</v>
      </c>
      <c r="D428" s="598">
        <f t="shared" si="3"/>
        <v>388</v>
      </c>
      <c r="E428" s="616" t="s">
        <v>1798</v>
      </c>
      <c r="F428" s="616" t="s">
        <v>1226</v>
      </c>
      <c r="G428" s="618" t="s">
        <v>1225</v>
      </c>
      <c r="H428" s="618" t="s">
        <v>114</v>
      </c>
      <c r="I428" s="618" t="s">
        <v>1225</v>
      </c>
      <c r="J428" s="618" t="s">
        <v>3132</v>
      </c>
      <c r="K428" s="618" t="s">
        <v>3110</v>
      </c>
      <c r="L428" s="619" t="s">
        <v>3133</v>
      </c>
      <c r="M428" s="620"/>
      <c r="N428" s="620"/>
      <c r="O428" s="663" t="s">
        <v>1115</v>
      </c>
      <c r="P428" s="621"/>
      <c r="Q428" s="598"/>
      <c r="R428" s="598"/>
      <c r="S428" s="598"/>
      <c r="T428" s="598" t="s">
        <v>992</v>
      </c>
      <c r="U428" s="663" t="s">
        <v>3088</v>
      </c>
      <c r="V428" s="616" t="s">
        <v>3089</v>
      </c>
      <c r="W428" s="598" t="s">
        <v>950</v>
      </c>
      <c r="X428" s="624">
        <v>37583</v>
      </c>
      <c r="Y428" s="625">
        <f t="shared" ca="1" si="5"/>
        <v>23</v>
      </c>
      <c r="Z428" s="616" t="s">
        <v>3090</v>
      </c>
      <c r="AA428" s="598" t="s">
        <v>3091</v>
      </c>
      <c r="AB428" s="598" t="s">
        <v>996</v>
      </c>
      <c r="AC428" s="598" t="s">
        <v>997</v>
      </c>
      <c r="AD428" s="616" t="s">
        <v>1041</v>
      </c>
      <c r="AE428" s="616" t="s">
        <v>1041</v>
      </c>
      <c r="AF428" s="616" t="s">
        <v>2672</v>
      </c>
      <c r="AG428" s="598"/>
      <c r="AH428" s="598"/>
      <c r="AI428" s="598" t="s">
        <v>1125</v>
      </c>
      <c r="AJ428" s="598"/>
      <c r="AK428" s="626"/>
      <c r="AL428" s="626"/>
    </row>
    <row r="429" spans="1:38" ht="18" customHeight="1">
      <c r="A429" s="593"/>
      <c r="B429" s="598">
        <v>412</v>
      </c>
      <c r="C429" s="598" t="s">
        <v>3162</v>
      </c>
      <c r="D429" s="598">
        <f t="shared" si="3"/>
        <v>389</v>
      </c>
      <c r="E429" s="616" t="s">
        <v>1798</v>
      </c>
      <c r="F429" s="616" t="s">
        <v>1226</v>
      </c>
      <c r="G429" s="618" t="s">
        <v>1225</v>
      </c>
      <c r="H429" s="618" t="s">
        <v>114</v>
      </c>
      <c r="I429" s="618" t="s">
        <v>1225</v>
      </c>
      <c r="J429" s="618" t="s">
        <v>3132</v>
      </c>
      <c r="K429" s="618" t="s">
        <v>3110</v>
      </c>
      <c r="L429" s="619" t="s">
        <v>3133</v>
      </c>
      <c r="M429" s="620"/>
      <c r="N429" s="620"/>
      <c r="O429" s="663" t="s">
        <v>1115</v>
      </c>
      <c r="P429" s="621"/>
      <c r="Q429" s="598"/>
      <c r="R429" s="598"/>
      <c r="S429" s="598"/>
      <c r="T429" s="598" t="s">
        <v>992</v>
      </c>
      <c r="U429" s="663" t="s">
        <v>3163</v>
      </c>
      <c r="V429" s="616" t="s">
        <v>3164</v>
      </c>
      <c r="W429" s="598" t="s">
        <v>950</v>
      </c>
      <c r="X429" s="624">
        <v>38675</v>
      </c>
      <c r="Y429" s="625">
        <f t="shared" ca="1" si="5"/>
        <v>20</v>
      </c>
      <c r="Z429" s="616" t="s">
        <v>3165</v>
      </c>
      <c r="AA429" s="598" t="s">
        <v>3166</v>
      </c>
      <c r="AB429" s="598" t="s">
        <v>996</v>
      </c>
      <c r="AC429" s="598" t="s">
        <v>1018</v>
      </c>
      <c r="AD429" s="616" t="s">
        <v>1041</v>
      </c>
      <c r="AE429" s="616" t="s">
        <v>1041</v>
      </c>
      <c r="AF429" s="616" t="s">
        <v>2784</v>
      </c>
      <c r="AG429" s="598"/>
      <c r="AH429" s="598"/>
      <c r="AI429" s="598" t="s">
        <v>1125</v>
      </c>
      <c r="AJ429" s="598"/>
      <c r="AK429" s="626"/>
      <c r="AL429" s="626"/>
    </row>
    <row r="430" spans="1:38" ht="18" customHeight="1">
      <c r="A430" s="593"/>
      <c r="B430" s="598">
        <v>413</v>
      </c>
      <c r="C430" s="598" t="s">
        <v>4746</v>
      </c>
      <c r="D430" s="598">
        <f t="shared" si="3"/>
        <v>390</v>
      </c>
      <c r="E430" s="616" t="s">
        <v>1798</v>
      </c>
      <c r="F430" s="616" t="s">
        <v>1226</v>
      </c>
      <c r="G430" s="618" t="s">
        <v>1225</v>
      </c>
      <c r="H430" s="618" t="s">
        <v>114</v>
      </c>
      <c r="I430" s="618" t="s">
        <v>1225</v>
      </c>
      <c r="J430" s="618" t="s">
        <v>3132</v>
      </c>
      <c r="K430" s="618" t="s">
        <v>3110</v>
      </c>
      <c r="L430" s="619" t="s">
        <v>3133</v>
      </c>
      <c r="M430" s="620"/>
      <c r="N430" s="620"/>
      <c r="O430" s="663" t="s">
        <v>1115</v>
      </c>
      <c r="P430" s="621"/>
      <c r="Q430" s="598"/>
      <c r="R430" s="598"/>
      <c r="S430" s="598"/>
      <c r="T430" s="598" t="s">
        <v>992</v>
      </c>
      <c r="U430" s="663" t="s">
        <v>4747</v>
      </c>
      <c r="V430" s="616" t="s">
        <v>4748</v>
      </c>
      <c r="W430" s="598" t="s">
        <v>950</v>
      </c>
      <c r="X430" s="624">
        <v>37348</v>
      </c>
      <c r="Y430" s="625">
        <f t="shared" ca="1" si="5"/>
        <v>23</v>
      </c>
      <c r="Z430" s="616" t="s">
        <v>4749</v>
      </c>
      <c r="AA430" s="598" t="s">
        <v>4750</v>
      </c>
      <c r="AB430" s="598" t="s">
        <v>996</v>
      </c>
      <c r="AC430" s="598" t="s">
        <v>1018</v>
      </c>
      <c r="AD430" s="616" t="s">
        <v>1041</v>
      </c>
      <c r="AE430" s="616" t="s">
        <v>1041</v>
      </c>
      <c r="AF430" s="616" t="s">
        <v>2687</v>
      </c>
      <c r="AG430" s="598"/>
      <c r="AH430" s="598"/>
      <c r="AI430" s="598" t="s">
        <v>1125</v>
      </c>
      <c r="AJ430" s="598"/>
      <c r="AK430" s="626"/>
      <c r="AL430" s="626"/>
    </row>
    <row r="431" spans="1:38" ht="18" customHeight="1">
      <c r="A431" s="593"/>
      <c r="B431" s="598">
        <v>414</v>
      </c>
      <c r="C431" s="598" t="s">
        <v>3152</v>
      </c>
      <c r="D431" s="598">
        <f t="shared" si="3"/>
        <v>391</v>
      </c>
      <c r="E431" s="616" t="s">
        <v>1798</v>
      </c>
      <c r="F431" s="616" t="s">
        <v>1226</v>
      </c>
      <c r="G431" s="618" t="s">
        <v>1225</v>
      </c>
      <c r="H431" s="618" t="s">
        <v>114</v>
      </c>
      <c r="I431" s="618" t="s">
        <v>1225</v>
      </c>
      <c r="J431" s="618" t="s">
        <v>3132</v>
      </c>
      <c r="K431" s="618" t="s">
        <v>3110</v>
      </c>
      <c r="L431" s="619" t="s">
        <v>3133</v>
      </c>
      <c r="M431" s="620"/>
      <c r="N431" s="620"/>
      <c r="O431" s="663" t="s">
        <v>1115</v>
      </c>
      <c r="P431" s="621"/>
      <c r="Q431" s="598"/>
      <c r="R431" s="598"/>
      <c r="S431" s="598"/>
      <c r="T431" s="598" t="s">
        <v>992</v>
      </c>
      <c r="U431" s="663" t="s">
        <v>435</v>
      </c>
      <c r="V431" s="616" t="s">
        <v>3153</v>
      </c>
      <c r="W431" s="598" t="s">
        <v>950</v>
      </c>
      <c r="X431" s="624">
        <v>37194</v>
      </c>
      <c r="Y431" s="625">
        <f t="shared" ca="1" si="5"/>
        <v>24</v>
      </c>
      <c r="Z431" s="616" t="s">
        <v>3154</v>
      </c>
      <c r="AA431" s="598" t="s">
        <v>3155</v>
      </c>
      <c r="AB431" s="598" t="s">
        <v>996</v>
      </c>
      <c r="AC431" s="598" t="s">
        <v>997</v>
      </c>
      <c r="AD431" s="616" t="s">
        <v>1041</v>
      </c>
      <c r="AE431" s="721" t="s">
        <v>1041</v>
      </c>
      <c r="AF431" s="616" t="s">
        <v>3099</v>
      </c>
      <c r="AG431" s="598"/>
      <c r="AH431" s="598"/>
      <c r="AI431" s="598" t="s">
        <v>1318</v>
      </c>
      <c r="AJ431" s="598"/>
      <c r="AK431" s="626"/>
      <c r="AL431" s="626"/>
    </row>
    <row r="432" spans="1:38" ht="18" customHeight="1">
      <c r="A432" s="593"/>
      <c r="B432" s="598">
        <v>415</v>
      </c>
      <c r="C432" s="598" t="s">
        <v>3117</v>
      </c>
      <c r="D432" s="598">
        <f t="shared" si="3"/>
        <v>392</v>
      </c>
      <c r="E432" s="616" t="s">
        <v>1351</v>
      </c>
      <c r="F432" s="616" t="s">
        <v>1226</v>
      </c>
      <c r="G432" s="618" t="s">
        <v>1225</v>
      </c>
      <c r="H432" s="618" t="s">
        <v>114</v>
      </c>
      <c r="I432" s="618" t="s">
        <v>1225</v>
      </c>
      <c r="J432" s="618" t="s">
        <v>3132</v>
      </c>
      <c r="K432" s="618" t="s">
        <v>3110</v>
      </c>
      <c r="L432" s="619" t="s">
        <v>3133</v>
      </c>
      <c r="M432" s="620"/>
      <c r="N432" s="620"/>
      <c r="O432" s="663" t="s">
        <v>1115</v>
      </c>
      <c r="P432" s="621"/>
      <c r="Q432" s="598"/>
      <c r="R432" s="598"/>
      <c r="S432" s="598"/>
      <c r="T432" s="598" t="s">
        <v>1705</v>
      </c>
      <c r="U432" s="663" t="s">
        <v>443</v>
      </c>
      <c r="V432" s="616" t="s">
        <v>3118</v>
      </c>
      <c r="W432" s="598" t="s">
        <v>950</v>
      </c>
      <c r="X432" s="624">
        <v>39601</v>
      </c>
      <c r="Y432" s="625">
        <f t="shared" ca="1" si="5"/>
        <v>17</v>
      </c>
      <c r="Z432" s="616" t="s">
        <v>3119</v>
      </c>
      <c r="AA432" s="598" t="s">
        <v>3120</v>
      </c>
      <c r="AB432" s="598" t="s">
        <v>996</v>
      </c>
      <c r="AC432" s="644" t="s">
        <v>997</v>
      </c>
      <c r="AD432" s="616" t="s">
        <v>1041</v>
      </c>
      <c r="AE432" s="616" t="s">
        <v>1041</v>
      </c>
      <c r="AF432" s="616" t="s">
        <v>3121</v>
      </c>
      <c r="AG432" s="598"/>
      <c r="AH432" s="598"/>
      <c r="AI432" s="598" t="s">
        <v>1318</v>
      </c>
      <c r="AJ432" s="598"/>
      <c r="AK432" s="626"/>
      <c r="AL432" s="626"/>
    </row>
    <row r="433" spans="1:38" ht="18" customHeight="1">
      <c r="A433" s="593"/>
      <c r="B433" s="598">
        <v>416</v>
      </c>
      <c r="C433" s="598" t="s">
        <v>3167</v>
      </c>
      <c r="D433" s="598">
        <f t="shared" si="3"/>
        <v>393</v>
      </c>
      <c r="E433" s="616" t="s">
        <v>1798</v>
      </c>
      <c r="F433" s="616" t="s">
        <v>1226</v>
      </c>
      <c r="G433" s="618" t="s">
        <v>1225</v>
      </c>
      <c r="H433" s="618" t="s">
        <v>114</v>
      </c>
      <c r="I433" s="618" t="s">
        <v>1225</v>
      </c>
      <c r="J433" s="618" t="s">
        <v>3132</v>
      </c>
      <c r="K433" s="618" t="s">
        <v>3110</v>
      </c>
      <c r="L433" s="619" t="s">
        <v>3133</v>
      </c>
      <c r="M433" s="620"/>
      <c r="N433" s="620"/>
      <c r="O433" s="663" t="s">
        <v>1115</v>
      </c>
      <c r="P433" s="621"/>
      <c r="Q433" s="598"/>
      <c r="R433" s="598"/>
      <c r="S433" s="598"/>
      <c r="T433" s="598" t="s">
        <v>992</v>
      </c>
      <c r="U433" s="663" t="s">
        <v>3168</v>
      </c>
      <c r="V433" s="616" t="s">
        <v>3169</v>
      </c>
      <c r="W433" s="598" t="s">
        <v>950</v>
      </c>
      <c r="X433" s="624">
        <v>37308</v>
      </c>
      <c r="Y433" s="625">
        <f t="shared" ca="1" si="5"/>
        <v>23</v>
      </c>
      <c r="Z433" s="616" t="s">
        <v>3170</v>
      </c>
      <c r="AA433" s="598" t="s">
        <v>3171</v>
      </c>
      <c r="AB433" s="598" t="s">
        <v>996</v>
      </c>
      <c r="AC433" s="598" t="s">
        <v>1018</v>
      </c>
      <c r="AD433" s="616" t="s">
        <v>1041</v>
      </c>
      <c r="AE433" s="616" t="s">
        <v>1791</v>
      </c>
      <c r="AF433" s="616" t="s">
        <v>3172</v>
      </c>
      <c r="AG433" s="598"/>
      <c r="AH433" s="598" t="s">
        <v>3173</v>
      </c>
      <c r="AI433" s="598" t="s">
        <v>1125</v>
      </c>
      <c r="AJ433" s="598" t="s">
        <v>1020</v>
      </c>
      <c r="AK433" s="626"/>
      <c r="AL433" s="626"/>
    </row>
    <row r="434" spans="1:38" ht="18" customHeight="1">
      <c r="A434" s="593"/>
      <c r="B434" s="598">
        <v>417</v>
      </c>
      <c r="C434" s="598" t="s">
        <v>3174</v>
      </c>
      <c r="D434" s="598">
        <f t="shared" si="3"/>
        <v>394</v>
      </c>
      <c r="E434" s="616" t="s">
        <v>1798</v>
      </c>
      <c r="F434" s="616" t="s">
        <v>1226</v>
      </c>
      <c r="G434" s="618" t="s">
        <v>1225</v>
      </c>
      <c r="H434" s="618" t="s">
        <v>114</v>
      </c>
      <c r="I434" s="618" t="s">
        <v>1225</v>
      </c>
      <c r="J434" s="618" t="s">
        <v>3132</v>
      </c>
      <c r="K434" s="618" t="s">
        <v>3110</v>
      </c>
      <c r="L434" s="619" t="s">
        <v>3133</v>
      </c>
      <c r="M434" s="620"/>
      <c r="N434" s="620"/>
      <c r="O434" s="663" t="s">
        <v>1115</v>
      </c>
      <c r="P434" s="621"/>
      <c r="Q434" s="598"/>
      <c r="R434" s="598"/>
      <c r="S434" s="598"/>
      <c r="T434" s="598" t="s">
        <v>992</v>
      </c>
      <c r="U434" s="663" t="s">
        <v>3175</v>
      </c>
      <c r="V434" s="616" t="s">
        <v>3176</v>
      </c>
      <c r="W434" s="598" t="s">
        <v>950</v>
      </c>
      <c r="X434" s="624">
        <v>37265</v>
      </c>
      <c r="Y434" s="625">
        <f t="shared" ca="1" si="5"/>
        <v>24</v>
      </c>
      <c r="Z434" s="616" t="s">
        <v>3177</v>
      </c>
      <c r="AA434" s="598" t="s">
        <v>3178</v>
      </c>
      <c r="AB434" s="598" t="s">
        <v>996</v>
      </c>
      <c r="AC434" s="598" t="s">
        <v>1018</v>
      </c>
      <c r="AD434" s="616" t="s">
        <v>1041</v>
      </c>
      <c r="AE434" s="616" t="s">
        <v>3179</v>
      </c>
      <c r="AF434" s="616" t="s">
        <v>3179</v>
      </c>
      <c r="AG434" s="598"/>
      <c r="AH434" s="598" t="s">
        <v>2837</v>
      </c>
      <c r="AI434" s="598" t="s">
        <v>1125</v>
      </c>
      <c r="AJ434" s="598"/>
      <c r="AK434" s="626"/>
      <c r="AL434" s="626"/>
    </row>
    <row r="435" spans="1:38" ht="18" customHeight="1">
      <c r="A435" s="593"/>
      <c r="B435" s="598">
        <v>418</v>
      </c>
      <c r="C435" s="598" t="s">
        <v>4751</v>
      </c>
      <c r="D435" s="598">
        <f t="shared" si="3"/>
        <v>395</v>
      </c>
      <c r="E435" s="616" t="s">
        <v>1798</v>
      </c>
      <c r="F435" s="616" t="s">
        <v>1226</v>
      </c>
      <c r="G435" s="618" t="s">
        <v>1225</v>
      </c>
      <c r="H435" s="618" t="s">
        <v>114</v>
      </c>
      <c r="I435" s="618" t="s">
        <v>1225</v>
      </c>
      <c r="J435" s="618" t="s">
        <v>3132</v>
      </c>
      <c r="K435" s="618" t="s">
        <v>3110</v>
      </c>
      <c r="L435" s="619" t="s">
        <v>3133</v>
      </c>
      <c r="M435" s="620"/>
      <c r="N435" s="620"/>
      <c r="O435" s="663" t="s">
        <v>1115</v>
      </c>
      <c r="P435" s="621"/>
      <c r="Q435" s="598"/>
      <c r="R435" s="598"/>
      <c r="S435" s="598"/>
      <c r="T435" s="598" t="s">
        <v>992</v>
      </c>
      <c r="U435" s="663" t="s">
        <v>4752</v>
      </c>
      <c r="V435" s="616" t="s">
        <v>4753</v>
      </c>
      <c r="W435" s="598" t="s">
        <v>950</v>
      </c>
      <c r="X435" s="624">
        <v>38907</v>
      </c>
      <c r="Y435" s="625">
        <f t="shared" ca="1" si="5"/>
        <v>19</v>
      </c>
      <c r="Z435" s="616" t="s">
        <v>4754</v>
      </c>
      <c r="AA435" s="598" t="s">
        <v>4755</v>
      </c>
      <c r="AB435" s="598" t="s">
        <v>996</v>
      </c>
      <c r="AC435" s="598" t="s">
        <v>1018</v>
      </c>
      <c r="AD435" s="616" t="s">
        <v>1041</v>
      </c>
      <c r="AE435" s="616" t="s">
        <v>1041</v>
      </c>
      <c r="AF435" s="616" t="s">
        <v>4756</v>
      </c>
      <c r="AG435" s="598"/>
      <c r="AH435" s="598" t="s">
        <v>4642</v>
      </c>
      <c r="AI435" s="598" t="s">
        <v>1125</v>
      </c>
      <c r="AJ435" s="598"/>
      <c r="AK435" s="626"/>
      <c r="AL435" s="626"/>
    </row>
    <row r="436" spans="1:38" ht="18" customHeight="1">
      <c r="A436" s="593"/>
      <c r="B436" s="598">
        <v>419</v>
      </c>
      <c r="C436" s="598" t="s">
        <v>4757</v>
      </c>
      <c r="D436" s="598">
        <f t="shared" si="3"/>
        <v>396</v>
      </c>
      <c r="E436" s="616" t="s">
        <v>1798</v>
      </c>
      <c r="F436" s="616" t="s">
        <v>1226</v>
      </c>
      <c r="G436" s="618" t="s">
        <v>1225</v>
      </c>
      <c r="H436" s="618" t="s">
        <v>114</v>
      </c>
      <c r="I436" s="618" t="s">
        <v>1225</v>
      </c>
      <c r="J436" s="618" t="s">
        <v>3132</v>
      </c>
      <c r="K436" s="618" t="s">
        <v>3110</v>
      </c>
      <c r="L436" s="619" t="s">
        <v>3133</v>
      </c>
      <c r="M436" s="620"/>
      <c r="N436" s="620"/>
      <c r="O436" s="663" t="s">
        <v>1115</v>
      </c>
      <c r="P436" s="621"/>
      <c r="Q436" s="598"/>
      <c r="R436" s="598"/>
      <c r="S436" s="598"/>
      <c r="T436" s="598" t="s">
        <v>992</v>
      </c>
      <c r="U436" s="663" t="s">
        <v>451</v>
      </c>
      <c r="V436" s="616" t="s">
        <v>4758</v>
      </c>
      <c r="W436" s="598" t="s">
        <v>950</v>
      </c>
      <c r="X436" s="624" t="s">
        <v>4759</v>
      </c>
      <c r="Y436" s="625">
        <f t="shared" ca="1" si="5"/>
        <v>24</v>
      </c>
      <c r="Z436" s="616" t="s">
        <v>4760</v>
      </c>
      <c r="AA436" s="598" t="s">
        <v>4761</v>
      </c>
      <c r="AB436" s="598" t="s">
        <v>996</v>
      </c>
      <c r="AC436" s="598" t="s">
        <v>1018</v>
      </c>
      <c r="AD436" s="616" t="s">
        <v>1494</v>
      </c>
      <c r="AE436" s="616" t="s">
        <v>1494</v>
      </c>
      <c r="AF436" s="616" t="s">
        <v>1892</v>
      </c>
      <c r="AG436" s="598"/>
      <c r="AH436" s="598" t="s">
        <v>4731</v>
      </c>
      <c r="AI436" s="598" t="s">
        <v>1114</v>
      </c>
      <c r="AJ436" s="598"/>
      <c r="AK436" s="626"/>
      <c r="AL436" s="626"/>
    </row>
    <row r="437" spans="1:38" ht="18" customHeight="1">
      <c r="A437" s="593"/>
      <c r="B437" s="598">
        <v>420</v>
      </c>
      <c r="C437" s="732" t="s">
        <v>4762</v>
      </c>
      <c r="D437" s="598">
        <f t="shared" si="3"/>
        <v>397</v>
      </c>
      <c r="E437" s="733" t="s">
        <v>1798</v>
      </c>
      <c r="F437" s="733" t="s">
        <v>1226</v>
      </c>
      <c r="G437" s="734" t="s">
        <v>1225</v>
      </c>
      <c r="H437" s="734" t="s">
        <v>114</v>
      </c>
      <c r="I437" s="734" t="s">
        <v>1225</v>
      </c>
      <c r="J437" s="734" t="s">
        <v>3132</v>
      </c>
      <c r="K437" s="734" t="s">
        <v>3110</v>
      </c>
      <c r="L437" s="735" t="s">
        <v>3133</v>
      </c>
      <c r="M437" s="736"/>
      <c r="N437" s="736"/>
      <c r="O437" s="737" t="s">
        <v>1115</v>
      </c>
      <c r="P437" s="738"/>
      <c r="Q437" s="732"/>
      <c r="R437" s="732"/>
      <c r="S437" s="732"/>
      <c r="T437" s="732" t="s">
        <v>1015</v>
      </c>
      <c r="U437" s="737" t="s">
        <v>4763</v>
      </c>
      <c r="V437" s="733" t="s">
        <v>4764</v>
      </c>
      <c r="W437" s="732" t="s">
        <v>950</v>
      </c>
      <c r="X437" s="739">
        <v>37308</v>
      </c>
      <c r="Y437" s="740">
        <f t="shared" ca="1" si="5"/>
        <v>23</v>
      </c>
      <c r="Z437" s="733" t="s">
        <v>3170</v>
      </c>
      <c r="AA437" s="741"/>
      <c r="AB437" s="732" t="s">
        <v>996</v>
      </c>
      <c r="AC437" s="732" t="s">
        <v>1018</v>
      </c>
      <c r="AD437" s="733" t="s">
        <v>1041</v>
      </c>
      <c r="AE437" s="733" t="s">
        <v>1791</v>
      </c>
      <c r="AF437" s="733" t="s">
        <v>3172</v>
      </c>
      <c r="AG437" s="732"/>
      <c r="AH437" s="732" t="s">
        <v>4229</v>
      </c>
      <c r="AI437" s="732" t="s">
        <v>1125</v>
      </c>
      <c r="AJ437" s="680" t="s">
        <v>4505</v>
      </c>
      <c r="AK437" s="732"/>
      <c r="AL437" s="732"/>
    </row>
    <row r="438" spans="1:38" ht="18" customHeight="1">
      <c r="A438" s="593"/>
      <c r="B438" s="598">
        <v>421</v>
      </c>
      <c r="C438" s="598" t="s">
        <v>3181</v>
      </c>
      <c r="D438" s="598">
        <f t="shared" si="3"/>
        <v>398</v>
      </c>
      <c r="E438" s="616" t="s">
        <v>1798</v>
      </c>
      <c r="F438" s="616" t="s">
        <v>1226</v>
      </c>
      <c r="G438" s="618" t="s">
        <v>1225</v>
      </c>
      <c r="H438" s="618" t="s">
        <v>114</v>
      </c>
      <c r="I438" s="618" t="s">
        <v>1225</v>
      </c>
      <c r="J438" s="618" t="s">
        <v>3181</v>
      </c>
      <c r="K438" s="618" t="s">
        <v>3182</v>
      </c>
      <c r="L438" s="619"/>
      <c r="M438" s="620"/>
      <c r="N438" s="620"/>
      <c r="O438" s="667" t="s">
        <v>1127</v>
      </c>
      <c r="P438" s="621"/>
      <c r="Q438" s="598" t="s">
        <v>55</v>
      </c>
      <c r="R438" s="598" t="s">
        <v>178</v>
      </c>
      <c r="S438" s="598"/>
      <c r="T438" s="598" t="s">
        <v>1015</v>
      </c>
      <c r="U438" s="667" t="s">
        <v>341</v>
      </c>
      <c r="V438" s="616" t="s">
        <v>3183</v>
      </c>
      <c r="W438" s="598" t="s">
        <v>950</v>
      </c>
      <c r="X438" s="624">
        <v>36536</v>
      </c>
      <c r="Y438" s="625">
        <f t="shared" ca="1" si="5"/>
        <v>26</v>
      </c>
      <c r="Z438" s="616" t="s">
        <v>3184</v>
      </c>
      <c r="AA438" s="598" t="s">
        <v>3185</v>
      </c>
      <c r="AB438" s="598" t="s">
        <v>996</v>
      </c>
      <c r="AC438" s="644" t="s">
        <v>997</v>
      </c>
      <c r="AD438" s="616" t="s">
        <v>1041</v>
      </c>
      <c r="AE438" s="616" t="s">
        <v>2985</v>
      </c>
      <c r="AF438" s="616" t="s">
        <v>2986</v>
      </c>
      <c r="AG438" s="598"/>
      <c r="AH438" s="598"/>
      <c r="AI438" s="598" t="s">
        <v>1011</v>
      </c>
      <c r="AJ438" s="598"/>
      <c r="AK438" s="626"/>
      <c r="AL438" s="626"/>
    </row>
    <row r="439" spans="1:38" ht="18" customHeight="1">
      <c r="A439" s="593"/>
      <c r="B439" s="598">
        <v>422</v>
      </c>
      <c r="C439" s="598" t="s">
        <v>3182</v>
      </c>
      <c r="D439" s="598">
        <f t="shared" si="3"/>
        <v>399</v>
      </c>
      <c r="E439" s="616" t="s">
        <v>1798</v>
      </c>
      <c r="F439" s="616" t="s">
        <v>1226</v>
      </c>
      <c r="G439" s="618" t="s">
        <v>1225</v>
      </c>
      <c r="H439" s="618" t="s">
        <v>114</v>
      </c>
      <c r="I439" s="618" t="s">
        <v>1225</v>
      </c>
      <c r="J439" s="618" t="s">
        <v>3181</v>
      </c>
      <c r="K439" s="618" t="s">
        <v>3182</v>
      </c>
      <c r="L439" s="619"/>
      <c r="M439" s="620"/>
      <c r="N439" s="620"/>
      <c r="O439" s="663" t="s">
        <v>1127</v>
      </c>
      <c r="P439" s="621"/>
      <c r="Q439" s="598" t="s">
        <v>69</v>
      </c>
      <c r="R439" s="598" t="s">
        <v>562</v>
      </c>
      <c r="S439" s="598"/>
      <c r="T439" s="598" t="s">
        <v>1015</v>
      </c>
      <c r="U439" s="663" t="s">
        <v>355</v>
      </c>
      <c r="V439" s="616" t="s">
        <v>3186</v>
      </c>
      <c r="W439" s="598" t="s">
        <v>950</v>
      </c>
      <c r="X439" s="624">
        <v>35989</v>
      </c>
      <c r="Y439" s="625">
        <f t="shared" ca="1" si="5"/>
        <v>27</v>
      </c>
      <c r="Z439" s="616" t="s">
        <v>3187</v>
      </c>
      <c r="AA439" s="598" t="s">
        <v>3188</v>
      </c>
      <c r="AB439" s="598" t="s">
        <v>996</v>
      </c>
      <c r="AC439" s="598" t="s">
        <v>997</v>
      </c>
      <c r="AD439" s="616" t="s">
        <v>1041</v>
      </c>
      <c r="AE439" s="721" t="s">
        <v>1041</v>
      </c>
      <c r="AF439" s="616" t="s">
        <v>2784</v>
      </c>
      <c r="AG439" s="598"/>
      <c r="AH439" s="598"/>
      <c r="AI439" s="598" t="s">
        <v>1114</v>
      </c>
      <c r="AJ439" s="598"/>
      <c r="AK439" s="626"/>
      <c r="AL439" s="626"/>
    </row>
    <row r="440" spans="1:38" ht="18" customHeight="1">
      <c r="A440" s="593"/>
      <c r="B440" s="598">
        <v>423</v>
      </c>
      <c r="C440" s="598" t="s">
        <v>3189</v>
      </c>
      <c r="D440" s="598">
        <f t="shared" si="3"/>
        <v>400</v>
      </c>
      <c r="E440" s="616" t="s">
        <v>1798</v>
      </c>
      <c r="F440" s="616" t="s">
        <v>1226</v>
      </c>
      <c r="G440" s="618" t="s">
        <v>1225</v>
      </c>
      <c r="H440" s="618" t="s">
        <v>114</v>
      </c>
      <c r="I440" s="618" t="s">
        <v>1225</v>
      </c>
      <c r="J440" s="618" t="s">
        <v>3181</v>
      </c>
      <c r="K440" s="618" t="s">
        <v>3182</v>
      </c>
      <c r="L440" s="619"/>
      <c r="M440" s="620"/>
      <c r="N440" s="620"/>
      <c r="O440" s="663" t="s">
        <v>1127</v>
      </c>
      <c r="P440" s="621"/>
      <c r="Q440" s="598"/>
      <c r="R440" s="598"/>
      <c r="S440" s="598"/>
      <c r="T440" s="598" t="s">
        <v>1015</v>
      </c>
      <c r="U440" s="663" t="s">
        <v>3190</v>
      </c>
      <c r="V440" s="616" t="s">
        <v>3191</v>
      </c>
      <c r="W440" s="598" t="s">
        <v>950</v>
      </c>
      <c r="X440" s="624">
        <v>31694</v>
      </c>
      <c r="Y440" s="625">
        <f t="shared" ca="1" si="5"/>
        <v>39</v>
      </c>
      <c r="Z440" s="616" t="s">
        <v>3192</v>
      </c>
      <c r="AA440" s="598" t="s">
        <v>3193</v>
      </c>
      <c r="AB440" s="598" t="s">
        <v>996</v>
      </c>
      <c r="AC440" s="598" t="s">
        <v>997</v>
      </c>
      <c r="AD440" s="616" t="s">
        <v>1041</v>
      </c>
      <c r="AE440" s="616" t="s">
        <v>3194</v>
      </c>
      <c r="AF440" s="616"/>
      <c r="AG440" s="598"/>
      <c r="AH440" s="598"/>
      <c r="AI440" s="598" t="s">
        <v>1114</v>
      </c>
      <c r="AJ440" s="598"/>
      <c r="AK440" s="626"/>
      <c r="AL440" s="626"/>
    </row>
    <row r="441" spans="1:38" ht="18" customHeight="1">
      <c r="A441" s="593"/>
      <c r="B441" s="598">
        <v>424</v>
      </c>
      <c r="C441" s="598" t="s">
        <v>3196</v>
      </c>
      <c r="D441" s="598">
        <f t="shared" si="3"/>
        <v>401</v>
      </c>
      <c r="E441" s="616" t="s">
        <v>1798</v>
      </c>
      <c r="F441" s="616" t="s">
        <v>1226</v>
      </c>
      <c r="G441" s="618" t="s">
        <v>1225</v>
      </c>
      <c r="H441" s="618" t="s">
        <v>114</v>
      </c>
      <c r="I441" s="618" t="s">
        <v>1225</v>
      </c>
      <c r="J441" s="618" t="s">
        <v>3181</v>
      </c>
      <c r="K441" s="618" t="s">
        <v>3182</v>
      </c>
      <c r="L441" s="619"/>
      <c r="M441" s="620"/>
      <c r="N441" s="620"/>
      <c r="O441" s="663" t="s">
        <v>1127</v>
      </c>
      <c r="P441" s="621"/>
      <c r="Q441" s="598"/>
      <c r="R441" s="598"/>
      <c r="S441" s="598"/>
      <c r="T441" s="598" t="s">
        <v>1015</v>
      </c>
      <c r="U441" s="663" t="s">
        <v>382</v>
      </c>
      <c r="V441" s="616" t="s">
        <v>3197</v>
      </c>
      <c r="W441" s="598" t="s">
        <v>950</v>
      </c>
      <c r="X441" s="624">
        <v>33359</v>
      </c>
      <c r="Y441" s="625">
        <f t="shared" ca="1" si="5"/>
        <v>34</v>
      </c>
      <c r="Z441" s="616" t="s">
        <v>3198</v>
      </c>
      <c r="AA441" s="598"/>
      <c r="AB441" s="598" t="s">
        <v>996</v>
      </c>
      <c r="AC441" s="598" t="s">
        <v>1018</v>
      </c>
      <c r="AD441" s="616" t="s">
        <v>1041</v>
      </c>
      <c r="AE441" s="721" t="s">
        <v>1041</v>
      </c>
      <c r="AF441" s="616" t="s">
        <v>2784</v>
      </c>
      <c r="AG441" s="598"/>
      <c r="AH441" s="598"/>
      <c r="AI441" s="598" t="s">
        <v>1114</v>
      </c>
      <c r="AJ441" s="598"/>
      <c r="AK441" s="626"/>
      <c r="AL441" s="626"/>
    </row>
    <row r="442" spans="1:38" ht="18" customHeight="1">
      <c r="A442" s="593"/>
      <c r="B442" s="598">
        <v>425</v>
      </c>
      <c r="C442" s="598" t="s">
        <v>3199</v>
      </c>
      <c r="D442" s="598">
        <f t="shared" si="3"/>
        <v>402</v>
      </c>
      <c r="E442" s="616" t="s">
        <v>1798</v>
      </c>
      <c r="F442" s="616" t="s">
        <v>1226</v>
      </c>
      <c r="G442" s="618" t="s">
        <v>1225</v>
      </c>
      <c r="H442" s="618" t="s">
        <v>114</v>
      </c>
      <c r="I442" s="618" t="s">
        <v>1225</v>
      </c>
      <c r="J442" s="618" t="s">
        <v>3181</v>
      </c>
      <c r="K442" s="618" t="s">
        <v>3182</v>
      </c>
      <c r="L442" s="619"/>
      <c r="M442" s="620"/>
      <c r="N442" s="620"/>
      <c r="O442" s="663" t="s">
        <v>1127</v>
      </c>
      <c r="P442" s="621"/>
      <c r="Q442" s="598"/>
      <c r="R442" s="598"/>
      <c r="S442" s="598"/>
      <c r="T442" s="598" t="s">
        <v>1015</v>
      </c>
      <c r="U442" s="663" t="s">
        <v>395</v>
      </c>
      <c r="V442" s="616" t="s">
        <v>3200</v>
      </c>
      <c r="W442" s="598" t="s">
        <v>950</v>
      </c>
      <c r="X442" s="624">
        <v>34616</v>
      </c>
      <c r="Y442" s="625">
        <f t="shared" ca="1" si="5"/>
        <v>31</v>
      </c>
      <c r="Z442" s="616" t="s">
        <v>3201</v>
      </c>
      <c r="AA442" s="598" t="s">
        <v>3202</v>
      </c>
      <c r="AB442" s="598" t="s">
        <v>996</v>
      </c>
      <c r="AC442" s="598" t="s">
        <v>997</v>
      </c>
      <c r="AD442" s="616" t="s">
        <v>1041</v>
      </c>
      <c r="AE442" s="721" t="s">
        <v>1041</v>
      </c>
      <c r="AF442" s="616" t="s">
        <v>2784</v>
      </c>
      <c r="AG442" s="598"/>
      <c r="AH442" s="598"/>
      <c r="AI442" s="598" t="s">
        <v>1114</v>
      </c>
      <c r="AJ442" s="598"/>
      <c r="AK442" s="626"/>
      <c r="AL442" s="626"/>
    </row>
    <row r="443" spans="1:38" ht="18" customHeight="1">
      <c r="A443" s="593"/>
      <c r="B443" s="598">
        <v>426</v>
      </c>
      <c r="C443" s="598" t="s">
        <v>3203</v>
      </c>
      <c r="D443" s="598">
        <f t="shared" si="3"/>
        <v>403</v>
      </c>
      <c r="E443" s="616" t="s">
        <v>1798</v>
      </c>
      <c r="F443" s="616" t="s">
        <v>1226</v>
      </c>
      <c r="G443" s="618" t="s">
        <v>1225</v>
      </c>
      <c r="H443" s="618" t="s">
        <v>114</v>
      </c>
      <c r="I443" s="618" t="s">
        <v>1225</v>
      </c>
      <c r="J443" s="618" t="s">
        <v>3181</v>
      </c>
      <c r="K443" s="618" t="s">
        <v>3182</v>
      </c>
      <c r="L443" s="619"/>
      <c r="M443" s="620"/>
      <c r="N443" s="620"/>
      <c r="O443" s="663" t="s">
        <v>1127</v>
      </c>
      <c r="P443" s="621"/>
      <c r="Q443" s="598"/>
      <c r="R443" s="598"/>
      <c r="S443" s="598"/>
      <c r="T443" s="598" t="s">
        <v>992</v>
      </c>
      <c r="U443" s="663" t="s">
        <v>407</v>
      </c>
      <c r="V443" s="616" t="s">
        <v>3204</v>
      </c>
      <c r="W443" s="598" t="s">
        <v>950</v>
      </c>
      <c r="X443" s="624">
        <v>35621</v>
      </c>
      <c r="Y443" s="625">
        <f t="shared" ca="1" si="5"/>
        <v>28</v>
      </c>
      <c r="Z443" s="616" t="s">
        <v>3205</v>
      </c>
      <c r="AA443" s="598" t="s">
        <v>3206</v>
      </c>
      <c r="AB443" s="598" t="s">
        <v>996</v>
      </c>
      <c r="AC443" s="598" t="s">
        <v>997</v>
      </c>
      <c r="AD443" s="616" t="s">
        <v>1041</v>
      </c>
      <c r="AE443" s="616" t="s">
        <v>3207</v>
      </c>
      <c r="AF443" s="616"/>
      <c r="AG443" s="598"/>
      <c r="AH443" s="598"/>
      <c r="AI443" s="598" t="s">
        <v>1114</v>
      </c>
      <c r="AJ443" s="598"/>
      <c r="AK443" s="626"/>
      <c r="AL443" s="626"/>
    </row>
    <row r="444" spans="1:38" ht="18" customHeight="1">
      <c r="A444" s="593"/>
      <c r="B444" s="598">
        <v>427</v>
      </c>
      <c r="C444" s="598" t="s">
        <v>3209</v>
      </c>
      <c r="D444" s="598">
        <f t="shared" si="3"/>
        <v>404</v>
      </c>
      <c r="E444" s="616" t="s">
        <v>1798</v>
      </c>
      <c r="F444" s="616" t="s">
        <v>1226</v>
      </c>
      <c r="G444" s="618" t="s">
        <v>1225</v>
      </c>
      <c r="H444" s="618" t="s">
        <v>114</v>
      </c>
      <c r="I444" s="618" t="s">
        <v>1225</v>
      </c>
      <c r="J444" s="618" t="s">
        <v>3181</v>
      </c>
      <c r="K444" s="618" t="s">
        <v>3182</v>
      </c>
      <c r="L444" s="619"/>
      <c r="M444" s="620"/>
      <c r="N444" s="620"/>
      <c r="O444" s="663" t="s">
        <v>1127</v>
      </c>
      <c r="P444" s="621"/>
      <c r="Q444" s="598"/>
      <c r="R444" s="598"/>
      <c r="S444" s="598"/>
      <c r="T444" s="598" t="s">
        <v>992</v>
      </c>
      <c r="U444" s="663" t="s">
        <v>419</v>
      </c>
      <c r="V444" s="616" t="s">
        <v>3210</v>
      </c>
      <c r="W444" s="598" t="s">
        <v>950</v>
      </c>
      <c r="X444" s="624" t="s">
        <v>3211</v>
      </c>
      <c r="Y444" s="625">
        <f t="shared" ca="1" si="5"/>
        <v>24</v>
      </c>
      <c r="Z444" s="616" t="s">
        <v>3212</v>
      </c>
      <c r="AA444" s="598" t="s">
        <v>3213</v>
      </c>
      <c r="AB444" s="598" t="s">
        <v>996</v>
      </c>
      <c r="AC444" s="598" t="s">
        <v>997</v>
      </c>
      <c r="AD444" s="616" t="s">
        <v>1041</v>
      </c>
      <c r="AE444" s="721" t="s">
        <v>1041</v>
      </c>
      <c r="AF444" s="616" t="s">
        <v>3214</v>
      </c>
      <c r="AG444" s="598"/>
      <c r="AH444" s="598"/>
      <c r="AI444" s="598" t="s">
        <v>1114</v>
      </c>
      <c r="AJ444" s="598"/>
      <c r="AK444" s="626"/>
      <c r="AL444" s="626"/>
    </row>
    <row r="445" spans="1:38" ht="18" customHeight="1">
      <c r="A445" s="593"/>
      <c r="B445" s="598">
        <v>428</v>
      </c>
      <c r="C445" s="598" t="s">
        <v>3215</v>
      </c>
      <c r="D445" s="598">
        <f t="shared" si="3"/>
        <v>405</v>
      </c>
      <c r="E445" s="616" t="s">
        <v>1351</v>
      </c>
      <c r="F445" s="616" t="s">
        <v>1226</v>
      </c>
      <c r="G445" s="618" t="s">
        <v>1225</v>
      </c>
      <c r="H445" s="618" t="s">
        <v>114</v>
      </c>
      <c r="I445" s="618" t="s">
        <v>1225</v>
      </c>
      <c r="J445" s="618" t="s">
        <v>3181</v>
      </c>
      <c r="K445" s="618" t="s">
        <v>3182</v>
      </c>
      <c r="L445" s="619"/>
      <c r="M445" s="620"/>
      <c r="N445" s="620"/>
      <c r="O445" s="663" t="s">
        <v>1127</v>
      </c>
      <c r="P445" s="621"/>
      <c r="Q445" s="598"/>
      <c r="R445" s="598"/>
      <c r="S445" s="598"/>
      <c r="T445" s="598" t="s">
        <v>992</v>
      </c>
      <c r="U445" s="663" t="s">
        <v>428</v>
      </c>
      <c r="V445" s="616" t="s">
        <v>3216</v>
      </c>
      <c r="W445" s="598" t="s">
        <v>950</v>
      </c>
      <c r="X445" s="624" t="s">
        <v>3217</v>
      </c>
      <c r="Y445" s="625">
        <f t="shared" ca="1" si="5"/>
        <v>19</v>
      </c>
      <c r="Z445" s="616" t="s">
        <v>3218</v>
      </c>
      <c r="AA445" s="598" t="s">
        <v>3219</v>
      </c>
      <c r="AB445" s="598" t="s">
        <v>996</v>
      </c>
      <c r="AC445" s="598" t="s">
        <v>1018</v>
      </c>
      <c r="AD445" s="616" t="s">
        <v>1041</v>
      </c>
      <c r="AE445" s="616" t="s">
        <v>1041</v>
      </c>
      <c r="AF445" s="616" t="s">
        <v>3220</v>
      </c>
      <c r="AG445" s="598"/>
      <c r="AH445" s="598"/>
      <c r="AI445" s="598" t="s">
        <v>1114</v>
      </c>
      <c r="AJ445" s="598"/>
      <c r="AK445" s="626"/>
      <c r="AL445" s="626"/>
    </row>
    <row r="446" spans="1:38" ht="18" customHeight="1">
      <c r="A446" s="593"/>
      <c r="B446" s="598">
        <v>429</v>
      </c>
      <c r="C446" s="598" t="s">
        <v>3221</v>
      </c>
      <c r="D446" s="598">
        <f t="shared" si="3"/>
        <v>406</v>
      </c>
      <c r="E446" s="616" t="s">
        <v>1798</v>
      </c>
      <c r="F446" s="616" t="s">
        <v>1226</v>
      </c>
      <c r="G446" s="618" t="s">
        <v>1225</v>
      </c>
      <c r="H446" s="618" t="s">
        <v>114</v>
      </c>
      <c r="I446" s="618" t="s">
        <v>1225</v>
      </c>
      <c r="J446" s="618" t="s">
        <v>3181</v>
      </c>
      <c r="K446" s="618" t="s">
        <v>3182</v>
      </c>
      <c r="L446" s="619"/>
      <c r="M446" s="620"/>
      <c r="N446" s="620"/>
      <c r="O446" s="673" t="s">
        <v>1127</v>
      </c>
      <c r="P446" s="621" t="s">
        <v>319</v>
      </c>
      <c r="Q446" s="598"/>
      <c r="R446" s="598"/>
      <c r="S446" s="598"/>
      <c r="T446" s="598" t="s">
        <v>1015</v>
      </c>
      <c r="U446" s="664" t="s">
        <v>3222</v>
      </c>
      <c r="V446" s="616" t="s">
        <v>3223</v>
      </c>
      <c r="W446" s="598" t="s">
        <v>950</v>
      </c>
      <c r="X446" s="624">
        <v>35825</v>
      </c>
      <c r="Y446" s="625">
        <f t="shared" ca="1" si="5"/>
        <v>28</v>
      </c>
      <c r="Z446" s="616" t="s">
        <v>3224</v>
      </c>
      <c r="AA446" s="598"/>
      <c r="AB446" s="598" t="s">
        <v>996</v>
      </c>
      <c r="AC446" s="644" t="s">
        <v>997</v>
      </c>
      <c r="AD446" s="616" t="s">
        <v>1041</v>
      </c>
      <c r="AE446" s="721" t="s">
        <v>1041</v>
      </c>
      <c r="AF446" s="616" t="s">
        <v>1473</v>
      </c>
      <c r="AG446" s="598"/>
      <c r="AH446" s="598"/>
      <c r="AI446" s="598" t="s">
        <v>1107</v>
      </c>
      <c r="AJ446" s="598"/>
      <c r="AK446" s="626"/>
      <c r="AL446" s="626"/>
    </row>
    <row r="447" spans="1:38" ht="18" customHeight="1">
      <c r="A447" s="593"/>
      <c r="B447" s="598">
        <v>430</v>
      </c>
      <c r="C447" s="598" t="s">
        <v>3225</v>
      </c>
      <c r="D447" s="598">
        <f t="shared" si="3"/>
        <v>407</v>
      </c>
      <c r="E447" s="616" t="s">
        <v>1798</v>
      </c>
      <c r="F447" s="616" t="s">
        <v>1226</v>
      </c>
      <c r="G447" s="618" t="s">
        <v>1225</v>
      </c>
      <c r="H447" s="618" t="s">
        <v>114</v>
      </c>
      <c r="I447" s="618" t="s">
        <v>1225</v>
      </c>
      <c r="J447" s="618" t="s">
        <v>3225</v>
      </c>
      <c r="K447" s="618" t="s">
        <v>3226</v>
      </c>
      <c r="L447" s="619" t="s">
        <v>3227</v>
      </c>
      <c r="M447" s="620"/>
      <c r="N447" s="620"/>
      <c r="O447" s="667" t="s">
        <v>4765</v>
      </c>
      <c r="P447" s="621"/>
      <c r="Q447" s="598" t="s">
        <v>55</v>
      </c>
      <c r="R447" s="598" t="s">
        <v>178</v>
      </c>
      <c r="S447" s="598"/>
      <c r="T447" s="623" t="s">
        <v>992</v>
      </c>
      <c r="U447" s="667" t="s">
        <v>343</v>
      </c>
      <c r="V447" s="674" t="s">
        <v>3229</v>
      </c>
      <c r="W447" s="598" t="s">
        <v>950</v>
      </c>
      <c r="X447" s="624">
        <v>32520</v>
      </c>
      <c r="Y447" s="625">
        <f t="shared" ca="1" si="5"/>
        <v>37</v>
      </c>
      <c r="Z447" s="616" t="s">
        <v>3230</v>
      </c>
      <c r="AA447" s="598" t="s">
        <v>3231</v>
      </c>
      <c r="AB447" s="598" t="s">
        <v>1006</v>
      </c>
      <c r="AC447" s="598" t="s">
        <v>953</v>
      </c>
      <c r="AD447" s="616" t="s">
        <v>1041</v>
      </c>
      <c r="AE447" s="616" t="s">
        <v>3194</v>
      </c>
      <c r="AF447" s="616" t="s">
        <v>3232</v>
      </c>
      <c r="AG447" s="598"/>
      <c r="AH447" s="598"/>
      <c r="AI447" s="598" t="s">
        <v>1349</v>
      </c>
      <c r="AJ447" s="598"/>
      <c r="AK447" s="626"/>
      <c r="AL447" s="626"/>
    </row>
    <row r="448" spans="1:38" ht="18" customHeight="1">
      <c r="A448" s="593"/>
      <c r="B448" s="598">
        <v>431</v>
      </c>
      <c r="C448" s="598" t="s">
        <v>3226</v>
      </c>
      <c r="D448" s="598">
        <f t="shared" si="3"/>
        <v>408</v>
      </c>
      <c r="E448" s="616" t="s">
        <v>1798</v>
      </c>
      <c r="F448" s="616" t="s">
        <v>1226</v>
      </c>
      <c r="G448" s="618" t="s">
        <v>1225</v>
      </c>
      <c r="H448" s="618" t="s">
        <v>114</v>
      </c>
      <c r="I448" s="618" t="s">
        <v>1225</v>
      </c>
      <c r="J448" s="618" t="s">
        <v>3225</v>
      </c>
      <c r="K448" s="618" t="s">
        <v>3226</v>
      </c>
      <c r="L448" s="619" t="s">
        <v>3227</v>
      </c>
      <c r="M448" s="620"/>
      <c r="N448" s="620"/>
      <c r="O448" s="663" t="s">
        <v>4765</v>
      </c>
      <c r="P448" s="621"/>
      <c r="Q448" s="598" t="s">
        <v>69</v>
      </c>
      <c r="R448" s="598" t="s">
        <v>562</v>
      </c>
      <c r="S448" s="598"/>
      <c r="T448" s="623" t="s">
        <v>1015</v>
      </c>
      <c r="U448" s="663" t="s">
        <v>356</v>
      </c>
      <c r="V448" s="674" t="s">
        <v>3233</v>
      </c>
      <c r="W448" s="598" t="s">
        <v>950</v>
      </c>
      <c r="X448" s="624">
        <v>35366</v>
      </c>
      <c r="Y448" s="625">
        <f t="shared" ca="1" si="5"/>
        <v>29</v>
      </c>
      <c r="Z448" s="616" t="s">
        <v>3234</v>
      </c>
      <c r="AA448" s="598" t="s">
        <v>3235</v>
      </c>
      <c r="AB448" s="598" t="s">
        <v>996</v>
      </c>
      <c r="AC448" s="598" t="s">
        <v>997</v>
      </c>
      <c r="AD448" s="616" t="s">
        <v>1041</v>
      </c>
      <c r="AE448" s="721" t="s">
        <v>1041</v>
      </c>
      <c r="AF448" s="616" t="s">
        <v>3236</v>
      </c>
      <c r="AG448" s="598"/>
      <c r="AH448" s="598"/>
      <c r="AI448" s="598" t="s">
        <v>1452</v>
      </c>
      <c r="AJ448" s="598"/>
      <c r="AK448" s="626"/>
      <c r="AL448" s="626"/>
    </row>
    <row r="449" spans="1:38" ht="18" customHeight="1">
      <c r="A449" s="593"/>
      <c r="B449" s="598">
        <v>432</v>
      </c>
      <c r="C449" s="598" t="s">
        <v>3227</v>
      </c>
      <c r="D449" s="598">
        <f t="shared" si="3"/>
        <v>409</v>
      </c>
      <c r="E449" s="616" t="s">
        <v>1351</v>
      </c>
      <c r="F449" s="616" t="s">
        <v>1226</v>
      </c>
      <c r="G449" s="618" t="s">
        <v>1225</v>
      </c>
      <c r="H449" s="618" t="s">
        <v>114</v>
      </c>
      <c r="I449" s="618" t="s">
        <v>1225</v>
      </c>
      <c r="J449" s="618" t="s">
        <v>3225</v>
      </c>
      <c r="K449" s="618" t="s">
        <v>3226</v>
      </c>
      <c r="L449" s="619" t="s">
        <v>3227</v>
      </c>
      <c r="M449" s="620"/>
      <c r="N449" s="620"/>
      <c r="O449" s="663" t="s">
        <v>4765</v>
      </c>
      <c r="P449" s="621"/>
      <c r="Q449" s="598" t="s">
        <v>69</v>
      </c>
      <c r="R449" s="598" t="s">
        <v>562</v>
      </c>
      <c r="S449" s="598"/>
      <c r="T449" s="623" t="s">
        <v>992</v>
      </c>
      <c r="U449" s="668" t="s">
        <v>437</v>
      </c>
      <c r="V449" s="674" t="s">
        <v>3237</v>
      </c>
      <c r="W449" s="598" t="s">
        <v>950</v>
      </c>
      <c r="X449" s="624">
        <v>38451</v>
      </c>
      <c r="Y449" s="625">
        <f t="shared" ca="1" si="5"/>
        <v>20</v>
      </c>
      <c r="Z449" s="616" t="s">
        <v>3238</v>
      </c>
      <c r="AA449" s="598" t="s">
        <v>3239</v>
      </c>
      <c r="AB449" s="598" t="s">
        <v>996</v>
      </c>
      <c r="AC449" s="598" t="s">
        <v>997</v>
      </c>
      <c r="AD449" s="616" t="s">
        <v>1041</v>
      </c>
      <c r="AE449" s="616" t="s">
        <v>1250</v>
      </c>
      <c r="AF449" s="616" t="s">
        <v>3240</v>
      </c>
      <c r="AG449" s="598"/>
      <c r="AH449" s="598"/>
      <c r="AI449" s="598" t="s">
        <v>1452</v>
      </c>
      <c r="AJ449" s="598"/>
      <c r="AK449" s="626"/>
      <c r="AL449" s="626"/>
    </row>
    <row r="450" spans="1:38" ht="18" customHeight="1">
      <c r="A450" s="593"/>
      <c r="B450" s="598">
        <v>433</v>
      </c>
      <c r="C450" s="598" t="s">
        <v>3241</v>
      </c>
      <c r="D450" s="598">
        <f t="shared" si="3"/>
        <v>410</v>
      </c>
      <c r="E450" s="616" t="s">
        <v>1798</v>
      </c>
      <c r="F450" s="616" t="s">
        <v>1226</v>
      </c>
      <c r="G450" s="618" t="s">
        <v>1225</v>
      </c>
      <c r="H450" s="618" t="s">
        <v>114</v>
      </c>
      <c r="I450" s="618" t="s">
        <v>1225</v>
      </c>
      <c r="J450" s="618" t="s">
        <v>3225</v>
      </c>
      <c r="K450" s="618" t="s">
        <v>3226</v>
      </c>
      <c r="L450" s="619" t="s">
        <v>3227</v>
      </c>
      <c r="M450" s="620"/>
      <c r="N450" s="620"/>
      <c r="O450" s="663" t="s">
        <v>4765</v>
      </c>
      <c r="P450" s="621"/>
      <c r="Q450" s="598"/>
      <c r="R450" s="598"/>
      <c r="S450" s="598"/>
      <c r="T450" s="623" t="s">
        <v>1015</v>
      </c>
      <c r="U450" s="669" t="s">
        <v>370</v>
      </c>
      <c r="V450" s="674" t="s">
        <v>3242</v>
      </c>
      <c r="W450" s="598" t="s">
        <v>950</v>
      </c>
      <c r="X450" s="624">
        <v>33267</v>
      </c>
      <c r="Y450" s="625">
        <f t="shared" ca="1" si="5"/>
        <v>35</v>
      </c>
      <c r="Z450" s="616" t="s">
        <v>3243</v>
      </c>
      <c r="AA450" s="598" t="s">
        <v>3244</v>
      </c>
      <c r="AB450" s="598" t="s">
        <v>996</v>
      </c>
      <c r="AC450" s="598" t="s">
        <v>997</v>
      </c>
      <c r="AD450" s="616" t="s">
        <v>1041</v>
      </c>
      <c r="AE450" s="721" t="s">
        <v>1041</v>
      </c>
      <c r="AF450" s="616" t="s">
        <v>3245</v>
      </c>
      <c r="AG450" s="598"/>
      <c r="AH450" s="598"/>
      <c r="AI450" s="598" t="s">
        <v>1452</v>
      </c>
      <c r="AJ450" s="598"/>
      <c r="AK450" s="626"/>
      <c r="AL450" s="626"/>
    </row>
    <row r="451" spans="1:38" ht="18" customHeight="1">
      <c r="A451" s="593"/>
      <c r="B451" s="598">
        <v>434</v>
      </c>
      <c r="C451" s="598" t="s">
        <v>3246</v>
      </c>
      <c r="D451" s="598">
        <f t="shared" si="3"/>
        <v>411</v>
      </c>
      <c r="E451" s="616" t="s">
        <v>1798</v>
      </c>
      <c r="F451" s="616" t="s">
        <v>1226</v>
      </c>
      <c r="G451" s="618" t="s">
        <v>1225</v>
      </c>
      <c r="H451" s="618" t="s">
        <v>114</v>
      </c>
      <c r="I451" s="618" t="s">
        <v>1225</v>
      </c>
      <c r="J451" s="618" t="s">
        <v>3225</v>
      </c>
      <c r="K451" s="618" t="s">
        <v>3226</v>
      </c>
      <c r="L451" s="619" t="s">
        <v>3227</v>
      </c>
      <c r="M451" s="620"/>
      <c r="N451" s="620"/>
      <c r="O451" s="663" t="s">
        <v>4765</v>
      </c>
      <c r="P451" s="621"/>
      <c r="Q451" s="598"/>
      <c r="R451" s="598"/>
      <c r="S451" s="598"/>
      <c r="T451" s="623" t="s">
        <v>1015</v>
      </c>
      <c r="U451" s="663" t="s">
        <v>383</v>
      </c>
      <c r="V451" s="674" t="s">
        <v>3247</v>
      </c>
      <c r="W451" s="598" t="s">
        <v>950</v>
      </c>
      <c r="X451" s="624">
        <v>33415</v>
      </c>
      <c r="Y451" s="625">
        <f t="shared" ca="1" si="5"/>
        <v>34</v>
      </c>
      <c r="Z451" s="616" t="s">
        <v>3248</v>
      </c>
      <c r="AA451" s="598" t="s">
        <v>3249</v>
      </c>
      <c r="AB451" s="598" t="s">
        <v>996</v>
      </c>
      <c r="AC451" s="598" t="s">
        <v>997</v>
      </c>
      <c r="AD451" s="616" t="s">
        <v>1041</v>
      </c>
      <c r="AE451" s="721" t="s">
        <v>1041</v>
      </c>
      <c r="AF451" s="616" t="s">
        <v>3250</v>
      </c>
      <c r="AG451" s="598"/>
      <c r="AH451" s="732" t="s">
        <v>4766</v>
      </c>
      <c r="AI451" s="598" t="s">
        <v>1452</v>
      </c>
      <c r="AJ451" s="598"/>
      <c r="AK451" s="626"/>
      <c r="AL451" s="626"/>
    </row>
    <row r="452" spans="1:38" ht="18" customHeight="1">
      <c r="A452" s="593"/>
      <c r="B452" s="598">
        <v>435</v>
      </c>
      <c r="C452" s="598" t="s">
        <v>3252</v>
      </c>
      <c r="D452" s="598">
        <f t="shared" si="3"/>
        <v>412</v>
      </c>
      <c r="E452" s="616" t="s">
        <v>1798</v>
      </c>
      <c r="F452" s="616" t="s">
        <v>1226</v>
      </c>
      <c r="G452" s="618" t="s">
        <v>1225</v>
      </c>
      <c r="H452" s="618" t="s">
        <v>114</v>
      </c>
      <c r="I452" s="618" t="s">
        <v>1225</v>
      </c>
      <c r="J452" s="618" t="s">
        <v>3225</v>
      </c>
      <c r="K452" s="618" t="s">
        <v>3226</v>
      </c>
      <c r="L452" s="619" t="s">
        <v>3227</v>
      </c>
      <c r="M452" s="620"/>
      <c r="N452" s="620"/>
      <c r="O452" s="663" t="s">
        <v>4765</v>
      </c>
      <c r="P452" s="621"/>
      <c r="Q452" s="598"/>
      <c r="R452" s="598"/>
      <c r="S452" s="598"/>
      <c r="T452" s="623" t="s">
        <v>1015</v>
      </c>
      <c r="U452" s="663" t="s">
        <v>396</v>
      </c>
      <c r="V452" s="674" t="s">
        <v>3253</v>
      </c>
      <c r="W452" s="598" t="s">
        <v>950</v>
      </c>
      <c r="X452" s="624">
        <v>35523</v>
      </c>
      <c r="Y452" s="625">
        <f t="shared" ca="1" si="5"/>
        <v>28</v>
      </c>
      <c r="Z452" s="616" t="s">
        <v>3254</v>
      </c>
      <c r="AA452" s="598" t="s">
        <v>3255</v>
      </c>
      <c r="AB452" s="598" t="s">
        <v>996</v>
      </c>
      <c r="AC452" s="598" t="s">
        <v>997</v>
      </c>
      <c r="AD452" s="616" t="s">
        <v>1041</v>
      </c>
      <c r="AE452" s="616" t="s">
        <v>3256</v>
      </c>
      <c r="AF452" s="616" t="s">
        <v>3257</v>
      </c>
      <c r="AG452" s="598"/>
      <c r="AH452" s="598"/>
      <c r="AI452" s="598" t="s">
        <v>1452</v>
      </c>
      <c r="AJ452" s="598"/>
      <c r="AK452" s="626"/>
      <c r="AL452" s="626"/>
    </row>
    <row r="453" spans="1:38" ht="18" customHeight="1">
      <c r="A453" s="593"/>
      <c r="B453" s="598">
        <v>436</v>
      </c>
      <c r="C453" s="598" t="s">
        <v>3258</v>
      </c>
      <c r="D453" s="598">
        <f t="shared" si="3"/>
        <v>413</v>
      </c>
      <c r="E453" s="616" t="s">
        <v>1798</v>
      </c>
      <c r="F453" s="616" t="s">
        <v>1226</v>
      </c>
      <c r="G453" s="618" t="s">
        <v>1225</v>
      </c>
      <c r="H453" s="618" t="s">
        <v>114</v>
      </c>
      <c r="I453" s="618" t="s">
        <v>1225</v>
      </c>
      <c r="J453" s="618" t="s">
        <v>3225</v>
      </c>
      <c r="K453" s="618" t="s">
        <v>3226</v>
      </c>
      <c r="L453" s="619" t="s">
        <v>3227</v>
      </c>
      <c r="M453" s="620"/>
      <c r="N453" s="620"/>
      <c r="O453" s="663" t="s">
        <v>4765</v>
      </c>
      <c r="P453" s="621"/>
      <c r="Q453" s="598"/>
      <c r="R453" s="598"/>
      <c r="S453" s="598"/>
      <c r="T453" s="623" t="s">
        <v>1015</v>
      </c>
      <c r="U453" s="663" t="s">
        <v>408</v>
      </c>
      <c r="V453" s="674" t="s">
        <v>3259</v>
      </c>
      <c r="W453" s="598" t="s">
        <v>950</v>
      </c>
      <c r="X453" s="624">
        <v>35944</v>
      </c>
      <c r="Y453" s="625">
        <f t="shared" ca="1" si="5"/>
        <v>27</v>
      </c>
      <c r="Z453" s="616" t="s">
        <v>3260</v>
      </c>
      <c r="AA453" s="598" t="s">
        <v>3261</v>
      </c>
      <c r="AB453" s="598" t="s">
        <v>996</v>
      </c>
      <c r="AC453" s="644" t="s">
        <v>997</v>
      </c>
      <c r="AD453" s="616" t="s">
        <v>1041</v>
      </c>
      <c r="AE453" s="616" t="s">
        <v>1250</v>
      </c>
      <c r="AF453" s="616" t="s">
        <v>3262</v>
      </c>
      <c r="AG453" s="598"/>
      <c r="AH453" s="598"/>
      <c r="AI453" s="598" t="s">
        <v>1452</v>
      </c>
      <c r="AJ453" s="598"/>
      <c r="AK453" s="626"/>
      <c r="AL453" s="626"/>
    </row>
    <row r="454" spans="1:38" ht="18" customHeight="1">
      <c r="A454" s="593"/>
      <c r="B454" s="598">
        <v>437</v>
      </c>
      <c r="C454" s="598" t="s">
        <v>3263</v>
      </c>
      <c r="D454" s="598">
        <f t="shared" si="3"/>
        <v>414</v>
      </c>
      <c r="E454" s="616" t="s">
        <v>1798</v>
      </c>
      <c r="F454" s="616" t="s">
        <v>1226</v>
      </c>
      <c r="G454" s="618" t="s">
        <v>1225</v>
      </c>
      <c r="H454" s="618" t="s">
        <v>114</v>
      </c>
      <c r="I454" s="618" t="s">
        <v>1225</v>
      </c>
      <c r="J454" s="618" t="s">
        <v>3225</v>
      </c>
      <c r="K454" s="618" t="s">
        <v>3226</v>
      </c>
      <c r="L454" s="619" t="s">
        <v>3227</v>
      </c>
      <c r="M454" s="620"/>
      <c r="N454" s="620"/>
      <c r="O454" s="663" t="s">
        <v>4765</v>
      </c>
      <c r="P454" s="621"/>
      <c r="Q454" s="598"/>
      <c r="R454" s="598"/>
      <c r="S454" s="598"/>
      <c r="T454" s="623" t="s">
        <v>1015</v>
      </c>
      <c r="U454" s="663" t="s">
        <v>3264</v>
      </c>
      <c r="V454" s="674" t="s">
        <v>3265</v>
      </c>
      <c r="W454" s="598" t="s">
        <v>950</v>
      </c>
      <c r="X454" s="624">
        <v>36800</v>
      </c>
      <c r="Y454" s="625">
        <f t="shared" ca="1" si="5"/>
        <v>25</v>
      </c>
      <c r="Z454" s="616" t="s">
        <v>3266</v>
      </c>
      <c r="AA454" s="598" t="s">
        <v>3267</v>
      </c>
      <c r="AB454" s="598" t="s">
        <v>996</v>
      </c>
      <c r="AC454" s="598" t="s">
        <v>997</v>
      </c>
      <c r="AD454" s="616" t="s">
        <v>1041</v>
      </c>
      <c r="AE454" s="616" t="s">
        <v>1791</v>
      </c>
      <c r="AF454" s="616" t="s">
        <v>3268</v>
      </c>
      <c r="AG454" s="598"/>
      <c r="AH454" s="598"/>
      <c r="AI454" s="598" t="s">
        <v>1452</v>
      </c>
      <c r="AJ454" s="598"/>
      <c r="AK454" s="626"/>
      <c r="AL454" s="626"/>
    </row>
    <row r="455" spans="1:38" ht="18" customHeight="1">
      <c r="A455" s="593"/>
      <c r="B455" s="598">
        <v>438</v>
      </c>
      <c r="C455" s="598" t="s">
        <v>3269</v>
      </c>
      <c r="D455" s="598">
        <f t="shared" si="3"/>
        <v>415</v>
      </c>
      <c r="E455" s="616" t="s">
        <v>1798</v>
      </c>
      <c r="F455" s="616" t="s">
        <v>1226</v>
      </c>
      <c r="G455" s="618" t="s">
        <v>1225</v>
      </c>
      <c r="H455" s="618" t="s">
        <v>114</v>
      </c>
      <c r="I455" s="618" t="s">
        <v>1225</v>
      </c>
      <c r="J455" s="618" t="s">
        <v>3225</v>
      </c>
      <c r="K455" s="618" t="s">
        <v>3226</v>
      </c>
      <c r="L455" s="619" t="s">
        <v>3227</v>
      </c>
      <c r="M455" s="620"/>
      <c r="N455" s="620"/>
      <c r="O455" s="663" t="s">
        <v>4765</v>
      </c>
      <c r="P455" s="621"/>
      <c r="Q455" s="598"/>
      <c r="R455" s="598"/>
      <c r="S455" s="598"/>
      <c r="T455" s="623" t="s">
        <v>992</v>
      </c>
      <c r="U455" s="673" t="s">
        <v>429</v>
      </c>
      <c r="V455" s="674" t="s">
        <v>3270</v>
      </c>
      <c r="W455" s="598" t="s">
        <v>950</v>
      </c>
      <c r="X455" s="624">
        <v>37404</v>
      </c>
      <c r="Y455" s="625">
        <f t="shared" ca="1" si="5"/>
        <v>23</v>
      </c>
      <c r="Z455" s="616" t="s">
        <v>3271</v>
      </c>
      <c r="AA455" s="598" t="s">
        <v>3272</v>
      </c>
      <c r="AB455" s="598" t="s">
        <v>996</v>
      </c>
      <c r="AC455" s="598" t="s">
        <v>997</v>
      </c>
      <c r="AD455" s="616" t="s">
        <v>1041</v>
      </c>
      <c r="AE455" s="616" t="s">
        <v>1250</v>
      </c>
      <c r="AF455" s="616" t="s">
        <v>3273</v>
      </c>
      <c r="AG455" s="598"/>
      <c r="AH455" s="598"/>
      <c r="AI455" s="598" t="s">
        <v>1452</v>
      </c>
      <c r="AJ455" s="598"/>
      <c r="AK455" s="626"/>
      <c r="AL455" s="626"/>
    </row>
    <row r="456" spans="1:38" ht="18" customHeight="1">
      <c r="A456" s="593"/>
      <c r="B456" s="598">
        <v>439</v>
      </c>
      <c r="C456" s="598" t="s">
        <v>3225</v>
      </c>
      <c r="D456" s="598">
        <f t="shared" si="3"/>
        <v>415</v>
      </c>
      <c r="E456" s="616"/>
      <c r="F456" s="616" t="s">
        <v>1226</v>
      </c>
      <c r="G456" s="618" t="s">
        <v>1225</v>
      </c>
      <c r="H456" s="618" t="s">
        <v>114</v>
      </c>
      <c r="I456" s="618" t="s">
        <v>1225</v>
      </c>
      <c r="J456" s="618" t="s">
        <v>3225</v>
      </c>
      <c r="K456" s="618" t="s">
        <v>3274</v>
      </c>
      <c r="L456" s="619"/>
      <c r="M456" s="620"/>
      <c r="N456" s="620"/>
      <c r="O456" s="667" t="s">
        <v>4767</v>
      </c>
      <c r="P456" s="621"/>
      <c r="Q456" s="598" t="s">
        <v>55</v>
      </c>
      <c r="R456" s="598" t="s">
        <v>178</v>
      </c>
      <c r="S456" s="598"/>
      <c r="T456" s="598"/>
      <c r="U456" s="669" t="s">
        <v>343</v>
      </c>
      <c r="V456" s="616" t="s">
        <v>3229</v>
      </c>
      <c r="W456" s="598" t="s">
        <v>950</v>
      </c>
      <c r="X456" s="624">
        <v>32520</v>
      </c>
      <c r="Y456" s="625">
        <f t="shared" ca="1" si="5"/>
        <v>37</v>
      </c>
      <c r="Z456" s="616"/>
      <c r="AA456" s="598"/>
      <c r="AB456" s="598" t="s">
        <v>1006</v>
      </c>
      <c r="AC456" s="598" t="s">
        <v>953</v>
      </c>
      <c r="AD456" s="616" t="s">
        <v>1041</v>
      </c>
      <c r="AE456" s="616" t="s">
        <v>3194</v>
      </c>
      <c r="AF456" s="616" t="s">
        <v>3232</v>
      </c>
      <c r="AG456" s="598" t="s">
        <v>955</v>
      </c>
      <c r="AH456" s="598"/>
      <c r="AI456" s="598"/>
      <c r="AJ456" s="598"/>
      <c r="AK456" s="626"/>
      <c r="AL456" s="626"/>
    </row>
    <row r="457" spans="1:38" ht="18" customHeight="1">
      <c r="A457" s="593"/>
      <c r="B457" s="598">
        <v>440</v>
      </c>
      <c r="C457" s="598" t="s">
        <v>3274</v>
      </c>
      <c r="D457" s="598">
        <f t="shared" si="3"/>
        <v>416</v>
      </c>
      <c r="E457" s="616" t="s">
        <v>1798</v>
      </c>
      <c r="F457" s="616" t="s">
        <v>1226</v>
      </c>
      <c r="G457" s="618" t="s">
        <v>1225</v>
      </c>
      <c r="H457" s="618" t="s">
        <v>114</v>
      </c>
      <c r="I457" s="618" t="s">
        <v>1225</v>
      </c>
      <c r="J457" s="618" t="s">
        <v>3225</v>
      </c>
      <c r="K457" s="618" t="s">
        <v>3274</v>
      </c>
      <c r="L457" s="619"/>
      <c r="M457" s="620"/>
      <c r="N457" s="620"/>
      <c r="O457" s="663" t="s">
        <v>4767</v>
      </c>
      <c r="P457" s="621" t="s">
        <v>319</v>
      </c>
      <c r="Q457" s="598" t="s">
        <v>69</v>
      </c>
      <c r="R457" s="598" t="s">
        <v>562</v>
      </c>
      <c r="S457" s="598"/>
      <c r="T457" s="598" t="s">
        <v>1015</v>
      </c>
      <c r="U457" s="663" t="s">
        <v>357</v>
      </c>
      <c r="V457" s="616" t="s">
        <v>3276</v>
      </c>
      <c r="W457" s="598" t="s">
        <v>950</v>
      </c>
      <c r="X457" s="624">
        <v>33996</v>
      </c>
      <c r="Y457" s="625">
        <f t="shared" ca="1" si="5"/>
        <v>33</v>
      </c>
      <c r="Z457" s="616" t="s">
        <v>3277</v>
      </c>
      <c r="AA457" s="598" t="s">
        <v>3278</v>
      </c>
      <c r="AB457" s="598" t="s">
        <v>996</v>
      </c>
      <c r="AC457" s="598" t="s">
        <v>997</v>
      </c>
      <c r="AD457" s="616" t="s">
        <v>1041</v>
      </c>
      <c r="AE457" s="721" t="s">
        <v>1041</v>
      </c>
      <c r="AF457" s="616" t="s">
        <v>3279</v>
      </c>
      <c r="AG457" s="598"/>
      <c r="AH457" s="598"/>
      <c r="AI457" s="598" t="s">
        <v>1318</v>
      </c>
      <c r="AJ457" s="598"/>
      <c r="AK457" s="626"/>
      <c r="AL457" s="626"/>
    </row>
    <row r="458" spans="1:38" ht="18" customHeight="1">
      <c r="A458" s="593"/>
      <c r="B458" s="598">
        <v>441</v>
      </c>
      <c r="C458" s="598" t="s">
        <v>3298</v>
      </c>
      <c r="D458" s="598">
        <f t="shared" si="3"/>
        <v>417</v>
      </c>
      <c r="E458" s="616" t="s">
        <v>1798</v>
      </c>
      <c r="F458" s="616" t="s">
        <v>1226</v>
      </c>
      <c r="G458" s="618" t="s">
        <v>1225</v>
      </c>
      <c r="H458" s="618" t="s">
        <v>114</v>
      </c>
      <c r="I458" s="618" t="s">
        <v>1225</v>
      </c>
      <c r="J458" s="618" t="s">
        <v>3225</v>
      </c>
      <c r="K458" s="618" t="s">
        <v>3274</v>
      </c>
      <c r="L458" s="619"/>
      <c r="M458" s="620"/>
      <c r="N458" s="620"/>
      <c r="O458" s="663" t="s">
        <v>4767</v>
      </c>
      <c r="P458" s="621"/>
      <c r="Q458" s="598"/>
      <c r="R458" s="598"/>
      <c r="S458" s="598"/>
      <c r="T458" s="598" t="s">
        <v>992</v>
      </c>
      <c r="U458" s="663" t="s">
        <v>421</v>
      </c>
      <c r="V458" s="616" t="s">
        <v>3299</v>
      </c>
      <c r="W458" s="598" t="s">
        <v>950</v>
      </c>
      <c r="X458" s="624">
        <v>36875</v>
      </c>
      <c r="Y458" s="625">
        <f t="shared" ca="1" si="5"/>
        <v>25</v>
      </c>
      <c r="Z458" s="616" t="s">
        <v>2923</v>
      </c>
      <c r="AA458" s="598" t="s">
        <v>3300</v>
      </c>
      <c r="AB458" s="598" t="s">
        <v>996</v>
      </c>
      <c r="AC458" s="598" t="s">
        <v>953</v>
      </c>
      <c r="AD458" s="616" t="s">
        <v>1041</v>
      </c>
      <c r="AE458" s="616" t="s">
        <v>3301</v>
      </c>
      <c r="AF458" s="616" t="s">
        <v>3302</v>
      </c>
      <c r="AG458" s="598"/>
      <c r="AH458" s="598"/>
      <c r="AI458" s="598"/>
      <c r="AJ458" s="598"/>
      <c r="AK458" s="626"/>
      <c r="AL458" s="626"/>
    </row>
    <row r="459" spans="1:38" ht="18" customHeight="1">
      <c r="A459" s="593"/>
      <c r="B459" s="598">
        <v>442</v>
      </c>
      <c r="C459" s="598" t="s">
        <v>3303</v>
      </c>
      <c r="D459" s="598">
        <f t="shared" si="3"/>
        <v>418</v>
      </c>
      <c r="E459" s="616" t="s">
        <v>1798</v>
      </c>
      <c r="F459" s="616" t="s">
        <v>1226</v>
      </c>
      <c r="G459" s="618" t="s">
        <v>1225</v>
      </c>
      <c r="H459" s="618" t="s">
        <v>114</v>
      </c>
      <c r="I459" s="618" t="s">
        <v>1225</v>
      </c>
      <c r="J459" s="618" t="s">
        <v>3225</v>
      </c>
      <c r="K459" s="618" t="s">
        <v>3274</v>
      </c>
      <c r="L459" s="619"/>
      <c r="M459" s="620"/>
      <c r="N459" s="620"/>
      <c r="O459" s="663" t="s">
        <v>4767</v>
      </c>
      <c r="P459" s="621"/>
      <c r="Q459" s="598"/>
      <c r="R459" s="598"/>
      <c r="S459" s="598"/>
      <c r="T459" s="598" t="s">
        <v>992</v>
      </c>
      <c r="U459" s="663" t="s">
        <v>3304</v>
      </c>
      <c r="V459" s="616" t="s">
        <v>3305</v>
      </c>
      <c r="W459" s="598" t="s">
        <v>950</v>
      </c>
      <c r="X459" s="624">
        <v>35773</v>
      </c>
      <c r="Y459" s="625">
        <f t="shared" ca="1" si="5"/>
        <v>28</v>
      </c>
      <c r="Z459" s="616"/>
      <c r="AA459" s="598" t="s">
        <v>3306</v>
      </c>
      <c r="AB459" s="598" t="s">
        <v>996</v>
      </c>
      <c r="AC459" s="598" t="s">
        <v>997</v>
      </c>
      <c r="AD459" s="616" t="s">
        <v>1041</v>
      </c>
      <c r="AE459" s="616" t="s">
        <v>1041</v>
      </c>
      <c r="AF459" s="616" t="s">
        <v>3307</v>
      </c>
      <c r="AG459" s="598"/>
      <c r="AH459" s="598"/>
      <c r="AI459" s="598" t="s">
        <v>1349</v>
      </c>
      <c r="AJ459" s="598"/>
      <c r="AK459" s="626"/>
      <c r="AL459" s="626"/>
    </row>
    <row r="460" spans="1:38" ht="18" customHeight="1">
      <c r="A460" s="593"/>
      <c r="B460" s="598">
        <v>443</v>
      </c>
      <c r="C460" s="598" t="s">
        <v>3280</v>
      </c>
      <c r="D460" s="598">
        <f t="shared" si="3"/>
        <v>419</v>
      </c>
      <c r="E460" s="616" t="s">
        <v>1798</v>
      </c>
      <c r="F460" s="616" t="s">
        <v>1226</v>
      </c>
      <c r="G460" s="618" t="s">
        <v>1225</v>
      </c>
      <c r="H460" s="618" t="s">
        <v>114</v>
      </c>
      <c r="I460" s="618" t="s">
        <v>1225</v>
      </c>
      <c r="J460" s="618" t="s">
        <v>3225</v>
      </c>
      <c r="K460" s="618" t="s">
        <v>3274</v>
      </c>
      <c r="L460" s="619"/>
      <c r="M460" s="620"/>
      <c r="N460" s="620"/>
      <c r="O460" s="663" t="s">
        <v>4767</v>
      </c>
      <c r="P460" s="621" t="s">
        <v>319</v>
      </c>
      <c r="Q460" s="598"/>
      <c r="R460" s="598"/>
      <c r="S460" s="598"/>
      <c r="T460" s="598" t="s">
        <v>992</v>
      </c>
      <c r="U460" s="663" t="s">
        <v>371</v>
      </c>
      <c r="V460" s="616" t="s">
        <v>3281</v>
      </c>
      <c r="W460" s="598" t="s">
        <v>950</v>
      </c>
      <c r="X460" s="624">
        <v>35880</v>
      </c>
      <c r="Y460" s="625">
        <f t="shared" ca="1" si="5"/>
        <v>27</v>
      </c>
      <c r="Z460" s="616" t="s">
        <v>3282</v>
      </c>
      <c r="AA460" s="598" t="s">
        <v>3283</v>
      </c>
      <c r="AB460" s="598" t="s">
        <v>996</v>
      </c>
      <c r="AC460" s="644" t="s">
        <v>997</v>
      </c>
      <c r="AD460" s="616" t="s">
        <v>973</v>
      </c>
      <c r="AE460" s="616" t="s">
        <v>1250</v>
      </c>
      <c r="AF460" s="616" t="s">
        <v>3284</v>
      </c>
      <c r="AG460" s="598"/>
      <c r="AH460" s="598"/>
      <c r="AI460" s="598" t="s">
        <v>1318</v>
      </c>
      <c r="AJ460" s="598"/>
      <c r="AK460" s="626"/>
      <c r="AL460" s="626"/>
    </row>
    <row r="461" spans="1:38" ht="18" customHeight="1">
      <c r="A461" s="593"/>
      <c r="B461" s="598">
        <v>444</v>
      </c>
      <c r="C461" s="598" t="s">
        <v>3285</v>
      </c>
      <c r="D461" s="598">
        <f t="shared" si="3"/>
        <v>420</v>
      </c>
      <c r="E461" s="616" t="s">
        <v>1798</v>
      </c>
      <c r="F461" s="616" t="s">
        <v>1226</v>
      </c>
      <c r="G461" s="618" t="s">
        <v>1225</v>
      </c>
      <c r="H461" s="618" t="s">
        <v>114</v>
      </c>
      <c r="I461" s="618" t="s">
        <v>1225</v>
      </c>
      <c r="J461" s="618" t="s">
        <v>3225</v>
      </c>
      <c r="K461" s="618" t="s">
        <v>3274</v>
      </c>
      <c r="L461" s="619"/>
      <c r="M461" s="620"/>
      <c r="N461" s="620"/>
      <c r="O461" s="663" t="s">
        <v>4767</v>
      </c>
      <c r="P461" s="621" t="s">
        <v>319</v>
      </c>
      <c r="Q461" s="598"/>
      <c r="R461" s="598"/>
      <c r="S461" s="598"/>
      <c r="T461" s="598" t="s">
        <v>992</v>
      </c>
      <c r="U461" s="663" t="s">
        <v>384</v>
      </c>
      <c r="V461" s="616" t="s">
        <v>3286</v>
      </c>
      <c r="W461" s="598" t="s">
        <v>950</v>
      </c>
      <c r="X461" s="624">
        <v>36847</v>
      </c>
      <c r="Y461" s="625">
        <f t="shared" ca="1" si="5"/>
        <v>25</v>
      </c>
      <c r="Z461" s="616" t="s">
        <v>3287</v>
      </c>
      <c r="AA461" s="598" t="s">
        <v>3288</v>
      </c>
      <c r="AB461" s="598" t="s">
        <v>996</v>
      </c>
      <c r="AC461" s="644" t="s">
        <v>997</v>
      </c>
      <c r="AD461" s="616" t="s">
        <v>1041</v>
      </c>
      <c r="AE461" s="616" t="s">
        <v>1250</v>
      </c>
      <c r="AF461" s="616" t="s">
        <v>1684</v>
      </c>
      <c r="AG461" s="598"/>
      <c r="AH461" s="598"/>
      <c r="AI461" s="598" t="s">
        <v>1318</v>
      </c>
      <c r="AJ461" s="598"/>
      <c r="AK461" s="626"/>
      <c r="AL461" s="626"/>
    </row>
    <row r="462" spans="1:38" ht="18" customHeight="1">
      <c r="A462" s="593"/>
      <c r="B462" s="598">
        <v>445</v>
      </c>
      <c r="C462" s="598" t="s">
        <v>3289</v>
      </c>
      <c r="D462" s="598">
        <f t="shared" si="3"/>
        <v>421</v>
      </c>
      <c r="E462" s="616" t="s">
        <v>1798</v>
      </c>
      <c r="F462" s="616" t="s">
        <v>1226</v>
      </c>
      <c r="G462" s="618" t="s">
        <v>1225</v>
      </c>
      <c r="H462" s="618" t="s">
        <v>114</v>
      </c>
      <c r="I462" s="618" t="s">
        <v>1225</v>
      </c>
      <c r="J462" s="618" t="s">
        <v>3225</v>
      </c>
      <c r="K462" s="618" t="s">
        <v>3274</v>
      </c>
      <c r="L462" s="619"/>
      <c r="M462" s="620"/>
      <c r="N462" s="620"/>
      <c r="O462" s="663" t="s">
        <v>4767</v>
      </c>
      <c r="P462" s="621" t="s">
        <v>319</v>
      </c>
      <c r="Q462" s="598"/>
      <c r="R462" s="598"/>
      <c r="S462" s="598"/>
      <c r="T462" s="598" t="s">
        <v>992</v>
      </c>
      <c r="U462" s="663" t="s">
        <v>397</v>
      </c>
      <c r="V462" s="616" t="s">
        <v>3290</v>
      </c>
      <c r="W462" s="598" t="s">
        <v>950</v>
      </c>
      <c r="X462" s="624">
        <v>36970</v>
      </c>
      <c r="Y462" s="625">
        <f t="shared" ca="1" si="5"/>
        <v>24</v>
      </c>
      <c r="Z462" s="616" t="s">
        <v>3291</v>
      </c>
      <c r="AA462" s="598" t="s">
        <v>3292</v>
      </c>
      <c r="AB462" s="598" t="s">
        <v>996</v>
      </c>
      <c r="AC462" s="644" t="s">
        <v>997</v>
      </c>
      <c r="AD462" s="616" t="s">
        <v>1041</v>
      </c>
      <c r="AE462" s="616" t="s">
        <v>1041</v>
      </c>
      <c r="AF462" s="616" t="s">
        <v>2980</v>
      </c>
      <c r="AG462" s="598"/>
      <c r="AH462" s="598"/>
      <c r="AI462" s="647" t="s">
        <v>1513</v>
      </c>
      <c r="AJ462" s="598"/>
      <c r="AK462" s="626"/>
      <c r="AL462" s="626"/>
    </row>
    <row r="463" spans="1:38" ht="18" customHeight="1">
      <c r="A463" s="593"/>
      <c r="B463" s="598">
        <v>446</v>
      </c>
      <c r="C463" s="598" t="s">
        <v>3293</v>
      </c>
      <c r="D463" s="598">
        <f t="shared" si="3"/>
        <v>422</v>
      </c>
      <c r="E463" s="616" t="s">
        <v>1798</v>
      </c>
      <c r="F463" s="616" t="s">
        <v>1226</v>
      </c>
      <c r="G463" s="618" t="s">
        <v>1225</v>
      </c>
      <c r="H463" s="618" t="s">
        <v>114</v>
      </c>
      <c r="I463" s="618" t="s">
        <v>1225</v>
      </c>
      <c r="J463" s="618" t="s">
        <v>3225</v>
      </c>
      <c r="K463" s="618" t="s">
        <v>3274</v>
      </c>
      <c r="L463" s="619"/>
      <c r="M463" s="620"/>
      <c r="N463" s="620"/>
      <c r="O463" s="673" t="s">
        <v>4767</v>
      </c>
      <c r="P463" s="621" t="s">
        <v>319</v>
      </c>
      <c r="Q463" s="598"/>
      <c r="R463" s="598"/>
      <c r="S463" s="598"/>
      <c r="T463" s="598" t="s">
        <v>992</v>
      </c>
      <c r="U463" s="673" t="s">
        <v>409</v>
      </c>
      <c r="V463" s="616" t="s">
        <v>3294</v>
      </c>
      <c r="W463" s="598" t="s">
        <v>950</v>
      </c>
      <c r="X463" s="624">
        <v>37663</v>
      </c>
      <c r="Y463" s="625">
        <f t="shared" ca="1" si="5"/>
        <v>22</v>
      </c>
      <c r="Z463" s="616" t="s">
        <v>3295</v>
      </c>
      <c r="AA463" s="598" t="s">
        <v>3296</v>
      </c>
      <c r="AB463" s="598" t="s">
        <v>996</v>
      </c>
      <c r="AC463" s="644" t="s">
        <v>997</v>
      </c>
      <c r="AD463" s="616" t="s">
        <v>1041</v>
      </c>
      <c r="AE463" s="616" t="s">
        <v>1041</v>
      </c>
      <c r="AF463" s="616" t="s">
        <v>3297</v>
      </c>
      <c r="AG463" s="598"/>
      <c r="AH463" s="598"/>
      <c r="AI463" s="647" t="s">
        <v>1513</v>
      </c>
      <c r="AJ463" s="598"/>
      <c r="AK463" s="626"/>
      <c r="AL463" s="626"/>
    </row>
    <row r="464" spans="1:38" ht="18" customHeight="1">
      <c r="A464" s="593"/>
      <c r="B464" s="598">
        <v>447</v>
      </c>
      <c r="C464" s="598" t="s">
        <v>3810</v>
      </c>
      <c r="D464" s="598">
        <f t="shared" si="3"/>
        <v>423</v>
      </c>
      <c r="E464" s="616" t="s">
        <v>3808</v>
      </c>
      <c r="F464" s="616" t="s">
        <v>246</v>
      </c>
      <c r="G464" s="618" t="s">
        <v>3810</v>
      </c>
      <c r="H464" s="618" t="s">
        <v>470</v>
      </c>
      <c r="I464" s="618" t="s">
        <v>3810</v>
      </c>
      <c r="J464" s="618" t="s">
        <v>3810</v>
      </c>
      <c r="K464" s="618" t="s">
        <v>959</v>
      </c>
      <c r="L464" s="619"/>
      <c r="M464" s="620"/>
      <c r="N464" s="620"/>
      <c r="O464" s="667" t="s">
        <v>1044</v>
      </c>
      <c r="P464" s="621"/>
      <c r="Q464" s="598" t="s">
        <v>1227</v>
      </c>
      <c r="R464" s="598" t="s">
        <v>173</v>
      </c>
      <c r="S464" s="598"/>
      <c r="T464" s="598" t="s">
        <v>1015</v>
      </c>
      <c r="U464" s="667" t="s">
        <v>470</v>
      </c>
      <c r="V464" s="616" t="s">
        <v>4158</v>
      </c>
      <c r="W464" s="598" t="s">
        <v>950</v>
      </c>
      <c r="X464" s="624">
        <v>25002</v>
      </c>
      <c r="Y464" s="625">
        <f t="shared" ca="1" si="5"/>
        <v>57</v>
      </c>
      <c r="Z464" s="616" t="s">
        <v>4159</v>
      </c>
      <c r="AA464" s="598" t="s">
        <v>4160</v>
      </c>
      <c r="AB464" s="598" t="s">
        <v>966</v>
      </c>
      <c r="AC464" s="598" t="s">
        <v>953</v>
      </c>
      <c r="AD464" s="616" t="s">
        <v>246</v>
      </c>
      <c r="AE464" s="616" t="s">
        <v>246</v>
      </c>
      <c r="AF464" s="616" t="s">
        <v>3815</v>
      </c>
      <c r="AG464" s="598"/>
      <c r="AH464" s="598"/>
      <c r="AI464" s="598"/>
      <c r="AJ464" s="598"/>
      <c r="AK464" s="626">
        <v>-3</v>
      </c>
      <c r="AL464" s="626"/>
    </row>
    <row r="465" spans="1:38" ht="18" customHeight="1">
      <c r="A465" s="593"/>
      <c r="B465" s="598">
        <v>448</v>
      </c>
      <c r="C465" s="598" t="s">
        <v>3914</v>
      </c>
      <c r="D465" s="598">
        <f t="shared" si="3"/>
        <v>424</v>
      </c>
      <c r="E465" s="616" t="s">
        <v>3808</v>
      </c>
      <c r="F465" s="616" t="s">
        <v>246</v>
      </c>
      <c r="G465" s="618" t="s">
        <v>3810</v>
      </c>
      <c r="H465" s="618" t="s">
        <v>470</v>
      </c>
      <c r="I465" s="618" t="s">
        <v>3810</v>
      </c>
      <c r="J465" s="618" t="s">
        <v>3810</v>
      </c>
      <c r="K465" s="618" t="s">
        <v>959</v>
      </c>
      <c r="L465" s="619"/>
      <c r="M465" s="620"/>
      <c r="N465" s="620"/>
      <c r="O465" s="663" t="s">
        <v>1044</v>
      </c>
      <c r="P465" s="621"/>
      <c r="Q465" s="598" t="s">
        <v>55</v>
      </c>
      <c r="R465" s="598" t="s">
        <v>178</v>
      </c>
      <c r="S465" s="598"/>
      <c r="T465" s="598" t="s">
        <v>1090</v>
      </c>
      <c r="U465" s="663" t="s">
        <v>477</v>
      </c>
      <c r="V465" s="616" t="s">
        <v>3915</v>
      </c>
      <c r="W465" s="598" t="s">
        <v>950</v>
      </c>
      <c r="X465" s="624">
        <v>19177</v>
      </c>
      <c r="Y465" s="625">
        <f t="shared" ca="1" si="5"/>
        <v>73</v>
      </c>
      <c r="Z465" s="616" t="s">
        <v>3916</v>
      </c>
      <c r="AA465" s="598" t="s">
        <v>3917</v>
      </c>
      <c r="AB465" s="598" t="s">
        <v>966</v>
      </c>
      <c r="AC465" s="598" t="s">
        <v>953</v>
      </c>
      <c r="AD465" s="616" t="s">
        <v>246</v>
      </c>
      <c r="AE465" s="616" t="s">
        <v>246</v>
      </c>
      <c r="AF465" s="616" t="s">
        <v>3815</v>
      </c>
      <c r="AG465" s="598"/>
      <c r="AH465" s="598"/>
      <c r="AI465" s="598"/>
      <c r="AJ465" s="598"/>
      <c r="AK465" s="626">
        <v>-3</v>
      </c>
      <c r="AL465" s="626"/>
    </row>
    <row r="466" spans="1:38" ht="18" customHeight="1">
      <c r="A466" s="593"/>
      <c r="B466" s="598">
        <v>449</v>
      </c>
      <c r="C466" s="598" t="s">
        <v>4161</v>
      </c>
      <c r="D466" s="598">
        <f t="shared" si="3"/>
        <v>425</v>
      </c>
      <c r="E466" s="616" t="s">
        <v>3808</v>
      </c>
      <c r="F466" s="616" t="s">
        <v>246</v>
      </c>
      <c r="G466" s="618" t="s">
        <v>3810</v>
      </c>
      <c r="H466" s="618" t="s">
        <v>470</v>
      </c>
      <c r="I466" s="618" t="s">
        <v>3810</v>
      </c>
      <c r="J466" s="618" t="s">
        <v>3810</v>
      </c>
      <c r="K466" s="618" t="s">
        <v>959</v>
      </c>
      <c r="L466" s="619"/>
      <c r="M466" s="620"/>
      <c r="N466" s="620"/>
      <c r="O466" s="663" t="s">
        <v>1044</v>
      </c>
      <c r="P466" s="621"/>
      <c r="Q466" s="598" t="s">
        <v>55</v>
      </c>
      <c r="R466" s="598" t="s">
        <v>178</v>
      </c>
      <c r="S466" s="598"/>
      <c r="T466" s="598" t="s">
        <v>1090</v>
      </c>
      <c r="U466" s="663" t="s">
        <v>484</v>
      </c>
      <c r="V466" s="616" t="s">
        <v>4162</v>
      </c>
      <c r="W466" s="598" t="s">
        <v>950</v>
      </c>
      <c r="X466" s="624">
        <v>18523</v>
      </c>
      <c r="Y466" s="625">
        <f t="shared" ca="1" si="5"/>
        <v>75</v>
      </c>
      <c r="Z466" s="616" t="s">
        <v>4163</v>
      </c>
      <c r="AA466" s="598" t="s">
        <v>4164</v>
      </c>
      <c r="AB466" s="598" t="s">
        <v>966</v>
      </c>
      <c r="AC466" s="598" t="s">
        <v>953</v>
      </c>
      <c r="AD466" s="616" t="s">
        <v>246</v>
      </c>
      <c r="AE466" s="616" t="s">
        <v>246</v>
      </c>
      <c r="AF466" s="616" t="s">
        <v>3815</v>
      </c>
      <c r="AG466" s="598"/>
      <c r="AH466" s="598"/>
      <c r="AI466" s="598"/>
      <c r="AJ466" s="598"/>
      <c r="AK466" s="626">
        <v>-3</v>
      </c>
      <c r="AL466" s="626"/>
    </row>
    <row r="467" spans="1:38" ht="18" customHeight="1">
      <c r="A467" s="593"/>
      <c r="B467" s="598">
        <v>450</v>
      </c>
      <c r="C467" s="598" t="s">
        <v>4042</v>
      </c>
      <c r="D467" s="598">
        <f t="shared" si="3"/>
        <v>426</v>
      </c>
      <c r="E467" s="616" t="s">
        <v>3808</v>
      </c>
      <c r="F467" s="616" t="s">
        <v>246</v>
      </c>
      <c r="G467" s="618" t="s">
        <v>3810</v>
      </c>
      <c r="H467" s="618" t="s">
        <v>470</v>
      </c>
      <c r="I467" s="618" t="s">
        <v>3810</v>
      </c>
      <c r="J467" s="618" t="s">
        <v>3810</v>
      </c>
      <c r="K467" s="618" t="s">
        <v>959</v>
      </c>
      <c r="L467" s="619"/>
      <c r="M467" s="620"/>
      <c r="N467" s="620"/>
      <c r="O467" s="663" t="s">
        <v>1044</v>
      </c>
      <c r="P467" s="621"/>
      <c r="Q467" s="598" t="s">
        <v>55</v>
      </c>
      <c r="R467" s="598" t="s">
        <v>55</v>
      </c>
      <c r="S467" s="598"/>
      <c r="T467" s="598" t="s">
        <v>1015</v>
      </c>
      <c r="U467" s="663" t="s">
        <v>487</v>
      </c>
      <c r="V467" s="616" t="s">
        <v>4044</v>
      </c>
      <c r="W467" s="598" t="s">
        <v>950</v>
      </c>
      <c r="X467" s="624">
        <v>22938</v>
      </c>
      <c r="Y467" s="625">
        <f t="shared" ca="1" si="5"/>
        <v>63</v>
      </c>
      <c r="Z467" s="616" t="s">
        <v>4045</v>
      </c>
      <c r="AA467" s="598" t="s">
        <v>4046</v>
      </c>
      <c r="AB467" s="598" t="s">
        <v>966</v>
      </c>
      <c r="AC467" s="598" t="s">
        <v>953</v>
      </c>
      <c r="AD467" s="616" t="s">
        <v>246</v>
      </c>
      <c r="AE467" s="616" t="s">
        <v>246</v>
      </c>
      <c r="AF467" s="616" t="s">
        <v>3815</v>
      </c>
      <c r="AG467" s="598"/>
      <c r="AH467" s="598"/>
      <c r="AI467" s="598"/>
      <c r="AJ467" s="598"/>
      <c r="AK467" s="626">
        <v>-3</v>
      </c>
      <c r="AL467" s="626"/>
    </row>
    <row r="468" spans="1:38" ht="18" customHeight="1">
      <c r="A468" s="593"/>
      <c r="B468" s="598">
        <v>451</v>
      </c>
      <c r="C468" s="598" t="s">
        <v>4165</v>
      </c>
      <c r="D468" s="598">
        <f t="shared" si="3"/>
        <v>427</v>
      </c>
      <c r="E468" s="616" t="s">
        <v>3808</v>
      </c>
      <c r="F468" s="616" t="s">
        <v>246</v>
      </c>
      <c r="G468" s="618" t="s">
        <v>3810</v>
      </c>
      <c r="H468" s="618" t="s">
        <v>470</v>
      </c>
      <c r="I468" s="618" t="s">
        <v>3810</v>
      </c>
      <c r="J468" s="618" t="s">
        <v>3810</v>
      </c>
      <c r="K468" s="618" t="s">
        <v>959</v>
      </c>
      <c r="L468" s="619"/>
      <c r="M468" s="620"/>
      <c r="N468" s="620"/>
      <c r="O468" s="663" t="s">
        <v>1044</v>
      </c>
      <c r="P468" s="621"/>
      <c r="Q468" s="598" t="s">
        <v>55</v>
      </c>
      <c r="R468" s="598" t="s">
        <v>178</v>
      </c>
      <c r="S468" s="598"/>
      <c r="T468" s="598" t="s">
        <v>1015</v>
      </c>
      <c r="U468" s="663" t="s">
        <v>492</v>
      </c>
      <c r="V468" s="616" t="s">
        <v>4166</v>
      </c>
      <c r="W468" s="598" t="s">
        <v>950</v>
      </c>
      <c r="X468" s="624">
        <v>23418</v>
      </c>
      <c r="Y468" s="625">
        <f t="shared" ca="1" si="5"/>
        <v>61</v>
      </c>
      <c r="Z468" s="616" t="s">
        <v>4167</v>
      </c>
      <c r="AA468" s="598" t="s">
        <v>4168</v>
      </c>
      <c r="AB468" s="598" t="s">
        <v>966</v>
      </c>
      <c r="AC468" s="598" t="s">
        <v>953</v>
      </c>
      <c r="AD468" s="616" t="s">
        <v>246</v>
      </c>
      <c r="AE468" s="616" t="s">
        <v>246</v>
      </c>
      <c r="AF468" s="616" t="s">
        <v>3815</v>
      </c>
      <c r="AG468" s="598"/>
      <c r="AH468" s="598"/>
      <c r="AI468" s="598"/>
      <c r="AJ468" s="598"/>
      <c r="AK468" s="626">
        <v>-3</v>
      </c>
      <c r="AL468" s="626"/>
    </row>
    <row r="469" spans="1:38" ht="18" customHeight="1">
      <c r="A469" s="593"/>
      <c r="B469" s="598">
        <v>452</v>
      </c>
      <c r="C469" s="598" t="s">
        <v>3811</v>
      </c>
      <c r="D469" s="598">
        <f t="shared" si="3"/>
        <v>428</v>
      </c>
      <c r="E469" s="616" t="s">
        <v>3808</v>
      </c>
      <c r="F469" s="616" t="s">
        <v>246</v>
      </c>
      <c r="G469" s="618" t="s">
        <v>3810</v>
      </c>
      <c r="H469" s="618" t="s">
        <v>470</v>
      </c>
      <c r="I469" s="618" t="s">
        <v>3810</v>
      </c>
      <c r="J469" s="618" t="s">
        <v>3810</v>
      </c>
      <c r="K469" s="618" t="s">
        <v>959</v>
      </c>
      <c r="L469" s="619"/>
      <c r="M469" s="620"/>
      <c r="N469" s="620"/>
      <c r="O469" s="673" t="s">
        <v>1044</v>
      </c>
      <c r="P469" s="621"/>
      <c r="Q469" s="598" t="s">
        <v>173</v>
      </c>
      <c r="R469" s="598" t="s">
        <v>514</v>
      </c>
      <c r="S469" s="598"/>
      <c r="T469" s="598" t="s">
        <v>1015</v>
      </c>
      <c r="U469" s="673" t="s">
        <v>512</v>
      </c>
      <c r="V469" s="616" t="s">
        <v>4173</v>
      </c>
      <c r="W469" s="598" t="s">
        <v>950</v>
      </c>
      <c r="X469" s="624">
        <v>22147</v>
      </c>
      <c r="Y469" s="625">
        <f t="shared" ca="1" si="5"/>
        <v>65</v>
      </c>
      <c r="Z469" s="616" t="s">
        <v>4174</v>
      </c>
      <c r="AA469" s="598" t="s">
        <v>4175</v>
      </c>
      <c r="AB469" s="598" t="s">
        <v>966</v>
      </c>
      <c r="AC469" s="598" t="s">
        <v>953</v>
      </c>
      <c r="AD469" s="616" t="s">
        <v>246</v>
      </c>
      <c r="AE469" s="616" t="s">
        <v>246</v>
      </c>
      <c r="AF469" s="616" t="s">
        <v>3815</v>
      </c>
      <c r="AG469" s="598"/>
      <c r="AH469" s="598"/>
      <c r="AI469" s="598"/>
      <c r="AJ469" s="598"/>
      <c r="AK469" s="626">
        <v>-3</v>
      </c>
      <c r="AL469" s="626"/>
    </row>
    <row r="470" spans="1:38" ht="18" customHeight="1">
      <c r="A470" s="593"/>
      <c r="B470" s="598">
        <v>40</v>
      </c>
      <c r="C470" s="598" t="s">
        <v>3807</v>
      </c>
      <c r="D470" s="598">
        <f t="shared" si="3"/>
        <v>429</v>
      </c>
      <c r="E470" s="616" t="s">
        <v>3808</v>
      </c>
      <c r="F470" s="616" t="s">
        <v>246</v>
      </c>
      <c r="G470" s="618" t="s">
        <v>3810</v>
      </c>
      <c r="H470" s="618" t="s">
        <v>470</v>
      </c>
      <c r="I470" s="618" t="s">
        <v>3810</v>
      </c>
      <c r="J470" s="618" t="s">
        <v>3807</v>
      </c>
      <c r="K470" s="618" t="s">
        <v>3812</v>
      </c>
      <c r="L470" s="619" t="s">
        <v>3819</v>
      </c>
      <c r="M470" s="620"/>
      <c r="N470" s="620"/>
      <c r="O470" s="663" t="s">
        <v>1127</v>
      </c>
      <c r="P470" s="621"/>
      <c r="Q470" s="598" t="s">
        <v>55</v>
      </c>
      <c r="R470" s="598" t="s">
        <v>55</v>
      </c>
      <c r="S470" s="598"/>
      <c r="T470" s="623" t="s">
        <v>1090</v>
      </c>
      <c r="U470" s="663" t="s">
        <v>82</v>
      </c>
      <c r="V470" s="674" t="s">
        <v>3813</v>
      </c>
      <c r="W470" s="598" t="s">
        <v>963</v>
      </c>
      <c r="X470" s="624">
        <v>19202</v>
      </c>
      <c r="Y470" s="625">
        <f t="shared" ca="1" si="5"/>
        <v>73</v>
      </c>
      <c r="Z470" s="616" t="s">
        <v>3814</v>
      </c>
      <c r="AA470" s="598"/>
      <c r="AB470" s="598" t="s">
        <v>966</v>
      </c>
      <c r="AC470" s="598" t="s">
        <v>953</v>
      </c>
      <c r="AD470" s="616" t="s">
        <v>973</v>
      </c>
      <c r="AE470" s="616" t="s">
        <v>954</v>
      </c>
      <c r="AF470" s="616" t="s">
        <v>968</v>
      </c>
      <c r="AG470" s="598"/>
      <c r="AH470" s="598"/>
      <c r="AI470" s="598"/>
      <c r="AJ470" s="598"/>
      <c r="AK470" s="626"/>
      <c r="AL470" s="626"/>
    </row>
    <row r="471" spans="1:38" ht="18" customHeight="1">
      <c r="A471" s="593"/>
      <c r="B471" s="598">
        <v>454</v>
      </c>
      <c r="C471" s="598" t="s">
        <v>3812</v>
      </c>
      <c r="D471" s="598">
        <f t="shared" si="3"/>
        <v>430</v>
      </c>
      <c r="E471" s="616" t="s">
        <v>3808</v>
      </c>
      <c r="F471" s="616" t="s">
        <v>246</v>
      </c>
      <c r="G471" s="618" t="s">
        <v>3810</v>
      </c>
      <c r="H471" s="618" t="s">
        <v>470</v>
      </c>
      <c r="I471" s="618" t="s">
        <v>3810</v>
      </c>
      <c r="J471" s="618" t="s">
        <v>3807</v>
      </c>
      <c r="K471" s="618" t="s">
        <v>3812</v>
      </c>
      <c r="L471" s="619" t="s">
        <v>3819</v>
      </c>
      <c r="M471" s="620"/>
      <c r="N471" s="620"/>
      <c r="O471" s="663" t="s">
        <v>1074</v>
      </c>
      <c r="P471" s="621"/>
      <c r="Q471" s="598" t="s">
        <v>69</v>
      </c>
      <c r="R471" s="598" t="s">
        <v>69</v>
      </c>
      <c r="S471" s="598"/>
      <c r="T471" s="598" t="s">
        <v>1090</v>
      </c>
      <c r="U471" s="663" t="s">
        <v>478</v>
      </c>
      <c r="V471" s="616" t="s">
        <v>3816</v>
      </c>
      <c r="W471" s="598" t="s">
        <v>963</v>
      </c>
      <c r="X471" s="624">
        <v>19613</v>
      </c>
      <c r="Y471" s="625">
        <f t="shared" ca="1" si="5"/>
        <v>72</v>
      </c>
      <c r="Z471" s="616" t="s">
        <v>3817</v>
      </c>
      <c r="AA471" s="598" t="s">
        <v>3818</v>
      </c>
      <c r="AB471" s="598" t="s">
        <v>966</v>
      </c>
      <c r="AC471" s="598" t="s">
        <v>953</v>
      </c>
      <c r="AD471" s="616" t="s">
        <v>246</v>
      </c>
      <c r="AE471" s="616" t="s">
        <v>246</v>
      </c>
      <c r="AF471" s="616" t="s">
        <v>3815</v>
      </c>
      <c r="AG471" s="598"/>
      <c r="AH471" s="598"/>
      <c r="AI471" s="598"/>
      <c r="AJ471" s="598"/>
      <c r="AK471" s="626">
        <v>-3</v>
      </c>
      <c r="AL471" s="626"/>
    </row>
    <row r="472" spans="1:38" ht="18" customHeight="1">
      <c r="A472" s="593"/>
      <c r="B472" s="598">
        <v>455</v>
      </c>
      <c r="C472" s="598" t="s">
        <v>3819</v>
      </c>
      <c r="D472" s="598">
        <f t="shared" si="3"/>
        <v>431</v>
      </c>
      <c r="E472" s="616" t="s">
        <v>3808</v>
      </c>
      <c r="F472" s="616" t="s">
        <v>246</v>
      </c>
      <c r="G472" s="618" t="s">
        <v>3810</v>
      </c>
      <c r="H472" s="618" t="s">
        <v>470</v>
      </c>
      <c r="I472" s="618" t="s">
        <v>3810</v>
      </c>
      <c r="J472" s="618" t="s">
        <v>3807</v>
      </c>
      <c r="K472" s="618" t="s">
        <v>3812</v>
      </c>
      <c r="L472" s="619" t="s">
        <v>3819</v>
      </c>
      <c r="M472" s="620"/>
      <c r="N472" s="620"/>
      <c r="O472" s="663" t="s">
        <v>1074</v>
      </c>
      <c r="P472" s="621"/>
      <c r="Q472" s="598" t="s">
        <v>69</v>
      </c>
      <c r="R472" s="598" t="s">
        <v>69</v>
      </c>
      <c r="S472" s="598"/>
      <c r="T472" s="598" t="s">
        <v>1090</v>
      </c>
      <c r="U472" s="663" t="s">
        <v>3820</v>
      </c>
      <c r="V472" s="616" t="s">
        <v>3821</v>
      </c>
      <c r="W472" s="598" t="s">
        <v>963</v>
      </c>
      <c r="X472" s="624">
        <v>19281</v>
      </c>
      <c r="Y472" s="625">
        <f t="shared" ca="1" si="5"/>
        <v>73</v>
      </c>
      <c r="Z472" s="616" t="s">
        <v>3822</v>
      </c>
      <c r="AA472" s="598" t="s">
        <v>3823</v>
      </c>
      <c r="AB472" s="598" t="s">
        <v>966</v>
      </c>
      <c r="AC472" s="598" t="s">
        <v>953</v>
      </c>
      <c r="AD472" s="616" t="s">
        <v>246</v>
      </c>
      <c r="AE472" s="616" t="s">
        <v>246</v>
      </c>
      <c r="AF472" s="653" t="s">
        <v>3824</v>
      </c>
      <c r="AG472" s="598"/>
      <c r="AH472" s="598"/>
      <c r="AI472" s="598" t="s">
        <v>1440</v>
      </c>
      <c r="AJ472" s="598"/>
      <c r="AK472" s="626"/>
      <c r="AL472" s="626"/>
    </row>
    <row r="473" spans="1:38" ht="18" customHeight="1">
      <c r="A473" s="593"/>
      <c r="B473" s="598">
        <v>456</v>
      </c>
      <c r="C473" s="598" t="s">
        <v>3830</v>
      </c>
      <c r="D473" s="598">
        <f t="shared" si="3"/>
        <v>432</v>
      </c>
      <c r="E473" s="616" t="s">
        <v>3808</v>
      </c>
      <c r="F473" s="616" t="s">
        <v>246</v>
      </c>
      <c r="G473" s="618" t="s">
        <v>3810</v>
      </c>
      <c r="H473" s="618" t="s">
        <v>470</v>
      </c>
      <c r="I473" s="618" t="s">
        <v>3810</v>
      </c>
      <c r="J473" s="618" t="s">
        <v>3807</v>
      </c>
      <c r="K473" s="618" t="s">
        <v>3812</v>
      </c>
      <c r="L473" s="619" t="s">
        <v>3819</v>
      </c>
      <c r="M473" s="620"/>
      <c r="N473" s="620"/>
      <c r="O473" s="663" t="s">
        <v>1074</v>
      </c>
      <c r="P473" s="621"/>
      <c r="Q473" s="598"/>
      <c r="R473" s="598"/>
      <c r="S473" s="598"/>
      <c r="T473" s="598" t="s">
        <v>962</v>
      </c>
      <c r="U473" s="663" t="s">
        <v>488</v>
      </c>
      <c r="V473" s="616" t="s">
        <v>3831</v>
      </c>
      <c r="W473" s="598" t="s">
        <v>963</v>
      </c>
      <c r="X473" s="624">
        <v>30981</v>
      </c>
      <c r="Y473" s="625">
        <f t="shared" ca="1" si="5"/>
        <v>41</v>
      </c>
      <c r="Z473" s="654" t="s">
        <v>3832</v>
      </c>
      <c r="AA473" s="598" t="s">
        <v>3833</v>
      </c>
      <c r="AB473" s="598" t="s">
        <v>3834</v>
      </c>
      <c r="AC473" s="598" t="s">
        <v>953</v>
      </c>
      <c r="AD473" s="616" t="s">
        <v>246</v>
      </c>
      <c r="AE473" s="616" t="s">
        <v>246</v>
      </c>
      <c r="AF473" s="616" t="s">
        <v>3815</v>
      </c>
      <c r="AG473" s="598"/>
      <c r="AH473" s="598"/>
      <c r="AI473" s="598"/>
      <c r="AJ473" s="598"/>
      <c r="AK473" s="626">
        <v>-3</v>
      </c>
      <c r="AL473" s="626"/>
    </row>
    <row r="474" spans="1:38" ht="18" customHeight="1">
      <c r="A474" s="593"/>
      <c r="B474" s="598">
        <v>457</v>
      </c>
      <c r="C474" s="598" t="s">
        <v>3835</v>
      </c>
      <c r="D474" s="598">
        <f t="shared" si="3"/>
        <v>433</v>
      </c>
      <c r="E474" s="616" t="s">
        <v>3808</v>
      </c>
      <c r="F474" s="616" t="s">
        <v>246</v>
      </c>
      <c r="G474" s="618" t="s">
        <v>3810</v>
      </c>
      <c r="H474" s="618" t="s">
        <v>470</v>
      </c>
      <c r="I474" s="618" t="s">
        <v>3810</v>
      </c>
      <c r="J474" s="618" t="s">
        <v>3807</v>
      </c>
      <c r="K474" s="618" t="s">
        <v>3812</v>
      </c>
      <c r="L474" s="619" t="s">
        <v>3819</v>
      </c>
      <c r="M474" s="620"/>
      <c r="N474" s="620"/>
      <c r="O474" s="663" t="s">
        <v>1074</v>
      </c>
      <c r="P474" s="621"/>
      <c r="Q474" s="598"/>
      <c r="R474" s="598"/>
      <c r="S474" s="598"/>
      <c r="T474" s="598" t="s">
        <v>962</v>
      </c>
      <c r="U474" s="663" t="s">
        <v>3836</v>
      </c>
      <c r="V474" s="616" t="s">
        <v>3837</v>
      </c>
      <c r="W474" s="598" t="s">
        <v>963</v>
      </c>
      <c r="X474" s="624">
        <v>26339</v>
      </c>
      <c r="Y474" s="625">
        <f t="shared" ca="1" si="5"/>
        <v>53</v>
      </c>
      <c r="Z474" s="616" t="s">
        <v>3838</v>
      </c>
      <c r="AA474" s="598" t="s">
        <v>3839</v>
      </c>
      <c r="AB474" s="598" t="s">
        <v>966</v>
      </c>
      <c r="AC474" s="598" t="s">
        <v>953</v>
      </c>
      <c r="AD474" s="616" t="s">
        <v>246</v>
      </c>
      <c r="AE474" s="616" t="s">
        <v>246</v>
      </c>
      <c r="AF474" s="616" t="s">
        <v>3815</v>
      </c>
      <c r="AG474" s="598"/>
      <c r="AH474" s="598"/>
      <c r="AI474" s="598" t="s">
        <v>1011</v>
      </c>
      <c r="AJ474" s="598"/>
      <c r="AK474" s="626">
        <v>-3</v>
      </c>
      <c r="AL474" s="626"/>
    </row>
    <row r="475" spans="1:38" ht="18" customHeight="1">
      <c r="A475" s="593"/>
      <c r="B475" s="598">
        <v>458</v>
      </c>
      <c r="C475" s="598" t="s">
        <v>3868</v>
      </c>
      <c r="D475" s="598">
        <f t="shared" si="3"/>
        <v>434</v>
      </c>
      <c r="E475" s="616" t="s">
        <v>1810</v>
      </c>
      <c r="F475" s="616" t="s">
        <v>246</v>
      </c>
      <c r="G475" s="618" t="s">
        <v>3810</v>
      </c>
      <c r="H475" s="618" t="s">
        <v>470</v>
      </c>
      <c r="I475" s="618" t="s">
        <v>3810</v>
      </c>
      <c r="J475" s="618" t="s">
        <v>3807</v>
      </c>
      <c r="K475" s="618" t="s">
        <v>3812</v>
      </c>
      <c r="L475" s="619" t="s">
        <v>3819</v>
      </c>
      <c r="M475" s="620"/>
      <c r="N475" s="620"/>
      <c r="O475" s="663" t="s">
        <v>1074</v>
      </c>
      <c r="P475" s="621"/>
      <c r="Q475" s="598"/>
      <c r="R475" s="598"/>
      <c r="S475" s="598"/>
      <c r="T475" s="598" t="s">
        <v>962</v>
      </c>
      <c r="U475" s="663" t="s">
        <v>3869</v>
      </c>
      <c r="V475" s="616" t="s">
        <v>3870</v>
      </c>
      <c r="W475" s="598" t="s">
        <v>963</v>
      </c>
      <c r="X475" s="624">
        <v>22088</v>
      </c>
      <c r="Y475" s="625">
        <f t="shared" ca="1" si="5"/>
        <v>65</v>
      </c>
      <c r="Z475" s="616" t="s">
        <v>3871</v>
      </c>
      <c r="AA475" s="598" t="s">
        <v>3872</v>
      </c>
      <c r="AB475" s="598" t="s">
        <v>996</v>
      </c>
      <c r="AC475" s="598" t="s">
        <v>997</v>
      </c>
      <c r="AD475" s="616" t="s">
        <v>973</v>
      </c>
      <c r="AE475" s="616" t="s">
        <v>973</v>
      </c>
      <c r="AF475" s="616" t="s">
        <v>3509</v>
      </c>
      <c r="AG475" s="598"/>
      <c r="AH475" s="598"/>
      <c r="AI475" s="598" t="s">
        <v>1440</v>
      </c>
      <c r="AJ475" s="598" t="s">
        <v>3510</v>
      </c>
      <c r="AK475" s="626">
        <v>-3</v>
      </c>
      <c r="AL475" s="626"/>
    </row>
    <row r="476" spans="1:38" ht="18" customHeight="1">
      <c r="A476" s="593"/>
      <c r="B476" s="598">
        <v>459</v>
      </c>
      <c r="C476" s="598" t="s">
        <v>4768</v>
      </c>
      <c r="D476" s="598">
        <f t="shared" si="3"/>
        <v>435</v>
      </c>
      <c r="E476" s="616" t="s">
        <v>3808</v>
      </c>
      <c r="F476" s="616" t="s">
        <v>246</v>
      </c>
      <c r="G476" s="618" t="s">
        <v>3810</v>
      </c>
      <c r="H476" s="618" t="s">
        <v>470</v>
      </c>
      <c r="I476" s="618" t="s">
        <v>3810</v>
      </c>
      <c r="J476" s="618" t="s">
        <v>3807</v>
      </c>
      <c r="K476" s="618" t="s">
        <v>3812</v>
      </c>
      <c r="L476" s="619" t="s">
        <v>3819</v>
      </c>
      <c r="M476" s="620"/>
      <c r="N476" s="620"/>
      <c r="O476" s="663" t="s">
        <v>1074</v>
      </c>
      <c r="P476" s="621"/>
      <c r="Q476" s="598"/>
      <c r="R476" s="598"/>
      <c r="S476" s="598"/>
      <c r="T476" s="598" t="s">
        <v>962</v>
      </c>
      <c r="U476" s="663" t="s">
        <v>4769</v>
      </c>
      <c r="V476" s="616" t="s">
        <v>4770</v>
      </c>
      <c r="W476" s="598" t="s">
        <v>963</v>
      </c>
      <c r="X476" s="624">
        <v>31482</v>
      </c>
      <c r="Y476" s="625">
        <f t="shared" ca="1" si="5"/>
        <v>39</v>
      </c>
      <c r="Z476" s="654" t="s">
        <v>4771</v>
      </c>
      <c r="AA476" s="598"/>
      <c r="AB476" s="598" t="s">
        <v>996</v>
      </c>
      <c r="AC476" s="598" t="s">
        <v>1018</v>
      </c>
      <c r="AD476" s="616" t="s">
        <v>246</v>
      </c>
      <c r="AE476" s="616" t="s">
        <v>246</v>
      </c>
      <c r="AF476" s="616" t="s">
        <v>3815</v>
      </c>
      <c r="AG476" s="598"/>
      <c r="AH476" s="598" t="s">
        <v>3845</v>
      </c>
      <c r="AI476" s="598"/>
      <c r="AJ476" s="598" t="s">
        <v>1020</v>
      </c>
      <c r="AK476" s="626">
        <v>-3</v>
      </c>
      <c r="AL476" s="626"/>
    </row>
    <row r="477" spans="1:38" ht="18" customHeight="1">
      <c r="A477" s="593"/>
      <c r="B477" s="598">
        <v>460</v>
      </c>
      <c r="C477" s="598" t="s">
        <v>4772</v>
      </c>
      <c r="D477" s="598">
        <f t="shared" si="3"/>
        <v>436</v>
      </c>
      <c r="E477" s="616" t="s">
        <v>3808</v>
      </c>
      <c r="F477" s="616" t="s">
        <v>246</v>
      </c>
      <c r="G477" s="618" t="s">
        <v>3810</v>
      </c>
      <c r="H477" s="618" t="s">
        <v>470</v>
      </c>
      <c r="I477" s="618" t="s">
        <v>3810</v>
      </c>
      <c r="J477" s="618" t="s">
        <v>3807</v>
      </c>
      <c r="K477" s="618" t="s">
        <v>3812</v>
      </c>
      <c r="L477" s="619" t="s">
        <v>3819</v>
      </c>
      <c r="M477" s="620"/>
      <c r="N477" s="620"/>
      <c r="O477" s="663" t="s">
        <v>1074</v>
      </c>
      <c r="P477" s="621"/>
      <c r="Q477" s="598"/>
      <c r="R477" s="598"/>
      <c r="S477" s="598"/>
      <c r="T477" s="598" t="s">
        <v>962</v>
      </c>
      <c r="U477" s="663" t="s">
        <v>4773</v>
      </c>
      <c r="V477" s="616" t="s">
        <v>4774</v>
      </c>
      <c r="W477" s="598" t="s">
        <v>963</v>
      </c>
      <c r="X477" s="624">
        <v>32188</v>
      </c>
      <c r="Y477" s="625">
        <f t="shared" ca="1" si="5"/>
        <v>37</v>
      </c>
      <c r="Z477" s="616" t="s">
        <v>4775</v>
      </c>
      <c r="AA477" s="598"/>
      <c r="AB477" s="598" t="s">
        <v>996</v>
      </c>
      <c r="AC477" s="598" t="s">
        <v>1018</v>
      </c>
      <c r="AD477" s="616" t="s">
        <v>246</v>
      </c>
      <c r="AE477" s="616" t="s">
        <v>2934</v>
      </c>
      <c r="AF477" s="616" t="s">
        <v>2069</v>
      </c>
      <c r="AG477" s="598"/>
      <c r="AH477" s="598" t="s">
        <v>3845</v>
      </c>
      <c r="AI477" s="598" t="s">
        <v>1440</v>
      </c>
      <c r="AJ477" s="598" t="s">
        <v>1020</v>
      </c>
      <c r="AK477" s="626"/>
      <c r="AL477" s="626"/>
    </row>
    <row r="478" spans="1:38" ht="18" customHeight="1">
      <c r="A478" s="593"/>
      <c r="B478" s="598">
        <v>461</v>
      </c>
      <c r="C478" s="598" t="s">
        <v>3840</v>
      </c>
      <c r="D478" s="598">
        <f t="shared" si="3"/>
        <v>437</v>
      </c>
      <c r="E478" s="616" t="s">
        <v>3808</v>
      </c>
      <c r="F478" s="616" t="s">
        <v>246</v>
      </c>
      <c r="G478" s="618" t="s">
        <v>3810</v>
      </c>
      <c r="H478" s="618" t="s">
        <v>470</v>
      </c>
      <c r="I478" s="618" t="s">
        <v>3810</v>
      </c>
      <c r="J478" s="618" t="s">
        <v>3807</v>
      </c>
      <c r="K478" s="618" t="s">
        <v>3812</v>
      </c>
      <c r="L478" s="619" t="s">
        <v>3819</v>
      </c>
      <c r="M478" s="620"/>
      <c r="N478" s="620"/>
      <c r="O478" s="663" t="s">
        <v>1074</v>
      </c>
      <c r="P478" s="621"/>
      <c r="Q478" s="598"/>
      <c r="R478" s="598"/>
      <c r="S478" s="598"/>
      <c r="T478" s="598" t="s">
        <v>962</v>
      </c>
      <c r="U478" s="663" t="s">
        <v>3841</v>
      </c>
      <c r="V478" s="616" t="s">
        <v>3842</v>
      </c>
      <c r="W478" s="598" t="s">
        <v>963</v>
      </c>
      <c r="X478" s="624">
        <v>26922</v>
      </c>
      <c r="Y478" s="625">
        <f t="shared" ca="1" si="5"/>
        <v>52</v>
      </c>
      <c r="Z478" s="616" t="s">
        <v>3843</v>
      </c>
      <c r="AA478" s="598" t="s">
        <v>3844</v>
      </c>
      <c r="AB478" s="598" t="s">
        <v>996</v>
      </c>
      <c r="AC478" s="598" t="s">
        <v>953</v>
      </c>
      <c r="AD478" s="616" t="s">
        <v>246</v>
      </c>
      <c r="AE478" s="616" t="s">
        <v>246</v>
      </c>
      <c r="AF478" s="616" t="s">
        <v>3815</v>
      </c>
      <c r="AG478" s="598"/>
      <c r="AH478" s="598" t="s">
        <v>3845</v>
      </c>
      <c r="AI478" s="598"/>
      <c r="AJ478" s="598" t="s">
        <v>1020</v>
      </c>
      <c r="AK478" s="626">
        <v>-3</v>
      </c>
      <c r="AL478" s="626"/>
    </row>
    <row r="479" spans="1:38" ht="18" customHeight="1">
      <c r="A479" s="593"/>
      <c r="B479" s="598">
        <v>462</v>
      </c>
      <c r="C479" s="598" t="s">
        <v>4776</v>
      </c>
      <c r="D479" s="598">
        <f t="shared" si="3"/>
        <v>438</v>
      </c>
      <c r="E479" s="616" t="s">
        <v>3808</v>
      </c>
      <c r="F479" s="616" t="s">
        <v>246</v>
      </c>
      <c r="G479" s="618" t="s">
        <v>3810</v>
      </c>
      <c r="H479" s="618" t="s">
        <v>470</v>
      </c>
      <c r="I479" s="618" t="s">
        <v>3810</v>
      </c>
      <c r="J479" s="618" t="s">
        <v>3807</v>
      </c>
      <c r="K479" s="618" t="s">
        <v>3812</v>
      </c>
      <c r="L479" s="619" t="s">
        <v>3819</v>
      </c>
      <c r="M479" s="620"/>
      <c r="N479" s="620"/>
      <c r="O479" s="673" t="s">
        <v>1074</v>
      </c>
      <c r="P479" s="621"/>
      <c r="Q479" s="598"/>
      <c r="R479" s="598"/>
      <c r="S479" s="598"/>
      <c r="T479" s="598" t="s">
        <v>962</v>
      </c>
      <c r="U479" s="673" t="s">
        <v>4777</v>
      </c>
      <c r="V479" s="616" t="s">
        <v>4778</v>
      </c>
      <c r="W479" s="598" t="s">
        <v>963</v>
      </c>
      <c r="X479" s="624">
        <v>27828</v>
      </c>
      <c r="Y479" s="625">
        <f t="shared" ca="1" si="5"/>
        <v>49</v>
      </c>
      <c r="Z479" s="616" t="s">
        <v>4779</v>
      </c>
      <c r="AA479" s="598"/>
      <c r="AB479" s="598" t="s">
        <v>996</v>
      </c>
      <c r="AC479" s="598" t="s">
        <v>997</v>
      </c>
      <c r="AD479" s="616" t="s">
        <v>246</v>
      </c>
      <c r="AE479" s="616" t="s">
        <v>246</v>
      </c>
      <c r="AF479" s="616" t="s">
        <v>3815</v>
      </c>
      <c r="AG479" s="598"/>
      <c r="AH479" s="598" t="s">
        <v>3845</v>
      </c>
      <c r="AI479" s="598"/>
      <c r="AJ479" s="598" t="s">
        <v>1020</v>
      </c>
      <c r="AK479" s="626">
        <v>-3</v>
      </c>
      <c r="AL479" s="626"/>
    </row>
    <row r="480" spans="1:38" ht="18" customHeight="1">
      <c r="A480" s="593"/>
      <c r="B480" s="598">
        <v>463</v>
      </c>
      <c r="C480" s="598" t="s">
        <v>3886</v>
      </c>
      <c r="D480" s="598">
        <f t="shared" si="3"/>
        <v>439</v>
      </c>
      <c r="E480" s="616" t="s">
        <v>3808</v>
      </c>
      <c r="F480" s="616" t="s">
        <v>246</v>
      </c>
      <c r="G480" s="618" t="s">
        <v>3810</v>
      </c>
      <c r="H480" s="618" t="s">
        <v>470</v>
      </c>
      <c r="I480" s="618" t="s">
        <v>3810</v>
      </c>
      <c r="J480" s="618" t="s">
        <v>3886</v>
      </c>
      <c r="K480" s="618" t="s">
        <v>3887</v>
      </c>
      <c r="L480" s="619" t="s">
        <v>3888</v>
      </c>
      <c r="M480" s="620" t="s">
        <v>3956</v>
      </c>
      <c r="N480" s="620"/>
      <c r="O480" s="667" t="s">
        <v>1115</v>
      </c>
      <c r="P480" s="621"/>
      <c r="Q480" s="598" t="s">
        <v>55</v>
      </c>
      <c r="R480" s="598" t="s">
        <v>55</v>
      </c>
      <c r="S480" s="598"/>
      <c r="T480" s="598" t="s">
        <v>1090</v>
      </c>
      <c r="U480" s="667" t="s">
        <v>471</v>
      </c>
      <c r="V480" s="616" t="s">
        <v>3889</v>
      </c>
      <c r="W480" s="598" t="s">
        <v>950</v>
      </c>
      <c r="X480" s="624">
        <v>17838</v>
      </c>
      <c r="Y480" s="625">
        <f t="shared" ca="1" si="5"/>
        <v>77</v>
      </c>
      <c r="Z480" s="616" t="s">
        <v>3890</v>
      </c>
      <c r="AA480" s="598" t="s">
        <v>3891</v>
      </c>
      <c r="AB480" s="598" t="s">
        <v>966</v>
      </c>
      <c r="AC480" s="598" t="s">
        <v>953</v>
      </c>
      <c r="AD480" s="616" t="s">
        <v>246</v>
      </c>
      <c r="AE480" s="616" t="s">
        <v>246</v>
      </c>
      <c r="AF480" s="616" t="s">
        <v>3815</v>
      </c>
      <c r="AG480" s="598"/>
      <c r="AH480" s="598"/>
      <c r="AI480" s="598"/>
      <c r="AJ480" s="598"/>
      <c r="AK480" s="626">
        <v>-3</v>
      </c>
      <c r="AL480" s="626"/>
    </row>
    <row r="481" spans="1:38" ht="18" customHeight="1">
      <c r="A481" s="593"/>
      <c r="B481" s="598">
        <v>464</v>
      </c>
      <c r="C481" s="598" t="s">
        <v>3887</v>
      </c>
      <c r="D481" s="598">
        <f t="shared" si="3"/>
        <v>440</v>
      </c>
      <c r="E481" s="616" t="s">
        <v>3808</v>
      </c>
      <c r="F481" s="616" t="s">
        <v>246</v>
      </c>
      <c r="G481" s="618" t="s">
        <v>3810</v>
      </c>
      <c r="H481" s="618" t="s">
        <v>470</v>
      </c>
      <c r="I481" s="618" t="s">
        <v>3810</v>
      </c>
      <c r="J481" s="618" t="s">
        <v>3886</v>
      </c>
      <c r="K481" s="618" t="s">
        <v>3887</v>
      </c>
      <c r="L481" s="619" t="s">
        <v>3888</v>
      </c>
      <c r="M481" s="620" t="s">
        <v>3956</v>
      </c>
      <c r="N481" s="620"/>
      <c r="O481" s="663" t="s">
        <v>1115</v>
      </c>
      <c r="P481" s="621"/>
      <c r="Q481" s="598" t="s">
        <v>69</v>
      </c>
      <c r="R481" s="598" t="s">
        <v>69</v>
      </c>
      <c r="S481" s="598"/>
      <c r="T481" s="598" t="s">
        <v>1090</v>
      </c>
      <c r="U481" s="663" t="s">
        <v>479</v>
      </c>
      <c r="V481" s="616" t="s">
        <v>3892</v>
      </c>
      <c r="W481" s="598" t="s">
        <v>950</v>
      </c>
      <c r="X481" s="624">
        <v>19108</v>
      </c>
      <c r="Y481" s="625">
        <f t="shared" ca="1" si="5"/>
        <v>73</v>
      </c>
      <c r="Z481" s="616" t="s">
        <v>3893</v>
      </c>
      <c r="AA481" s="598" t="s">
        <v>3894</v>
      </c>
      <c r="AB481" s="598" t="s">
        <v>966</v>
      </c>
      <c r="AC481" s="598" t="s">
        <v>953</v>
      </c>
      <c r="AD481" s="616" t="s">
        <v>246</v>
      </c>
      <c r="AE481" s="616" t="s">
        <v>246</v>
      </c>
      <c r="AF481" s="616" t="s">
        <v>3815</v>
      </c>
      <c r="AG481" s="598"/>
      <c r="AH481" s="598"/>
      <c r="AI481" s="598"/>
      <c r="AJ481" s="598"/>
      <c r="AK481" s="626">
        <v>-3</v>
      </c>
      <c r="AL481" s="626"/>
    </row>
    <row r="482" spans="1:38" ht="18" customHeight="1">
      <c r="A482" s="593"/>
      <c r="B482" s="598">
        <v>41</v>
      </c>
      <c r="C482" s="598" t="s">
        <v>3888</v>
      </c>
      <c r="D482" s="598">
        <f t="shared" si="3"/>
        <v>441</v>
      </c>
      <c r="E482" s="616" t="s">
        <v>3808</v>
      </c>
      <c r="F482" s="616" t="s">
        <v>246</v>
      </c>
      <c r="G482" s="618" t="s">
        <v>3810</v>
      </c>
      <c r="H482" s="618" t="s">
        <v>470</v>
      </c>
      <c r="I482" s="618" t="s">
        <v>3810</v>
      </c>
      <c r="J482" s="618" t="s">
        <v>3886</v>
      </c>
      <c r="K482" s="618" t="s">
        <v>3887</v>
      </c>
      <c r="L482" s="619" t="s">
        <v>3888</v>
      </c>
      <c r="M482" s="620" t="s">
        <v>3956</v>
      </c>
      <c r="N482" s="620"/>
      <c r="O482" s="663" t="s">
        <v>1127</v>
      </c>
      <c r="P482" s="621"/>
      <c r="Q482" s="598" t="s">
        <v>69</v>
      </c>
      <c r="R482" s="598" t="s">
        <v>69</v>
      </c>
      <c r="S482" s="598"/>
      <c r="T482" s="623" t="s">
        <v>1090</v>
      </c>
      <c r="U482" s="663" t="s">
        <v>94</v>
      </c>
      <c r="V482" s="674" t="s">
        <v>3895</v>
      </c>
      <c r="W482" s="598" t="s">
        <v>950</v>
      </c>
      <c r="X482" s="624">
        <v>19466</v>
      </c>
      <c r="Y482" s="625">
        <f t="shared" ca="1" si="5"/>
        <v>72</v>
      </c>
      <c r="Z482" s="616" t="s">
        <v>3896</v>
      </c>
      <c r="AA482" s="598" t="s">
        <v>3897</v>
      </c>
      <c r="AB482" s="598" t="s">
        <v>966</v>
      </c>
      <c r="AC482" s="598" t="s">
        <v>953</v>
      </c>
      <c r="AD482" s="616" t="s">
        <v>973</v>
      </c>
      <c r="AE482" s="616" t="s">
        <v>954</v>
      </c>
      <c r="AF482" s="616" t="s">
        <v>968</v>
      </c>
      <c r="AG482" s="598"/>
      <c r="AH482" s="598"/>
      <c r="AI482" s="598"/>
      <c r="AJ482" s="598"/>
      <c r="AK482" s="626"/>
      <c r="AL482" s="626"/>
    </row>
    <row r="483" spans="1:38" ht="18" customHeight="1">
      <c r="A483" s="593"/>
      <c r="B483" s="598">
        <v>466</v>
      </c>
      <c r="C483" s="598" t="s">
        <v>3956</v>
      </c>
      <c r="D483" s="598">
        <f t="shared" si="3"/>
        <v>442</v>
      </c>
      <c r="E483" s="616" t="s">
        <v>3808</v>
      </c>
      <c r="F483" s="616" t="s">
        <v>246</v>
      </c>
      <c r="G483" s="618" t="s">
        <v>3810</v>
      </c>
      <c r="H483" s="618" t="s">
        <v>470</v>
      </c>
      <c r="I483" s="618" t="s">
        <v>3810</v>
      </c>
      <c r="J483" s="618" t="s">
        <v>3886</v>
      </c>
      <c r="K483" s="618" t="s">
        <v>3887</v>
      </c>
      <c r="L483" s="619" t="s">
        <v>3888</v>
      </c>
      <c r="M483" s="620" t="s">
        <v>3956</v>
      </c>
      <c r="N483" s="620"/>
      <c r="O483" s="663" t="s">
        <v>1115</v>
      </c>
      <c r="P483" s="621"/>
      <c r="Q483" s="598" t="s">
        <v>69</v>
      </c>
      <c r="R483" s="598" t="s">
        <v>69</v>
      </c>
      <c r="S483" s="598"/>
      <c r="T483" s="598" t="s">
        <v>1015</v>
      </c>
      <c r="U483" s="663" t="s">
        <v>489</v>
      </c>
      <c r="V483" s="616" t="s">
        <v>3960</v>
      </c>
      <c r="W483" s="598" t="s">
        <v>950</v>
      </c>
      <c r="X483" s="624">
        <v>22921</v>
      </c>
      <c r="Y483" s="625">
        <f t="shared" ca="1" si="5"/>
        <v>63</v>
      </c>
      <c r="Z483" s="616" t="s">
        <v>3961</v>
      </c>
      <c r="AA483" s="598" t="s">
        <v>3962</v>
      </c>
      <c r="AB483" s="598" t="s">
        <v>966</v>
      </c>
      <c r="AC483" s="598" t="s">
        <v>953</v>
      </c>
      <c r="AD483" s="616" t="s">
        <v>246</v>
      </c>
      <c r="AE483" s="616" t="s">
        <v>246</v>
      </c>
      <c r="AF483" s="616" t="s">
        <v>3815</v>
      </c>
      <c r="AG483" s="598"/>
      <c r="AH483" s="598"/>
      <c r="AI483" s="598"/>
      <c r="AJ483" s="598"/>
      <c r="AK483" s="626">
        <v>-3</v>
      </c>
      <c r="AL483" s="626"/>
    </row>
    <row r="484" spans="1:38" ht="18" customHeight="1">
      <c r="A484" s="593"/>
      <c r="B484" s="598">
        <v>467</v>
      </c>
      <c r="C484" s="598" t="s">
        <v>3898</v>
      </c>
      <c r="D484" s="598">
        <f t="shared" si="3"/>
        <v>443</v>
      </c>
      <c r="E484" s="616" t="s">
        <v>3808</v>
      </c>
      <c r="F484" s="616" t="s">
        <v>246</v>
      </c>
      <c r="G484" s="618" t="s">
        <v>3810</v>
      </c>
      <c r="H484" s="618" t="s">
        <v>470</v>
      </c>
      <c r="I484" s="618" t="s">
        <v>3810</v>
      </c>
      <c r="J484" s="618" t="s">
        <v>3886</v>
      </c>
      <c r="K484" s="618" t="s">
        <v>3887</v>
      </c>
      <c r="L484" s="619" t="s">
        <v>3888</v>
      </c>
      <c r="M484" s="620" t="s">
        <v>3956</v>
      </c>
      <c r="N484" s="620"/>
      <c r="O484" s="663" t="s">
        <v>1115</v>
      </c>
      <c r="P484" s="621"/>
      <c r="Q484" s="598"/>
      <c r="R484" s="598"/>
      <c r="S484" s="598"/>
      <c r="T484" s="598" t="s">
        <v>1090</v>
      </c>
      <c r="U484" s="663" t="s">
        <v>493</v>
      </c>
      <c r="V484" s="616" t="s">
        <v>3899</v>
      </c>
      <c r="W484" s="598" t="s">
        <v>950</v>
      </c>
      <c r="X484" s="624">
        <v>18123</v>
      </c>
      <c r="Y484" s="625">
        <f t="shared" ca="1" si="5"/>
        <v>76</v>
      </c>
      <c r="Z484" s="616" t="s">
        <v>3900</v>
      </c>
      <c r="AA484" s="598" t="s">
        <v>3901</v>
      </c>
      <c r="AB484" s="598" t="s">
        <v>966</v>
      </c>
      <c r="AC484" s="598" t="s">
        <v>953</v>
      </c>
      <c r="AD484" s="616" t="s">
        <v>246</v>
      </c>
      <c r="AE484" s="616" t="s">
        <v>246</v>
      </c>
      <c r="AF484" s="616" t="s">
        <v>3815</v>
      </c>
      <c r="AG484" s="598"/>
      <c r="AH484" s="598"/>
      <c r="AI484" s="598"/>
      <c r="AJ484" s="598"/>
      <c r="AK484" s="626">
        <v>-3</v>
      </c>
      <c r="AL484" s="626"/>
    </row>
    <row r="485" spans="1:38" ht="18" customHeight="1">
      <c r="A485" s="593"/>
      <c r="B485" s="598">
        <v>468</v>
      </c>
      <c r="C485" s="598" t="s">
        <v>3902</v>
      </c>
      <c r="D485" s="598">
        <f t="shared" si="3"/>
        <v>444</v>
      </c>
      <c r="E485" s="616" t="s">
        <v>3808</v>
      </c>
      <c r="F485" s="616" t="s">
        <v>246</v>
      </c>
      <c r="G485" s="618" t="s">
        <v>3810</v>
      </c>
      <c r="H485" s="618" t="s">
        <v>470</v>
      </c>
      <c r="I485" s="618" t="s">
        <v>3810</v>
      </c>
      <c r="J485" s="618" t="s">
        <v>3886</v>
      </c>
      <c r="K485" s="618" t="s">
        <v>3887</v>
      </c>
      <c r="L485" s="619" t="s">
        <v>3888</v>
      </c>
      <c r="M485" s="620" t="s">
        <v>3956</v>
      </c>
      <c r="N485" s="620"/>
      <c r="O485" s="663" t="s">
        <v>1115</v>
      </c>
      <c r="P485" s="621"/>
      <c r="Q485" s="598"/>
      <c r="R485" s="598"/>
      <c r="S485" s="598"/>
      <c r="T485" s="598" t="s">
        <v>1090</v>
      </c>
      <c r="U485" s="663" t="s">
        <v>500</v>
      </c>
      <c r="V485" s="616" t="s">
        <v>3903</v>
      </c>
      <c r="W485" s="598" t="s">
        <v>950</v>
      </c>
      <c r="X485" s="624">
        <v>20191</v>
      </c>
      <c r="Y485" s="625">
        <f t="shared" ca="1" si="5"/>
        <v>70</v>
      </c>
      <c r="Z485" s="616">
        <v>77774810054</v>
      </c>
      <c r="AA485" s="598" t="s">
        <v>3904</v>
      </c>
      <c r="AB485" s="598" t="s">
        <v>966</v>
      </c>
      <c r="AC485" s="598" t="s">
        <v>953</v>
      </c>
      <c r="AD485" s="616" t="s">
        <v>246</v>
      </c>
      <c r="AE485" s="616" t="s">
        <v>246</v>
      </c>
      <c r="AF485" s="616" t="s">
        <v>3815</v>
      </c>
      <c r="AG485" s="598"/>
      <c r="AH485" s="598"/>
      <c r="AI485" s="598"/>
      <c r="AJ485" s="598"/>
      <c r="AK485" s="626">
        <v>-3</v>
      </c>
      <c r="AL485" s="626"/>
    </row>
    <row r="486" spans="1:38" ht="18" customHeight="1">
      <c r="A486" s="593"/>
      <c r="B486" s="598">
        <v>476</v>
      </c>
      <c r="C486" s="598" t="s">
        <v>3905</v>
      </c>
      <c r="D486" s="598">
        <f t="shared" si="3"/>
        <v>445</v>
      </c>
      <c r="E486" s="616" t="s">
        <v>3808</v>
      </c>
      <c r="F486" s="616" t="s">
        <v>246</v>
      </c>
      <c r="G486" s="618" t="s">
        <v>3810</v>
      </c>
      <c r="H486" s="618" t="s">
        <v>470</v>
      </c>
      <c r="I486" s="618" t="s">
        <v>3810</v>
      </c>
      <c r="J486" s="618" t="s">
        <v>3886</v>
      </c>
      <c r="K486" s="618" t="s">
        <v>3887</v>
      </c>
      <c r="L486" s="619" t="s">
        <v>3888</v>
      </c>
      <c r="M486" s="620" t="s">
        <v>3956</v>
      </c>
      <c r="N486" s="620"/>
      <c r="O486" s="663" t="s">
        <v>1127</v>
      </c>
      <c r="P486" s="621"/>
      <c r="Q486" s="598"/>
      <c r="R486" s="598"/>
      <c r="S486" s="598"/>
      <c r="T486" s="598" t="s">
        <v>1015</v>
      </c>
      <c r="U486" s="663" t="s">
        <v>490</v>
      </c>
      <c r="V486" s="616" t="s">
        <v>3906</v>
      </c>
      <c r="W486" s="598" t="s">
        <v>950</v>
      </c>
      <c r="X486" s="624">
        <v>20639</v>
      </c>
      <c r="Y486" s="625">
        <f t="shared" ca="1" si="5"/>
        <v>69</v>
      </c>
      <c r="Z486" s="616" t="s">
        <v>3907</v>
      </c>
      <c r="AA486" s="598" t="s">
        <v>3908</v>
      </c>
      <c r="AB486" s="598" t="s">
        <v>996</v>
      </c>
      <c r="AC486" s="598" t="s">
        <v>953</v>
      </c>
      <c r="AD486" s="616" t="s">
        <v>246</v>
      </c>
      <c r="AE486" s="616" t="s">
        <v>246</v>
      </c>
      <c r="AF486" s="616" t="s">
        <v>3815</v>
      </c>
      <c r="AG486" s="598"/>
      <c r="AH486" s="598"/>
      <c r="AI486" s="598"/>
      <c r="AJ486" s="598"/>
      <c r="AK486" s="626">
        <v>-3</v>
      </c>
      <c r="AL486" s="626"/>
    </row>
    <row r="487" spans="1:38" ht="18" customHeight="1">
      <c r="A487" s="593"/>
      <c r="B487" s="598">
        <v>469</v>
      </c>
      <c r="C487" s="598" t="s">
        <v>3909</v>
      </c>
      <c r="D487" s="598">
        <f t="shared" si="3"/>
        <v>446</v>
      </c>
      <c r="E487" s="616" t="s">
        <v>3808</v>
      </c>
      <c r="F487" s="616" t="s">
        <v>246</v>
      </c>
      <c r="G487" s="618" t="s">
        <v>3810</v>
      </c>
      <c r="H487" s="618" t="s">
        <v>470</v>
      </c>
      <c r="I487" s="618" t="s">
        <v>3810</v>
      </c>
      <c r="J487" s="618" t="s">
        <v>3886</v>
      </c>
      <c r="K487" s="618" t="s">
        <v>3887</v>
      </c>
      <c r="L487" s="619" t="s">
        <v>3888</v>
      </c>
      <c r="M487" s="620" t="s">
        <v>3956</v>
      </c>
      <c r="N487" s="620"/>
      <c r="O487" s="663" t="s">
        <v>1115</v>
      </c>
      <c r="P487" s="621"/>
      <c r="Q487" s="598"/>
      <c r="R487" s="598"/>
      <c r="S487" s="598"/>
      <c r="T487" s="598" t="s">
        <v>1015</v>
      </c>
      <c r="U487" s="663" t="s">
        <v>501</v>
      </c>
      <c r="V487" s="616" t="s">
        <v>3910</v>
      </c>
      <c r="W487" s="598" t="s">
        <v>950</v>
      </c>
      <c r="X487" s="624">
        <v>20487</v>
      </c>
      <c r="Y487" s="625">
        <f t="shared" ca="1" si="5"/>
        <v>69</v>
      </c>
      <c r="Z487" s="616" t="s">
        <v>3911</v>
      </c>
      <c r="AA487" s="742"/>
      <c r="AB487" s="598" t="s">
        <v>996</v>
      </c>
      <c r="AC487" s="598" t="s">
        <v>953</v>
      </c>
      <c r="AD487" s="616" t="s">
        <v>246</v>
      </c>
      <c r="AE487" s="616" t="s">
        <v>246</v>
      </c>
      <c r="AF487" s="616" t="s">
        <v>3815</v>
      </c>
      <c r="AG487" s="598"/>
      <c r="AH487" s="598" t="s">
        <v>3912</v>
      </c>
      <c r="AI487" s="598"/>
      <c r="AJ487" s="598" t="s">
        <v>3913</v>
      </c>
      <c r="AK487" s="626">
        <v>-3</v>
      </c>
      <c r="AL487" s="626"/>
    </row>
    <row r="488" spans="1:38" ht="18" customHeight="1">
      <c r="A488" s="593"/>
      <c r="B488" s="598">
        <v>470</v>
      </c>
      <c r="C488" s="598" t="s">
        <v>4780</v>
      </c>
      <c r="D488" s="598">
        <f t="shared" si="3"/>
        <v>447</v>
      </c>
      <c r="E488" s="616" t="s">
        <v>3808</v>
      </c>
      <c r="F488" s="616" t="s">
        <v>246</v>
      </c>
      <c r="G488" s="618" t="s">
        <v>3810</v>
      </c>
      <c r="H488" s="618" t="s">
        <v>470</v>
      </c>
      <c r="I488" s="618" t="s">
        <v>3810</v>
      </c>
      <c r="J488" s="618" t="s">
        <v>3886</v>
      </c>
      <c r="K488" s="618" t="s">
        <v>3887</v>
      </c>
      <c r="L488" s="619" t="s">
        <v>3888</v>
      </c>
      <c r="M488" s="620" t="s">
        <v>3956</v>
      </c>
      <c r="N488" s="620"/>
      <c r="O488" s="663" t="s">
        <v>1115</v>
      </c>
      <c r="P488" s="621"/>
      <c r="Q488" s="598"/>
      <c r="R488" s="598"/>
      <c r="S488" s="598"/>
      <c r="T488" s="598" t="s">
        <v>1015</v>
      </c>
      <c r="U488" s="663" t="s">
        <v>4781</v>
      </c>
      <c r="V488" s="616" t="s">
        <v>4782</v>
      </c>
      <c r="W488" s="598" t="s">
        <v>950</v>
      </c>
      <c r="X488" s="624">
        <v>26857</v>
      </c>
      <c r="Y488" s="625">
        <f t="shared" ca="1" si="5"/>
        <v>52</v>
      </c>
      <c r="Z488" s="616" t="s">
        <v>4783</v>
      </c>
      <c r="AA488" s="652"/>
      <c r="AB488" s="598" t="s">
        <v>996</v>
      </c>
      <c r="AC488" s="598" t="s">
        <v>997</v>
      </c>
      <c r="AD488" s="616" t="s">
        <v>246</v>
      </c>
      <c r="AE488" s="616" t="s">
        <v>246</v>
      </c>
      <c r="AF488" s="616" t="s">
        <v>3815</v>
      </c>
      <c r="AG488" s="598"/>
      <c r="AH488" s="598" t="s">
        <v>3845</v>
      </c>
      <c r="AI488" s="598"/>
      <c r="AJ488" s="598" t="s">
        <v>1020</v>
      </c>
      <c r="AK488" s="626">
        <v>-3</v>
      </c>
      <c r="AL488" s="626"/>
    </row>
    <row r="489" spans="1:38" ht="18" customHeight="1">
      <c r="A489" s="593"/>
      <c r="B489" s="598">
        <v>471</v>
      </c>
      <c r="C489" s="598" t="s">
        <v>4784</v>
      </c>
      <c r="D489" s="598">
        <f t="shared" si="3"/>
        <v>448</v>
      </c>
      <c r="E489" s="616" t="s">
        <v>3808</v>
      </c>
      <c r="F489" s="616" t="s">
        <v>246</v>
      </c>
      <c r="G489" s="618" t="s">
        <v>3810</v>
      </c>
      <c r="H489" s="618" t="s">
        <v>470</v>
      </c>
      <c r="I489" s="618" t="s">
        <v>3810</v>
      </c>
      <c r="J489" s="618" t="s">
        <v>3886</v>
      </c>
      <c r="K489" s="618" t="s">
        <v>3887</v>
      </c>
      <c r="L489" s="619" t="s">
        <v>3888</v>
      </c>
      <c r="M489" s="620" t="s">
        <v>3956</v>
      </c>
      <c r="N489" s="620"/>
      <c r="O489" s="663" t="s">
        <v>1115</v>
      </c>
      <c r="P489" s="621"/>
      <c r="Q489" s="598"/>
      <c r="R489" s="598"/>
      <c r="S489" s="598"/>
      <c r="T489" s="598" t="s">
        <v>1015</v>
      </c>
      <c r="U489" s="663" t="s">
        <v>4785</v>
      </c>
      <c r="V489" s="616" t="s">
        <v>4786</v>
      </c>
      <c r="W489" s="598" t="s">
        <v>950</v>
      </c>
      <c r="X489" s="624">
        <v>27734</v>
      </c>
      <c r="Y489" s="625">
        <f t="shared" ca="1" si="5"/>
        <v>50</v>
      </c>
      <c r="Z489" s="616" t="s">
        <v>4787</v>
      </c>
      <c r="AA489" s="598"/>
      <c r="AB489" s="598" t="s">
        <v>996</v>
      </c>
      <c r="AC489" s="598" t="s">
        <v>997</v>
      </c>
      <c r="AD489" s="616" t="s">
        <v>246</v>
      </c>
      <c r="AE489" s="616" t="s">
        <v>246</v>
      </c>
      <c r="AF489" s="616" t="s">
        <v>3815</v>
      </c>
      <c r="AG489" s="598"/>
      <c r="AH489" s="598" t="s">
        <v>4788</v>
      </c>
      <c r="AI489" s="598"/>
      <c r="AJ489" s="598"/>
      <c r="AK489" s="626">
        <v>-3</v>
      </c>
      <c r="AL489" s="626"/>
    </row>
    <row r="490" spans="1:38" ht="18" customHeight="1">
      <c r="A490" s="593"/>
      <c r="B490" s="598">
        <v>472</v>
      </c>
      <c r="C490" s="598" t="s">
        <v>4789</v>
      </c>
      <c r="D490" s="598">
        <f t="shared" si="3"/>
        <v>449</v>
      </c>
      <c r="E490" s="616" t="s">
        <v>3808</v>
      </c>
      <c r="F490" s="616" t="s">
        <v>246</v>
      </c>
      <c r="G490" s="618" t="s">
        <v>3810</v>
      </c>
      <c r="H490" s="618" t="s">
        <v>470</v>
      </c>
      <c r="I490" s="618" t="s">
        <v>3810</v>
      </c>
      <c r="J490" s="618" t="s">
        <v>3886</v>
      </c>
      <c r="K490" s="618" t="s">
        <v>3887</v>
      </c>
      <c r="L490" s="619" t="s">
        <v>3888</v>
      </c>
      <c r="M490" s="620" t="s">
        <v>3956</v>
      </c>
      <c r="N490" s="620"/>
      <c r="O490" s="673" t="s">
        <v>1115</v>
      </c>
      <c r="P490" s="621"/>
      <c r="Q490" s="598"/>
      <c r="R490" s="598"/>
      <c r="S490" s="598"/>
      <c r="T490" s="598" t="s">
        <v>992</v>
      </c>
      <c r="U490" s="673" t="s">
        <v>4790</v>
      </c>
      <c r="V490" s="616" t="s">
        <v>4791</v>
      </c>
      <c r="W490" s="598" t="s">
        <v>950</v>
      </c>
      <c r="X490" s="624">
        <v>36934</v>
      </c>
      <c r="Y490" s="625">
        <f t="shared" ca="1" si="5"/>
        <v>24</v>
      </c>
      <c r="Z490" s="616" t="s">
        <v>4792</v>
      </c>
      <c r="AA490" s="652"/>
      <c r="AB490" s="598" t="s">
        <v>996</v>
      </c>
      <c r="AC490" s="598" t="s">
        <v>997</v>
      </c>
      <c r="AD490" s="616" t="s">
        <v>246</v>
      </c>
      <c r="AE490" s="616" t="s">
        <v>246</v>
      </c>
      <c r="AF490" s="616" t="s">
        <v>3815</v>
      </c>
      <c r="AG490" s="598"/>
      <c r="AH490" s="598" t="s">
        <v>3845</v>
      </c>
      <c r="AI490" s="598"/>
      <c r="AJ490" s="598" t="s">
        <v>1020</v>
      </c>
      <c r="AK490" s="626">
        <v>-3</v>
      </c>
      <c r="AL490" s="626"/>
    </row>
    <row r="491" spans="1:38" ht="18" customHeight="1">
      <c r="A491" s="593"/>
      <c r="B491" s="598">
        <v>473</v>
      </c>
      <c r="C491" s="598" t="s">
        <v>3914</v>
      </c>
      <c r="D491" s="598">
        <f t="shared" si="3"/>
        <v>449</v>
      </c>
      <c r="E491" s="616"/>
      <c r="F491" s="616" t="s">
        <v>246</v>
      </c>
      <c r="G491" s="618" t="s">
        <v>3810</v>
      </c>
      <c r="H491" s="618" t="s">
        <v>470</v>
      </c>
      <c r="I491" s="618" t="s">
        <v>3810</v>
      </c>
      <c r="J491" s="618" t="s">
        <v>3914</v>
      </c>
      <c r="K491" s="618" t="s">
        <v>4043</v>
      </c>
      <c r="L491" s="619"/>
      <c r="M491" s="620"/>
      <c r="N491" s="620"/>
      <c r="O491" s="667" t="s">
        <v>1127</v>
      </c>
      <c r="P491" s="621"/>
      <c r="Q491" s="598" t="s">
        <v>55</v>
      </c>
      <c r="R491" s="598" t="s">
        <v>178</v>
      </c>
      <c r="S491" s="598"/>
      <c r="T491" s="598"/>
      <c r="U491" s="667" t="s">
        <v>477</v>
      </c>
      <c r="V491" s="616" t="s">
        <v>3915</v>
      </c>
      <c r="W491" s="598" t="s">
        <v>950</v>
      </c>
      <c r="X491" s="624">
        <v>19031</v>
      </c>
      <c r="Y491" s="625">
        <f t="shared" ca="1" si="5"/>
        <v>73</v>
      </c>
      <c r="Z491" s="616" t="s">
        <v>3916</v>
      </c>
      <c r="AA491" s="598"/>
      <c r="AB491" s="598" t="s">
        <v>966</v>
      </c>
      <c r="AC491" s="598" t="s">
        <v>953</v>
      </c>
      <c r="AD491" s="616" t="s">
        <v>246</v>
      </c>
      <c r="AE491" s="616" t="s">
        <v>246</v>
      </c>
      <c r="AF491" s="616" t="s">
        <v>3815</v>
      </c>
      <c r="AG491" s="598" t="s">
        <v>955</v>
      </c>
      <c r="AH491" s="598"/>
      <c r="AI491" s="598"/>
      <c r="AJ491" s="598"/>
      <c r="AK491" s="626"/>
      <c r="AL491" s="626"/>
    </row>
    <row r="492" spans="1:38" ht="18" customHeight="1">
      <c r="A492" s="593"/>
      <c r="B492" s="598">
        <v>474</v>
      </c>
      <c r="C492" s="598" t="s">
        <v>4043</v>
      </c>
      <c r="D492" s="598">
        <f t="shared" si="3"/>
        <v>450</v>
      </c>
      <c r="E492" s="616" t="s">
        <v>3808</v>
      </c>
      <c r="F492" s="616" t="s">
        <v>246</v>
      </c>
      <c r="G492" s="618" t="s">
        <v>3810</v>
      </c>
      <c r="H492" s="618" t="s">
        <v>470</v>
      </c>
      <c r="I492" s="618" t="s">
        <v>3810</v>
      </c>
      <c r="J492" s="618" t="s">
        <v>3914</v>
      </c>
      <c r="K492" s="618" t="s">
        <v>4043</v>
      </c>
      <c r="L492" s="619"/>
      <c r="M492" s="620"/>
      <c r="N492" s="620"/>
      <c r="O492" s="663" t="s">
        <v>1127</v>
      </c>
      <c r="P492" s="621"/>
      <c r="Q492" s="598" t="s">
        <v>69</v>
      </c>
      <c r="R492" s="598" t="s">
        <v>69</v>
      </c>
      <c r="S492" s="598"/>
      <c r="T492" s="598" t="s">
        <v>1015</v>
      </c>
      <c r="U492" s="663" t="s">
        <v>4047</v>
      </c>
      <c r="V492" s="616" t="s">
        <v>4048</v>
      </c>
      <c r="W492" s="598" t="s">
        <v>950</v>
      </c>
      <c r="X492" s="624">
        <v>20886</v>
      </c>
      <c r="Y492" s="625">
        <f t="shared" ca="1" si="5"/>
        <v>68</v>
      </c>
      <c r="Z492" s="654" t="s">
        <v>4049</v>
      </c>
      <c r="AA492" s="598" t="s">
        <v>4050</v>
      </c>
      <c r="AB492" s="598" t="s">
        <v>996</v>
      </c>
      <c r="AC492" s="598" t="s">
        <v>997</v>
      </c>
      <c r="AD492" s="616" t="s">
        <v>246</v>
      </c>
      <c r="AE492" s="616" t="s">
        <v>246</v>
      </c>
      <c r="AF492" s="653" t="s">
        <v>3824</v>
      </c>
      <c r="AG492" s="598"/>
      <c r="AH492" s="598"/>
      <c r="AI492" s="598" t="s">
        <v>1349</v>
      </c>
      <c r="AJ492" s="598"/>
      <c r="AK492" s="626"/>
      <c r="AL492" s="626"/>
    </row>
    <row r="493" spans="1:38" ht="18" customHeight="1">
      <c r="A493" s="593"/>
      <c r="B493" s="598">
        <v>475</v>
      </c>
      <c r="C493" s="598" t="s">
        <v>3918</v>
      </c>
      <c r="D493" s="598">
        <f t="shared" si="3"/>
        <v>451</v>
      </c>
      <c r="E493" s="616" t="s">
        <v>3808</v>
      </c>
      <c r="F493" s="616" t="s">
        <v>246</v>
      </c>
      <c r="G493" s="618" t="s">
        <v>3810</v>
      </c>
      <c r="H493" s="618" t="s">
        <v>470</v>
      </c>
      <c r="I493" s="618" t="s">
        <v>3810</v>
      </c>
      <c r="J493" s="618" t="s">
        <v>3914</v>
      </c>
      <c r="K493" s="618" t="s">
        <v>4043</v>
      </c>
      <c r="L493" s="619"/>
      <c r="M493" s="620"/>
      <c r="N493" s="620"/>
      <c r="O493" s="663" t="s">
        <v>1127</v>
      </c>
      <c r="P493" s="621"/>
      <c r="Q493" s="598"/>
      <c r="R493" s="598"/>
      <c r="S493" s="598"/>
      <c r="T493" s="598" t="s">
        <v>1090</v>
      </c>
      <c r="U493" s="663" t="s">
        <v>3919</v>
      </c>
      <c r="V493" s="616" t="s">
        <v>3920</v>
      </c>
      <c r="W493" s="598" t="s">
        <v>950</v>
      </c>
      <c r="X493" s="624">
        <v>19423</v>
      </c>
      <c r="Y493" s="625">
        <f t="shared" ca="1" si="5"/>
        <v>72</v>
      </c>
      <c r="Z493" s="616" t="s">
        <v>3921</v>
      </c>
      <c r="AA493" s="598" t="s">
        <v>3922</v>
      </c>
      <c r="AB493" s="598" t="s">
        <v>966</v>
      </c>
      <c r="AC493" s="598" t="s">
        <v>953</v>
      </c>
      <c r="AD493" s="616" t="s">
        <v>246</v>
      </c>
      <c r="AE493" s="616" t="s">
        <v>246</v>
      </c>
      <c r="AF493" s="616" t="s">
        <v>3815</v>
      </c>
      <c r="AG493" s="598"/>
      <c r="AH493" s="598"/>
      <c r="AI493" s="598" t="s">
        <v>1011</v>
      </c>
      <c r="AJ493" s="598"/>
      <c r="AK493" s="626">
        <v>-3</v>
      </c>
      <c r="AL493" s="626"/>
    </row>
    <row r="494" spans="1:38" ht="18" customHeight="1">
      <c r="A494" s="593"/>
      <c r="B494" s="598">
        <v>477</v>
      </c>
      <c r="C494" s="598" t="s">
        <v>3923</v>
      </c>
      <c r="D494" s="598">
        <f t="shared" si="3"/>
        <v>452</v>
      </c>
      <c r="E494" s="616" t="s">
        <v>3808</v>
      </c>
      <c r="F494" s="616" t="s">
        <v>246</v>
      </c>
      <c r="G494" s="618" t="s">
        <v>3810</v>
      </c>
      <c r="H494" s="618" t="s">
        <v>470</v>
      </c>
      <c r="I494" s="618" t="s">
        <v>3810</v>
      </c>
      <c r="J494" s="618" t="s">
        <v>3914</v>
      </c>
      <c r="K494" s="618" t="s">
        <v>4043</v>
      </c>
      <c r="L494" s="619"/>
      <c r="M494" s="620"/>
      <c r="N494" s="620"/>
      <c r="O494" s="663" t="s">
        <v>1127</v>
      </c>
      <c r="P494" s="621"/>
      <c r="Q494" s="598"/>
      <c r="R494" s="598"/>
      <c r="S494" s="598"/>
      <c r="T494" s="598" t="s">
        <v>1090</v>
      </c>
      <c r="U494" s="663" t="s">
        <v>3924</v>
      </c>
      <c r="V494" s="616" t="s">
        <v>3925</v>
      </c>
      <c r="W494" s="598" t="s">
        <v>950</v>
      </c>
      <c r="X494" s="624">
        <v>20280</v>
      </c>
      <c r="Y494" s="625">
        <f t="shared" ca="1" si="5"/>
        <v>70</v>
      </c>
      <c r="Z494" s="616" t="s">
        <v>3926</v>
      </c>
      <c r="AA494" s="598" t="s">
        <v>3927</v>
      </c>
      <c r="AB494" s="598" t="s">
        <v>966</v>
      </c>
      <c r="AC494" s="598" t="s">
        <v>953</v>
      </c>
      <c r="AD494" s="616" t="s">
        <v>246</v>
      </c>
      <c r="AE494" s="616" t="s">
        <v>246</v>
      </c>
      <c r="AF494" s="616" t="s">
        <v>3815</v>
      </c>
      <c r="AG494" s="598"/>
      <c r="AH494" s="598"/>
      <c r="AI494" s="598"/>
      <c r="AJ494" s="598" t="s">
        <v>3510</v>
      </c>
      <c r="AK494" s="626">
        <v>-3</v>
      </c>
      <c r="AL494" s="626"/>
    </row>
    <row r="495" spans="1:38" ht="18" customHeight="1">
      <c r="A495" s="593"/>
      <c r="B495" s="598">
        <v>478</v>
      </c>
      <c r="C495" s="598" t="s">
        <v>4378</v>
      </c>
      <c r="D495" s="598">
        <f t="shared" si="3"/>
        <v>453</v>
      </c>
      <c r="E495" s="616" t="s">
        <v>3808</v>
      </c>
      <c r="F495" s="616" t="s">
        <v>246</v>
      </c>
      <c r="G495" s="618" t="s">
        <v>3810</v>
      </c>
      <c r="H495" s="618" t="s">
        <v>470</v>
      </c>
      <c r="I495" s="618" t="s">
        <v>3810</v>
      </c>
      <c r="J495" s="618" t="s">
        <v>3914</v>
      </c>
      <c r="K495" s="618" t="s">
        <v>4043</v>
      </c>
      <c r="L495" s="619"/>
      <c r="M495" s="620"/>
      <c r="N495" s="620"/>
      <c r="O495" s="663" t="s">
        <v>1127</v>
      </c>
      <c r="P495" s="621"/>
      <c r="Q495" s="598"/>
      <c r="R495" s="598"/>
      <c r="S495" s="598"/>
      <c r="T495" s="598" t="s">
        <v>1015</v>
      </c>
      <c r="U495" s="663" t="s">
        <v>4379</v>
      </c>
      <c r="V495" s="616" t="s">
        <v>4380</v>
      </c>
      <c r="W495" s="598" t="s">
        <v>950</v>
      </c>
      <c r="X495" s="624">
        <v>22315</v>
      </c>
      <c r="Y495" s="625">
        <f t="shared" ca="1" si="5"/>
        <v>64</v>
      </c>
      <c r="Z495" s="616" t="s">
        <v>4381</v>
      </c>
      <c r="AA495" s="598" t="s">
        <v>4382</v>
      </c>
      <c r="AB495" s="598" t="s">
        <v>966</v>
      </c>
      <c r="AC495" s="598" t="s">
        <v>953</v>
      </c>
      <c r="AD495" s="616" t="s">
        <v>246</v>
      </c>
      <c r="AE495" s="616" t="s">
        <v>246</v>
      </c>
      <c r="AF495" s="616"/>
      <c r="AG495" s="598"/>
      <c r="AH495" s="598"/>
      <c r="AI495" s="598" t="s">
        <v>1011</v>
      </c>
      <c r="AJ495" s="598"/>
      <c r="AK495" s="626"/>
      <c r="AL495" s="626"/>
    </row>
    <row r="496" spans="1:38" ht="18" customHeight="1">
      <c r="A496" s="593"/>
      <c r="B496" s="598">
        <v>479</v>
      </c>
      <c r="C496" s="598" t="s">
        <v>4018</v>
      </c>
      <c r="D496" s="598">
        <f t="shared" si="3"/>
        <v>454</v>
      </c>
      <c r="E496" s="616" t="s">
        <v>3808</v>
      </c>
      <c r="F496" s="616" t="s">
        <v>246</v>
      </c>
      <c r="G496" s="618" t="s">
        <v>3810</v>
      </c>
      <c r="H496" s="618" t="s">
        <v>470</v>
      </c>
      <c r="I496" s="618" t="s">
        <v>3810</v>
      </c>
      <c r="J496" s="618" t="s">
        <v>3914</v>
      </c>
      <c r="K496" s="618" t="s">
        <v>4043</v>
      </c>
      <c r="L496" s="619"/>
      <c r="M496" s="620"/>
      <c r="N496" s="620"/>
      <c r="O496" s="663" t="s">
        <v>1127</v>
      </c>
      <c r="P496" s="621"/>
      <c r="Q496" s="598"/>
      <c r="R496" s="598"/>
      <c r="S496" s="598"/>
      <c r="T496" s="598" t="s">
        <v>1015</v>
      </c>
      <c r="U496" s="663" t="s">
        <v>4019</v>
      </c>
      <c r="V496" s="616" t="s">
        <v>4020</v>
      </c>
      <c r="W496" s="598" t="s">
        <v>950</v>
      </c>
      <c r="X496" s="624">
        <v>28525</v>
      </c>
      <c r="Y496" s="625">
        <f t="shared" ca="1" si="5"/>
        <v>47</v>
      </c>
      <c r="Z496" s="616" t="s">
        <v>4021</v>
      </c>
      <c r="AA496" s="598" t="s">
        <v>4022</v>
      </c>
      <c r="AB496" s="598" t="s">
        <v>966</v>
      </c>
      <c r="AC496" s="598" t="s">
        <v>953</v>
      </c>
      <c r="AD496" s="616" t="s">
        <v>246</v>
      </c>
      <c r="AE496" s="616" t="s">
        <v>246</v>
      </c>
      <c r="AF496" s="616" t="s">
        <v>3815</v>
      </c>
      <c r="AG496" s="598"/>
      <c r="AH496" s="598"/>
      <c r="AI496" s="598" t="s">
        <v>1440</v>
      </c>
      <c r="AJ496" s="598"/>
      <c r="AK496" s="626">
        <v>-3</v>
      </c>
      <c r="AL496" s="626"/>
    </row>
    <row r="497" spans="1:38" ht="18" customHeight="1">
      <c r="A497" s="593"/>
      <c r="B497" s="598">
        <v>480</v>
      </c>
      <c r="C497" s="598" t="s">
        <v>4051</v>
      </c>
      <c r="D497" s="598">
        <f t="shared" si="3"/>
        <v>455</v>
      </c>
      <c r="E497" s="616" t="s">
        <v>3808</v>
      </c>
      <c r="F497" s="616" t="s">
        <v>246</v>
      </c>
      <c r="G497" s="618" t="s">
        <v>3810</v>
      </c>
      <c r="H497" s="618" t="s">
        <v>470</v>
      </c>
      <c r="I497" s="618" t="s">
        <v>3810</v>
      </c>
      <c r="J497" s="618" t="s">
        <v>3914</v>
      </c>
      <c r="K497" s="618" t="s">
        <v>4043</v>
      </c>
      <c r="L497" s="619"/>
      <c r="M497" s="620"/>
      <c r="N497" s="620"/>
      <c r="O497" s="663" t="s">
        <v>1127</v>
      </c>
      <c r="P497" s="621"/>
      <c r="Q497" s="598"/>
      <c r="R497" s="598"/>
      <c r="S497" s="598"/>
      <c r="T497" s="598" t="s">
        <v>1015</v>
      </c>
      <c r="U497" s="663" t="s">
        <v>4052</v>
      </c>
      <c r="V497" s="616" t="s">
        <v>4053</v>
      </c>
      <c r="W497" s="598" t="s">
        <v>950</v>
      </c>
      <c r="X497" s="624">
        <v>32231</v>
      </c>
      <c r="Y497" s="625">
        <f t="shared" ca="1" si="5"/>
        <v>37</v>
      </c>
      <c r="Z497" s="616" t="s">
        <v>4054</v>
      </c>
      <c r="AA497" s="598" t="s">
        <v>4055</v>
      </c>
      <c r="AB497" s="598" t="s">
        <v>996</v>
      </c>
      <c r="AC497" s="598" t="s">
        <v>997</v>
      </c>
      <c r="AD497" s="616" t="s">
        <v>246</v>
      </c>
      <c r="AE497" s="616" t="s">
        <v>246</v>
      </c>
      <c r="AF497" s="616"/>
      <c r="AG497" s="598"/>
      <c r="AH497" s="598"/>
      <c r="AI497" s="598" t="s">
        <v>1440</v>
      </c>
      <c r="AJ497" s="598"/>
      <c r="AK497" s="626"/>
      <c r="AL497" s="626"/>
    </row>
    <row r="498" spans="1:38" ht="18" customHeight="1">
      <c r="A498" s="593"/>
      <c r="B498" s="598">
        <v>481</v>
      </c>
      <c r="C498" s="598" t="s">
        <v>4078</v>
      </c>
      <c r="D498" s="598">
        <f t="shared" ref="D498:D559" si="6">SUBTOTAL(103,$T$21:T498)</f>
        <v>456</v>
      </c>
      <c r="E498" s="616" t="s">
        <v>3808</v>
      </c>
      <c r="F498" s="616" t="s">
        <v>246</v>
      </c>
      <c r="G498" s="618" t="s">
        <v>3810</v>
      </c>
      <c r="H498" s="618" t="s">
        <v>470</v>
      </c>
      <c r="I498" s="618" t="s">
        <v>3810</v>
      </c>
      <c r="J498" s="618" t="s">
        <v>3914</v>
      </c>
      <c r="K498" s="618" t="s">
        <v>4043</v>
      </c>
      <c r="L498" s="619"/>
      <c r="M498" s="620"/>
      <c r="N498" s="620"/>
      <c r="O498" s="663" t="s">
        <v>1127</v>
      </c>
      <c r="P498" s="621"/>
      <c r="Q498" s="598"/>
      <c r="R498" s="598"/>
      <c r="S498" s="598"/>
      <c r="T498" s="598" t="s">
        <v>1015</v>
      </c>
      <c r="U498" s="663" t="s">
        <v>504</v>
      </c>
      <c r="V498" s="616" t="s">
        <v>4079</v>
      </c>
      <c r="W498" s="598" t="s">
        <v>950</v>
      </c>
      <c r="X498" s="624">
        <v>24589</v>
      </c>
      <c r="Y498" s="625">
        <f t="shared" ca="1" si="5"/>
        <v>58</v>
      </c>
      <c r="Z498" s="654" t="s">
        <v>4080</v>
      </c>
      <c r="AA498" s="742"/>
      <c r="AB498" s="598" t="s">
        <v>996</v>
      </c>
      <c r="AC498" s="598" t="s">
        <v>997</v>
      </c>
      <c r="AD498" s="616" t="s">
        <v>246</v>
      </c>
      <c r="AE498" s="616" t="s">
        <v>246</v>
      </c>
      <c r="AF498" s="616" t="s">
        <v>3815</v>
      </c>
      <c r="AG498" s="598"/>
      <c r="AH498" s="598"/>
      <c r="AI498" s="598" t="s">
        <v>1349</v>
      </c>
      <c r="AJ498" s="598"/>
      <c r="AK498" s="626">
        <v>-3</v>
      </c>
      <c r="AL498" s="626"/>
    </row>
    <row r="499" spans="1:38" ht="18" customHeight="1">
      <c r="A499" s="593"/>
      <c r="B499" s="598">
        <v>482</v>
      </c>
      <c r="C499" s="598" t="s">
        <v>4793</v>
      </c>
      <c r="D499" s="598">
        <f t="shared" si="6"/>
        <v>457</v>
      </c>
      <c r="E499" s="616" t="s">
        <v>3808</v>
      </c>
      <c r="F499" s="616" t="s">
        <v>246</v>
      </c>
      <c r="G499" s="618" t="s">
        <v>3810</v>
      </c>
      <c r="H499" s="618" t="s">
        <v>470</v>
      </c>
      <c r="I499" s="618" t="s">
        <v>3810</v>
      </c>
      <c r="J499" s="618" t="s">
        <v>3914</v>
      </c>
      <c r="K499" s="618" t="s">
        <v>4043</v>
      </c>
      <c r="L499" s="619"/>
      <c r="M499" s="620"/>
      <c r="N499" s="620"/>
      <c r="O499" s="663" t="s">
        <v>1127</v>
      </c>
      <c r="P499" s="621"/>
      <c r="Q499" s="598"/>
      <c r="R499" s="598"/>
      <c r="S499" s="598"/>
      <c r="T499" s="598" t="s">
        <v>1015</v>
      </c>
      <c r="U499" s="663" t="s">
        <v>4794</v>
      </c>
      <c r="V499" s="616" t="s">
        <v>4795</v>
      </c>
      <c r="W499" s="598" t="s">
        <v>950</v>
      </c>
      <c r="X499" s="624">
        <v>25240</v>
      </c>
      <c r="Y499" s="625">
        <f t="shared" ca="1" si="5"/>
        <v>56</v>
      </c>
      <c r="Z499" s="616" t="s">
        <v>4796</v>
      </c>
      <c r="AA499" s="652"/>
      <c r="AB499" s="598" t="s">
        <v>996</v>
      </c>
      <c r="AC499" s="598" t="s">
        <v>1018</v>
      </c>
      <c r="AD499" s="616" t="s">
        <v>246</v>
      </c>
      <c r="AE499" s="616" t="s">
        <v>246</v>
      </c>
      <c r="AF499" s="616" t="s">
        <v>3815</v>
      </c>
      <c r="AG499" s="598"/>
      <c r="AH499" s="598" t="s">
        <v>4797</v>
      </c>
      <c r="AI499" s="598" t="s">
        <v>1011</v>
      </c>
      <c r="AJ499" s="598" t="s">
        <v>1020</v>
      </c>
      <c r="AK499" s="626">
        <v>-3</v>
      </c>
      <c r="AL499" s="626"/>
    </row>
    <row r="500" spans="1:38" ht="18" customHeight="1">
      <c r="A500" s="593"/>
      <c r="B500" s="598">
        <v>483</v>
      </c>
      <c r="C500" s="598" t="s">
        <v>4798</v>
      </c>
      <c r="D500" s="598">
        <f t="shared" si="6"/>
        <v>458</v>
      </c>
      <c r="E500" s="616" t="s">
        <v>3808</v>
      </c>
      <c r="F500" s="616" t="s">
        <v>246</v>
      </c>
      <c r="G500" s="618" t="s">
        <v>3810</v>
      </c>
      <c r="H500" s="618" t="s">
        <v>470</v>
      </c>
      <c r="I500" s="618" t="s">
        <v>3810</v>
      </c>
      <c r="J500" s="618" t="s">
        <v>3914</v>
      </c>
      <c r="K500" s="618" t="s">
        <v>4043</v>
      </c>
      <c r="L500" s="619"/>
      <c r="M500" s="620"/>
      <c r="N500" s="620"/>
      <c r="O500" s="663" t="s">
        <v>1127</v>
      </c>
      <c r="P500" s="621"/>
      <c r="Q500" s="598"/>
      <c r="R500" s="598"/>
      <c r="S500" s="598"/>
      <c r="T500" s="598" t="s">
        <v>1015</v>
      </c>
      <c r="U500" s="663" t="s">
        <v>4799</v>
      </c>
      <c r="V500" s="616" t="s">
        <v>4800</v>
      </c>
      <c r="W500" s="598" t="s">
        <v>950</v>
      </c>
      <c r="X500" s="624">
        <v>26317</v>
      </c>
      <c r="Y500" s="625">
        <f t="shared" ca="1" si="5"/>
        <v>54</v>
      </c>
      <c r="Z500" s="616" t="s">
        <v>4801</v>
      </c>
      <c r="AA500" s="652"/>
      <c r="AB500" s="598" t="s">
        <v>996</v>
      </c>
      <c r="AC500" s="598" t="s">
        <v>1018</v>
      </c>
      <c r="AD500" s="616" t="s">
        <v>246</v>
      </c>
      <c r="AE500" s="616" t="s">
        <v>246</v>
      </c>
      <c r="AF500" s="616" t="s">
        <v>3815</v>
      </c>
      <c r="AG500" s="598"/>
      <c r="AH500" s="598" t="s">
        <v>4802</v>
      </c>
      <c r="AI500" s="598" t="s">
        <v>1011</v>
      </c>
      <c r="AJ500" s="598" t="s">
        <v>1020</v>
      </c>
      <c r="AK500" s="626">
        <v>-3</v>
      </c>
      <c r="AL500" s="626"/>
    </row>
    <row r="501" spans="1:38" ht="18" customHeight="1">
      <c r="A501" s="593"/>
      <c r="B501" s="598">
        <v>484</v>
      </c>
      <c r="C501" s="598" t="s">
        <v>4803</v>
      </c>
      <c r="D501" s="598">
        <f t="shared" si="6"/>
        <v>459</v>
      </c>
      <c r="E501" s="616" t="s">
        <v>3808</v>
      </c>
      <c r="F501" s="616" t="s">
        <v>246</v>
      </c>
      <c r="G501" s="618" t="s">
        <v>3810</v>
      </c>
      <c r="H501" s="618" t="s">
        <v>470</v>
      </c>
      <c r="I501" s="618" t="s">
        <v>3810</v>
      </c>
      <c r="J501" s="618" t="s">
        <v>3914</v>
      </c>
      <c r="K501" s="618" t="s">
        <v>4043</v>
      </c>
      <c r="L501" s="619"/>
      <c r="M501" s="620"/>
      <c r="N501" s="620"/>
      <c r="O501" s="673" t="s">
        <v>1127</v>
      </c>
      <c r="P501" s="621"/>
      <c r="Q501" s="598"/>
      <c r="R501" s="598"/>
      <c r="S501" s="598"/>
      <c r="T501" s="598" t="s">
        <v>1015</v>
      </c>
      <c r="U501" s="673" t="s">
        <v>4804</v>
      </c>
      <c r="V501" s="616" t="s">
        <v>4805</v>
      </c>
      <c r="W501" s="598" t="s">
        <v>950</v>
      </c>
      <c r="X501" s="624">
        <v>22333</v>
      </c>
      <c r="Y501" s="625">
        <f t="shared" ca="1" si="5"/>
        <v>64</v>
      </c>
      <c r="Z501" s="616" t="s">
        <v>4806</v>
      </c>
      <c r="AA501" s="652"/>
      <c r="AB501" s="598" t="s">
        <v>996</v>
      </c>
      <c r="AC501" s="598" t="s">
        <v>1018</v>
      </c>
      <c r="AD501" s="616" t="s">
        <v>246</v>
      </c>
      <c r="AE501" s="616" t="s">
        <v>246</v>
      </c>
      <c r="AF501" s="616"/>
      <c r="AG501" s="598"/>
      <c r="AH501" s="598" t="s">
        <v>4807</v>
      </c>
      <c r="AI501" s="598" t="s">
        <v>1440</v>
      </c>
      <c r="AJ501" s="680" t="s">
        <v>4505</v>
      </c>
      <c r="AK501" s="626"/>
      <c r="AL501" s="626"/>
    </row>
    <row r="502" spans="1:38" ht="18" customHeight="1">
      <c r="A502" s="593"/>
      <c r="B502" s="598">
        <v>485</v>
      </c>
      <c r="C502" s="598" t="s">
        <v>4161</v>
      </c>
      <c r="D502" s="598">
        <f t="shared" si="6"/>
        <v>459</v>
      </c>
      <c r="E502" s="616"/>
      <c r="F502" s="616" t="s">
        <v>4808</v>
      </c>
      <c r="G502" s="618" t="s">
        <v>3810</v>
      </c>
      <c r="H502" s="618" t="s">
        <v>499</v>
      </c>
      <c r="I502" s="618" t="s">
        <v>3811</v>
      </c>
      <c r="J502" s="618" t="s">
        <v>4161</v>
      </c>
      <c r="K502" s="618" t="s">
        <v>4408</v>
      </c>
      <c r="L502" s="619"/>
      <c r="M502" s="620"/>
      <c r="N502" s="620"/>
      <c r="O502" s="667" t="s">
        <v>2625</v>
      </c>
      <c r="P502" s="621"/>
      <c r="Q502" s="598" t="s">
        <v>55</v>
      </c>
      <c r="R502" s="598" t="s">
        <v>178</v>
      </c>
      <c r="S502" s="598"/>
      <c r="T502" s="598"/>
      <c r="U502" s="667" t="s">
        <v>484</v>
      </c>
      <c r="V502" s="616" t="s">
        <v>4162</v>
      </c>
      <c r="W502" s="598" t="s">
        <v>950</v>
      </c>
      <c r="X502" s="624">
        <v>18523</v>
      </c>
      <c r="Y502" s="625">
        <f t="shared" ca="1" si="5"/>
        <v>75</v>
      </c>
      <c r="Z502" s="616" t="s">
        <v>4163</v>
      </c>
      <c r="AA502" s="598" t="s">
        <v>4164</v>
      </c>
      <c r="AB502" s="598" t="s">
        <v>966</v>
      </c>
      <c r="AC502" s="598" t="s">
        <v>953</v>
      </c>
      <c r="AD502" s="616" t="s">
        <v>246</v>
      </c>
      <c r="AE502" s="616" t="s">
        <v>246</v>
      </c>
      <c r="AF502" s="616" t="s">
        <v>3815</v>
      </c>
      <c r="AG502" s="598" t="s">
        <v>955</v>
      </c>
      <c r="AH502" s="598"/>
      <c r="AI502" s="598"/>
      <c r="AJ502" s="598"/>
      <c r="AK502" s="626"/>
      <c r="AL502" s="626"/>
    </row>
    <row r="503" spans="1:38" ht="18" customHeight="1">
      <c r="A503" s="593"/>
      <c r="B503" s="598">
        <v>486</v>
      </c>
      <c r="C503" s="598" t="s">
        <v>4408</v>
      </c>
      <c r="D503" s="598">
        <f t="shared" si="6"/>
        <v>460</v>
      </c>
      <c r="E503" s="616" t="s">
        <v>3808</v>
      </c>
      <c r="F503" s="616" t="s">
        <v>4808</v>
      </c>
      <c r="G503" s="618" t="s">
        <v>3810</v>
      </c>
      <c r="H503" s="618" t="s">
        <v>499</v>
      </c>
      <c r="I503" s="618" t="s">
        <v>3811</v>
      </c>
      <c r="J503" s="618" t="s">
        <v>4161</v>
      </c>
      <c r="K503" s="618" t="s">
        <v>4408</v>
      </c>
      <c r="L503" s="619"/>
      <c r="M503" s="620"/>
      <c r="N503" s="620"/>
      <c r="O503" s="663" t="s">
        <v>2625</v>
      </c>
      <c r="P503" s="621"/>
      <c r="Q503" s="598" t="s">
        <v>69</v>
      </c>
      <c r="R503" s="598" t="s">
        <v>562</v>
      </c>
      <c r="S503" s="598"/>
      <c r="T503" s="598" t="s">
        <v>1090</v>
      </c>
      <c r="U503" s="663" t="s">
        <v>515</v>
      </c>
      <c r="V503" s="616" t="s">
        <v>4414</v>
      </c>
      <c r="W503" s="598" t="s">
        <v>950</v>
      </c>
      <c r="X503" s="624">
        <v>19573</v>
      </c>
      <c r="Y503" s="625">
        <f t="shared" ca="1" si="5"/>
        <v>72</v>
      </c>
      <c r="Z503" s="616" t="s">
        <v>4415</v>
      </c>
      <c r="AA503" s="598" t="s">
        <v>4416</v>
      </c>
      <c r="AB503" s="598" t="s">
        <v>996</v>
      </c>
      <c r="AC503" s="598" t="s">
        <v>953</v>
      </c>
      <c r="AD503" s="616" t="s">
        <v>246</v>
      </c>
      <c r="AE503" s="616" t="s">
        <v>246</v>
      </c>
      <c r="AF503" s="616" t="s">
        <v>4417</v>
      </c>
      <c r="AG503" s="598"/>
      <c r="AH503" s="598"/>
      <c r="AI503" s="598" t="s">
        <v>1025</v>
      </c>
      <c r="AJ503" s="598"/>
      <c r="AK503" s="626"/>
      <c r="AL503" s="626"/>
    </row>
    <row r="504" spans="1:38" ht="18" customHeight="1">
      <c r="A504" s="593"/>
      <c r="B504" s="598">
        <v>487</v>
      </c>
      <c r="C504" s="598" t="s">
        <v>3928</v>
      </c>
      <c r="D504" s="598">
        <f t="shared" si="6"/>
        <v>461</v>
      </c>
      <c r="E504" s="616" t="s">
        <v>3808</v>
      </c>
      <c r="F504" s="616" t="s">
        <v>4808</v>
      </c>
      <c r="G504" s="618" t="s">
        <v>3810</v>
      </c>
      <c r="H504" s="618" t="s">
        <v>499</v>
      </c>
      <c r="I504" s="618" t="s">
        <v>3811</v>
      </c>
      <c r="J504" s="618" t="s">
        <v>4161</v>
      </c>
      <c r="K504" s="618" t="s">
        <v>4408</v>
      </c>
      <c r="L504" s="619"/>
      <c r="M504" s="620"/>
      <c r="N504" s="620"/>
      <c r="O504" s="663" t="s">
        <v>2625</v>
      </c>
      <c r="P504" s="621"/>
      <c r="Q504" s="598"/>
      <c r="R504" s="598"/>
      <c r="S504" s="598"/>
      <c r="T504" s="598" t="s">
        <v>1090</v>
      </c>
      <c r="U504" s="663" t="s">
        <v>523</v>
      </c>
      <c r="V504" s="616" t="s">
        <v>3929</v>
      </c>
      <c r="W504" s="598" t="s">
        <v>950</v>
      </c>
      <c r="X504" s="624">
        <v>19429</v>
      </c>
      <c r="Y504" s="625">
        <f t="shared" ca="1" si="5"/>
        <v>72</v>
      </c>
      <c r="Z504" s="616" t="s">
        <v>3930</v>
      </c>
      <c r="AA504" s="598" t="s">
        <v>3931</v>
      </c>
      <c r="AB504" s="598" t="s">
        <v>996</v>
      </c>
      <c r="AC504" s="598" t="s">
        <v>953</v>
      </c>
      <c r="AD504" s="616" t="s">
        <v>246</v>
      </c>
      <c r="AE504" s="616" t="s">
        <v>246</v>
      </c>
      <c r="AF504" s="616" t="s">
        <v>3932</v>
      </c>
      <c r="AG504" s="598"/>
      <c r="AH504" s="598"/>
      <c r="AI504" s="598" t="s">
        <v>1025</v>
      </c>
      <c r="AJ504" s="598"/>
      <c r="AK504" s="626">
        <v>-3</v>
      </c>
      <c r="AL504" s="626"/>
    </row>
    <row r="505" spans="1:38" ht="18" customHeight="1">
      <c r="A505" s="593"/>
      <c r="B505" s="598">
        <v>488</v>
      </c>
      <c r="C505" s="598" t="s">
        <v>4069</v>
      </c>
      <c r="D505" s="598">
        <f t="shared" si="6"/>
        <v>462</v>
      </c>
      <c r="E505" s="616" t="s">
        <v>3808</v>
      </c>
      <c r="F505" s="616" t="s">
        <v>4808</v>
      </c>
      <c r="G505" s="618" t="s">
        <v>3810</v>
      </c>
      <c r="H505" s="618" t="s">
        <v>499</v>
      </c>
      <c r="I505" s="618" t="s">
        <v>3811</v>
      </c>
      <c r="J505" s="618" t="s">
        <v>4161</v>
      </c>
      <c r="K505" s="618" t="s">
        <v>4408</v>
      </c>
      <c r="L505" s="619"/>
      <c r="M505" s="620"/>
      <c r="N505" s="620"/>
      <c r="O505" s="663" t="s">
        <v>2625</v>
      </c>
      <c r="P505" s="621"/>
      <c r="Q505" s="598"/>
      <c r="R505" s="598"/>
      <c r="S505" s="598"/>
      <c r="T505" s="598" t="s">
        <v>1090</v>
      </c>
      <c r="U505" s="663" t="s">
        <v>531</v>
      </c>
      <c r="V505" s="616" t="s">
        <v>4070</v>
      </c>
      <c r="W505" s="598" t="s">
        <v>950</v>
      </c>
      <c r="X505" s="624">
        <v>19754</v>
      </c>
      <c r="Y505" s="625">
        <f t="shared" ca="1" si="5"/>
        <v>72</v>
      </c>
      <c r="Z505" s="616" t="s">
        <v>4071</v>
      </c>
      <c r="AA505" s="598" t="s">
        <v>4072</v>
      </c>
      <c r="AB505" s="598" t="s">
        <v>966</v>
      </c>
      <c r="AC505" s="598" t="s">
        <v>953</v>
      </c>
      <c r="AD505" s="616" t="s">
        <v>246</v>
      </c>
      <c r="AE505" s="616" t="s">
        <v>246</v>
      </c>
      <c r="AF505" s="616" t="s">
        <v>4809</v>
      </c>
      <c r="AG505" s="598"/>
      <c r="AH505" s="598"/>
      <c r="AI505" s="598" t="s">
        <v>1025</v>
      </c>
      <c r="AJ505" s="598"/>
      <c r="AK505" s="626"/>
      <c r="AL505" s="626"/>
    </row>
    <row r="506" spans="1:38" ht="18" customHeight="1">
      <c r="A506" s="593"/>
      <c r="B506" s="598">
        <v>489</v>
      </c>
      <c r="C506" s="598" t="s">
        <v>4023</v>
      </c>
      <c r="D506" s="598">
        <f t="shared" si="6"/>
        <v>463</v>
      </c>
      <c r="E506" s="616" t="s">
        <v>3808</v>
      </c>
      <c r="F506" s="616" t="s">
        <v>4808</v>
      </c>
      <c r="G506" s="618" t="s">
        <v>3810</v>
      </c>
      <c r="H506" s="618" t="s">
        <v>499</v>
      </c>
      <c r="I506" s="618" t="s">
        <v>3811</v>
      </c>
      <c r="J506" s="618" t="s">
        <v>4161</v>
      </c>
      <c r="K506" s="618" t="s">
        <v>4408</v>
      </c>
      <c r="L506" s="619"/>
      <c r="M506" s="620"/>
      <c r="N506" s="620"/>
      <c r="O506" s="663" t="s">
        <v>2625</v>
      </c>
      <c r="P506" s="621"/>
      <c r="Q506" s="598"/>
      <c r="R506" s="598"/>
      <c r="S506" s="598"/>
      <c r="T506" s="598" t="s">
        <v>1015</v>
      </c>
      <c r="U506" s="663" t="s">
        <v>539</v>
      </c>
      <c r="V506" s="616" t="s">
        <v>4024</v>
      </c>
      <c r="W506" s="598" t="s">
        <v>950</v>
      </c>
      <c r="X506" s="624">
        <v>27624</v>
      </c>
      <c r="Y506" s="625">
        <f t="shared" ca="1" si="5"/>
        <v>50</v>
      </c>
      <c r="Z506" s="616" t="s">
        <v>4025</v>
      </c>
      <c r="AA506" s="598" t="s">
        <v>4026</v>
      </c>
      <c r="AB506" s="598" t="s">
        <v>996</v>
      </c>
      <c r="AC506" s="598" t="s">
        <v>953</v>
      </c>
      <c r="AD506" s="616" t="s">
        <v>246</v>
      </c>
      <c r="AE506" s="616" t="s">
        <v>246</v>
      </c>
      <c r="AF506" s="616" t="s">
        <v>3815</v>
      </c>
      <c r="AG506" s="598"/>
      <c r="AH506" s="598" t="s">
        <v>4027</v>
      </c>
      <c r="AI506" s="598"/>
      <c r="AJ506" s="598"/>
      <c r="AK506" s="626">
        <v>-3</v>
      </c>
      <c r="AL506" s="626"/>
    </row>
    <row r="507" spans="1:38" ht="18" customHeight="1">
      <c r="A507" s="593"/>
      <c r="B507" s="598">
        <v>490</v>
      </c>
      <c r="C507" s="598" t="s">
        <v>4073</v>
      </c>
      <c r="D507" s="598">
        <f t="shared" si="6"/>
        <v>464</v>
      </c>
      <c r="E507" s="616" t="s">
        <v>3808</v>
      </c>
      <c r="F507" s="616" t="s">
        <v>4808</v>
      </c>
      <c r="G507" s="618" t="s">
        <v>3810</v>
      </c>
      <c r="H507" s="618" t="s">
        <v>499</v>
      </c>
      <c r="I507" s="618" t="s">
        <v>3811</v>
      </c>
      <c r="J507" s="618" t="s">
        <v>4161</v>
      </c>
      <c r="K507" s="618" t="s">
        <v>4408</v>
      </c>
      <c r="L507" s="619"/>
      <c r="M507" s="620"/>
      <c r="N507" s="620"/>
      <c r="O507" s="663" t="s">
        <v>2625</v>
      </c>
      <c r="P507" s="621"/>
      <c r="Q507" s="598"/>
      <c r="R507" s="598"/>
      <c r="S507" s="598"/>
      <c r="T507" s="598" t="s">
        <v>1015</v>
      </c>
      <c r="U507" s="663" t="s">
        <v>4074</v>
      </c>
      <c r="V507" s="616" t="s">
        <v>4075</v>
      </c>
      <c r="W507" s="598" t="s">
        <v>950</v>
      </c>
      <c r="X507" s="624">
        <v>31364</v>
      </c>
      <c r="Y507" s="625">
        <f t="shared" ca="1" si="5"/>
        <v>40</v>
      </c>
      <c r="Z507" s="616" t="s">
        <v>4076</v>
      </c>
      <c r="AA507" s="598" t="s">
        <v>4077</v>
      </c>
      <c r="AB507" s="598" t="s">
        <v>996</v>
      </c>
      <c r="AC507" s="644" t="s">
        <v>997</v>
      </c>
      <c r="AD507" s="616" t="s">
        <v>246</v>
      </c>
      <c r="AE507" s="616" t="s">
        <v>2934</v>
      </c>
      <c r="AF507" s="616" t="s">
        <v>2069</v>
      </c>
      <c r="AG507" s="598"/>
      <c r="AH507" s="598"/>
      <c r="AI507" s="598" t="s">
        <v>1440</v>
      </c>
      <c r="AJ507" s="598"/>
      <c r="AK507" s="626"/>
      <c r="AL507" s="626"/>
    </row>
    <row r="508" spans="1:38" ht="18" customHeight="1">
      <c r="A508" s="593"/>
      <c r="B508" s="598">
        <v>491</v>
      </c>
      <c r="C508" s="598" t="s">
        <v>3967</v>
      </c>
      <c r="D508" s="598">
        <f t="shared" si="6"/>
        <v>465</v>
      </c>
      <c r="E508" s="616" t="s">
        <v>3808</v>
      </c>
      <c r="F508" s="616" t="s">
        <v>4808</v>
      </c>
      <c r="G508" s="618" t="s">
        <v>3810</v>
      </c>
      <c r="H508" s="618" t="s">
        <v>499</v>
      </c>
      <c r="I508" s="618" t="s">
        <v>3811</v>
      </c>
      <c r="J508" s="618" t="s">
        <v>4161</v>
      </c>
      <c r="K508" s="618" t="s">
        <v>4408</v>
      </c>
      <c r="L508" s="619"/>
      <c r="M508" s="620"/>
      <c r="N508" s="620"/>
      <c r="O508" s="663" t="s">
        <v>2625</v>
      </c>
      <c r="P508" s="621"/>
      <c r="Q508" s="598"/>
      <c r="R508" s="598"/>
      <c r="S508" s="598"/>
      <c r="T508" s="598" t="s">
        <v>1015</v>
      </c>
      <c r="U508" s="663" t="s">
        <v>3968</v>
      </c>
      <c r="V508" s="616" t="s">
        <v>3969</v>
      </c>
      <c r="W508" s="598" t="s">
        <v>950</v>
      </c>
      <c r="X508" s="624">
        <v>21555</v>
      </c>
      <c r="Y508" s="625">
        <f t="shared" ca="1" si="5"/>
        <v>67</v>
      </c>
      <c r="Z508" s="616" t="s">
        <v>3970</v>
      </c>
      <c r="AA508" s="598" t="s">
        <v>3971</v>
      </c>
      <c r="AB508" s="598" t="s">
        <v>966</v>
      </c>
      <c r="AC508" s="598" t="s">
        <v>953</v>
      </c>
      <c r="AD508" s="616" t="s">
        <v>246</v>
      </c>
      <c r="AE508" s="616" t="s">
        <v>246</v>
      </c>
      <c r="AF508" s="616" t="s">
        <v>3815</v>
      </c>
      <c r="AG508" s="598"/>
      <c r="AH508" s="598"/>
      <c r="AI508" s="598" t="s">
        <v>1025</v>
      </c>
      <c r="AJ508" s="598"/>
      <c r="AK508" s="626">
        <v>-3</v>
      </c>
      <c r="AL508" s="626"/>
    </row>
    <row r="509" spans="1:38" ht="18" customHeight="1">
      <c r="A509" s="593"/>
      <c r="B509" s="598">
        <v>492</v>
      </c>
      <c r="C509" s="598" t="s">
        <v>3972</v>
      </c>
      <c r="D509" s="598">
        <f t="shared" si="6"/>
        <v>466</v>
      </c>
      <c r="E509" s="616" t="s">
        <v>3808</v>
      </c>
      <c r="F509" s="616" t="s">
        <v>4808</v>
      </c>
      <c r="G509" s="618" t="s">
        <v>3810</v>
      </c>
      <c r="H509" s="618" t="s">
        <v>499</v>
      </c>
      <c r="I509" s="618" t="s">
        <v>3811</v>
      </c>
      <c r="J509" s="618" t="s">
        <v>4161</v>
      </c>
      <c r="K509" s="618" t="s">
        <v>4408</v>
      </c>
      <c r="L509" s="619"/>
      <c r="M509" s="620"/>
      <c r="N509" s="620"/>
      <c r="O509" s="663" t="s">
        <v>2625</v>
      </c>
      <c r="P509" s="621"/>
      <c r="Q509" s="598"/>
      <c r="R509" s="598"/>
      <c r="S509" s="598"/>
      <c r="T509" s="598" t="s">
        <v>1015</v>
      </c>
      <c r="U509" s="663" t="s">
        <v>558</v>
      </c>
      <c r="V509" s="616" t="s">
        <v>3973</v>
      </c>
      <c r="W509" s="598" t="s">
        <v>950</v>
      </c>
      <c r="X509" s="624">
        <v>21988</v>
      </c>
      <c r="Y509" s="625">
        <f t="shared" ca="1" si="5"/>
        <v>65</v>
      </c>
      <c r="Z509" s="616" t="s">
        <v>3974</v>
      </c>
      <c r="AA509" s="598" t="s">
        <v>3975</v>
      </c>
      <c r="AB509" s="598" t="s">
        <v>996</v>
      </c>
      <c r="AC509" s="644" t="s">
        <v>997</v>
      </c>
      <c r="AD509" s="616" t="s">
        <v>246</v>
      </c>
      <c r="AE509" s="616" t="s">
        <v>246</v>
      </c>
      <c r="AF509" s="616" t="s">
        <v>3815</v>
      </c>
      <c r="AG509" s="598"/>
      <c r="AH509" s="598"/>
      <c r="AI509" s="598" t="s">
        <v>1025</v>
      </c>
      <c r="AJ509" s="598"/>
      <c r="AK509" s="626">
        <v>-3</v>
      </c>
      <c r="AL509" s="626"/>
    </row>
    <row r="510" spans="1:38" ht="18" customHeight="1">
      <c r="A510" s="593"/>
      <c r="B510" s="598">
        <v>493</v>
      </c>
      <c r="C510" s="598" t="s">
        <v>4810</v>
      </c>
      <c r="D510" s="598">
        <f t="shared" si="6"/>
        <v>467</v>
      </c>
      <c r="E510" s="616" t="s">
        <v>3808</v>
      </c>
      <c r="F510" s="616" t="s">
        <v>4808</v>
      </c>
      <c r="G510" s="618" t="s">
        <v>3810</v>
      </c>
      <c r="H510" s="618" t="s">
        <v>499</v>
      </c>
      <c r="I510" s="618" t="s">
        <v>3811</v>
      </c>
      <c r="J510" s="618" t="s">
        <v>4161</v>
      </c>
      <c r="K510" s="618" t="s">
        <v>4408</v>
      </c>
      <c r="L510" s="619"/>
      <c r="M510" s="620"/>
      <c r="N510" s="620"/>
      <c r="O510" s="663" t="s">
        <v>2625</v>
      </c>
      <c r="P510" s="621"/>
      <c r="Q510" s="598"/>
      <c r="R510" s="598"/>
      <c r="S510" s="598"/>
      <c r="T510" s="598" t="s">
        <v>1090</v>
      </c>
      <c r="U510" s="663" t="s">
        <v>4811</v>
      </c>
      <c r="V510" s="616" t="s">
        <v>4812</v>
      </c>
      <c r="W510" s="598" t="s">
        <v>950</v>
      </c>
      <c r="X510" s="624">
        <v>18799</v>
      </c>
      <c r="Y510" s="625">
        <f t="shared" ca="1" si="5"/>
        <v>74</v>
      </c>
      <c r="Z510" s="616" t="s">
        <v>4813</v>
      </c>
      <c r="AA510" s="598" t="s">
        <v>4814</v>
      </c>
      <c r="AB510" s="598" t="s">
        <v>996</v>
      </c>
      <c r="AC510" s="598" t="s">
        <v>953</v>
      </c>
      <c r="AD510" s="616" t="s">
        <v>246</v>
      </c>
      <c r="AE510" s="616" t="s">
        <v>246</v>
      </c>
      <c r="AF510" s="616" t="s">
        <v>3932</v>
      </c>
      <c r="AG510" s="598"/>
      <c r="AH510" s="598" t="s">
        <v>4815</v>
      </c>
      <c r="AI510" s="598" t="s">
        <v>1025</v>
      </c>
      <c r="AJ510" s="598" t="s">
        <v>1020</v>
      </c>
      <c r="AK510" s="626">
        <v>-3</v>
      </c>
      <c r="AL510" s="626"/>
    </row>
    <row r="511" spans="1:38" ht="18" customHeight="1">
      <c r="A511" s="593"/>
      <c r="B511" s="598">
        <v>494</v>
      </c>
      <c r="C511" s="598" t="s">
        <v>4816</v>
      </c>
      <c r="D511" s="598">
        <f t="shared" si="6"/>
        <v>468</v>
      </c>
      <c r="E511" s="616" t="s">
        <v>3808</v>
      </c>
      <c r="F511" s="616" t="s">
        <v>4808</v>
      </c>
      <c r="G511" s="618" t="s">
        <v>3810</v>
      </c>
      <c r="H511" s="618" t="s">
        <v>499</v>
      </c>
      <c r="I511" s="618" t="s">
        <v>3811</v>
      </c>
      <c r="J511" s="618" t="s">
        <v>4161</v>
      </c>
      <c r="K511" s="618" t="s">
        <v>4408</v>
      </c>
      <c r="L511" s="619"/>
      <c r="M511" s="620"/>
      <c r="N511" s="620"/>
      <c r="O511" s="663" t="s">
        <v>2625</v>
      </c>
      <c r="P511" s="621"/>
      <c r="Q511" s="598"/>
      <c r="R511" s="598"/>
      <c r="S511" s="598"/>
      <c r="T511" s="598" t="s">
        <v>1090</v>
      </c>
      <c r="U511" s="663" t="s">
        <v>4817</v>
      </c>
      <c r="V511" s="616" t="s">
        <v>4818</v>
      </c>
      <c r="W511" s="598" t="s">
        <v>950</v>
      </c>
      <c r="X511" s="624">
        <v>19719</v>
      </c>
      <c r="Y511" s="625">
        <f t="shared" ca="1" si="5"/>
        <v>72</v>
      </c>
      <c r="Z511" s="616" t="s">
        <v>4819</v>
      </c>
      <c r="AA511" s="598" t="s">
        <v>4820</v>
      </c>
      <c r="AB511" s="598" t="s">
        <v>996</v>
      </c>
      <c r="AC511" s="598" t="s">
        <v>1018</v>
      </c>
      <c r="AD511" s="616" t="s">
        <v>246</v>
      </c>
      <c r="AE511" s="616" t="s">
        <v>246</v>
      </c>
      <c r="AF511" s="616" t="s">
        <v>4809</v>
      </c>
      <c r="AG511" s="598"/>
      <c r="AH511" s="598" t="s">
        <v>4821</v>
      </c>
      <c r="AI511" s="598" t="s">
        <v>1025</v>
      </c>
      <c r="AJ511" s="598" t="s">
        <v>1020</v>
      </c>
      <c r="AK511" s="626"/>
      <c r="AL511" s="626"/>
    </row>
    <row r="512" spans="1:38" ht="18" customHeight="1">
      <c r="A512" s="593"/>
      <c r="B512" s="598">
        <v>495</v>
      </c>
      <c r="C512" s="598" t="s">
        <v>4822</v>
      </c>
      <c r="D512" s="598">
        <f t="shared" si="6"/>
        <v>469</v>
      </c>
      <c r="E512" s="616" t="s">
        <v>3808</v>
      </c>
      <c r="F512" s="616" t="s">
        <v>4808</v>
      </c>
      <c r="G512" s="618" t="s">
        <v>3810</v>
      </c>
      <c r="H512" s="618" t="s">
        <v>499</v>
      </c>
      <c r="I512" s="618" t="s">
        <v>3811</v>
      </c>
      <c r="J512" s="618" t="s">
        <v>4161</v>
      </c>
      <c r="K512" s="618" t="s">
        <v>4408</v>
      </c>
      <c r="L512" s="619"/>
      <c r="M512" s="620"/>
      <c r="N512" s="620"/>
      <c r="O512" s="673" t="s">
        <v>2625</v>
      </c>
      <c r="P512" s="621"/>
      <c r="Q512" s="598"/>
      <c r="R512" s="598"/>
      <c r="S512" s="598"/>
      <c r="T512" s="598" t="s">
        <v>1015</v>
      </c>
      <c r="U512" s="673" t="s">
        <v>573</v>
      </c>
      <c r="V512" s="616" t="s">
        <v>4823</v>
      </c>
      <c r="W512" s="598" t="s">
        <v>950</v>
      </c>
      <c r="X512" s="624">
        <v>23913</v>
      </c>
      <c r="Y512" s="625">
        <f t="shared" ca="1" si="5"/>
        <v>60</v>
      </c>
      <c r="Z512" s="616" t="s">
        <v>4824</v>
      </c>
      <c r="AA512" s="598" t="s">
        <v>4825</v>
      </c>
      <c r="AB512" s="598" t="s">
        <v>996</v>
      </c>
      <c r="AC512" s="598" t="s">
        <v>1018</v>
      </c>
      <c r="AD512" s="616" t="s">
        <v>246</v>
      </c>
      <c r="AE512" s="616" t="s">
        <v>246</v>
      </c>
      <c r="AF512" s="616" t="s">
        <v>3815</v>
      </c>
      <c r="AG512" s="598"/>
      <c r="AH512" s="598" t="s">
        <v>4826</v>
      </c>
      <c r="AI512" s="598" t="s">
        <v>1025</v>
      </c>
      <c r="AJ512" s="598" t="s">
        <v>1020</v>
      </c>
      <c r="AK512" s="626">
        <v>-3</v>
      </c>
      <c r="AL512" s="626"/>
    </row>
    <row r="513" spans="1:38" ht="18" customHeight="1">
      <c r="A513" s="593"/>
      <c r="B513" s="598">
        <v>496</v>
      </c>
      <c r="C513" s="598" t="s">
        <v>4161</v>
      </c>
      <c r="D513" s="598">
        <f t="shared" si="6"/>
        <v>469</v>
      </c>
      <c r="E513" s="616"/>
      <c r="F513" s="616" t="s">
        <v>4808</v>
      </c>
      <c r="G513" s="618" t="s">
        <v>3810</v>
      </c>
      <c r="H513" s="618" t="s">
        <v>499</v>
      </c>
      <c r="I513" s="618" t="s">
        <v>3811</v>
      </c>
      <c r="J513" s="618" t="s">
        <v>4161</v>
      </c>
      <c r="K513" s="618" t="s">
        <v>959</v>
      </c>
      <c r="L513" s="619"/>
      <c r="M513" s="620"/>
      <c r="N513" s="620"/>
      <c r="O513" s="667" t="s">
        <v>2668</v>
      </c>
      <c r="P513" s="621"/>
      <c r="Q513" s="598" t="s">
        <v>55</v>
      </c>
      <c r="R513" s="598" t="s">
        <v>178</v>
      </c>
      <c r="S513" s="598"/>
      <c r="T513" s="598"/>
      <c r="U513" s="667" t="s">
        <v>484</v>
      </c>
      <c r="V513" s="616" t="s">
        <v>4162</v>
      </c>
      <c r="W513" s="598" t="s">
        <v>950</v>
      </c>
      <c r="X513" s="624">
        <v>18523</v>
      </c>
      <c r="Y513" s="625">
        <f t="shared" ca="1" si="5"/>
        <v>75</v>
      </c>
      <c r="Z513" s="616" t="s">
        <v>4163</v>
      </c>
      <c r="AA513" s="598"/>
      <c r="AB513" s="598" t="s">
        <v>966</v>
      </c>
      <c r="AC513" s="598" t="s">
        <v>953</v>
      </c>
      <c r="AD513" s="616" t="s">
        <v>246</v>
      </c>
      <c r="AE513" s="616" t="s">
        <v>246</v>
      </c>
      <c r="AF513" s="616" t="s">
        <v>3815</v>
      </c>
      <c r="AG513" s="598" t="s">
        <v>955</v>
      </c>
      <c r="AH513" s="598"/>
      <c r="AI513" s="598"/>
      <c r="AJ513" s="598"/>
      <c r="AK513" s="626"/>
      <c r="AL513" s="626"/>
    </row>
    <row r="514" spans="1:38" ht="18" customHeight="1">
      <c r="A514" s="593"/>
      <c r="B514" s="598">
        <v>497</v>
      </c>
      <c r="C514" s="598" t="s">
        <v>3937</v>
      </c>
      <c r="D514" s="598">
        <f t="shared" si="6"/>
        <v>470</v>
      </c>
      <c r="E514" s="616" t="s">
        <v>3808</v>
      </c>
      <c r="F514" s="616" t="s">
        <v>4808</v>
      </c>
      <c r="G514" s="618" t="s">
        <v>3810</v>
      </c>
      <c r="H514" s="618" t="s">
        <v>499</v>
      </c>
      <c r="I514" s="618" t="s">
        <v>3811</v>
      </c>
      <c r="J514" s="618" t="s">
        <v>4161</v>
      </c>
      <c r="K514" s="618" t="s">
        <v>959</v>
      </c>
      <c r="L514" s="619"/>
      <c r="M514" s="620"/>
      <c r="N514" s="620"/>
      <c r="O514" s="663" t="s">
        <v>2668</v>
      </c>
      <c r="P514" s="621"/>
      <c r="Q514" s="598"/>
      <c r="R514" s="598"/>
      <c r="S514" s="598"/>
      <c r="T514" s="598" t="s">
        <v>1090</v>
      </c>
      <c r="U514" s="663" t="s">
        <v>516</v>
      </c>
      <c r="V514" s="616" t="s">
        <v>3938</v>
      </c>
      <c r="W514" s="598" t="s">
        <v>950</v>
      </c>
      <c r="X514" s="624">
        <v>19948</v>
      </c>
      <c r="Y514" s="625">
        <f t="shared" ca="1" si="5"/>
        <v>71</v>
      </c>
      <c r="Z514" s="616" t="s">
        <v>3939</v>
      </c>
      <c r="AA514" s="598" t="s">
        <v>3940</v>
      </c>
      <c r="AB514" s="598" t="s">
        <v>996</v>
      </c>
      <c r="AC514" s="598" t="s">
        <v>997</v>
      </c>
      <c r="AD514" s="616" t="s">
        <v>246</v>
      </c>
      <c r="AE514" s="633" t="s">
        <v>246</v>
      </c>
      <c r="AF514" s="633" t="s">
        <v>3815</v>
      </c>
      <c r="AG514" s="598"/>
      <c r="AH514" s="598"/>
      <c r="AI514" s="598" t="s">
        <v>1318</v>
      </c>
      <c r="AJ514" s="598"/>
      <c r="AK514" s="626">
        <v>-3</v>
      </c>
      <c r="AL514" s="626"/>
    </row>
    <row r="515" spans="1:38" ht="18" customHeight="1">
      <c r="A515" s="593"/>
      <c r="B515" s="598">
        <v>498</v>
      </c>
      <c r="C515" s="598" t="s">
        <v>2503</v>
      </c>
      <c r="D515" s="598">
        <f t="shared" si="6"/>
        <v>471</v>
      </c>
      <c r="E515" s="616" t="s">
        <v>1351</v>
      </c>
      <c r="F515" s="616" t="s">
        <v>4808</v>
      </c>
      <c r="G515" s="618" t="s">
        <v>3810</v>
      </c>
      <c r="H515" s="618" t="s">
        <v>499</v>
      </c>
      <c r="I515" s="618" t="s">
        <v>3811</v>
      </c>
      <c r="J515" s="618" t="s">
        <v>4161</v>
      </c>
      <c r="K515" s="618" t="s">
        <v>959</v>
      </c>
      <c r="L515" s="619"/>
      <c r="M515" s="620"/>
      <c r="N515" s="620"/>
      <c r="O515" s="663" t="s">
        <v>2668</v>
      </c>
      <c r="P515" s="621"/>
      <c r="Q515" s="598"/>
      <c r="R515" s="598"/>
      <c r="S515" s="598"/>
      <c r="T515" s="598" t="s">
        <v>1015</v>
      </c>
      <c r="U515" s="663" t="s">
        <v>524</v>
      </c>
      <c r="V515" s="616" t="s">
        <v>2504</v>
      </c>
      <c r="W515" s="598" t="s">
        <v>950</v>
      </c>
      <c r="X515" s="624">
        <v>20806</v>
      </c>
      <c r="Y515" s="625">
        <f t="shared" ca="1" si="5"/>
        <v>69</v>
      </c>
      <c r="Z515" s="616" t="s">
        <v>2505</v>
      </c>
      <c r="AA515" s="598" t="s">
        <v>2506</v>
      </c>
      <c r="AB515" s="598" t="s">
        <v>996</v>
      </c>
      <c r="AC515" s="644" t="s">
        <v>997</v>
      </c>
      <c r="AD515" s="616" t="s">
        <v>729</v>
      </c>
      <c r="AE515" s="616" t="s">
        <v>729</v>
      </c>
      <c r="AF515" s="616" t="s">
        <v>2507</v>
      </c>
      <c r="AG515" s="598"/>
      <c r="AH515" s="598"/>
      <c r="AI515" s="598" t="s">
        <v>1318</v>
      </c>
      <c r="AJ515" s="598"/>
      <c r="AK515" s="715">
        <v>1</v>
      </c>
      <c r="AL515" s="626"/>
    </row>
    <row r="516" spans="1:38" ht="18" customHeight="1">
      <c r="A516" s="593"/>
      <c r="B516" s="598">
        <v>499</v>
      </c>
      <c r="C516" s="598" t="s">
        <v>3976</v>
      </c>
      <c r="D516" s="598">
        <f t="shared" si="6"/>
        <v>472</v>
      </c>
      <c r="E516" s="616" t="s">
        <v>3808</v>
      </c>
      <c r="F516" s="616" t="s">
        <v>4808</v>
      </c>
      <c r="G516" s="618" t="s">
        <v>3810</v>
      </c>
      <c r="H516" s="618" t="s">
        <v>499</v>
      </c>
      <c r="I516" s="618" t="s">
        <v>3811</v>
      </c>
      <c r="J516" s="618" t="s">
        <v>4161</v>
      </c>
      <c r="K516" s="618" t="s">
        <v>959</v>
      </c>
      <c r="L516" s="619"/>
      <c r="M516" s="620"/>
      <c r="N516" s="620"/>
      <c r="O516" s="663" t="s">
        <v>2668</v>
      </c>
      <c r="P516" s="621"/>
      <c r="Q516" s="598"/>
      <c r="R516" s="598"/>
      <c r="S516" s="598"/>
      <c r="T516" s="598" t="s">
        <v>1015</v>
      </c>
      <c r="U516" s="663" t="s">
        <v>532</v>
      </c>
      <c r="V516" s="616" t="s">
        <v>3977</v>
      </c>
      <c r="W516" s="598" t="s">
        <v>950</v>
      </c>
      <c r="X516" s="624">
        <v>21342</v>
      </c>
      <c r="Y516" s="625">
        <f t="shared" ca="1" si="5"/>
        <v>67</v>
      </c>
      <c r="Z516" s="616" t="s">
        <v>3978</v>
      </c>
      <c r="AA516" s="598" t="s">
        <v>3979</v>
      </c>
      <c r="AB516" s="598" t="s">
        <v>996</v>
      </c>
      <c r="AC516" s="598" t="s">
        <v>997</v>
      </c>
      <c r="AD516" s="616" t="s">
        <v>246</v>
      </c>
      <c r="AE516" s="633" t="s">
        <v>246</v>
      </c>
      <c r="AF516" s="633" t="s">
        <v>3815</v>
      </c>
      <c r="AG516" s="598"/>
      <c r="AH516" s="598"/>
      <c r="AI516" s="598" t="s">
        <v>1318</v>
      </c>
      <c r="AJ516" s="598"/>
      <c r="AK516" s="626">
        <v>-3</v>
      </c>
      <c r="AL516" s="626"/>
    </row>
    <row r="517" spans="1:38" ht="18" customHeight="1">
      <c r="A517" s="593"/>
      <c r="B517" s="598">
        <v>500</v>
      </c>
      <c r="C517" s="598" t="s">
        <v>3955</v>
      </c>
      <c r="D517" s="598">
        <f t="shared" si="6"/>
        <v>473</v>
      </c>
      <c r="E517" s="616" t="s">
        <v>3808</v>
      </c>
      <c r="F517" s="616" t="s">
        <v>4808</v>
      </c>
      <c r="G517" s="618" t="s">
        <v>3810</v>
      </c>
      <c r="H517" s="618" t="s">
        <v>499</v>
      </c>
      <c r="I517" s="618" t="s">
        <v>3811</v>
      </c>
      <c r="J517" s="618" t="s">
        <v>4161</v>
      </c>
      <c r="K517" s="618" t="s">
        <v>959</v>
      </c>
      <c r="L517" s="619"/>
      <c r="M517" s="620"/>
      <c r="N517" s="620"/>
      <c r="O517" s="663" t="s">
        <v>2668</v>
      </c>
      <c r="P517" s="621"/>
      <c r="Q517" s="598"/>
      <c r="R517" s="598"/>
      <c r="S517" s="598"/>
      <c r="T517" s="598" t="s">
        <v>1015</v>
      </c>
      <c r="U517" s="663" t="s">
        <v>540</v>
      </c>
      <c r="V517" s="616" t="s">
        <v>3957</v>
      </c>
      <c r="W517" s="598" t="s">
        <v>950</v>
      </c>
      <c r="X517" s="624">
        <v>22495</v>
      </c>
      <c r="Y517" s="625">
        <f t="shared" ca="1" si="5"/>
        <v>64</v>
      </c>
      <c r="Z517" s="616" t="s">
        <v>3958</v>
      </c>
      <c r="AA517" s="598" t="s">
        <v>3959</v>
      </c>
      <c r="AB517" s="598" t="s">
        <v>996</v>
      </c>
      <c r="AC517" s="598" t="s">
        <v>997</v>
      </c>
      <c r="AD517" s="616" t="s">
        <v>246</v>
      </c>
      <c r="AE517" s="633" t="s">
        <v>246</v>
      </c>
      <c r="AF517" s="633" t="s">
        <v>3815</v>
      </c>
      <c r="AG517" s="598"/>
      <c r="AH517" s="598"/>
      <c r="AI517" s="598" t="s">
        <v>1318</v>
      </c>
      <c r="AJ517" s="598"/>
      <c r="AK517" s="626">
        <v>-3</v>
      </c>
      <c r="AL517" s="626"/>
    </row>
    <row r="518" spans="1:38" ht="18" customHeight="1">
      <c r="A518" s="593"/>
      <c r="B518" s="598">
        <v>501</v>
      </c>
      <c r="C518" s="598" t="s">
        <v>4028</v>
      </c>
      <c r="D518" s="598">
        <f t="shared" si="6"/>
        <v>474</v>
      </c>
      <c r="E518" s="616" t="s">
        <v>3808</v>
      </c>
      <c r="F518" s="616" t="s">
        <v>4808</v>
      </c>
      <c r="G518" s="618" t="s">
        <v>3810</v>
      </c>
      <c r="H518" s="618" t="s">
        <v>499</v>
      </c>
      <c r="I518" s="618" t="s">
        <v>3811</v>
      </c>
      <c r="J518" s="618" t="s">
        <v>4161</v>
      </c>
      <c r="K518" s="618" t="s">
        <v>959</v>
      </c>
      <c r="L518" s="619"/>
      <c r="M518" s="620"/>
      <c r="N518" s="620"/>
      <c r="O518" s="673" t="s">
        <v>2668</v>
      </c>
      <c r="P518" s="621"/>
      <c r="Q518" s="598"/>
      <c r="R518" s="598"/>
      <c r="S518" s="598"/>
      <c r="T518" s="598" t="s">
        <v>1015</v>
      </c>
      <c r="U518" s="673" t="s">
        <v>547</v>
      </c>
      <c r="V518" s="616" t="s">
        <v>4029</v>
      </c>
      <c r="W518" s="598" t="s">
        <v>950</v>
      </c>
      <c r="X518" s="624">
        <v>23608</v>
      </c>
      <c r="Y518" s="625">
        <f t="shared" ca="1" si="5"/>
        <v>61</v>
      </c>
      <c r="Z518" s="616" t="s">
        <v>4030</v>
      </c>
      <c r="AA518" s="598" t="s">
        <v>4031</v>
      </c>
      <c r="AB518" s="598" t="s">
        <v>996</v>
      </c>
      <c r="AC518" s="644" t="s">
        <v>997</v>
      </c>
      <c r="AD518" s="616" t="s">
        <v>246</v>
      </c>
      <c r="AE518" s="633" t="s">
        <v>246</v>
      </c>
      <c r="AF518" s="616" t="s">
        <v>4032</v>
      </c>
      <c r="AG518" s="598"/>
      <c r="AH518" s="598"/>
      <c r="AI518" s="598" t="s">
        <v>1318</v>
      </c>
      <c r="AJ518" s="598"/>
      <c r="AK518" s="626">
        <v>-3</v>
      </c>
      <c r="AL518" s="626"/>
    </row>
    <row r="519" spans="1:38" ht="18" customHeight="1">
      <c r="A519" s="593"/>
      <c r="B519" s="598">
        <v>502</v>
      </c>
      <c r="C519" s="598" t="s">
        <v>4165</v>
      </c>
      <c r="D519" s="598">
        <f t="shared" si="6"/>
        <v>474</v>
      </c>
      <c r="E519" s="616"/>
      <c r="F519" s="616" t="s">
        <v>4808</v>
      </c>
      <c r="G519" s="618" t="s">
        <v>3810</v>
      </c>
      <c r="H519" s="618" t="s">
        <v>499</v>
      </c>
      <c r="I519" s="618" t="s">
        <v>3811</v>
      </c>
      <c r="J519" s="618" t="s">
        <v>4165</v>
      </c>
      <c r="K519" s="618" t="s">
        <v>3994</v>
      </c>
      <c r="L519" s="619"/>
      <c r="M519" s="620"/>
      <c r="N519" s="620"/>
      <c r="O519" s="667" t="s">
        <v>4827</v>
      </c>
      <c r="P519" s="621"/>
      <c r="Q519" s="598" t="s">
        <v>55</v>
      </c>
      <c r="R519" s="598" t="s">
        <v>178</v>
      </c>
      <c r="S519" s="598"/>
      <c r="T519" s="598"/>
      <c r="U519" s="667" t="s">
        <v>492</v>
      </c>
      <c r="V519" s="616" t="s">
        <v>4166</v>
      </c>
      <c r="W519" s="598" t="s">
        <v>950</v>
      </c>
      <c r="X519" s="624">
        <v>23418</v>
      </c>
      <c r="Y519" s="625">
        <f t="shared" ca="1" si="5"/>
        <v>61</v>
      </c>
      <c r="Z519" s="616" t="s">
        <v>4167</v>
      </c>
      <c r="AA519" s="598"/>
      <c r="AB519" s="598" t="s">
        <v>996</v>
      </c>
      <c r="AC519" s="598" t="s">
        <v>953</v>
      </c>
      <c r="AD519" s="616" t="s">
        <v>246</v>
      </c>
      <c r="AE519" s="616" t="s">
        <v>246</v>
      </c>
      <c r="AF519" s="616" t="s">
        <v>3815</v>
      </c>
      <c r="AG519" s="598" t="s">
        <v>955</v>
      </c>
      <c r="AH519" s="598"/>
      <c r="AI519" s="598"/>
      <c r="AJ519" s="598"/>
      <c r="AK519" s="626"/>
      <c r="AL519" s="626"/>
    </row>
    <row r="520" spans="1:38" ht="18" customHeight="1">
      <c r="A520" s="593"/>
      <c r="B520" s="598">
        <v>503</v>
      </c>
      <c r="C520" s="598" t="s">
        <v>3994</v>
      </c>
      <c r="D520" s="598">
        <f t="shared" si="6"/>
        <v>475</v>
      </c>
      <c r="E520" s="616" t="s">
        <v>3808</v>
      </c>
      <c r="F520" s="616" t="s">
        <v>4808</v>
      </c>
      <c r="G520" s="618" t="s">
        <v>3810</v>
      </c>
      <c r="H520" s="618" t="s">
        <v>499</v>
      </c>
      <c r="I520" s="618" t="s">
        <v>3811</v>
      </c>
      <c r="J520" s="618" t="s">
        <v>4165</v>
      </c>
      <c r="K520" s="618" t="s">
        <v>3994</v>
      </c>
      <c r="L520" s="619"/>
      <c r="M520" s="620"/>
      <c r="N520" s="620"/>
      <c r="O520" s="663" t="s">
        <v>4827</v>
      </c>
      <c r="P520" s="621"/>
      <c r="Q520" s="598" t="s">
        <v>69</v>
      </c>
      <c r="R520" s="598" t="s">
        <v>562</v>
      </c>
      <c r="S520" s="598"/>
      <c r="T520" s="598" t="s">
        <v>1015</v>
      </c>
      <c r="U520" s="663" t="s">
        <v>517</v>
      </c>
      <c r="V520" s="616" t="s">
        <v>3995</v>
      </c>
      <c r="W520" s="598" t="s">
        <v>950</v>
      </c>
      <c r="X520" s="624">
        <v>29204</v>
      </c>
      <c r="Y520" s="625">
        <f t="shared" ca="1" si="5"/>
        <v>46</v>
      </c>
      <c r="Z520" s="616" t="s">
        <v>3996</v>
      </c>
      <c r="AA520" s="598" t="s">
        <v>3997</v>
      </c>
      <c r="AB520" s="598" t="s">
        <v>996</v>
      </c>
      <c r="AC520" s="598" t="s">
        <v>997</v>
      </c>
      <c r="AD520" s="616" t="s">
        <v>246</v>
      </c>
      <c r="AE520" s="616" t="s">
        <v>246</v>
      </c>
      <c r="AF520" s="616" t="s">
        <v>3815</v>
      </c>
      <c r="AG520" s="598"/>
      <c r="AH520" s="598"/>
      <c r="AI520" s="598" t="s">
        <v>1025</v>
      </c>
      <c r="AJ520" s="598"/>
      <c r="AK520" s="626">
        <v>-3</v>
      </c>
      <c r="AL520" s="626"/>
    </row>
    <row r="521" spans="1:38" ht="18" customHeight="1">
      <c r="A521" s="593"/>
      <c r="B521" s="598">
        <v>504</v>
      </c>
      <c r="C521" s="598" t="s">
        <v>4010</v>
      </c>
      <c r="D521" s="598">
        <f t="shared" si="6"/>
        <v>476</v>
      </c>
      <c r="E521" s="616" t="s">
        <v>3808</v>
      </c>
      <c r="F521" s="616" t="s">
        <v>4808</v>
      </c>
      <c r="G521" s="618" t="s">
        <v>3810</v>
      </c>
      <c r="H521" s="618" t="s">
        <v>499</v>
      </c>
      <c r="I521" s="618" t="s">
        <v>3811</v>
      </c>
      <c r="J521" s="618" t="s">
        <v>4165</v>
      </c>
      <c r="K521" s="618" t="s">
        <v>3994</v>
      </c>
      <c r="L521" s="619"/>
      <c r="M521" s="620"/>
      <c r="N521" s="620"/>
      <c r="O521" s="663" t="s">
        <v>4827</v>
      </c>
      <c r="P521" s="621"/>
      <c r="Q521" s="598"/>
      <c r="R521" s="598"/>
      <c r="S521" s="598"/>
      <c r="T521" s="598" t="s">
        <v>1015</v>
      </c>
      <c r="U521" s="663" t="s">
        <v>525</v>
      </c>
      <c r="V521" s="616" t="s">
        <v>4011</v>
      </c>
      <c r="W521" s="598" t="s">
        <v>950</v>
      </c>
      <c r="X521" s="624">
        <v>33409</v>
      </c>
      <c r="Y521" s="625">
        <f t="shared" ca="1" si="5"/>
        <v>34</v>
      </c>
      <c r="Z521" s="616" t="s">
        <v>4012</v>
      </c>
      <c r="AA521" s="598" t="s">
        <v>4013</v>
      </c>
      <c r="AB521" s="598" t="s">
        <v>966</v>
      </c>
      <c r="AC521" s="598" t="s">
        <v>953</v>
      </c>
      <c r="AD521" s="616" t="s">
        <v>246</v>
      </c>
      <c r="AE521" s="616" t="s">
        <v>246</v>
      </c>
      <c r="AF521" s="616" t="s">
        <v>3815</v>
      </c>
      <c r="AG521" s="598"/>
      <c r="AH521" s="598"/>
      <c r="AI521" s="598"/>
      <c r="AJ521" s="598"/>
      <c r="AK521" s="626">
        <v>-3</v>
      </c>
      <c r="AL521" s="626"/>
    </row>
    <row r="522" spans="1:38" ht="18" customHeight="1">
      <c r="A522" s="593"/>
      <c r="B522" s="598">
        <v>505</v>
      </c>
      <c r="C522" s="598" t="s">
        <v>3998</v>
      </c>
      <c r="D522" s="598">
        <f t="shared" si="6"/>
        <v>477</v>
      </c>
      <c r="E522" s="616" t="s">
        <v>3808</v>
      </c>
      <c r="F522" s="616" t="s">
        <v>4808</v>
      </c>
      <c r="G522" s="618" t="s">
        <v>3810</v>
      </c>
      <c r="H522" s="618" t="s">
        <v>499</v>
      </c>
      <c r="I522" s="618" t="s">
        <v>3811</v>
      </c>
      <c r="J522" s="618" t="s">
        <v>4165</v>
      </c>
      <c r="K522" s="618" t="s">
        <v>3994</v>
      </c>
      <c r="L522" s="619"/>
      <c r="M522" s="620"/>
      <c r="N522" s="620"/>
      <c r="O522" s="663" t="s">
        <v>4827</v>
      </c>
      <c r="P522" s="621"/>
      <c r="Q522" s="598"/>
      <c r="R522" s="598"/>
      <c r="S522" s="598"/>
      <c r="T522" s="598" t="s">
        <v>1015</v>
      </c>
      <c r="U522" s="663" t="s">
        <v>533</v>
      </c>
      <c r="V522" s="616" t="s">
        <v>3999</v>
      </c>
      <c r="W522" s="598" t="s">
        <v>950</v>
      </c>
      <c r="X522" s="624">
        <v>31186</v>
      </c>
      <c r="Y522" s="625">
        <f t="shared" ca="1" si="5"/>
        <v>40</v>
      </c>
      <c r="Z522" s="616" t="s">
        <v>4000</v>
      </c>
      <c r="AA522" s="598" t="s">
        <v>4001</v>
      </c>
      <c r="AB522" s="598" t="s">
        <v>966</v>
      </c>
      <c r="AC522" s="598" t="s">
        <v>953</v>
      </c>
      <c r="AD522" s="616" t="s">
        <v>246</v>
      </c>
      <c r="AE522" s="616" t="s">
        <v>246</v>
      </c>
      <c r="AF522" s="616" t="s">
        <v>3815</v>
      </c>
      <c r="AG522" s="598"/>
      <c r="AH522" s="598"/>
      <c r="AI522" s="598"/>
      <c r="AJ522" s="598"/>
      <c r="AK522" s="626">
        <v>-3</v>
      </c>
      <c r="AL522" s="626"/>
    </row>
    <row r="523" spans="1:38" ht="18" customHeight="1">
      <c r="A523" s="593"/>
      <c r="B523" s="598">
        <v>506</v>
      </c>
      <c r="C523" s="598" t="s">
        <v>4085</v>
      </c>
      <c r="D523" s="598">
        <f t="shared" si="6"/>
        <v>478</v>
      </c>
      <c r="E523" s="616" t="s">
        <v>3808</v>
      </c>
      <c r="F523" s="616" t="s">
        <v>4808</v>
      </c>
      <c r="G523" s="618" t="s">
        <v>3810</v>
      </c>
      <c r="H523" s="618" t="s">
        <v>499</v>
      </c>
      <c r="I523" s="618" t="s">
        <v>3811</v>
      </c>
      <c r="J523" s="618" t="s">
        <v>4165</v>
      </c>
      <c r="K523" s="618" t="s">
        <v>3994</v>
      </c>
      <c r="L523" s="619"/>
      <c r="M523" s="620"/>
      <c r="N523" s="620"/>
      <c r="O523" s="663" t="s">
        <v>4827</v>
      </c>
      <c r="P523" s="621"/>
      <c r="Q523" s="598"/>
      <c r="R523" s="598"/>
      <c r="S523" s="598"/>
      <c r="T523" s="598" t="s">
        <v>1015</v>
      </c>
      <c r="U523" s="663" t="s">
        <v>541</v>
      </c>
      <c r="V523" s="616" t="s">
        <v>4086</v>
      </c>
      <c r="W523" s="598" t="s">
        <v>950</v>
      </c>
      <c r="X523" s="624">
        <v>27491</v>
      </c>
      <c r="Y523" s="625">
        <f t="shared" ca="1" si="5"/>
        <v>50</v>
      </c>
      <c r="Z523" s="616" t="s">
        <v>4087</v>
      </c>
      <c r="AA523" s="598" t="s">
        <v>4088</v>
      </c>
      <c r="AB523" s="598" t="s">
        <v>996</v>
      </c>
      <c r="AC523" s="598" t="s">
        <v>997</v>
      </c>
      <c r="AD523" s="616" t="s">
        <v>246</v>
      </c>
      <c r="AE523" s="616" t="s">
        <v>246</v>
      </c>
      <c r="AF523" s="616" t="s">
        <v>4089</v>
      </c>
      <c r="AG523" s="598"/>
      <c r="AH523" s="598"/>
      <c r="AI523" s="598" t="s">
        <v>1025</v>
      </c>
      <c r="AJ523" s="598"/>
      <c r="AK523" s="626"/>
      <c r="AL523" s="626"/>
    </row>
    <row r="524" spans="1:38" ht="18" customHeight="1">
      <c r="A524" s="593"/>
      <c r="B524" s="598">
        <v>507</v>
      </c>
      <c r="C524" s="598" t="s">
        <v>4359</v>
      </c>
      <c r="D524" s="598">
        <f t="shared" si="6"/>
        <v>479</v>
      </c>
      <c r="E524" s="616" t="s">
        <v>3808</v>
      </c>
      <c r="F524" s="616" t="s">
        <v>4808</v>
      </c>
      <c r="G524" s="618" t="s">
        <v>3810</v>
      </c>
      <c r="H524" s="618" t="s">
        <v>499</v>
      </c>
      <c r="I524" s="618" t="s">
        <v>3811</v>
      </c>
      <c r="J524" s="618" t="s">
        <v>4165</v>
      </c>
      <c r="K524" s="618" t="s">
        <v>3994</v>
      </c>
      <c r="L524" s="619"/>
      <c r="M524" s="620"/>
      <c r="N524" s="620"/>
      <c r="O524" s="663" t="s">
        <v>4827</v>
      </c>
      <c r="P524" s="621"/>
      <c r="Q524" s="598"/>
      <c r="R524" s="598"/>
      <c r="S524" s="598"/>
      <c r="T524" s="598" t="s">
        <v>1015</v>
      </c>
      <c r="U524" s="663" t="s">
        <v>548</v>
      </c>
      <c r="V524" s="616" t="s">
        <v>4360</v>
      </c>
      <c r="W524" s="598" t="s">
        <v>950</v>
      </c>
      <c r="X524" s="624">
        <v>28459</v>
      </c>
      <c r="Y524" s="625">
        <f t="shared" ca="1" si="5"/>
        <v>48</v>
      </c>
      <c r="Z524" s="616" t="s">
        <v>4361</v>
      </c>
      <c r="AA524" s="598" t="s">
        <v>4362</v>
      </c>
      <c r="AB524" s="598" t="s">
        <v>996</v>
      </c>
      <c r="AC524" s="598" t="s">
        <v>997</v>
      </c>
      <c r="AD524" s="616" t="s">
        <v>246</v>
      </c>
      <c r="AE524" s="616" t="s">
        <v>246</v>
      </c>
      <c r="AF524" s="616" t="s">
        <v>4363</v>
      </c>
      <c r="AG524" s="598"/>
      <c r="AH524" s="598"/>
      <c r="AI524" s="598" t="s">
        <v>1025</v>
      </c>
      <c r="AJ524" s="598"/>
      <c r="AK524" s="626">
        <v>-3</v>
      </c>
      <c r="AL524" s="626"/>
    </row>
    <row r="525" spans="1:38" ht="18" customHeight="1">
      <c r="A525" s="593"/>
      <c r="B525" s="598">
        <v>508</v>
      </c>
      <c r="C525" s="598" t="s">
        <v>4014</v>
      </c>
      <c r="D525" s="598">
        <f t="shared" si="6"/>
        <v>480</v>
      </c>
      <c r="E525" s="616" t="s">
        <v>3808</v>
      </c>
      <c r="F525" s="616" t="s">
        <v>4808</v>
      </c>
      <c r="G525" s="618" t="s">
        <v>3810</v>
      </c>
      <c r="H525" s="618" t="s">
        <v>499</v>
      </c>
      <c r="I525" s="618" t="s">
        <v>3811</v>
      </c>
      <c r="J525" s="618" t="s">
        <v>4165</v>
      </c>
      <c r="K525" s="618" t="s">
        <v>3994</v>
      </c>
      <c r="L525" s="619"/>
      <c r="M525" s="620"/>
      <c r="N525" s="620"/>
      <c r="O525" s="663" t="s">
        <v>4827</v>
      </c>
      <c r="P525" s="621"/>
      <c r="Q525" s="598"/>
      <c r="R525" s="598"/>
      <c r="S525" s="598"/>
      <c r="T525" s="598" t="s">
        <v>1015</v>
      </c>
      <c r="U525" s="663" t="s">
        <v>554</v>
      </c>
      <c r="V525" s="616" t="s">
        <v>4015</v>
      </c>
      <c r="W525" s="598" t="s">
        <v>950</v>
      </c>
      <c r="X525" s="624">
        <v>29948</v>
      </c>
      <c r="Y525" s="625">
        <f t="shared" ca="1" si="5"/>
        <v>44</v>
      </c>
      <c r="Z525" s="616" t="s">
        <v>4016</v>
      </c>
      <c r="AA525" s="598" t="s">
        <v>4017</v>
      </c>
      <c r="AB525" s="598" t="s">
        <v>996</v>
      </c>
      <c r="AC525" s="598" t="s">
        <v>997</v>
      </c>
      <c r="AD525" s="616" t="s">
        <v>246</v>
      </c>
      <c r="AE525" s="616" t="s">
        <v>246</v>
      </c>
      <c r="AF525" s="616" t="s">
        <v>3815</v>
      </c>
      <c r="AG525" s="598"/>
      <c r="AH525" s="598"/>
      <c r="AI525" s="598" t="s">
        <v>1025</v>
      </c>
      <c r="AJ525" s="598"/>
      <c r="AK525" s="626">
        <v>-3</v>
      </c>
      <c r="AL525" s="626"/>
    </row>
    <row r="526" spans="1:38" ht="18" customHeight="1">
      <c r="A526" s="593"/>
      <c r="B526" s="598">
        <v>509</v>
      </c>
      <c r="C526" s="598" t="s">
        <v>4249</v>
      </c>
      <c r="D526" s="598">
        <f t="shared" si="6"/>
        <v>481</v>
      </c>
      <c r="E526" s="616" t="s">
        <v>3808</v>
      </c>
      <c r="F526" s="616" t="s">
        <v>4808</v>
      </c>
      <c r="G526" s="618" t="s">
        <v>3810</v>
      </c>
      <c r="H526" s="618" t="s">
        <v>499</v>
      </c>
      <c r="I526" s="618" t="s">
        <v>3811</v>
      </c>
      <c r="J526" s="618" t="s">
        <v>4165</v>
      </c>
      <c r="K526" s="618" t="s">
        <v>3994</v>
      </c>
      <c r="L526" s="619"/>
      <c r="M526" s="620"/>
      <c r="N526" s="620"/>
      <c r="O526" s="663" t="s">
        <v>4827</v>
      </c>
      <c r="P526" s="621"/>
      <c r="Q526" s="598"/>
      <c r="R526" s="598"/>
      <c r="S526" s="598"/>
      <c r="T526" s="598" t="s">
        <v>1015</v>
      </c>
      <c r="U526" s="663" t="s">
        <v>559</v>
      </c>
      <c r="V526" s="616" t="s">
        <v>4250</v>
      </c>
      <c r="W526" s="598" t="s">
        <v>950</v>
      </c>
      <c r="X526" s="624">
        <v>30545</v>
      </c>
      <c r="Y526" s="625">
        <f t="shared" ca="1" si="5"/>
        <v>42</v>
      </c>
      <c r="Z526" s="616" t="s">
        <v>4251</v>
      </c>
      <c r="AA526" s="598" t="s">
        <v>4252</v>
      </c>
      <c r="AB526" s="598" t="s">
        <v>966</v>
      </c>
      <c r="AC526" s="598" t="s">
        <v>953</v>
      </c>
      <c r="AD526" s="616" t="s">
        <v>246</v>
      </c>
      <c r="AE526" s="616" t="s">
        <v>246</v>
      </c>
      <c r="AF526" s="616" t="s">
        <v>4253</v>
      </c>
      <c r="AG526" s="598"/>
      <c r="AH526" s="598"/>
      <c r="AI526" s="598" t="s">
        <v>1025</v>
      </c>
      <c r="AJ526" s="598"/>
      <c r="AK526" s="626"/>
      <c r="AL526" s="626"/>
    </row>
    <row r="527" spans="1:38" ht="18" customHeight="1">
      <c r="A527" s="593"/>
      <c r="B527" s="598">
        <v>510</v>
      </c>
      <c r="C527" s="598" t="s">
        <v>4090</v>
      </c>
      <c r="D527" s="598">
        <f t="shared" si="6"/>
        <v>482</v>
      </c>
      <c r="E527" s="616" t="s">
        <v>3808</v>
      </c>
      <c r="F527" s="616" t="s">
        <v>4808</v>
      </c>
      <c r="G527" s="618" t="s">
        <v>3810</v>
      </c>
      <c r="H527" s="618" t="s">
        <v>499</v>
      </c>
      <c r="I527" s="618" t="s">
        <v>3811</v>
      </c>
      <c r="J527" s="618" t="s">
        <v>4165</v>
      </c>
      <c r="K527" s="618" t="s">
        <v>3994</v>
      </c>
      <c r="L527" s="619"/>
      <c r="M527" s="620"/>
      <c r="N527" s="620"/>
      <c r="O527" s="663" t="s">
        <v>4827</v>
      </c>
      <c r="P527" s="621"/>
      <c r="Q527" s="598"/>
      <c r="R527" s="598"/>
      <c r="S527" s="598"/>
      <c r="T527" s="598" t="s">
        <v>1015</v>
      </c>
      <c r="U527" s="663" t="s">
        <v>565</v>
      </c>
      <c r="V527" s="616" t="s">
        <v>4091</v>
      </c>
      <c r="W527" s="598" t="s">
        <v>950</v>
      </c>
      <c r="X527" s="624">
        <v>34130</v>
      </c>
      <c r="Y527" s="625">
        <f t="shared" ca="1" si="5"/>
        <v>32</v>
      </c>
      <c r="Z527" s="616" t="s">
        <v>4092</v>
      </c>
      <c r="AA527" s="742"/>
      <c r="AB527" s="598" t="s">
        <v>996</v>
      </c>
      <c r="AC527" s="598" t="s">
        <v>1018</v>
      </c>
      <c r="AD527" s="616" t="s">
        <v>246</v>
      </c>
      <c r="AE527" s="616" t="s">
        <v>246</v>
      </c>
      <c r="AF527" s="616" t="s">
        <v>4828</v>
      </c>
      <c r="AG527" s="598"/>
      <c r="AH527" s="598"/>
      <c r="AI527" s="598" t="s">
        <v>1025</v>
      </c>
      <c r="AJ527" s="598"/>
      <c r="AK527" s="626"/>
      <c r="AL527" s="626"/>
    </row>
    <row r="528" spans="1:38" ht="18" customHeight="1">
      <c r="A528" s="593"/>
      <c r="B528" s="598">
        <v>511</v>
      </c>
      <c r="C528" s="598" t="s">
        <v>4829</v>
      </c>
      <c r="D528" s="598">
        <f t="shared" si="6"/>
        <v>483</v>
      </c>
      <c r="E528" s="616" t="s">
        <v>3808</v>
      </c>
      <c r="F528" s="616" t="s">
        <v>4808</v>
      </c>
      <c r="G528" s="618" t="s">
        <v>3810</v>
      </c>
      <c r="H528" s="618" t="s">
        <v>499</v>
      </c>
      <c r="I528" s="618" t="s">
        <v>3811</v>
      </c>
      <c r="J528" s="618" t="s">
        <v>4165</v>
      </c>
      <c r="K528" s="618" t="s">
        <v>3994</v>
      </c>
      <c r="L528" s="619"/>
      <c r="M528" s="620"/>
      <c r="N528" s="620"/>
      <c r="O528" s="663" t="s">
        <v>4827</v>
      </c>
      <c r="P528" s="621"/>
      <c r="Q528" s="598"/>
      <c r="R528" s="598"/>
      <c r="S528" s="598"/>
      <c r="T528" s="598" t="s">
        <v>1015</v>
      </c>
      <c r="U528" s="663" t="s">
        <v>4830</v>
      </c>
      <c r="V528" s="616" t="s">
        <v>4831</v>
      </c>
      <c r="W528" s="598" t="s">
        <v>950</v>
      </c>
      <c r="X528" s="624">
        <v>29575</v>
      </c>
      <c r="Y528" s="625">
        <f t="shared" ca="1" si="5"/>
        <v>45</v>
      </c>
      <c r="Z528" s="616" t="s">
        <v>4832</v>
      </c>
      <c r="AA528" s="652"/>
      <c r="AB528" s="598" t="s">
        <v>996</v>
      </c>
      <c r="AC528" s="598" t="s">
        <v>1018</v>
      </c>
      <c r="AD528" s="616" t="s">
        <v>246</v>
      </c>
      <c r="AE528" s="616" t="s">
        <v>246</v>
      </c>
      <c r="AF528" s="616" t="s">
        <v>3815</v>
      </c>
      <c r="AG528" s="598"/>
      <c r="AH528" s="598" t="s">
        <v>4821</v>
      </c>
      <c r="AI528" s="598" t="s">
        <v>1025</v>
      </c>
      <c r="AJ528" s="598" t="s">
        <v>1020</v>
      </c>
      <c r="AK528" s="626">
        <v>-3</v>
      </c>
      <c r="AL528" s="626"/>
    </row>
    <row r="529" spans="1:38" ht="18" customHeight="1">
      <c r="A529" s="593"/>
      <c r="B529" s="598">
        <v>512</v>
      </c>
      <c r="C529" s="598" t="s">
        <v>4833</v>
      </c>
      <c r="D529" s="598">
        <f t="shared" si="6"/>
        <v>484</v>
      </c>
      <c r="E529" s="616" t="s">
        <v>3808</v>
      </c>
      <c r="F529" s="616" t="s">
        <v>4808</v>
      </c>
      <c r="G529" s="618" t="s">
        <v>3810</v>
      </c>
      <c r="H529" s="618" t="s">
        <v>499</v>
      </c>
      <c r="I529" s="618" t="s">
        <v>3811</v>
      </c>
      <c r="J529" s="618" t="s">
        <v>4165</v>
      </c>
      <c r="K529" s="618" t="s">
        <v>3994</v>
      </c>
      <c r="L529" s="619"/>
      <c r="M529" s="620"/>
      <c r="N529" s="620"/>
      <c r="O529" s="663" t="s">
        <v>4827</v>
      </c>
      <c r="P529" s="621"/>
      <c r="Q529" s="598"/>
      <c r="R529" s="598"/>
      <c r="S529" s="598"/>
      <c r="T529" s="598" t="s">
        <v>1015</v>
      </c>
      <c r="U529" s="663" t="s">
        <v>4834</v>
      </c>
      <c r="V529" s="616" t="s">
        <v>4835</v>
      </c>
      <c r="W529" s="598" t="s">
        <v>950</v>
      </c>
      <c r="X529" s="624">
        <v>22440</v>
      </c>
      <c r="Y529" s="625">
        <f t="shared" ca="1" si="5"/>
        <v>64</v>
      </c>
      <c r="Z529" s="616" t="s">
        <v>4836</v>
      </c>
      <c r="AA529" s="652"/>
      <c r="AB529" s="598" t="s">
        <v>996</v>
      </c>
      <c r="AC529" s="598" t="s">
        <v>1018</v>
      </c>
      <c r="AD529" s="616" t="s">
        <v>246</v>
      </c>
      <c r="AE529" s="616" t="s">
        <v>246</v>
      </c>
      <c r="AF529" s="616" t="s">
        <v>3815</v>
      </c>
      <c r="AG529" s="598"/>
      <c r="AH529" s="598" t="s">
        <v>4837</v>
      </c>
      <c r="AI529" s="598" t="s">
        <v>1025</v>
      </c>
      <c r="AJ529" s="598" t="s">
        <v>1020</v>
      </c>
      <c r="AK529" s="626">
        <v>-3</v>
      </c>
      <c r="AL529" s="626"/>
    </row>
    <row r="530" spans="1:38" ht="18" customHeight="1">
      <c r="A530" s="593"/>
      <c r="B530" s="598">
        <v>513</v>
      </c>
      <c r="C530" s="598" t="s">
        <v>4838</v>
      </c>
      <c r="D530" s="598">
        <f t="shared" si="6"/>
        <v>485</v>
      </c>
      <c r="E530" s="616" t="s">
        <v>3808</v>
      </c>
      <c r="F530" s="616" t="s">
        <v>4808</v>
      </c>
      <c r="G530" s="618" t="s">
        <v>3810</v>
      </c>
      <c r="H530" s="618" t="s">
        <v>499</v>
      </c>
      <c r="I530" s="618" t="s">
        <v>3811</v>
      </c>
      <c r="J530" s="618" t="s">
        <v>4165</v>
      </c>
      <c r="K530" s="618" t="s">
        <v>3994</v>
      </c>
      <c r="L530" s="619"/>
      <c r="M530" s="620"/>
      <c r="N530" s="620"/>
      <c r="O530" s="663" t="s">
        <v>4827</v>
      </c>
      <c r="P530" s="621"/>
      <c r="Q530" s="598"/>
      <c r="R530" s="598"/>
      <c r="S530" s="598"/>
      <c r="T530" s="598" t="s">
        <v>1015</v>
      </c>
      <c r="U530" s="663" t="s">
        <v>4839</v>
      </c>
      <c r="V530" s="616" t="s">
        <v>4840</v>
      </c>
      <c r="W530" s="598" t="s">
        <v>950</v>
      </c>
      <c r="X530" s="624">
        <v>26500</v>
      </c>
      <c r="Y530" s="625">
        <f t="shared" ca="1" si="5"/>
        <v>53</v>
      </c>
      <c r="Z530" s="616" t="s">
        <v>4841</v>
      </c>
      <c r="AA530" s="652"/>
      <c r="AB530" s="598" t="s">
        <v>996</v>
      </c>
      <c r="AC530" s="598" t="s">
        <v>1018</v>
      </c>
      <c r="AD530" s="616" t="s">
        <v>246</v>
      </c>
      <c r="AE530" s="616" t="s">
        <v>246</v>
      </c>
      <c r="AF530" s="616" t="s">
        <v>3815</v>
      </c>
      <c r="AG530" s="598"/>
      <c r="AH530" s="598" t="s">
        <v>4837</v>
      </c>
      <c r="AI530" s="598" t="s">
        <v>1025</v>
      </c>
      <c r="AJ530" s="598" t="s">
        <v>1020</v>
      </c>
      <c r="AK530" s="626">
        <v>-3</v>
      </c>
      <c r="AL530" s="626"/>
    </row>
    <row r="531" spans="1:38" ht="18" customHeight="1">
      <c r="A531" s="593"/>
      <c r="B531" s="598">
        <v>514</v>
      </c>
      <c r="C531" s="598" t="s">
        <v>4842</v>
      </c>
      <c r="D531" s="598">
        <f t="shared" si="6"/>
        <v>486</v>
      </c>
      <c r="E531" s="616" t="s">
        <v>3808</v>
      </c>
      <c r="F531" s="616" t="s">
        <v>4808</v>
      </c>
      <c r="G531" s="618" t="s">
        <v>3810</v>
      </c>
      <c r="H531" s="618" t="s">
        <v>499</v>
      </c>
      <c r="I531" s="618" t="s">
        <v>3811</v>
      </c>
      <c r="J531" s="618" t="s">
        <v>4165</v>
      </c>
      <c r="K531" s="618" t="s">
        <v>3994</v>
      </c>
      <c r="L531" s="619"/>
      <c r="M531" s="620"/>
      <c r="N531" s="620"/>
      <c r="O531" s="673" t="s">
        <v>4827</v>
      </c>
      <c r="P531" s="621"/>
      <c r="Q531" s="598"/>
      <c r="R531" s="598"/>
      <c r="S531" s="598"/>
      <c r="T531" s="598" t="s">
        <v>1015</v>
      </c>
      <c r="U531" s="673" t="s">
        <v>4843</v>
      </c>
      <c r="V531" s="616" t="s">
        <v>4844</v>
      </c>
      <c r="W531" s="598" t="s">
        <v>950</v>
      </c>
      <c r="X531" s="624">
        <v>33645</v>
      </c>
      <c r="Y531" s="625">
        <f t="shared" ca="1" si="5"/>
        <v>33</v>
      </c>
      <c r="Z531" s="616" t="s">
        <v>4845</v>
      </c>
      <c r="AA531" s="652"/>
      <c r="AB531" s="598" t="s">
        <v>996</v>
      </c>
      <c r="AC531" s="598" t="s">
        <v>1018</v>
      </c>
      <c r="AD531" s="616" t="s">
        <v>246</v>
      </c>
      <c r="AE531" s="616" t="s">
        <v>246</v>
      </c>
      <c r="AF531" s="616" t="s">
        <v>3815</v>
      </c>
      <c r="AG531" s="598"/>
      <c r="AH531" s="598" t="s">
        <v>4846</v>
      </c>
      <c r="AI531" s="598" t="s">
        <v>1025</v>
      </c>
      <c r="AJ531" s="598" t="s">
        <v>1020</v>
      </c>
      <c r="AK531" s="626">
        <v>-3</v>
      </c>
      <c r="AL531" s="626"/>
    </row>
    <row r="532" spans="1:38" ht="18" customHeight="1">
      <c r="A532" s="593"/>
      <c r="B532" s="598">
        <v>515</v>
      </c>
      <c r="C532" s="598" t="s">
        <v>4165</v>
      </c>
      <c r="D532" s="598">
        <f t="shared" si="6"/>
        <v>486</v>
      </c>
      <c r="E532" s="616"/>
      <c r="F532" s="616" t="s">
        <v>4808</v>
      </c>
      <c r="G532" s="618" t="s">
        <v>3810</v>
      </c>
      <c r="H532" s="618" t="s">
        <v>499</v>
      </c>
      <c r="I532" s="618" t="s">
        <v>3811</v>
      </c>
      <c r="J532" s="618" t="s">
        <v>4165</v>
      </c>
      <c r="K532" s="618" t="s">
        <v>3658</v>
      </c>
      <c r="L532" s="619"/>
      <c r="M532" s="620"/>
      <c r="N532" s="620"/>
      <c r="O532" s="667" t="s">
        <v>4847</v>
      </c>
      <c r="P532" s="621"/>
      <c r="Q532" s="598" t="s">
        <v>55</v>
      </c>
      <c r="R532" s="598" t="s">
        <v>178</v>
      </c>
      <c r="S532" s="598"/>
      <c r="T532" s="598"/>
      <c r="U532" s="667" t="s">
        <v>492</v>
      </c>
      <c r="V532" s="616" t="s">
        <v>4166</v>
      </c>
      <c r="W532" s="598" t="s">
        <v>950</v>
      </c>
      <c r="X532" s="624">
        <v>23418</v>
      </c>
      <c r="Y532" s="625">
        <f t="shared" ca="1" si="5"/>
        <v>61</v>
      </c>
      <c r="Z532" s="616" t="s">
        <v>4167</v>
      </c>
      <c r="AA532" s="598" t="s">
        <v>4168</v>
      </c>
      <c r="AB532" s="598" t="s">
        <v>996</v>
      </c>
      <c r="AC532" s="598" t="s">
        <v>953</v>
      </c>
      <c r="AD532" s="616" t="s">
        <v>246</v>
      </c>
      <c r="AE532" s="616" t="s">
        <v>246</v>
      </c>
      <c r="AF532" s="616" t="s">
        <v>3815</v>
      </c>
      <c r="AG532" s="598" t="s">
        <v>955</v>
      </c>
      <c r="AH532" s="598"/>
      <c r="AI532" s="598"/>
      <c r="AJ532" s="598"/>
      <c r="AK532" s="626"/>
      <c r="AL532" s="626"/>
    </row>
    <row r="533" spans="1:38" ht="18" customHeight="1">
      <c r="A533" s="593"/>
      <c r="B533" s="598">
        <v>516</v>
      </c>
      <c r="C533" s="598" t="s">
        <v>3658</v>
      </c>
      <c r="D533" s="598">
        <f t="shared" si="6"/>
        <v>487</v>
      </c>
      <c r="E533" s="616" t="s">
        <v>1810</v>
      </c>
      <c r="F533" s="616" t="s">
        <v>4808</v>
      </c>
      <c r="G533" s="618" t="s">
        <v>3810</v>
      </c>
      <c r="H533" s="618" t="s">
        <v>499</v>
      </c>
      <c r="I533" s="618" t="s">
        <v>3811</v>
      </c>
      <c r="J533" s="618" t="s">
        <v>4165</v>
      </c>
      <c r="K533" s="618"/>
      <c r="L533" s="619"/>
      <c r="M533" s="620"/>
      <c r="N533" s="620"/>
      <c r="O533" s="663" t="s">
        <v>4847</v>
      </c>
      <c r="P533" s="621" t="s">
        <v>319</v>
      </c>
      <c r="Q533" s="598"/>
      <c r="R533" s="598"/>
      <c r="S533" s="598"/>
      <c r="T533" s="598" t="s">
        <v>1015</v>
      </c>
      <c r="U533" s="663" t="s">
        <v>518</v>
      </c>
      <c r="V533" s="616" t="s">
        <v>3659</v>
      </c>
      <c r="W533" s="598" t="s">
        <v>950</v>
      </c>
      <c r="X533" s="624">
        <v>22251</v>
      </c>
      <c r="Y533" s="625">
        <f t="shared" ca="1" si="5"/>
        <v>65</v>
      </c>
      <c r="Z533" s="616" t="s">
        <v>3660</v>
      </c>
      <c r="AA533" s="598" t="s">
        <v>3661</v>
      </c>
      <c r="AB533" s="598" t="s">
        <v>996</v>
      </c>
      <c r="AC533" s="598" t="s">
        <v>997</v>
      </c>
      <c r="AD533" s="616" t="s">
        <v>1078</v>
      </c>
      <c r="AE533" s="616" t="s">
        <v>1078</v>
      </c>
      <c r="AF533" s="616" t="s">
        <v>3578</v>
      </c>
      <c r="AG533" s="598"/>
      <c r="AH533" s="598"/>
      <c r="AI533" s="634" t="s">
        <v>1359</v>
      </c>
      <c r="AJ533" s="598"/>
      <c r="AK533" s="626"/>
      <c r="AL533" s="626"/>
    </row>
    <row r="534" spans="1:38" ht="18" customHeight="1">
      <c r="A534" s="593"/>
      <c r="B534" s="598">
        <v>517</v>
      </c>
      <c r="C534" s="598" t="s">
        <v>4389</v>
      </c>
      <c r="D534" s="598">
        <f t="shared" si="6"/>
        <v>488</v>
      </c>
      <c r="E534" s="616" t="s">
        <v>3862</v>
      </c>
      <c r="F534" s="616" t="s">
        <v>4808</v>
      </c>
      <c r="G534" s="618" t="s">
        <v>3810</v>
      </c>
      <c r="H534" s="618" t="s">
        <v>499</v>
      </c>
      <c r="I534" s="618" t="s">
        <v>3811</v>
      </c>
      <c r="J534" s="618" t="s">
        <v>4165</v>
      </c>
      <c r="K534" s="618"/>
      <c r="L534" s="619"/>
      <c r="M534" s="620"/>
      <c r="N534" s="620"/>
      <c r="O534" s="663" t="s">
        <v>4847</v>
      </c>
      <c r="P534" s="621" t="s">
        <v>319</v>
      </c>
      <c r="Q534" s="598"/>
      <c r="R534" s="598"/>
      <c r="S534" s="598"/>
      <c r="T534" s="598" t="s">
        <v>1015</v>
      </c>
      <c r="U534" s="663" t="s">
        <v>526</v>
      </c>
      <c r="V534" s="616" t="s">
        <v>4390</v>
      </c>
      <c r="W534" s="598" t="s">
        <v>950</v>
      </c>
      <c r="X534" s="624">
        <v>23509</v>
      </c>
      <c r="Y534" s="625">
        <f t="shared" ca="1" si="5"/>
        <v>61</v>
      </c>
      <c r="Z534" s="616" t="s">
        <v>4391</v>
      </c>
      <c r="AA534" s="598" t="s">
        <v>4392</v>
      </c>
      <c r="AB534" s="598" t="s">
        <v>996</v>
      </c>
      <c r="AC534" s="644" t="s">
        <v>997</v>
      </c>
      <c r="AD534" s="616" t="s">
        <v>246</v>
      </c>
      <c r="AE534" s="616" t="s">
        <v>246</v>
      </c>
      <c r="AF534" s="616" t="s">
        <v>4393</v>
      </c>
      <c r="AG534" s="598"/>
      <c r="AH534" s="598"/>
      <c r="AI534" s="634" t="s">
        <v>1359</v>
      </c>
      <c r="AJ534" s="598"/>
      <c r="AK534" s="626"/>
      <c r="AL534" s="626"/>
    </row>
    <row r="535" spans="1:38" ht="18" customHeight="1">
      <c r="A535" s="593"/>
      <c r="B535" s="598">
        <v>518</v>
      </c>
      <c r="C535" s="598" t="s">
        <v>4065</v>
      </c>
      <c r="D535" s="598">
        <f t="shared" si="6"/>
        <v>489</v>
      </c>
      <c r="E535" s="616" t="s">
        <v>3862</v>
      </c>
      <c r="F535" s="616" t="s">
        <v>4808</v>
      </c>
      <c r="G535" s="618" t="s">
        <v>3810</v>
      </c>
      <c r="H535" s="618" t="s">
        <v>499</v>
      </c>
      <c r="I535" s="618" t="s">
        <v>3811</v>
      </c>
      <c r="J535" s="618" t="s">
        <v>4165</v>
      </c>
      <c r="K535" s="618"/>
      <c r="L535" s="619"/>
      <c r="M535" s="620"/>
      <c r="N535" s="620"/>
      <c r="O535" s="663" t="s">
        <v>4847</v>
      </c>
      <c r="P535" s="621" t="s">
        <v>319</v>
      </c>
      <c r="Q535" s="598"/>
      <c r="R535" s="598"/>
      <c r="S535" s="598"/>
      <c r="T535" s="598" t="s">
        <v>1015</v>
      </c>
      <c r="U535" s="663" t="s">
        <v>534</v>
      </c>
      <c r="V535" s="616" t="s">
        <v>4066</v>
      </c>
      <c r="W535" s="598" t="s">
        <v>950</v>
      </c>
      <c r="X535" s="624">
        <v>24081</v>
      </c>
      <c r="Y535" s="625">
        <f t="shared" ca="1" si="5"/>
        <v>60</v>
      </c>
      <c r="Z535" s="616" t="s">
        <v>4067</v>
      </c>
      <c r="AA535" s="598" t="s">
        <v>4068</v>
      </c>
      <c r="AB535" s="598" t="s">
        <v>996</v>
      </c>
      <c r="AC535" s="598" t="s">
        <v>997</v>
      </c>
      <c r="AD535" s="616" t="s">
        <v>246</v>
      </c>
      <c r="AE535" s="616" t="s">
        <v>246</v>
      </c>
      <c r="AF535" s="653" t="s">
        <v>4064</v>
      </c>
      <c r="AG535" s="598"/>
      <c r="AH535" s="598"/>
      <c r="AI535" s="634" t="s">
        <v>1359</v>
      </c>
      <c r="AJ535" s="598"/>
      <c r="AK535" s="626">
        <v>-3</v>
      </c>
      <c r="AL535" s="626"/>
    </row>
    <row r="536" spans="1:38" ht="18" customHeight="1">
      <c r="A536" s="593"/>
      <c r="B536" s="598">
        <v>519</v>
      </c>
      <c r="C536" s="598" t="s">
        <v>4364</v>
      </c>
      <c r="D536" s="598">
        <f t="shared" si="6"/>
        <v>490</v>
      </c>
      <c r="E536" s="616" t="s">
        <v>3862</v>
      </c>
      <c r="F536" s="616" t="s">
        <v>4808</v>
      </c>
      <c r="G536" s="618" t="s">
        <v>3810</v>
      </c>
      <c r="H536" s="618" t="s">
        <v>499</v>
      </c>
      <c r="I536" s="618" t="s">
        <v>3811</v>
      </c>
      <c r="J536" s="618" t="s">
        <v>4165</v>
      </c>
      <c r="K536" s="618"/>
      <c r="L536" s="619"/>
      <c r="M536" s="620"/>
      <c r="N536" s="620"/>
      <c r="O536" s="663" t="s">
        <v>4847</v>
      </c>
      <c r="P536" s="621" t="s">
        <v>319</v>
      </c>
      <c r="Q536" s="598"/>
      <c r="R536" s="598"/>
      <c r="S536" s="598"/>
      <c r="T536" s="598" t="s">
        <v>1015</v>
      </c>
      <c r="U536" s="663" t="s">
        <v>542</v>
      </c>
      <c r="V536" s="616" t="s">
        <v>4367</v>
      </c>
      <c r="W536" s="598" t="s">
        <v>950</v>
      </c>
      <c r="X536" s="624">
        <v>25716</v>
      </c>
      <c r="Y536" s="625">
        <f t="shared" ca="1" si="5"/>
        <v>55</v>
      </c>
      <c r="Z536" s="616" t="s">
        <v>4368</v>
      </c>
      <c r="AA536" s="598" t="s">
        <v>4369</v>
      </c>
      <c r="AB536" s="598" t="s">
        <v>996</v>
      </c>
      <c r="AC536" s="598" t="s">
        <v>997</v>
      </c>
      <c r="AD536" s="616" t="s">
        <v>246</v>
      </c>
      <c r="AE536" s="616" t="s">
        <v>246</v>
      </c>
      <c r="AF536" s="616" t="s">
        <v>4312</v>
      </c>
      <c r="AG536" s="598"/>
      <c r="AH536" s="598"/>
      <c r="AI536" s="634" t="s">
        <v>1359</v>
      </c>
      <c r="AJ536" s="598"/>
      <c r="AK536" s="626"/>
      <c r="AL536" s="626"/>
    </row>
    <row r="537" spans="1:38" ht="18" customHeight="1">
      <c r="A537" s="593"/>
      <c r="B537" s="598">
        <v>520</v>
      </c>
      <c r="C537" s="598" t="s">
        <v>3613</v>
      </c>
      <c r="D537" s="598">
        <f t="shared" si="6"/>
        <v>491</v>
      </c>
      <c r="E537" s="616" t="s">
        <v>1810</v>
      </c>
      <c r="F537" s="616" t="s">
        <v>4808</v>
      </c>
      <c r="G537" s="618" t="s">
        <v>3810</v>
      </c>
      <c r="H537" s="618" t="s">
        <v>499</v>
      </c>
      <c r="I537" s="618" t="s">
        <v>3811</v>
      </c>
      <c r="J537" s="618" t="s">
        <v>4165</v>
      </c>
      <c r="K537" s="618"/>
      <c r="L537" s="619"/>
      <c r="M537" s="620"/>
      <c r="N537" s="620"/>
      <c r="O537" s="663" t="s">
        <v>4847</v>
      </c>
      <c r="P537" s="621" t="s">
        <v>319</v>
      </c>
      <c r="Q537" s="598"/>
      <c r="R537" s="598"/>
      <c r="S537" s="598"/>
      <c r="T537" s="598" t="s">
        <v>1015</v>
      </c>
      <c r="U537" s="663" t="s">
        <v>549</v>
      </c>
      <c r="V537" s="616" t="s">
        <v>3614</v>
      </c>
      <c r="W537" s="598" t="s">
        <v>950</v>
      </c>
      <c r="X537" s="624">
        <v>26041</v>
      </c>
      <c r="Y537" s="625">
        <f t="shared" ca="1" si="5"/>
        <v>54</v>
      </c>
      <c r="Z537" s="616" t="s">
        <v>3615</v>
      </c>
      <c r="AA537" s="598" t="s">
        <v>3616</v>
      </c>
      <c r="AB537" s="598" t="s">
        <v>996</v>
      </c>
      <c r="AC537" s="598" t="s">
        <v>1018</v>
      </c>
      <c r="AD537" s="616" t="s">
        <v>973</v>
      </c>
      <c r="AE537" s="616" t="s">
        <v>973</v>
      </c>
      <c r="AF537" s="616" t="s">
        <v>3509</v>
      </c>
      <c r="AG537" s="598"/>
      <c r="AH537" s="598"/>
      <c r="AI537" s="634" t="s">
        <v>1359</v>
      </c>
      <c r="AJ537" s="598"/>
      <c r="AK537" s="626"/>
      <c r="AL537" s="626"/>
    </row>
    <row r="538" spans="1:38" ht="18" customHeight="1">
      <c r="A538" s="593"/>
      <c r="B538" s="598">
        <v>521</v>
      </c>
      <c r="C538" s="598" t="s">
        <v>4848</v>
      </c>
      <c r="D538" s="598">
        <f t="shared" si="6"/>
        <v>492</v>
      </c>
      <c r="E538" s="616" t="s">
        <v>3862</v>
      </c>
      <c r="F538" s="616" t="s">
        <v>4808</v>
      </c>
      <c r="G538" s="618" t="s">
        <v>3810</v>
      </c>
      <c r="H538" s="618" t="s">
        <v>499</v>
      </c>
      <c r="I538" s="618" t="s">
        <v>3811</v>
      </c>
      <c r="J538" s="618" t="s">
        <v>4165</v>
      </c>
      <c r="K538" s="618"/>
      <c r="L538" s="619"/>
      <c r="M538" s="620"/>
      <c r="N538" s="620"/>
      <c r="O538" s="663" t="s">
        <v>4847</v>
      </c>
      <c r="P538" s="621" t="s">
        <v>319</v>
      </c>
      <c r="Q538" s="598"/>
      <c r="R538" s="598"/>
      <c r="S538" s="598"/>
      <c r="T538" s="598" t="s">
        <v>1015</v>
      </c>
      <c r="U538" s="663" t="s">
        <v>555</v>
      </c>
      <c r="V538" s="616" t="s">
        <v>4849</v>
      </c>
      <c r="W538" s="598" t="s">
        <v>950</v>
      </c>
      <c r="X538" s="624">
        <v>26626</v>
      </c>
      <c r="Y538" s="625">
        <f t="shared" ca="1" si="5"/>
        <v>53</v>
      </c>
      <c r="Z538" s="616" t="s">
        <v>4850</v>
      </c>
      <c r="AA538" s="652"/>
      <c r="AB538" s="598" t="s">
        <v>996</v>
      </c>
      <c r="AC538" s="598" t="s">
        <v>1018</v>
      </c>
      <c r="AD538" s="616" t="s">
        <v>246</v>
      </c>
      <c r="AE538" s="616" t="s">
        <v>246</v>
      </c>
      <c r="AF538" s="616" t="s">
        <v>4851</v>
      </c>
      <c r="AG538" s="598"/>
      <c r="AH538" s="598" t="s">
        <v>4702</v>
      </c>
      <c r="AI538" s="634" t="s">
        <v>1359</v>
      </c>
      <c r="AJ538" s="598"/>
      <c r="AK538" s="626">
        <v>-3</v>
      </c>
      <c r="AL538" s="626"/>
    </row>
    <row r="539" spans="1:38" ht="18" customHeight="1">
      <c r="A539" s="593"/>
      <c r="B539" s="598">
        <v>522</v>
      </c>
      <c r="C539" s="598" t="s">
        <v>4374</v>
      </c>
      <c r="D539" s="598">
        <f t="shared" si="6"/>
        <v>493</v>
      </c>
      <c r="E539" s="616" t="s">
        <v>3862</v>
      </c>
      <c r="F539" s="616" t="s">
        <v>4808</v>
      </c>
      <c r="G539" s="618" t="s">
        <v>3810</v>
      </c>
      <c r="H539" s="618" t="s">
        <v>499</v>
      </c>
      <c r="I539" s="618" t="s">
        <v>3811</v>
      </c>
      <c r="J539" s="618" t="s">
        <v>4165</v>
      </c>
      <c r="K539" s="618"/>
      <c r="L539" s="619"/>
      <c r="M539" s="620"/>
      <c r="N539" s="620"/>
      <c r="O539" s="663" t="s">
        <v>4847</v>
      </c>
      <c r="P539" s="621" t="s">
        <v>319</v>
      </c>
      <c r="Q539" s="598"/>
      <c r="R539" s="598"/>
      <c r="S539" s="598"/>
      <c r="T539" s="598" t="s">
        <v>1015</v>
      </c>
      <c r="U539" s="663" t="s">
        <v>560</v>
      </c>
      <c r="V539" s="616" t="s">
        <v>4375</v>
      </c>
      <c r="W539" s="598" t="s">
        <v>950</v>
      </c>
      <c r="X539" s="624">
        <v>27940</v>
      </c>
      <c r="Y539" s="625">
        <f t="shared" ca="1" si="5"/>
        <v>49</v>
      </c>
      <c r="Z539" s="616" t="s">
        <v>4376</v>
      </c>
      <c r="AA539" s="598" t="s">
        <v>4377</v>
      </c>
      <c r="AB539" s="598" t="s">
        <v>996</v>
      </c>
      <c r="AC539" s="598" t="s">
        <v>997</v>
      </c>
      <c r="AD539" s="616" t="s">
        <v>246</v>
      </c>
      <c r="AE539" s="616" t="s">
        <v>246</v>
      </c>
      <c r="AF539" s="616" t="s">
        <v>4265</v>
      </c>
      <c r="AG539" s="598"/>
      <c r="AH539" s="598"/>
      <c r="AI539" s="634" t="s">
        <v>1359</v>
      </c>
      <c r="AJ539" s="598"/>
      <c r="AK539" s="626"/>
      <c r="AL539" s="626"/>
    </row>
    <row r="540" spans="1:38" ht="18" customHeight="1">
      <c r="A540" s="593"/>
      <c r="B540" s="598">
        <v>523</v>
      </c>
      <c r="C540" s="598" t="s">
        <v>3617</v>
      </c>
      <c r="D540" s="598">
        <f t="shared" si="6"/>
        <v>494</v>
      </c>
      <c r="E540" s="616" t="s">
        <v>1810</v>
      </c>
      <c r="F540" s="616" t="s">
        <v>4808</v>
      </c>
      <c r="G540" s="618" t="s">
        <v>3810</v>
      </c>
      <c r="H540" s="618" t="s">
        <v>499</v>
      </c>
      <c r="I540" s="618" t="s">
        <v>3811</v>
      </c>
      <c r="J540" s="618" t="s">
        <v>4165</v>
      </c>
      <c r="K540" s="618"/>
      <c r="L540" s="619"/>
      <c r="M540" s="620"/>
      <c r="N540" s="620"/>
      <c r="O540" s="673" t="s">
        <v>4847</v>
      </c>
      <c r="P540" s="621" t="s">
        <v>319</v>
      </c>
      <c r="Q540" s="598"/>
      <c r="R540" s="598"/>
      <c r="S540" s="598"/>
      <c r="T540" s="598" t="s">
        <v>1015</v>
      </c>
      <c r="U540" s="673" t="s">
        <v>566</v>
      </c>
      <c r="V540" s="616" t="s">
        <v>3618</v>
      </c>
      <c r="W540" s="598" t="s">
        <v>950</v>
      </c>
      <c r="X540" s="624">
        <v>31512</v>
      </c>
      <c r="Y540" s="625">
        <f t="shared" ca="1" si="5"/>
        <v>39</v>
      </c>
      <c r="Z540" s="616" t="s">
        <v>3619</v>
      </c>
      <c r="AA540" s="598" t="s">
        <v>3620</v>
      </c>
      <c r="AB540" s="598" t="s">
        <v>996</v>
      </c>
      <c r="AC540" s="644" t="s">
        <v>997</v>
      </c>
      <c r="AD540" s="616" t="s">
        <v>973</v>
      </c>
      <c r="AE540" s="616" t="s">
        <v>973</v>
      </c>
      <c r="AF540" s="616" t="s">
        <v>3509</v>
      </c>
      <c r="AG540" s="598"/>
      <c r="AH540" s="598"/>
      <c r="AI540" s="634" t="s">
        <v>1359</v>
      </c>
      <c r="AJ540" s="598"/>
      <c r="AK540" s="626"/>
      <c r="AL540" s="626"/>
    </row>
    <row r="541" spans="1:38" ht="18" customHeight="1">
      <c r="A541" s="593"/>
      <c r="B541" s="598">
        <v>524</v>
      </c>
      <c r="C541" s="598" t="s">
        <v>3811</v>
      </c>
      <c r="D541" s="598">
        <f t="shared" si="6"/>
        <v>494</v>
      </c>
      <c r="E541" s="616"/>
      <c r="F541" s="616" t="s">
        <v>4808</v>
      </c>
      <c r="G541" s="618" t="s">
        <v>3810</v>
      </c>
      <c r="H541" s="618" t="s">
        <v>499</v>
      </c>
      <c r="I541" s="618" t="s">
        <v>3811</v>
      </c>
      <c r="J541" s="618" t="s">
        <v>3811</v>
      </c>
      <c r="K541" s="618" t="s">
        <v>3631</v>
      </c>
      <c r="L541" s="619" t="s">
        <v>3632</v>
      </c>
      <c r="M541" s="620"/>
      <c r="N541" s="620"/>
      <c r="O541" s="667" t="s">
        <v>4852</v>
      </c>
      <c r="P541" s="621"/>
      <c r="Q541" s="598" t="s">
        <v>173</v>
      </c>
      <c r="R541" s="598" t="s">
        <v>514</v>
      </c>
      <c r="S541" s="598" t="s">
        <v>55</v>
      </c>
      <c r="T541" s="598"/>
      <c r="U541" s="667" t="s">
        <v>512</v>
      </c>
      <c r="V541" s="616" t="s">
        <v>4173</v>
      </c>
      <c r="W541" s="598" t="s">
        <v>950</v>
      </c>
      <c r="X541" s="624">
        <v>22147</v>
      </c>
      <c r="Y541" s="625">
        <f t="shared" ca="1" si="5"/>
        <v>65</v>
      </c>
      <c r="Z541" s="616" t="s">
        <v>4174</v>
      </c>
      <c r="AA541" s="598"/>
      <c r="AB541" s="598" t="s">
        <v>996</v>
      </c>
      <c r="AC541" s="598" t="s">
        <v>953</v>
      </c>
      <c r="AD541" s="616" t="s">
        <v>246</v>
      </c>
      <c r="AE541" s="616" t="s">
        <v>246</v>
      </c>
      <c r="AF541" s="616" t="s">
        <v>3815</v>
      </c>
      <c r="AG541" s="598" t="s">
        <v>955</v>
      </c>
      <c r="AH541" s="598"/>
      <c r="AI541" s="598"/>
      <c r="AJ541" s="598"/>
      <c r="AK541" s="626"/>
      <c r="AL541" s="626"/>
    </row>
    <row r="542" spans="1:38" ht="18" customHeight="1">
      <c r="A542" s="593"/>
      <c r="B542" s="598">
        <v>525</v>
      </c>
      <c r="C542" s="598" t="s">
        <v>3631</v>
      </c>
      <c r="D542" s="598">
        <f t="shared" si="6"/>
        <v>495</v>
      </c>
      <c r="E542" s="616" t="s">
        <v>1810</v>
      </c>
      <c r="F542" s="616" t="s">
        <v>4808</v>
      </c>
      <c r="G542" s="618" t="s">
        <v>3810</v>
      </c>
      <c r="H542" s="618" t="s">
        <v>499</v>
      </c>
      <c r="I542" s="618" t="s">
        <v>3811</v>
      </c>
      <c r="J542" s="618" t="s">
        <v>3811</v>
      </c>
      <c r="K542" s="618" t="s">
        <v>3631</v>
      </c>
      <c r="L542" s="619" t="s">
        <v>3632</v>
      </c>
      <c r="M542" s="620"/>
      <c r="N542" s="620"/>
      <c r="O542" s="663" t="s">
        <v>4852</v>
      </c>
      <c r="P542" s="621"/>
      <c r="Q542" s="598" t="s">
        <v>69</v>
      </c>
      <c r="R542" s="598" t="s">
        <v>562</v>
      </c>
      <c r="S542" s="598"/>
      <c r="T542" s="598" t="s">
        <v>1015</v>
      </c>
      <c r="U542" s="663" t="s">
        <v>3633</v>
      </c>
      <c r="V542" s="616" t="s">
        <v>3634</v>
      </c>
      <c r="W542" s="598" t="s">
        <v>950</v>
      </c>
      <c r="X542" s="624">
        <v>22474</v>
      </c>
      <c r="Y542" s="625">
        <f t="shared" ca="1" si="5"/>
        <v>64</v>
      </c>
      <c r="Z542" s="616" t="s">
        <v>2872</v>
      </c>
      <c r="AA542" s="598" t="s">
        <v>3635</v>
      </c>
      <c r="AB542" s="598" t="s">
        <v>996</v>
      </c>
      <c r="AC542" s="598" t="s">
        <v>997</v>
      </c>
      <c r="AD542" s="616" t="s">
        <v>1078</v>
      </c>
      <c r="AE542" s="616" t="s">
        <v>1078</v>
      </c>
      <c r="AF542" s="616" t="s">
        <v>3578</v>
      </c>
      <c r="AG542" s="598"/>
      <c r="AH542" s="598"/>
      <c r="AI542" s="598" t="s">
        <v>1125</v>
      </c>
      <c r="AJ542" s="598" t="s">
        <v>3510</v>
      </c>
      <c r="AK542" s="626">
        <v>-3</v>
      </c>
      <c r="AL542" s="626"/>
    </row>
    <row r="543" spans="1:38" ht="18" customHeight="1">
      <c r="A543" s="593"/>
      <c r="B543" s="598">
        <v>526</v>
      </c>
      <c r="C543" s="598" t="s">
        <v>4292</v>
      </c>
      <c r="D543" s="598">
        <f t="shared" si="6"/>
        <v>496</v>
      </c>
      <c r="E543" s="616" t="s">
        <v>3862</v>
      </c>
      <c r="F543" s="616" t="s">
        <v>4808</v>
      </c>
      <c r="G543" s="618" t="s">
        <v>3810</v>
      </c>
      <c r="H543" s="618" t="s">
        <v>499</v>
      </c>
      <c r="I543" s="618" t="s">
        <v>3811</v>
      </c>
      <c r="J543" s="618" t="s">
        <v>3811</v>
      </c>
      <c r="K543" s="618" t="s">
        <v>3631</v>
      </c>
      <c r="L543" s="619" t="s">
        <v>3632</v>
      </c>
      <c r="M543" s="620"/>
      <c r="N543" s="620"/>
      <c r="O543" s="663" t="s">
        <v>4852</v>
      </c>
      <c r="P543" s="621"/>
      <c r="Q543" s="598"/>
      <c r="R543" s="598"/>
      <c r="S543" s="598"/>
      <c r="T543" s="598" t="s">
        <v>1090</v>
      </c>
      <c r="U543" s="663" t="s">
        <v>4293</v>
      </c>
      <c r="V543" s="616" t="s">
        <v>4294</v>
      </c>
      <c r="W543" s="598" t="s">
        <v>950</v>
      </c>
      <c r="X543" s="624">
        <v>18510</v>
      </c>
      <c r="Y543" s="625">
        <f t="shared" ca="1" si="5"/>
        <v>75</v>
      </c>
      <c r="Z543" s="616" t="s">
        <v>4295</v>
      </c>
      <c r="AA543" s="598" t="s">
        <v>4296</v>
      </c>
      <c r="AB543" s="598" t="s">
        <v>996</v>
      </c>
      <c r="AC543" s="598" t="s">
        <v>997</v>
      </c>
      <c r="AD543" s="616" t="s">
        <v>246</v>
      </c>
      <c r="AE543" s="616" t="s">
        <v>246</v>
      </c>
      <c r="AF543" s="616" t="s">
        <v>4297</v>
      </c>
      <c r="AG543" s="598"/>
      <c r="AH543" s="598"/>
      <c r="AI543" s="598" t="s">
        <v>1125</v>
      </c>
      <c r="AJ543" s="598" t="s">
        <v>3510</v>
      </c>
      <c r="AK543" s="626"/>
      <c r="AL543" s="626"/>
    </row>
    <row r="544" spans="1:38" ht="18" customHeight="1">
      <c r="A544" s="593"/>
      <c r="B544" s="598">
        <v>527</v>
      </c>
      <c r="C544" s="598" t="s">
        <v>4287</v>
      </c>
      <c r="D544" s="598">
        <f t="shared" si="6"/>
        <v>497</v>
      </c>
      <c r="E544" s="616" t="s">
        <v>3862</v>
      </c>
      <c r="F544" s="616" t="s">
        <v>4808</v>
      </c>
      <c r="G544" s="618" t="s">
        <v>3810</v>
      </c>
      <c r="H544" s="618" t="s">
        <v>499</v>
      </c>
      <c r="I544" s="618" t="s">
        <v>3811</v>
      </c>
      <c r="J544" s="618" t="s">
        <v>3811</v>
      </c>
      <c r="K544" s="618" t="s">
        <v>3631</v>
      </c>
      <c r="L544" s="619" t="s">
        <v>3632</v>
      </c>
      <c r="M544" s="620"/>
      <c r="N544" s="620"/>
      <c r="O544" s="663" t="s">
        <v>4852</v>
      </c>
      <c r="P544" s="621"/>
      <c r="Q544" s="598"/>
      <c r="R544" s="598"/>
      <c r="S544" s="598"/>
      <c r="T544" s="598" t="s">
        <v>1015</v>
      </c>
      <c r="U544" s="663" t="s">
        <v>4288</v>
      </c>
      <c r="V544" s="616" t="s">
        <v>4289</v>
      </c>
      <c r="W544" s="598" t="s">
        <v>950</v>
      </c>
      <c r="X544" s="624">
        <v>20474</v>
      </c>
      <c r="Y544" s="625">
        <f t="shared" ca="1" si="5"/>
        <v>70</v>
      </c>
      <c r="Z544" s="616" t="s">
        <v>4290</v>
      </c>
      <c r="AA544" s="598" t="s">
        <v>4291</v>
      </c>
      <c r="AB544" s="598" t="s">
        <v>996</v>
      </c>
      <c r="AC544" s="598" t="s">
        <v>997</v>
      </c>
      <c r="AD544" s="616" t="s">
        <v>246</v>
      </c>
      <c r="AE544" s="616" t="s">
        <v>246</v>
      </c>
      <c r="AF544" s="616" t="s">
        <v>3824</v>
      </c>
      <c r="AG544" s="598"/>
      <c r="AH544" s="598"/>
      <c r="AI544" s="598" t="s">
        <v>1125</v>
      </c>
      <c r="AJ544" s="598" t="s">
        <v>3510</v>
      </c>
      <c r="AK544" s="626"/>
      <c r="AL544" s="626"/>
    </row>
    <row r="545" spans="1:38" ht="18" customHeight="1">
      <c r="A545" s="593"/>
      <c r="B545" s="598">
        <v>528</v>
      </c>
      <c r="C545" s="598" t="s">
        <v>4383</v>
      </c>
      <c r="D545" s="598">
        <f t="shared" si="6"/>
        <v>498</v>
      </c>
      <c r="E545" s="616" t="s">
        <v>3862</v>
      </c>
      <c r="F545" s="616" t="s">
        <v>4808</v>
      </c>
      <c r="G545" s="618" t="s">
        <v>3810</v>
      </c>
      <c r="H545" s="618" t="s">
        <v>499</v>
      </c>
      <c r="I545" s="618" t="s">
        <v>3811</v>
      </c>
      <c r="J545" s="618" t="s">
        <v>3811</v>
      </c>
      <c r="K545" s="618" t="s">
        <v>3631</v>
      </c>
      <c r="L545" s="619" t="s">
        <v>3632</v>
      </c>
      <c r="M545" s="620"/>
      <c r="N545" s="620"/>
      <c r="O545" s="663" t="s">
        <v>4852</v>
      </c>
      <c r="P545" s="621"/>
      <c r="Q545" s="598"/>
      <c r="R545" s="598"/>
      <c r="S545" s="598"/>
      <c r="T545" s="598" t="s">
        <v>1015</v>
      </c>
      <c r="U545" s="663" t="s">
        <v>4384</v>
      </c>
      <c r="V545" s="616" t="s">
        <v>4385</v>
      </c>
      <c r="W545" s="598" t="s">
        <v>950</v>
      </c>
      <c r="X545" s="624">
        <v>22535</v>
      </c>
      <c r="Y545" s="625">
        <f t="shared" ca="1" si="5"/>
        <v>64</v>
      </c>
      <c r="Z545" s="616" t="s">
        <v>4386</v>
      </c>
      <c r="AA545" s="598" t="s">
        <v>4387</v>
      </c>
      <c r="AB545" s="598" t="s">
        <v>996</v>
      </c>
      <c r="AC545" s="644" t="s">
        <v>997</v>
      </c>
      <c r="AD545" s="616" t="s">
        <v>246</v>
      </c>
      <c r="AE545" s="616" t="s">
        <v>246</v>
      </c>
      <c r="AF545" s="616" t="s">
        <v>4388</v>
      </c>
      <c r="AG545" s="598"/>
      <c r="AH545" s="598"/>
      <c r="AI545" s="598" t="s">
        <v>1125</v>
      </c>
      <c r="AJ545" s="598" t="s">
        <v>3510</v>
      </c>
      <c r="AK545" s="626"/>
      <c r="AL545" s="626"/>
    </row>
    <row r="546" spans="1:38" ht="18" customHeight="1">
      <c r="A546" s="593"/>
      <c r="B546" s="598">
        <v>529</v>
      </c>
      <c r="C546" s="598" t="s">
        <v>4298</v>
      </c>
      <c r="D546" s="598">
        <f t="shared" si="6"/>
        <v>499</v>
      </c>
      <c r="E546" s="616" t="s">
        <v>3862</v>
      </c>
      <c r="F546" s="616" t="s">
        <v>4808</v>
      </c>
      <c r="G546" s="618" t="s">
        <v>3810</v>
      </c>
      <c r="H546" s="618" t="s">
        <v>499</v>
      </c>
      <c r="I546" s="618" t="s">
        <v>3811</v>
      </c>
      <c r="J546" s="618" t="s">
        <v>3811</v>
      </c>
      <c r="K546" s="618" t="s">
        <v>3631</v>
      </c>
      <c r="L546" s="619" t="s">
        <v>3632</v>
      </c>
      <c r="M546" s="620"/>
      <c r="N546" s="620"/>
      <c r="O546" s="663" t="s">
        <v>4852</v>
      </c>
      <c r="P546" s="621"/>
      <c r="Q546" s="598"/>
      <c r="R546" s="598"/>
      <c r="S546" s="598"/>
      <c r="T546" s="598" t="s">
        <v>1015</v>
      </c>
      <c r="U546" s="663" t="s">
        <v>4299</v>
      </c>
      <c r="V546" s="616" t="s">
        <v>4300</v>
      </c>
      <c r="W546" s="598" t="s">
        <v>950</v>
      </c>
      <c r="X546" s="624">
        <v>22940</v>
      </c>
      <c r="Y546" s="625">
        <f t="shared" ca="1" si="5"/>
        <v>63</v>
      </c>
      <c r="Z546" s="616" t="s">
        <v>4301</v>
      </c>
      <c r="AA546" s="598" t="s">
        <v>4302</v>
      </c>
      <c r="AB546" s="598" t="s">
        <v>996</v>
      </c>
      <c r="AC546" s="644" t="s">
        <v>997</v>
      </c>
      <c r="AD546" s="616" t="s">
        <v>246</v>
      </c>
      <c r="AE546" s="616" t="s">
        <v>246</v>
      </c>
      <c r="AF546" s="653" t="s">
        <v>4059</v>
      </c>
      <c r="AG546" s="598"/>
      <c r="AH546" s="598"/>
      <c r="AI546" s="598" t="s">
        <v>1125</v>
      </c>
      <c r="AJ546" s="598" t="s">
        <v>3510</v>
      </c>
      <c r="AK546" s="626">
        <v>-3</v>
      </c>
      <c r="AL546" s="626"/>
    </row>
    <row r="547" spans="1:38" ht="18" customHeight="1">
      <c r="A547" s="593"/>
      <c r="B547" s="598">
        <v>530</v>
      </c>
      <c r="C547" s="598" t="s">
        <v>3632</v>
      </c>
      <c r="D547" s="598">
        <f t="shared" si="6"/>
        <v>500</v>
      </c>
      <c r="E547" s="616" t="s">
        <v>1810</v>
      </c>
      <c r="F547" s="616" t="s">
        <v>4808</v>
      </c>
      <c r="G547" s="618" t="s">
        <v>3810</v>
      </c>
      <c r="H547" s="618" t="s">
        <v>499</v>
      </c>
      <c r="I547" s="618" t="s">
        <v>3811</v>
      </c>
      <c r="J547" s="618" t="s">
        <v>3811</v>
      </c>
      <c r="K547" s="618" t="s">
        <v>3631</v>
      </c>
      <c r="L547" s="619" t="s">
        <v>3632</v>
      </c>
      <c r="M547" s="620"/>
      <c r="N547" s="620"/>
      <c r="O547" s="663" t="s">
        <v>4852</v>
      </c>
      <c r="P547" s="621"/>
      <c r="Q547" s="598" t="s">
        <v>69</v>
      </c>
      <c r="R547" s="598" t="s">
        <v>562</v>
      </c>
      <c r="S547" s="598"/>
      <c r="T547" s="598" t="s">
        <v>1090</v>
      </c>
      <c r="U547" s="663" t="s">
        <v>3638</v>
      </c>
      <c r="V547" s="616" t="s">
        <v>3639</v>
      </c>
      <c r="W547" s="598" t="s">
        <v>950</v>
      </c>
      <c r="X547" s="624">
        <v>20435</v>
      </c>
      <c r="Y547" s="625">
        <f t="shared" ca="1" si="5"/>
        <v>70</v>
      </c>
      <c r="Z547" s="616" t="s">
        <v>3640</v>
      </c>
      <c r="AA547" s="598" t="s">
        <v>3641</v>
      </c>
      <c r="AB547" s="598" t="s">
        <v>996</v>
      </c>
      <c r="AC547" s="598" t="s">
        <v>997</v>
      </c>
      <c r="AD547" s="616" t="s">
        <v>1078</v>
      </c>
      <c r="AE547" s="616" t="s">
        <v>1078</v>
      </c>
      <c r="AF547" s="616" t="s">
        <v>3578</v>
      </c>
      <c r="AG547" s="598"/>
      <c r="AH547" s="598"/>
      <c r="AI547" s="598" t="s">
        <v>1125</v>
      </c>
      <c r="AJ547" s="598" t="s">
        <v>3510</v>
      </c>
      <c r="AK547" s="626">
        <v>-3</v>
      </c>
      <c r="AL547" s="626"/>
    </row>
    <row r="548" spans="1:38" ht="18" customHeight="1">
      <c r="A548" s="593"/>
      <c r="B548" s="598">
        <v>531</v>
      </c>
      <c r="C548" s="598" t="s">
        <v>2858</v>
      </c>
      <c r="D548" s="598">
        <f t="shared" si="6"/>
        <v>501</v>
      </c>
      <c r="E548" s="616" t="s">
        <v>1798</v>
      </c>
      <c r="F548" s="616" t="s">
        <v>4808</v>
      </c>
      <c r="G548" s="618" t="s">
        <v>3810</v>
      </c>
      <c r="H548" s="618" t="s">
        <v>499</v>
      </c>
      <c r="I548" s="618" t="s">
        <v>3811</v>
      </c>
      <c r="J548" s="618" t="s">
        <v>3811</v>
      </c>
      <c r="K548" s="618" t="s">
        <v>3631</v>
      </c>
      <c r="L548" s="619" t="s">
        <v>3632</v>
      </c>
      <c r="M548" s="620"/>
      <c r="N548" s="620"/>
      <c r="O548" s="663" t="s">
        <v>4852</v>
      </c>
      <c r="P548" s="621"/>
      <c r="Q548" s="598"/>
      <c r="R548" s="598"/>
      <c r="S548" s="598"/>
      <c r="T548" s="598" t="s">
        <v>1090</v>
      </c>
      <c r="U548" s="663" t="s">
        <v>2859</v>
      </c>
      <c r="V548" s="616" t="s">
        <v>2860</v>
      </c>
      <c r="W548" s="598" t="s">
        <v>950</v>
      </c>
      <c r="X548" s="624">
        <v>18484</v>
      </c>
      <c r="Y548" s="625">
        <f t="shared" ca="1" si="5"/>
        <v>75</v>
      </c>
      <c r="Z548" s="616" t="s">
        <v>2861</v>
      </c>
      <c r="AA548" s="598" t="s">
        <v>2862</v>
      </c>
      <c r="AB548" s="598" t="s">
        <v>966</v>
      </c>
      <c r="AC548" s="598" t="s">
        <v>953</v>
      </c>
      <c r="AD548" s="616" t="s">
        <v>1041</v>
      </c>
      <c r="AE548" s="616" t="s">
        <v>1250</v>
      </c>
      <c r="AF548" s="616" t="s">
        <v>2863</v>
      </c>
      <c r="AG548" s="598"/>
      <c r="AH548" s="598"/>
      <c r="AI548" s="598" t="s">
        <v>1125</v>
      </c>
      <c r="AJ548" s="598"/>
      <c r="AK548" s="626"/>
      <c r="AL548" s="626"/>
    </row>
    <row r="549" spans="1:38" ht="18" customHeight="1">
      <c r="A549" s="593"/>
      <c r="B549" s="598">
        <v>532</v>
      </c>
      <c r="C549" s="598" t="s">
        <v>2869</v>
      </c>
      <c r="D549" s="598">
        <f t="shared" si="6"/>
        <v>502</v>
      </c>
      <c r="E549" s="616" t="s">
        <v>1798</v>
      </c>
      <c r="F549" s="616" t="s">
        <v>4808</v>
      </c>
      <c r="G549" s="618" t="s">
        <v>3810</v>
      </c>
      <c r="H549" s="618" t="s">
        <v>499</v>
      </c>
      <c r="I549" s="618" t="s">
        <v>3811</v>
      </c>
      <c r="J549" s="618" t="s">
        <v>3811</v>
      </c>
      <c r="K549" s="618" t="s">
        <v>3631</v>
      </c>
      <c r="L549" s="619" t="s">
        <v>3632</v>
      </c>
      <c r="M549" s="620"/>
      <c r="N549" s="620"/>
      <c r="O549" s="663" t="s">
        <v>4852</v>
      </c>
      <c r="P549" s="621"/>
      <c r="Q549" s="598"/>
      <c r="R549" s="598"/>
      <c r="S549" s="598"/>
      <c r="T549" s="598" t="s">
        <v>1015</v>
      </c>
      <c r="U549" s="663" t="s">
        <v>2870</v>
      </c>
      <c r="V549" s="616" t="s">
        <v>2871</v>
      </c>
      <c r="W549" s="598" t="s">
        <v>950</v>
      </c>
      <c r="X549" s="624">
        <v>22162</v>
      </c>
      <c r="Y549" s="625">
        <f t="shared" ca="1" si="5"/>
        <v>65</v>
      </c>
      <c r="Z549" s="616" t="s">
        <v>2872</v>
      </c>
      <c r="AA549" s="598" t="s">
        <v>2873</v>
      </c>
      <c r="AB549" s="598" t="s">
        <v>966</v>
      </c>
      <c r="AC549" s="598" t="s">
        <v>953</v>
      </c>
      <c r="AD549" s="616" t="s">
        <v>1041</v>
      </c>
      <c r="AE549" s="721" t="s">
        <v>1041</v>
      </c>
      <c r="AF549" s="616" t="s">
        <v>1382</v>
      </c>
      <c r="AG549" s="598"/>
      <c r="AH549" s="598"/>
      <c r="AI549" s="598" t="s">
        <v>1125</v>
      </c>
      <c r="AJ549" s="598"/>
      <c r="AK549" s="626"/>
      <c r="AL549" s="626"/>
    </row>
    <row r="550" spans="1:38" ht="18" customHeight="1">
      <c r="A550" s="593"/>
      <c r="B550" s="598">
        <v>533</v>
      </c>
      <c r="C550" s="598" t="s">
        <v>2874</v>
      </c>
      <c r="D550" s="598">
        <f t="shared" si="6"/>
        <v>503</v>
      </c>
      <c r="E550" s="616" t="s">
        <v>1798</v>
      </c>
      <c r="F550" s="616" t="s">
        <v>4808</v>
      </c>
      <c r="G550" s="618" t="s">
        <v>3810</v>
      </c>
      <c r="H550" s="618" t="s">
        <v>499</v>
      </c>
      <c r="I550" s="618" t="s">
        <v>3811</v>
      </c>
      <c r="J550" s="618" t="s">
        <v>3811</v>
      </c>
      <c r="K550" s="618" t="s">
        <v>3631</v>
      </c>
      <c r="L550" s="619" t="s">
        <v>3632</v>
      </c>
      <c r="M550" s="620"/>
      <c r="N550" s="620"/>
      <c r="O550" s="663" t="s">
        <v>4852</v>
      </c>
      <c r="P550" s="621"/>
      <c r="Q550" s="598"/>
      <c r="R550" s="598"/>
      <c r="S550" s="598"/>
      <c r="T550" s="598" t="s">
        <v>1015</v>
      </c>
      <c r="U550" s="663" t="s">
        <v>2875</v>
      </c>
      <c r="V550" s="616" t="s">
        <v>2876</v>
      </c>
      <c r="W550" s="598" t="s">
        <v>950</v>
      </c>
      <c r="X550" s="624">
        <v>23624</v>
      </c>
      <c r="Y550" s="625">
        <f t="shared" ca="1" si="5"/>
        <v>61</v>
      </c>
      <c r="Z550" s="616" t="s">
        <v>2877</v>
      </c>
      <c r="AA550" s="598" t="s">
        <v>2878</v>
      </c>
      <c r="AB550" s="598" t="s">
        <v>996</v>
      </c>
      <c r="AC550" s="644" t="s">
        <v>997</v>
      </c>
      <c r="AD550" s="616" t="s">
        <v>1041</v>
      </c>
      <c r="AE550" s="721" t="s">
        <v>1041</v>
      </c>
      <c r="AF550" s="616" t="s">
        <v>2789</v>
      </c>
      <c r="AG550" s="598"/>
      <c r="AH550" s="598"/>
      <c r="AI550" s="598" t="s">
        <v>1125</v>
      </c>
      <c r="AJ550" s="598"/>
      <c r="AK550" s="626"/>
      <c r="AL550" s="626"/>
    </row>
    <row r="551" spans="1:38" ht="18" customHeight="1">
      <c r="A551" s="593"/>
      <c r="B551" s="598">
        <v>534</v>
      </c>
      <c r="C551" s="598" t="s">
        <v>4105</v>
      </c>
      <c r="D551" s="598">
        <f t="shared" si="6"/>
        <v>504</v>
      </c>
      <c r="E551" s="616" t="s">
        <v>3808</v>
      </c>
      <c r="F551" s="616" t="s">
        <v>4808</v>
      </c>
      <c r="G551" s="618" t="s">
        <v>3810</v>
      </c>
      <c r="H551" s="618" t="s">
        <v>499</v>
      </c>
      <c r="I551" s="618" t="s">
        <v>3811</v>
      </c>
      <c r="J551" s="618" t="s">
        <v>3811</v>
      </c>
      <c r="K551" s="618" t="s">
        <v>3631</v>
      </c>
      <c r="L551" s="619" t="s">
        <v>3632</v>
      </c>
      <c r="M551" s="620"/>
      <c r="N551" s="620"/>
      <c r="O551" s="663" t="s">
        <v>4852</v>
      </c>
      <c r="P551" s="621" t="s">
        <v>319</v>
      </c>
      <c r="Q551" s="598"/>
      <c r="R551" s="598"/>
      <c r="S551" s="598"/>
      <c r="T551" s="598" t="s">
        <v>1090</v>
      </c>
      <c r="U551" s="663" t="s">
        <v>4106</v>
      </c>
      <c r="V551" s="616" t="s">
        <v>4107</v>
      </c>
      <c r="W551" s="598" t="s">
        <v>950</v>
      </c>
      <c r="X551" s="624">
        <v>16115</v>
      </c>
      <c r="Y551" s="625">
        <f t="shared" ca="1" si="5"/>
        <v>81</v>
      </c>
      <c r="Z551" s="616" t="s">
        <v>4108</v>
      </c>
      <c r="AA551" s="598" t="s">
        <v>4109</v>
      </c>
      <c r="AB551" s="598" t="s">
        <v>996</v>
      </c>
      <c r="AC551" s="644" t="s">
        <v>997</v>
      </c>
      <c r="AD551" s="616" t="s">
        <v>246</v>
      </c>
      <c r="AE551" s="616" t="s">
        <v>246</v>
      </c>
      <c r="AF551" s="616" t="s">
        <v>3815</v>
      </c>
      <c r="AG551" s="598"/>
      <c r="AH551" s="598"/>
      <c r="AI551" s="700" t="s">
        <v>1446</v>
      </c>
      <c r="AJ551" s="598"/>
      <c r="AK551" s="626">
        <v>-3</v>
      </c>
      <c r="AL551" s="626"/>
    </row>
    <row r="552" spans="1:38" ht="18" customHeight="1">
      <c r="A552" s="593"/>
      <c r="B552" s="598">
        <v>535</v>
      </c>
      <c r="C552" s="598" t="s">
        <v>4119</v>
      </c>
      <c r="D552" s="598">
        <f t="shared" si="6"/>
        <v>505</v>
      </c>
      <c r="E552" s="616" t="s">
        <v>3808</v>
      </c>
      <c r="F552" s="616" t="s">
        <v>4808</v>
      </c>
      <c r="G552" s="618" t="s">
        <v>3810</v>
      </c>
      <c r="H552" s="618" t="s">
        <v>499</v>
      </c>
      <c r="I552" s="618" t="s">
        <v>3811</v>
      </c>
      <c r="J552" s="618" t="s">
        <v>3811</v>
      </c>
      <c r="K552" s="618" t="s">
        <v>3631</v>
      </c>
      <c r="L552" s="619" t="s">
        <v>3632</v>
      </c>
      <c r="M552" s="620"/>
      <c r="N552" s="620"/>
      <c r="O552" s="663" t="s">
        <v>4852</v>
      </c>
      <c r="P552" s="621" t="s">
        <v>319</v>
      </c>
      <c r="Q552" s="598"/>
      <c r="R552" s="598"/>
      <c r="S552" s="598"/>
      <c r="T552" s="598" t="s">
        <v>1015</v>
      </c>
      <c r="U552" s="673" t="s">
        <v>578</v>
      </c>
      <c r="V552" s="616" t="s">
        <v>4120</v>
      </c>
      <c r="W552" s="598" t="s">
        <v>950</v>
      </c>
      <c r="X552" s="624">
        <v>23037</v>
      </c>
      <c r="Y552" s="625">
        <f t="shared" ca="1" si="5"/>
        <v>63</v>
      </c>
      <c r="Z552" s="616" t="s">
        <v>4121</v>
      </c>
      <c r="AA552" s="598" t="s">
        <v>4122</v>
      </c>
      <c r="AB552" s="598" t="s">
        <v>996</v>
      </c>
      <c r="AC552" s="644" t="s">
        <v>997</v>
      </c>
      <c r="AD552" s="616" t="s">
        <v>246</v>
      </c>
      <c r="AE552" s="616" t="s">
        <v>246</v>
      </c>
      <c r="AF552" s="616" t="s">
        <v>3815</v>
      </c>
      <c r="AG552" s="598"/>
      <c r="AH552" s="598"/>
      <c r="AI552" s="700" t="s">
        <v>1446</v>
      </c>
      <c r="AJ552" s="598"/>
      <c r="AK552" s="626">
        <v>-3</v>
      </c>
      <c r="AL552" s="626"/>
    </row>
    <row r="553" spans="1:38" ht="18" customHeight="1">
      <c r="A553" s="593"/>
      <c r="B553" s="598">
        <v>536</v>
      </c>
      <c r="C553" s="598" t="s">
        <v>3811</v>
      </c>
      <c r="D553" s="598">
        <f t="shared" si="6"/>
        <v>505</v>
      </c>
      <c r="E553" s="616"/>
      <c r="F553" s="616" t="s">
        <v>4808</v>
      </c>
      <c r="G553" s="618" t="s">
        <v>3810</v>
      </c>
      <c r="H553" s="618" t="s">
        <v>499</v>
      </c>
      <c r="I553" s="618" t="s">
        <v>3811</v>
      </c>
      <c r="J553" s="618" t="s">
        <v>3811</v>
      </c>
      <c r="K553" s="618"/>
      <c r="L553" s="743"/>
      <c r="M553" s="620"/>
      <c r="N553" s="620"/>
      <c r="O553" s="667" t="s">
        <v>4853</v>
      </c>
      <c r="P553" s="621"/>
      <c r="Q553" s="598" t="s">
        <v>173</v>
      </c>
      <c r="R553" s="598" t="s">
        <v>514</v>
      </c>
      <c r="S553" s="598" t="s">
        <v>55</v>
      </c>
      <c r="T553" s="623"/>
      <c r="U553" s="667" t="s">
        <v>512</v>
      </c>
      <c r="V553" s="674" t="s">
        <v>4173</v>
      </c>
      <c r="W553" s="598" t="s">
        <v>950</v>
      </c>
      <c r="X553" s="624">
        <v>22147</v>
      </c>
      <c r="Y553" s="625">
        <f t="shared" ca="1" si="5"/>
        <v>65</v>
      </c>
      <c r="Z553" s="616" t="s">
        <v>4174</v>
      </c>
      <c r="AA553" s="598"/>
      <c r="AB553" s="598" t="s">
        <v>996</v>
      </c>
      <c r="AC553" s="598" t="s">
        <v>953</v>
      </c>
      <c r="AD553" s="616" t="s">
        <v>246</v>
      </c>
      <c r="AE553" s="616" t="s">
        <v>246</v>
      </c>
      <c r="AF553" s="616" t="s">
        <v>3815</v>
      </c>
      <c r="AG553" s="598" t="s">
        <v>955</v>
      </c>
      <c r="AH553" s="598"/>
      <c r="AI553" s="598"/>
      <c r="AJ553" s="598"/>
      <c r="AK553" s="626"/>
      <c r="AL553" s="626"/>
    </row>
    <row r="554" spans="1:38" ht="18" customHeight="1">
      <c r="A554" s="593"/>
      <c r="B554" s="598">
        <v>537</v>
      </c>
      <c r="C554" s="598" t="s">
        <v>4110</v>
      </c>
      <c r="D554" s="598">
        <f t="shared" si="6"/>
        <v>506</v>
      </c>
      <c r="E554" s="616" t="s">
        <v>3808</v>
      </c>
      <c r="F554" s="616" t="s">
        <v>4808</v>
      </c>
      <c r="G554" s="618" t="s">
        <v>3810</v>
      </c>
      <c r="H554" s="618" t="s">
        <v>499</v>
      </c>
      <c r="I554" s="618" t="s">
        <v>3811</v>
      </c>
      <c r="J554" s="618" t="s">
        <v>3811</v>
      </c>
      <c r="K554" s="618"/>
      <c r="L554" s="619"/>
      <c r="M554" s="620"/>
      <c r="N554" s="620"/>
      <c r="O554" s="663" t="s">
        <v>4853</v>
      </c>
      <c r="P554" s="621" t="s">
        <v>319</v>
      </c>
      <c r="Q554" s="598"/>
      <c r="R554" s="598"/>
      <c r="S554" s="598"/>
      <c r="T554" s="623" t="s">
        <v>1090</v>
      </c>
      <c r="U554" s="574" t="s">
        <v>875</v>
      </c>
      <c r="V554" s="708" t="s">
        <v>4111</v>
      </c>
      <c r="W554" s="598" t="s">
        <v>950</v>
      </c>
      <c r="X554" s="624">
        <v>17991</v>
      </c>
      <c r="Y554" s="625">
        <f t="shared" ca="1" si="5"/>
        <v>76</v>
      </c>
      <c r="Z554" s="714" t="s">
        <v>4112</v>
      </c>
      <c r="AA554" s="598"/>
      <c r="AB554" s="598" t="s">
        <v>996</v>
      </c>
      <c r="AC554" s="598" t="s">
        <v>1018</v>
      </c>
      <c r="AD554" s="616" t="s">
        <v>246</v>
      </c>
      <c r="AE554" s="616" t="s">
        <v>246</v>
      </c>
      <c r="AF554" s="616" t="s">
        <v>3815</v>
      </c>
      <c r="AG554" s="598"/>
      <c r="AH554" s="598"/>
      <c r="AI554" s="744" t="s">
        <v>1575</v>
      </c>
      <c r="AJ554" s="598"/>
      <c r="AK554" s="626">
        <v>-3</v>
      </c>
      <c r="AL554" s="626"/>
    </row>
    <row r="555" spans="1:38" ht="18" customHeight="1">
      <c r="A555" s="593"/>
      <c r="B555" s="598">
        <v>538</v>
      </c>
      <c r="C555" s="598" t="s">
        <v>4113</v>
      </c>
      <c r="D555" s="598">
        <f t="shared" si="6"/>
        <v>507</v>
      </c>
      <c r="E555" s="616" t="s">
        <v>3808</v>
      </c>
      <c r="F555" s="616" t="s">
        <v>4808</v>
      </c>
      <c r="G555" s="618" t="s">
        <v>3810</v>
      </c>
      <c r="H555" s="618" t="s">
        <v>499</v>
      </c>
      <c r="I555" s="618" t="s">
        <v>3811</v>
      </c>
      <c r="J555" s="618" t="s">
        <v>3811</v>
      </c>
      <c r="K555" s="618"/>
      <c r="L555" s="619"/>
      <c r="M555" s="620"/>
      <c r="N555" s="620"/>
      <c r="O555" s="663" t="s">
        <v>4853</v>
      </c>
      <c r="P555" s="621" t="s">
        <v>319</v>
      </c>
      <c r="Q555" s="598"/>
      <c r="R555" s="598"/>
      <c r="S555" s="598"/>
      <c r="T555" s="623" t="s">
        <v>1090</v>
      </c>
      <c r="U555" s="574" t="s">
        <v>877</v>
      </c>
      <c r="V555" s="708" t="s">
        <v>4114</v>
      </c>
      <c r="W555" s="598" t="s">
        <v>950</v>
      </c>
      <c r="X555" s="624">
        <v>19626</v>
      </c>
      <c r="Y555" s="625">
        <f t="shared" ca="1" si="5"/>
        <v>72</v>
      </c>
      <c r="Z555" s="714" t="s">
        <v>4115</v>
      </c>
      <c r="AA555" s="598"/>
      <c r="AB555" s="598" t="s">
        <v>996</v>
      </c>
      <c r="AC555" s="598" t="s">
        <v>1018</v>
      </c>
      <c r="AD555" s="616" t="s">
        <v>246</v>
      </c>
      <c r="AE555" s="616" t="s">
        <v>246</v>
      </c>
      <c r="AF555" s="616" t="s">
        <v>3815</v>
      </c>
      <c r="AG555" s="598"/>
      <c r="AH555" s="598"/>
      <c r="AI555" s="744" t="s">
        <v>1575</v>
      </c>
      <c r="AJ555" s="598"/>
      <c r="AK555" s="626">
        <v>-3</v>
      </c>
      <c r="AL555" s="626"/>
    </row>
    <row r="556" spans="1:38" ht="18" customHeight="1">
      <c r="A556" s="593"/>
      <c r="B556" s="598">
        <v>539</v>
      </c>
      <c r="C556" s="598" t="s">
        <v>4116</v>
      </c>
      <c r="D556" s="598">
        <f t="shared" si="6"/>
        <v>508</v>
      </c>
      <c r="E556" s="616" t="s">
        <v>3808</v>
      </c>
      <c r="F556" s="616" t="s">
        <v>4808</v>
      </c>
      <c r="G556" s="618" t="s">
        <v>3810</v>
      </c>
      <c r="H556" s="618" t="s">
        <v>499</v>
      </c>
      <c r="I556" s="618" t="s">
        <v>3811</v>
      </c>
      <c r="J556" s="618" t="s">
        <v>3811</v>
      </c>
      <c r="K556" s="618"/>
      <c r="L556" s="619"/>
      <c r="M556" s="620"/>
      <c r="N556" s="620"/>
      <c r="O556" s="663" t="s">
        <v>4853</v>
      </c>
      <c r="P556" s="621" t="s">
        <v>319</v>
      </c>
      <c r="Q556" s="598"/>
      <c r="R556" s="598"/>
      <c r="S556" s="598"/>
      <c r="T556" s="623" t="s">
        <v>1090</v>
      </c>
      <c r="U556" s="578" t="s">
        <v>879</v>
      </c>
      <c r="V556" s="707" t="s">
        <v>4117</v>
      </c>
      <c r="W556" s="598" t="s">
        <v>950</v>
      </c>
      <c r="X556" s="624">
        <v>19756</v>
      </c>
      <c r="Y556" s="625">
        <f t="shared" ca="1" si="5"/>
        <v>71</v>
      </c>
      <c r="Z556" s="745" t="s">
        <v>4118</v>
      </c>
      <c r="AA556" s="598"/>
      <c r="AB556" s="598" t="s">
        <v>996</v>
      </c>
      <c r="AC556" s="598" t="s">
        <v>1018</v>
      </c>
      <c r="AD556" s="616" t="s">
        <v>246</v>
      </c>
      <c r="AE556" s="616" t="s">
        <v>246</v>
      </c>
      <c r="AF556" s="616" t="s">
        <v>3815</v>
      </c>
      <c r="AG556" s="598"/>
      <c r="AH556" s="598"/>
      <c r="AI556" s="744" t="s">
        <v>1575</v>
      </c>
      <c r="AJ556" s="598"/>
      <c r="AK556" s="626">
        <v>-3</v>
      </c>
      <c r="AL556" s="626"/>
    </row>
    <row r="557" spans="1:38" ht="18" customHeight="1">
      <c r="A557" s="593"/>
      <c r="B557" s="598">
        <v>540</v>
      </c>
      <c r="C557" s="598" t="s">
        <v>4128</v>
      </c>
      <c r="D557" s="598">
        <f t="shared" si="6"/>
        <v>509</v>
      </c>
      <c r="E557" s="616" t="s">
        <v>3808</v>
      </c>
      <c r="F557" s="616" t="s">
        <v>4808</v>
      </c>
      <c r="G557" s="618" t="s">
        <v>3810</v>
      </c>
      <c r="H557" s="618" t="s">
        <v>499</v>
      </c>
      <c r="I557" s="618" t="s">
        <v>3811</v>
      </c>
      <c r="J557" s="618" t="s">
        <v>3811</v>
      </c>
      <c r="K557" s="618"/>
      <c r="L557" s="619"/>
      <c r="M557" s="620"/>
      <c r="N557" s="620"/>
      <c r="O557" s="663" t="s">
        <v>4853</v>
      </c>
      <c r="P557" s="621" t="s">
        <v>319</v>
      </c>
      <c r="Q557" s="598"/>
      <c r="R557" s="598"/>
      <c r="S557" s="598"/>
      <c r="T557" s="623" t="s">
        <v>1015</v>
      </c>
      <c r="U557" s="574" t="s">
        <v>881</v>
      </c>
      <c r="V557" s="708" t="s">
        <v>4129</v>
      </c>
      <c r="W557" s="598" t="s">
        <v>950</v>
      </c>
      <c r="X557" s="624">
        <v>21689</v>
      </c>
      <c r="Y557" s="625">
        <f t="shared" ca="1" si="5"/>
        <v>66</v>
      </c>
      <c r="Z557" s="714" t="s">
        <v>4130</v>
      </c>
      <c r="AA557" s="598"/>
      <c r="AB557" s="598" t="s">
        <v>996</v>
      </c>
      <c r="AC557" s="598" t="s">
        <v>1018</v>
      </c>
      <c r="AD557" s="616" t="s">
        <v>246</v>
      </c>
      <c r="AE557" s="616" t="s">
        <v>246</v>
      </c>
      <c r="AF557" s="616" t="s">
        <v>3815</v>
      </c>
      <c r="AG557" s="598"/>
      <c r="AH557" s="598"/>
      <c r="AI557" s="744" t="s">
        <v>1575</v>
      </c>
      <c r="AJ557" s="598"/>
      <c r="AK557" s="626">
        <v>-3</v>
      </c>
      <c r="AL557" s="626"/>
    </row>
    <row r="558" spans="1:38" ht="18" customHeight="1">
      <c r="A558" s="593"/>
      <c r="B558" s="598">
        <v>541</v>
      </c>
      <c r="C558" s="598" t="s">
        <v>4131</v>
      </c>
      <c r="D558" s="598">
        <f t="shared" si="6"/>
        <v>510</v>
      </c>
      <c r="E558" s="616" t="s">
        <v>3808</v>
      </c>
      <c r="F558" s="616" t="s">
        <v>4808</v>
      </c>
      <c r="G558" s="618" t="s">
        <v>3810</v>
      </c>
      <c r="H558" s="618" t="s">
        <v>499</v>
      </c>
      <c r="I558" s="618" t="s">
        <v>3811</v>
      </c>
      <c r="J558" s="618" t="s">
        <v>3811</v>
      </c>
      <c r="K558" s="618"/>
      <c r="L558" s="619"/>
      <c r="M558" s="620"/>
      <c r="N558" s="620"/>
      <c r="O558" s="663" t="s">
        <v>4853</v>
      </c>
      <c r="P558" s="621" t="s">
        <v>319</v>
      </c>
      <c r="Q558" s="598"/>
      <c r="R558" s="598"/>
      <c r="S558" s="598"/>
      <c r="T558" s="623" t="s">
        <v>1015</v>
      </c>
      <c r="U558" s="581" t="s">
        <v>884</v>
      </c>
      <c r="V558" s="708" t="s">
        <v>4132</v>
      </c>
      <c r="W558" s="598" t="s">
        <v>950</v>
      </c>
      <c r="X558" s="624">
        <v>23132</v>
      </c>
      <c r="Y558" s="625">
        <f t="shared" ca="1" si="5"/>
        <v>62</v>
      </c>
      <c r="Z558" s="714" t="s">
        <v>4133</v>
      </c>
      <c r="AA558" s="598"/>
      <c r="AB558" s="598" t="s">
        <v>996</v>
      </c>
      <c r="AC558" s="598" t="s">
        <v>1018</v>
      </c>
      <c r="AD558" s="616" t="s">
        <v>246</v>
      </c>
      <c r="AE558" s="616" t="s">
        <v>246</v>
      </c>
      <c r="AF558" s="616" t="s">
        <v>3815</v>
      </c>
      <c r="AG558" s="598"/>
      <c r="AH558" s="598"/>
      <c r="AI558" s="744" t="s">
        <v>1575</v>
      </c>
      <c r="AJ558" s="598"/>
      <c r="AK558" s="626">
        <v>-3</v>
      </c>
      <c r="AL558" s="626"/>
    </row>
    <row r="559" spans="1:38" ht="18" customHeight="1">
      <c r="A559" s="593"/>
      <c r="B559" s="598">
        <v>542</v>
      </c>
      <c r="C559" s="598" t="s">
        <v>4208</v>
      </c>
      <c r="D559" s="598">
        <f t="shared" si="6"/>
        <v>511</v>
      </c>
      <c r="E559" s="616" t="s">
        <v>3862</v>
      </c>
      <c r="F559" s="616" t="s">
        <v>4209</v>
      </c>
      <c r="G559" s="618" t="s">
        <v>4208</v>
      </c>
      <c r="H559" s="618" t="s">
        <v>473</v>
      </c>
      <c r="I559" s="618" t="s">
        <v>4208</v>
      </c>
      <c r="J559" s="618" t="s">
        <v>4208</v>
      </c>
      <c r="K559" s="618" t="s">
        <v>4212</v>
      </c>
      <c r="L559" s="619"/>
      <c r="M559" s="620"/>
      <c r="N559" s="620"/>
      <c r="O559" s="667" t="s">
        <v>1044</v>
      </c>
      <c r="P559" s="621"/>
      <c r="Q559" s="598" t="s">
        <v>1227</v>
      </c>
      <c r="R559" s="598" t="s">
        <v>173</v>
      </c>
      <c r="S559" s="598" t="s">
        <v>55</v>
      </c>
      <c r="T559" s="598" t="s">
        <v>1015</v>
      </c>
      <c r="U559" s="667" t="s">
        <v>473</v>
      </c>
      <c r="V559" s="616" t="s">
        <v>4213</v>
      </c>
      <c r="W559" s="598" t="s">
        <v>950</v>
      </c>
      <c r="X559" s="624">
        <v>28590</v>
      </c>
      <c r="Y559" s="625">
        <f t="shared" ca="1" si="5"/>
        <v>47</v>
      </c>
      <c r="Z559" s="654" t="s">
        <v>4214</v>
      </c>
      <c r="AA559" s="598" t="s">
        <v>4215</v>
      </c>
      <c r="AB559" s="598" t="s">
        <v>966</v>
      </c>
      <c r="AC559" s="598" t="s">
        <v>953</v>
      </c>
      <c r="AD559" s="616" t="s">
        <v>246</v>
      </c>
      <c r="AE559" s="616" t="s">
        <v>246</v>
      </c>
      <c r="AF559" s="616" t="s">
        <v>4216</v>
      </c>
      <c r="AG559" s="598"/>
      <c r="AH559" s="598"/>
      <c r="AI559" s="598"/>
      <c r="AJ559" s="598" t="s">
        <v>3510</v>
      </c>
      <c r="AK559" s="626"/>
      <c r="AL559" s="626"/>
    </row>
    <row r="560" spans="1:38" ht="18" customHeight="1">
      <c r="A560" s="174"/>
      <c r="B560" s="598">
        <v>544</v>
      </c>
      <c r="C560" s="598" t="s">
        <v>4212</v>
      </c>
      <c r="D560" s="598">
        <f>SUBTOTAL(103,$T$21:T560)</f>
        <v>512</v>
      </c>
      <c r="E560" s="630" t="s">
        <v>3862</v>
      </c>
      <c r="F560" s="598" t="s">
        <v>4209</v>
      </c>
      <c r="G560" s="618" t="s">
        <v>4208</v>
      </c>
      <c r="H560" s="618" t="s">
        <v>473</v>
      </c>
      <c r="I560" s="618" t="s">
        <v>4208</v>
      </c>
      <c r="J560" s="618" t="s">
        <v>4208</v>
      </c>
      <c r="K560" s="618" t="s">
        <v>4212</v>
      </c>
      <c r="L560" s="627"/>
      <c r="M560" s="636"/>
      <c r="N560" s="636"/>
      <c r="O560" s="672" t="s">
        <v>1044</v>
      </c>
      <c r="P560" s="637"/>
      <c r="Q560" s="598" t="s">
        <v>69</v>
      </c>
      <c r="R560" s="598" t="s">
        <v>562</v>
      </c>
      <c r="S560" s="627"/>
      <c r="T560" s="671" t="s">
        <v>992</v>
      </c>
      <c r="U560" s="746" t="s">
        <v>4217</v>
      </c>
      <c r="V560" s="598" t="s">
        <v>4218</v>
      </c>
      <c r="W560" s="598" t="s">
        <v>950</v>
      </c>
      <c r="X560" s="624">
        <v>36654</v>
      </c>
      <c r="Y560" s="625">
        <f t="shared" ca="1" si="5"/>
        <v>25</v>
      </c>
      <c r="Z560" s="598" t="s">
        <v>4219</v>
      </c>
      <c r="AA560" s="598" t="s">
        <v>4220</v>
      </c>
      <c r="AB560" s="598" t="s">
        <v>996</v>
      </c>
      <c r="AC560" s="598" t="s">
        <v>997</v>
      </c>
      <c r="AD560" s="598" t="s">
        <v>246</v>
      </c>
      <c r="AE560" s="598" t="s">
        <v>246</v>
      </c>
      <c r="AF560" s="598" t="s">
        <v>4221</v>
      </c>
      <c r="AG560" s="627"/>
      <c r="AH560" s="598" t="s">
        <v>4222</v>
      </c>
      <c r="AI560" s="598" t="s">
        <v>1125</v>
      </c>
      <c r="AJ560" s="598" t="s">
        <v>3510</v>
      </c>
      <c r="AK560" s="627"/>
      <c r="AL560" s="627"/>
    </row>
    <row r="561" spans="1:38" ht="18" customHeight="1">
      <c r="A561" s="593"/>
      <c r="B561" s="598">
        <v>543</v>
      </c>
      <c r="C561" s="598" t="s">
        <v>4397</v>
      </c>
      <c r="D561" s="598">
        <f t="shared" ref="D561:D767" si="7">SUBTOTAL(103,$T$21:T561)</f>
        <v>513</v>
      </c>
      <c r="E561" s="616" t="s">
        <v>3862</v>
      </c>
      <c r="F561" s="616" t="s">
        <v>1001</v>
      </c>
      <c r="G561" s="618" t="s">
        <v>4208</v>
      </c>
      <c r="H561" s="618" t="s">
        <v>473</v>
      </c>
      <c r="I561" s="618" t="s">
        <v>4208</v>
      </c>
      <c r="J561" s="618" t="s">
        <v>4208</v>
      </c>
      <c r="K561" s="618" t="s">
        <v>4212</v>
      </c>
      <c r="L561" s="619"/>
      <c r="M561" s="620"/>
      <c r="N561" s="620"/>
      <c r="O561" s="663" t="s">
        <v>1044</v>
      </c>
      <c r="P561" s="621"/>
      <c r="Q561" s="598" t="s">
        <v>55</v>
      </c>
      <c r="R561" s="598" t="s">
        <v>55</v>
      </c>
      <c r="S561" s="598"/>
      <c r="T561" s="598" t="s">
        <v>992</v>
      </c>
      <c r="U561" s="664" t="s">
        <v>184</v>
      </c>
      <c r="V561" s="616" t="s">
        <v>4398</v>
      </c>
      <c r="W561" s="598" t="s">
        <v>950</v>
      </c>
      <c r="X561" s="624">
        <v>36505</v>
      </c>
      <c r="Y561" s="625">
        <f t="shared" ca="1" si="5"/>
        <v>26</v>
      </c>
      <c r="Z561" s="616" t="s">
        <v>4399</v>
      </c>
      <c r="AA561" s="598" t="s">
        <v>4400</v>
      </c>
      <c r="AB561" s="598" t="s">
        <v>1006</v>
      </c>
      <c r="AC561" s="598" t="s">
        <v>953</v>
      </c>
      <c r="AD561" s="616" t="s">
        <v>246</v>
      </c>
      <c r="AE561" s="616" t="s">
        <v>246</v>
      </c>
      <c r="AF561" s="616" t="s">
        <v>4216</v>
      </c>
      <c r="AG561" s="598"/>
      <c r="AH561" s="598"/>
      <c r="AI561" s="598" t="s">
        <v>1349</v>
      </c>
      <c r="AJ561" s="598"/>
      <c r="AK561" s="626"/>
      <c r="AL561" s="626"/>
    </row>
    <row r="562" spans="1:38" ht="18" customHeight="1">
      <c r="A562" s="593"/>
      <c r="B562" s="598">
        <v>545</v>
      </c>
      <c r="C562" s="598" t="s">
        <v>4223</v>
      </c>
      <c r="D562" s="598">
        <f t="shared" si="7"/>
        <v>514</v>
      </c>
      <c r="E562" s="616" t="s">
        <v>3862</v>
      </c>
      <c r="F562" s="616" t="s">
        <v>4209</v>
      </c>
      <c r="G562" s="618" t="s">
        <v>4208</v>
      </c>
      <c r="H562" s="618" t="s">
        <v>473</v>
      </c>
      <c r="I562" s="618" t="s">
        <v>4208</v>
      </c>
      <c r="J562" s="618" t="s">
        <v>4208</v>
      </c>
      <c r="K562" s="618" t="s">
        <v>4212</v>
      </c>
      <c r="L562" s="619"/>
      <c r="M562" s="620"/>
      <c r="N562" s="620"/>
      <c r="O562" s="663" t="s">
        <v>1044</v>
      </c>
      <c r="P562" s="621"/>
      <c r="Q562" s="598"/>
      <c r="R562" s="598"/>
      <c r="S562" s="598"/>
      <c r="T562" s="598" t="s">
        <v>1015</v>
      </c>
      <c r="U562" s="663" t="s">
        <v>4224</v>
      </c>
      <c r="V562" s="616" t="s">
        <v>4225</v>
      </c>
      <c r="W562" s="598" t="s">
        <v>950</v>
      </c>
      <c r="X562" s="624">
        <v>32251</v>
      </c>
      <c r="Y562" s="625">
        <f t="shared" ca="1" si="5"/>
        <v>37</v>
      </c>
      <c r="Z562" s="616" t="s">
        <v>4226</v>
      </c>
      <c r="AA562" s="598" t="s">
        <v>4227</v>
      </c>
      <c r="AB562" s="598" t="s">
        <v>996</v>
      </c>
      <c r="AC562" s="644" t="s">
        <v>997</v>
      </c>
      <c r="AD562" s="616" t="s">
        <v>246</v>
      </c>
      <c r="AE562" s="616" t="s">
        <v>1910</v>
      </c>
      <c r="AF562" s="616" t="s">
        <v>4228</v>
      </c>
      <c r="AG562" s="598"/>
      <c r="AH562" s="598" t="s">
        <v>4229</v>
      </c>
      <c r="AI562" s="598" t="s">
        <v>1125</v>
      </c>
      <c r="AJ562" s="598" t="s">
        <v>1020</v>
      </c>
      <c r="AK562" s="626"/>
      <c r="AL562" s="626"/>
    </row>
    <row r="563" spans="1:38" ht="18" customHeight="1">
      <c r="A563" s="593"/>
      <c r="B563" s="598">
        <v>546</v>
      </c>
      <c r="C563" s="598" t="s">
        <v>4854</v>
      </c>
      <c r="D563" s="598">
        <f t="shared" si="7"/>
        <v>515</v>
      </c>
      <c r="E563" s="616" t="s">
        <v>3862</v>
      </c>
      <c r="F563" s="616" t="s">
        <v>4209</v>
      </c>
      <c r="G563" s="618" t="s">
        <v>4208</v>
      </c>
      <c r="H563" s="618" t="s">
        <v>473</v>
      </c>
      <c r="I563" s="618" t="s">
        <v>4208</v>
      </c>
      <c r="J563" s="618" t="s">
        <v>4208</v>
      </c>
      <c r="K563" s="618" t="s">
        <v>4212</v>
      </c>
      <c r="L563" s="619"/>
      <c r="M563" s="620"/>
      <c r="N563" s="620"/>
      <c r="O563" s="663" t="s">
        <v>1044</v>
      </c>
      <c r="P563" s="621"/>
      <c r="Q563" s="598"/>
      <c r="R563" s="598"/>
      <c r="S563" s="598"/>
      <c r="T563" s="598" t="s">
        <v>992</v>
      </c>
      <c r="U563" s="663" t="s">
        <v>4855</v>
      </c>
      <c r="V563" s="616" t="s">
        <v>4856</v>
      </c>
      <c r="W563" s="598" t="s">
        <v>950</v>
      </c>
      <c r="X563" s="624">
        <v>37018</v>
      </c>
      <c r="Y563" s="625">
        <f t="shared" ca="1" si="5"/>
        <v>24</v>
      </c>
      <c r="Z563" s="616" t="s">
        <v>4857</v>
      </c>
      <c r="AA563" s="652"/>
      <c r="AB563" s="598" t="s">
        <v>996</v>
      </c>
      <c r="AC563" s="598" t="s">
        <v>1018</v>
      </c>
      <c r="AD563" s="616" t="s">
        <v>246</v>
      </c>
      <c r="AE563" s="616" t="s">
        <v>246</v>
      </c>
      <c r="AF563" s="616" t="s">
        <v>4343</v>
      </c>
      <c r="AG563" s="598"/>
      <c r="AH563" s="598" t="s">
        <v>4858</v>
      </c>
      <c r="AI563" s="598" t="s">
        <v>1125</v>
      </c>
      <c r="AJ563" s="598" t="s">
        <v>1020</v>
      </c>
      <c r="AK563" s="626"/>
      <c r="AL563" s="626"/>
    </row>
    <row r="564" spans="1:38" ht="18" customHeight="1">
      <c r="A564" s="593"/>
      <c r="B564" s="598">
        <v>547</v>
      </c>
      <c r="C564" s="598" t="s">
        <v>4230</v>
      </c>
      <c r="D564" s="598">
        <f t="shared" si="7"/>
        <v>516</v>
      </c>
      <c r="E564" s="616" t="s">
        <v>3862</v>
      </c>
      <c r="F564" s="616" t="s">
        <v>4209</v>
      </c>
      <c r="G564" s="618" t="s">
        <v>4208</v>
      </c>
      <c r="H564" s="618" t="s">
        <v>473</v>
      </c>
      <c r="I564" s="618" t="s">
        <v>4208</v>
      </c>
      <c r="J564" s="618" t="s">
        <v>4208</v>
      </c>
      <c r="K564" s="618" t="s">
        <v>4212</v>
      </c>
      <c r="L564" s="619"/>
      <c r="M564" s="620"/>
      <c r="N564" s="620"/>
      <c r="O564" s="673" t="s">
        <v>1044</v>
      </c>
      <c r="P564" s="621"/>
      <c r="Q564" s="598"/>
      <c r="R564" s="598"/>
      <c r="S564" s="598"/>
      <c r="T564" s="598" t="s">
        <v>992</v>
      </c>
      <c r="U564" s="673" t="s">
        <v>4231</v>
      </c>
      <c r="V564" s="616" t="s">
        <v>4232</v>
      </c>
      <c r="W564" s="598" t="s">
        <v>950</v>
      </c>
      <c r="X564" s="624">
        <v>34632</v>
      </c>
      <c r="Y564" s="625">
        <f t="shared" ca="1" si="5"/>
        <v>31</v>
      </c>
      <c r="Z564" s="616" t="s">
        <v>4233</v>
      </c>
      <c r="AA564" s="652"/>
      <c r="AB564" s="598" t="s">
        <v>996</v>
      </c>
      <c r="AC564" s="598" t="s">
        <v>1018</v>
      </c>
      <c r="AD564" s="616" t="s">
        <v>246</v>
      </c>
      <c r="AE564" s="616" t="s">
        <v>246</v>
      </c>
      <c r="AF564" s="616" t="s">
        <v>4216</v>
      </c>
      <c r="AG564" s="598"/>
      <c r="AH564" s="598" t="s">
        <v>4859</v>
      </c>
      <c r="AI564" s="598" t="s">
        <v>1125</v>
      </c>
      <c r="AJ564" s="598" t="s">
        <v>4235</v>
      </c>
      <c r="AK564" s="626"/>
      <c r="AL564" s="626"/>
    </row>
    <row r="565" spans="1:38" ht="18" customHeight="1">
      <c r="A565" s="278"/>
      <c r="B565" s="598">
        <v>548</v>
      </c>
      <c r="C565" s="598" t="s">
        <v>4266</v>
      </c>
      <c r="D565" s="598">
        <f t="shared" si="7"/>
        <v>517</v>
      </c>
      <c r="E565" s="630" t="s">
        <v>3862</v>
      </c>
      <c r="F565" s="616" t="s">
        <v>4209</v>
      </c>
      <c r="G565" s="618" t="s">
        <v>4208</v>
      </c>
      <c r="H565" s="618" t="s">
        <v>4211</v>
      </c>
      <c r="I565" s="618" t="s">
        <v>4208</v>
      </c>
      <c r="J565" s="618" t="s">
        <v>4266</v>
      </c>
      <c r="K565" s="618"/>
      <c r="L565" s="627"/>
      <c r="M565" s="636"/>
      <c r="N565" s="636"/>
      <c r="O565" s="672" t="s">
        <v>1074</v>
      </c>
      <c r="P565" s="637"/>
      <c r="Q565" s="742" t="s">
        <v>55</v>
      </c>
      <c r="R565" s="598" t="s">
        <v>55</v>
      </c>
      <c r="S565" s="627"/>
      <c r="T565" s="639" t="s">
        <v>1015</v>
      </c>
      <c r="U565" s="672" t="s">
        <v>519</v>
      </c>
      <c r="V565" s="621" t="s">
        <v>4268</v>
      </c>
      <c r="W565" s="598" t="s">
        <v>950</v>
      </c>
      <c r="X565" s="624">
        <v>28886</v>
      </c>
      <c r="Y565" s="625">
        <f t="shared" ca="1" si="5"/>
        <v>47</v>
      </c>
      <c r="Z565" s="598" t="s">
        <v>4269</v>
      </c>
      <c r="AA565" s="598" t="s">
        <v>4270</v>
      </c>
      <c r="AB565" s="598" t="s">
        <v>996</v>
      </c>
      <c r="AC565" s="644" t="s">
        <v>997</v>
      </c>
      <c r="AD565" s="598" t="s">
        <v>246</v>
      </c>
      <c r="AE565" s="598" t="s">
        <v>246</v>
      </c>
      <c r="AF565" s="653" t="s">
        <v>4059</v>
      </c>
      <c r="AG565" s="627"/>
      <c r="AH565" s="627"/>
      <c r="AI565" s="598" t="s">
        <v>1114</v>
      </c>
      <c r="AJ565" s="598" t="s">
        <v>3510</v>
      </c>
      <c r="AK565" s="626">
        <v>-3</v>
      </c>
      <c r="AL565" s="627"/>
    </row>
    <row r="566" spans="1:38" ht="18" customHeight="1">
      <c r="A566" s="593"/>
      <c r="B566" s="598">
        <v>549</v>
      </c>
      <c r="C566" s="598" t="s">
        <v>3941</v>
      </c>
      <c r="D566" s="598">
        <f t="shared" si="7"/>
        <v>518</v>
      </c>
      <c r="E566" s="616" t="s">
        <v>3862</v>
      </c>
      <c r="F566" s="616" t="s">
        <v>4209</v>
      </c>
      <c r="G566" s="618" t="s">
        <v>4208</v>
      </c>
      <c r="H566" s="618" t="s">
        <v>473</v>
      </c>
      <c r="I566" s="618" t="s">
        <v>4208</v>
      </c>
      <c r="J566" s="618" t="s">
        <v>4266</v>
      </c>
      <c r="K566" s="618"/>
      <c r="L566" s="619"/>
      <c r="M566" s="620"/>
      <c r="N566" s="620"/>
      <c r="O566" s="663" t="s">
        <v>1074</v>
      </c>
      <c r="P566" s="621"/>
      <c r="Q566" s="598"/>
      <c r="R566" s="598"/>
      <c r="S566" s="598"/>
      <c r="T566" s="598" t="s">
        <v>1090</v>
      </c>
      <c r="U566" s="663" t="s">
        <v>3942</v>
      </c>
      <c r="V566" s="616" t="s">
        <v>3943</v>
      </c>
      <c r="W566" s="598" t="s">
        <v>950</v>
      </c>
      <c r="X566" s="624">
        <v>18216</v>
      </c>
      <c r="Y566" s="625">
        <f t="shared" ca="1" si="5"/>
        <v>76</v>
      </c>
      <c r="Z566" s="616" t="s">
        <v>3944</v>
      </c>
      <c r="AA566" s="598" t="s">
        <v>3945</v>
      </c>
      <c r="AB566" s="598" t="s">
        <v>966</v>
      </c>
      <c r="AC566" s="598" t="s">
        <v>953</v>
      </c>
      <c r="AD566" s="616" t="s">
        <v>973</v>
      </c>
      <c r="AE566" s="616" t="s">
        <v>246</v>
      </c>
      <c r="AF566" s="616" t="s">
        <v>3815</v>
      </c>
      <c r="AG566" s="598"/>
      <c r="AH566" s="598"/>
      <c r="AI566" s="598"/>
      <c r="AJ566" s="598" t="s">
        <v>3510</v>
      </c>
      <c r="AK566" s="626"/>
      <c r="AL566" s="626"/>
    </row>
    <row r="567" spans="1:38" ht="18" customHeight="1">
      <c r="A567" s="593"/>
      <c r="B567" s="598">
        <v>550</v>
      </c>
      <c r="C567" s="598" t="s">
        <v>4275</v>
      </c>
      <c r="D567" s="598">
        <f t="shared" si="7"/>
        <v>519</v>
      </c>
      <c r="E567" s="616" t="s">
        <v>3862</v>
      </c>
      <c r="F567" s="616" t="s">
        <v>4209</v>
      </c>
      <c r="G567" s="618" t="s">
        <v>4208</v>
      </c>
      <c r="H567" s="618" t="s">
        <v>473</v>
      </c>
      <c r="I567" s="618" t="s">
        <v>4208</v>
      </c>
      <c r="J567" s="618" t="s">
        <v>4266</v>
      </c>
      <c r="K567" s="618"/>
      <c r="L567" s="619"/>
      <c r="M567" s="620"/>
      <c r="N567" s="620"/>
      <c r="O567" s="663" t="s">
        <v>1074</v>
      </c>
      <c r="P567" s="621"/>
      <c r="Q567" s="598"/>
      <c r="R567" s="598"/>
      <c r="S567" s="598"/>
      <c r="T567" s="598" t="s">
        <v>1090</v>
      </c>
      <c r="U567" s="663" t="s">
        <v>485</v>
      </c>
      <c r="V567" s="616" t="s">
        <v>4276</v>
      </c>
      <c r="W567" s="598" t="s">
        <v>950</v>
      </c>
      <c r="X567" s="624">
        <v>18323</v>
      </c>
      <c r="Y567" s="625">
        <f t="shared" ca="1" si="5"/>
        <v>75</v>
      </c>
      <c r="Z567" s="616" t="s">
        <v>4277</v>
      </c>
      <c r="AA567" s="598" t="s">
        <v>4278</v>
      </c>
      <c r="AB567" s="598" t="s">
        <v>966</v>
      </c>
      <c r="AC567" s="598" t="s">
        <v>953</v>
      </c>
      <c r="AD567" s="616" t="s">
        <v>246</v>
      </c>
      <c r="AE567" s="616" t="s">
        <v>246</v>
      </c>
      <c r="AF567" s="616" t="s">
        <v>4216</v>
      </c>
      <c r="AG567" s="598"/>
      <c r="AH567" s="598"/>
      <c r="AI567" s="598"/>
      <c r="AJ567" s="598" t="s">
        <v>3510</v>
      </c>
      <c r="AK567" s="626"/>
      <c r="AL567" s="626"/>
    </row>
    <row r="568" spans="1:38" ht="18" customHeight="1">
      <c r="A568" s="593"/>
      <c r="B568" s="598">
        <v>551</v>
      </c>
      <c r="C568" s="598" t="s">
        <v>4279</v>
      </c>
      <c r="D568" s="598">
        <f t="shared" si="7"/>
        <v>520</v>
      </c>
      <c r="E568" s="616" t="s">
        <v>3862</v>
      </c>
      <c r="F568" s="616" t="s">
        <v>4209</v>
      </c>
      <c r="G568" s="618" t="s">
        <v>4208</v>
      </c>
      <c r="H568" s="618" t="s">
        <v>473</v>
      </c>
      <c r="I568" s="618" t="s">
        <v>4208</v>
      </c>
      <c r="J568" s="618" t="s">
        <v>4266</v>
      </c>
      <c r="K568" s="618"/>
      <c r="L568" s="619"/>
      <c r="M568" s="620"/>
      <c r="N568" s="620"/>
      <c r="O568" s="663" t="s">
        <v>1074</v>
      </c>
      <c r="P568" s="621"/>
      <c r="Q568" s="598"/>
      <c r="R568" s="598"/>
      <c r="S568" s="598"/>
      <c r="T568" s="598" t="s">
        <v>1090</v>
      </c>
      <c r="U568" s="668" t="s">
        <v>491</v>
      </c>
      <c r="V568" s="616" t="s">
        <v>4280</v>
      </c>
      <c r="W568" s="598" t="s">
        <v>950</v>
      </c>
      <c r="X568" s="624">
        <v>18840</v>
      </c>
      <c r="Y568" s="625">
        <f t="shared" ca="1" si="5"/>
        <v>74</v>
      </c>
      <c r="Z568" s="616" t="s">
        <v>4281</v>
      </c>
      <c r="AA568" s="598" t="s">
        <v>4282</v>
      </c>
      <c r="AB568" s="598" t="s">
        <v>966</v>
      </c>
      <c r="AC568" s="598" t="s">
        <v>953</v>
      </c>
      <c r="AD568" s="616" t="s">
        <v>246</v>
      </c>
      <c r="AE568" s="616" t="s">
        <v>246</v>
      </c>
      <c r="AF568" s="616" t="s">
        <v>4216</v>
      </c>
      <c r="AG568" s="598"/>
      <c r="AH568" s="598"/>
      <c r="AI568" s="598"/>
      <c r="AJ568" s="598" t="s">
        <v>3510</v>
      </c>
      <c r="AK568" s="626"/>
      <c r="AL568" s="626"/>
    </row>
    <row r="569" spans="1:38" ht="18" customHeight="1">
      <c r="A569" s="593"/>
      <c r="B569" s="598">
        <v>552</v>
      </c>
      <c r="C569" s="598" t="s">
        <v>4283</v>
      </c>
      <c r="D569" s="598">
        <f t="shared" si="7"/>
        <v>521</v>
      </c>
      <c r="E569" s="616" t="s">
        <v>3862</v>
      </c>
      <c r="F569" s="616" t="s">
        <v>4209</v>
      </c>
      <c r="G569" s="618" t="s">
        <v>4208</v>
      </c>
      <c r="H569" s="618" t="s">
        <v>473</v>
      </c>
      <c r="I569" s="618" t="s">
        <v>4208</v>
      </c>
      <c r="J569" s="618" t="s">
        <v>4266</v>
      </c>
      <c r="K569" s="618"/>
      <c r="L569" s="619"/>
      <c r="M569" s="620"/>
      <c r="N569" s="620"/>
      <c r="O569" s="663" t="s">
        <v>1074</v>
      </c>
      <c r="P569" s="621"/>
      <c r="Q569" s="598"/>
      <c r="R569" s="598"/>
      <c r="S569" s="598"/>
      <c r="T569" s="598" t="s">
        <v>1015</v>
      </c>
      <c r="U569" s="669" t="s">
        <v>474</v>
      </c>
      <c r="V569" s="616" t="s">
        <v>4284</v>
      </c>
      <c r="W569" s="598" t="s">
        <v>950</v>
      </c>
      <c r="X569" s="624">
        <v>23643</v>
      </c>
      <c r="Y569" s="625">
        <f t="shared" ca="1" si="5"/>
        <v>61</v>
      </c>
      <c r="Z569" s="616" t="s">
        <v>4285</v>
      </c>
      <c r="AA569" s="598" t="s">
        <v>4286</v>
      </c>
      <c r="AB569" s="598" t="s">
        <v>966</v>
      </c>
      <c r="AC569" s="598" t="s">
        <v>953</v>
      </c>
      <c r="AD569" s="616" t="s">
        <v>246</v>
      </c>
      <c r="AE569" s="616" t="s">
        <v>246</v>
      </c>
      <c r="AF569" s="616" t="s">
        <v>4216</v>
      </c>
      <c r="AG569" s="598"/>
      <c r="AH569" s="598"/>
      <c r="AI569" s="598"/>
      <c r="AJ569" s="598" t="s">
        <v>3510</v>
      </c>
      <c r="AK569" s="626"/>
      <c r="AL569" s="626"/>
    </row>
    <row r="570" spans="1:38" ht="18" customHeight="1">
      <c r="A570" s="593"/>
      <c r="B570" s="598">
        <v>553</v>
      </c>
      <c r="C570" s="598" t="s">
        <v>3985</v>
      </c>
      <c r="D570" s="598">
        <f t="shared" si="7"/>
        <v>522</v>
      </c>
      <c r="E570" s="616" t="s">
        <v>3862</v>
      </c>
      <c r="F570" s="616" t="s">
        <v>4209</v>
      </c>
      <c r="G570" s="618" t="s">
        <v>4208</v>
      </c>
      <c r="H570" s="618" t="s">
        <v>473</v>
      </c>
      <c r="I570" s="618" t="s">
        <v>4208</v>
      </c>
      <c r="J570" s="618" t="s">
        <v>4266</v>
      </c>
      <c r="K570" s="618"/>
      <c r="L570" s="619"/>
      <c r="M570" s="620"/>
      <c r="N570" s="620"/>
      <c r="O570" s="663" t="s">
        <v>1074</v>
      </c>
      <c r="P570" s="621"/>
      <c r="Q570" s="598" t="s">
        <v>55</v>
      </c>
      <c r="R570" s="598" t="s">
        <v>178</v>
      </c>
      <c r="S570" s="598"/>
      <c r="T570" s="598" t="s">
        <v>1015</v>
      </c>
      <c r="U570" s="663" t="s">
        <v>495</v>
      </c>
      <c r="V570" s="616" t="s">
        <v>3986</v>
      </c>
      <c r="W570" s="598" t="s">
        <v>950</v>
      </c>
      <c r="X570" s="624">
        <v>25024</v>
      </c>
      <c r="Y570" s="625">
        <f t="shared" ca="1" si="5"/>
        <v>57</v>
      </c>
      <c r="Z570" s="616" t="s">
        <v>3987</v>
      </c>
      <c r="AA570" s="598" t="s">
        <v>3988</v>
      </c>
      <c r="AB570" s="598" t="s">
        <v>966</v>
      </c>
      <c r="AC570" s="598" t="s">
        <v>953</v>
      </c>
      <c r="AD570" s="616" t="s">
        <v>246</v>
      </c>
      <c r="AE570" s="616" t="s">
        <v>246</v>
      </c>
      <c r="AF570" s="616" t="s">
        <v>3815</v>
      </c>
      <c r="AG570" s="598"/>
      <c r="AH570" s="598"/>
      <c r="AI570" s="598"/>
      <c r="AJ570" s="598" t="s">
        <v>3510</v>
      </c>
      <c r="AK570" s="626"/>
      <c r="AL570" s="626"/>
    </row>
    <row r="571" spans="1:38" ht="18" customHeight="1">
      <c r="A571" s="593"/>
      <c r="B571" s="598">
        <v>554</v>
      </c>
      <c r="C571" s="598" t="s">
        <v>4860</v>
      </c>
      <c r="D571" s="598">
        <f t="shared" si="7"/>
        <v>523</v>
      </c>
      <c r="E571" s="616" t="s">
        <v>3862</v>
      </c>
      <c r="F571" s="616" t="s">
        <v>4209</v>
      </c>
      <c r="G571" s="618" t="s">
        <v>4208</v>
      </c>
      <c r="H571" s="618" t="s">
        <v>473</v>
      </c>
      <c r="I571" s="618" t="s">
        <v>4208</v>
      </c>
      <c r="J571" s="618" t="s">
        <v>4266</v>
      </c>
      <c r="K571" s="618"/>
      <c r="L571" s="619"/>
      <c r="M571" s="620"/>
      <c r="N571" s="620"/>
      <c r="O571" s="673" t="s">
        <v>1074</v>
      </c>
      <c r="P571" s="621"/>
      <c r="Q571" s="598"/>
      <c r="R571" s="598"/>
      <c r="S571" s="598"/>
      <c r="T571" s="598" t="s">
        <v>1015</v>
      </c>
      <c r="U571" s="673" t="s">
        <v>4861</v>
      </c>
      <c r="V571" s="616" t="s">
        <v>4862</v>
      </c>
      <c r="W571" s="598" t="s">
        <v>950</v>
      </c>
      <c r="X571" s="624">
        <v>29360</v>
      </c>
      <c r="Y571" s="625">
        <f t="shared" ca="1" si="5"/>
        <v>45</v>
      </c>
      <c r="Z571" s="616" t="s">
        <v>4863</v>
      </c>
      <c r="AA571" s="652"/>
      <c r="AB571" s="598" t="s">
        <v>996</v>
      </c>
      <c r="AC571" s="598" t="s">
        <v>1018</v>
      </c>
      <c r="AD571" s="616" t="s">
        <v>246</v>
      </c>
      <c r="AE571" s="616" t="s">
        <v>246</v>
      </c>
      <c r="AF571" s="616" t="s">
        <v>3815</v>
      </c>
      <c r="AG571" s="598"/>
      <c r="AH571" s="598" t="s">
        <v>4864</v>
      </c>
      <c r="AI571" s="598"/>
      <c r="AJ571" s="680" t="s">
        <v>4505</v>
      </c>
      <c r="AK571" s="626">
        <v>-3</v>
      </c>
      <c r="AL571" s="626"/>
    </row>
    <row r="572" spans="1:38" ht="18" customHeight="1">
      <c r="A572" s="593"/>
      <c r="B572" s="598">
        <v>555</v>
      </c>
      <c r="C572" s="598" t="s">
        <v>4303</v>
      </c>
      <c r="D572" s="598">
        <f t="shared" si="7"/>
        <v>524</v>
      </c>
      <c r="E572" s="616" t="s">
        <v>3862</v>
      </c>
      <c r="F572" s="616" t="s">
        <v>4209</v>
      </c>
      <c r="G572" s="618" t="s">
        <v>4208</v>
      </c>
      <c r="H572" s="618" t="s">
        <v>473</v>
      </c>
      <c r="I572" s="618" t="s">
        <v>4208</v>
      </c>
      <c r="J572" s="618" t="s">
        <v>4303</v>
      </c>
      <c r="K572" s="618"/>
      <c r="L572" s="619"/>
      <c r="M572" s="620"/>
      <c r="N572" s="620"/>
      <c r="O572" s="667" t="s">
        <v>1115</v>
      </c>
      <c r="P572" s="621"/>
      <c r="Q572" s="598" t="s">
        <v>55</v>
      </c>
      <c r="R572" s="598" t="s">
        <v>178</v>
      </c>
      <c r="S572" s="598"/>
      <c r="T572" s="598" t="s">
        <v>992</v>
      </c>
      <c r="U572" s="667" t="s">
        <v>4305</v>
      </c>
      <c r="V572" s="616" t="s">
        <v>4306</v>
      </c>
      <c r="W572" s="598" t="s">
        <v>963</v>
      </c>
      <c r="X572" s="624">
        <v>37183</v>
      </c>
      <c r="Y572" s="625">
        <f t="shared" ca="1" si="5"/>
        <v>24</v>
      </c>
      <c r="Z572" s="616" t="s">
        <v>4307</v>
      </c>
      <c r="AA572" s="598" t="s">
        <v>4308</v>
      </c>
      <c r="AB572" s="598" t="s">
        <v>1006</v>
      </c>
      <c r="AC572" s="598" t="s">
        <v>953</v>
      </c>
      <c r="AD572" s="616" t="s">
        <v>246</v>
      </c>
      <c r="AE572" s="616" t="s">
        <v>246</v>
      </c>
      <c r="AF572" s="616" t="s">
        <v>4216</v>
      </c>
      <c r="AG572" s="598"/>
      <c r="AH572" s="598"/>
      <c r="AI572" s="598"/>
      <c r="AJ572" s="598" t="s">
        <v>3510</v>
      </c>
      <c r="AK572" s="626"/>
      <c r="AL572" s="626"/>
    </row>
    <row r="573" spans="1:38" ht="18" customHeight="1">
      <c r="A573" s="593"/>
      <c r="B573" s="598">
        <v>556</v>
      </c>
      <c r="C573" s="598" t="s">
        <v>2220</v>
      </c>
      <c r="D573" s="598">
        <f t="shared" si="7"/>
        <v>525</v>
      </c>
      <c r="E573" s="616" t="s">
        <v>3862</v>
      </c>
      <c r="F573" s="616" t="s">
        <v>4209</v>
      </c>
      <c r="G573" s="618" t="s">
        <v>4208</v>
      </c>
      <c r="H573" s="618" t="s">
        <v>473</v>
      </c>
      <c r="I573" s="618" t="s">
        <v>4208</v>
      </c>
      <c r="J573" s="618" t="s">
        <v>4303</v>
      </c>
      <c r="K573" s="618"/>
      <c r="L573" s="619"/>
      <c r="M573" s="620"/>
      <c r="N573" s="620"/>
      <c r="O573" s="663" t="s">
        <v>1115</v>
      </c>
      <c r="P573" s="621"/>
      <c r="Q573" s="598"/>
      <c r="R573" s="598"/>
      <c r="S573" s="598"/>
      <c r="T573" s="598" t="s">
        <v>992</v>
      </c>
      <c r="U573" s="663" t="s">
        <v>4313</v>
      </c>
      <c r="V573" s="616" t="s">
        <v>4314</v>
      </c>
      <c r="W573" s="598" t="s">
        <v>963</v>
      </c>
      <c r="X573" s="624">
        <v>38152</v>
      </c>
      <c r="Y573" s="625">
        <f t="shared" ca="1" si="5"/>
        <v>21</v>
      </c>
      <c r="Z573" s="616" t="s">
        <v>4315</v>
      </c>
      <c r="AA573" s="598" t="s">
        <v>4316</v>
      </c>
      <c r="AB573" s="598" t="s">
        <v>1006</v>
      </c>
      <c r="AC573" s="598" t="s">
        <v>953</v>
      </c>
      <c r="AD573" s="616" t="s">
        <v>729</v>
      </c>
      <c r="AE573" s="616" t="s">
        <v>246</v>
      </c>
      <c r="AF573" s="616" t="s">
        <v>4216</v>
      </c>
      <c r="AG573" s="598"/>
      <c r="AH573" s="598"/>
      <c r="AI573" s="598" t="s">
        <v>1011</v>
      </c>
      <c r="AJ573" s="598" t="s">
        <v>3510</v>
      </c>
      <c r="AK573" s="626"/>
      <c r="AL573" s="626"/>
    </row>
    <row r="574" spans="1:38" ht="18" customHeight="1">
      <c r="A574" s="593"/>
      <c r="B574" s="598">
        <v>557</v>
      </c>
      <c r="C574" s="598" t="s">
        <v>4317</v>
      </c>
      <c r="D574" s="598">
        <f t="shared" si="7"/>
        <v>526</v>
      </c>
      <c r="E574" s="616" t="s">
        <v>3862</v>
      </c>
      <c r="F574" s="616" t="s">
        <v>4209</v>
      </c>
      <c r="G574" s="618" t="s">
        <v>4208</v>
      </c>
      <c r="H574" s="618" t="s">
        <v>473</v>
      </c>
      <c r="I574" s="618" t="s">
        <v>4208</v>
      </c>
      <c r="J574" s="618" t="s">
        <v>4303</v>
      </c>
      <c r="K574" s="618"/>
      <c r="L574" s="619"/>
      <c r="M574" s="620"/>
      <c r="N574" s="620"/>
      <c r="O574" s="663" t="s">
        <v>1115</v>
      </c>
      <c r="P574" s="621"/>
      <c r="Q574" s="598"/>
      <c r="R574" s="598"/>
      <c r="S574" s="598"/>
      <c r="T574" s="598" t="s">
        <v>992</v>
      </c>
      <c r="U574" s="663" t="s">
        <v>4318</v>
      </c>
      <c r="V574" s="616" t="s">
        <v>4319</v>
      </c>
      <c r="W574" s="598" t="s">
        <v>963</v>
      </c>
      <c r="X574" s="624">
        <v>36511</v>
      </c>
      <c r="Y574" s="625">
        <f t="shared" ca="1" si="5"/>
        <v>26</v>
      </c>
      <c r="Z574" s="654" t="s">
        <v>4320</v>
      </c>
      <c r="AA574" s="598" t="s">
        <v>4321</v>
      </c>
      <c r="AB574" s="598" t="s">
        <v>1006</v>
      </c>
      <c r="AC574" s="598" t="s">
        <v>953</v>
      </c>
      <c r="AD574" s="616" t="s">
        <v>246</v>
      </c>
      <c r="AE574" s="616" t="s">
        <v>246</v>
      </c>
      <c r="AF574" s="616" t="s">
        <v>4322</v>
      </c>
      <c r="AG574" s="598"/>
      <c r="AH574" s="598"/>
      <c r="AI574" s="598" t="s">
        <v>1349</v>
      </c>
      <c r="AJ574" s="598" t="s">
        <v>3510</v>
      </c>
      <c r="AK574" s="626"/>
      <c r="AL574" s="626"/>
    </row>
    <row r="575" spans="1:38" ht="18" customHeight="1">
      <c r="A575" s="593"/>
      <c r="B575" s="598">
        <v>558</v>
      </c>
      <c r="C575" s="598" t="s">
        <v>4144</v>
      </c>
      <c r="D575" s="598">
        <f t="shared" si="7"/>
        <v>527</v>
      </c>
      <c r="E575" s="616" t="s">
        <v>1351</v>
      </c>
      <c r="F575" s="616" t="s">
        <v>4209</v>
      </c>
      <c r="G575" s="618" t="s">
        <v>4208</v>
      </c>
      <c r="H575" s="618" t="s">
        <v>473</v>
      </c>
      <c r="I575" s="618" t="s">
        <v>4208</v>
      </c>
      <c r="J575" s="618" t="s">
        <v>4303</v>
      </c>
      <c r="K575" s="618"/>
      <c r="L575" s="619"/>
      <c r="M575" s="620"/>
      <c r="N575" s="620"/>
      <c r="O575" s="663" t="s">
        <v>1115</v>
      </c>
      <c r="P575" s="621"/>
      <c r="Q575" s="598"/>
      <c r="R575" s="598"/>
      <c r="S575" s="598"/>
      <c r="T575" s="598" t="s">
        <v>992</v>
      </c>
      <c r="U575" s="663" t="s">
        <v>4145</v>
      </c>
      <c r="V575" s="616" t="s">
        <v>4146</v>
      </c>
      <c r="W575" s="598" t="s">
        <v>963</v>
      </c>
      <c r="X575" s="624">
        <v>38845</v>
      </c>
      <c r="Y575" s="625">
        <f t="shared" ca="1" si="5"/>
        <v>19</v>
      </c>
      <c r="Z575" s="616" t="s">
        <v>4147</v>
      </c>
      <c r="AA575" s="598" t="s">
        <v>4148</v>
      </c>
      <c r="AB575" s="598" t="s">
        <v>996</v>
      </c>
      <c r="AC575" s="598" t="s">
        <v>953</v>
      </c>
      <c r="AD575" s="616" t="s">
        <v>246</v>
      </c>
      <c r="AE575" s="616" t="s">
        <v>246</v>
      </c>
      <c r="AF575" s="616" t="s">
        <v>3815</v>
      </c>
      <c r="AG575" s="598"/>
      <c r="AH575" s="598"/>
      <c r="AI575" s="598" t="s">
        <v>1125</v>
      </c>
      <c r="AJ575" s="598"/>
      <c r="AK575" s="626"/>
      <c r="AL575" s="626"/>
    </row>
    <row r="576" spans="1:38" ht="18" customHeight="1">
      <c r="A576" s="593"/>
      <c r="B576" s="598">
        <v>559</v>
      </c>
      <c r="C576" s="598" t="s">
        <v>4865</v>
      </c>
      <c r="D576" s="598">
        <f t="shared" si="7"/>
        <v>528</v>
      </c>
      <c r="E576" s="616" t="s">
        <v>1351</v>
      </c>
      <c r="F576" s="616" t="s">
        <v>4209</v>
      </c>
      <c r="G576" s="618" t="s">
        <v>4208</v>
      </c>
      <c r="H576" s="618" t="s">
        <v>473</v>
      </c>
      <c r="I576" s="618" t="s">
        <v>4208</v>
      </c>
      <c r="J576" s="618" t="s">
        <v>4303</v>
      </c>
      <c r="K576" s="618"/>
      <c r="L576" s="619"/>
      <c r="M576" s="620"/>
      <c r="N576" s="620"/>
      <c r="O576" s="663" t="s">
        <v>1115</v>
      </c>
      <c r="P576" s="621"/>
      <c r="Q576" s="598"/>
      <c r="R576" s="598"/>
      <c r="S576" s="598"/>
      <c r="T576" s="598" t="s">
        <v>1705</v>
      </c>
      <c r="U576" s="663" t="s">
        <v>502</v>
      </c>
      <c r="V576" s="616" t="s">
        <v>4866</v>
      </c>
      <c r="W576" s="598" t="s">
        <v>950</v>
      </c>
      <c r="X576" s="624">
        <v>39773</v>
      </c>
      <c r="Y576" s="625">
        <f t="shared" ca="1" si="5"/>
        <v>17</v>
      </c>
      <c r="Z576" s="616" t="s">
        <v>4865</v>
      </c>
      <c r="AA576" s="598" t="s">
        <v>4867</v>
      </c>
      <c r="AB576" s="598" t="s">
        <v>996</v>
      </c>
      <c r="AC576" s="598" t="s">
        <v>1018</v>
      </c>
      <c r="AD576" s="616" t="s">
        <v>246</v>
      </c>
      <c r="AE576" s="616" t="s">
        <v>246</v>
      </c>
      <c r="AF576" s="653" t="s">
        <v>4868</v>
      </c>
      <c r="AG576" s="598"/>
      <c r="AH576" s="598"/>
      <c r="AI576" s="598" t="s">
        <v>1452</v>
      </c>
      <c r="AJ576" s="598"/>
      <c r="AK576" s="626"/>
      <c r="AL576" s="626"/>
    </row>
    <row r="577" spans="1:38" ht="18" customHeight="1">
      <c r="A577" s="593"/>
      <c r="B577" s="598">
        <v>560</v>
      </c>
      <c r="C577" s="598" t="s">
        <v>4869</v>
      </c>
      <c r="D577" s="598">
        <f t="shared" si="7"/>
        <v>529</v>
      </c>
      <c r="E577" s="616" t="s">
        <v>3862</v>
      </c>
      <c r="F577" s="616" t="s">
        <v>4209</v>
      </c>
      <c r="G577" s="618" t="s">
        <v>4208</v>
      </c>
      <c r="H577" s="618" t="s">
        <v>473</v>
      </c>
      <c r="I577" s="618" t="s">
        <v>4208</v>
      </c>
      <c r="J577" s="618" t="s">
        <v>4303</v>
      </c>
      <c r="K577" s="618"/>
      <c r="L577" s="619"/>
      <c r="M577" s="620"/>
      <c r="N577" s="620"/>
      <c r="O577" s="673" t="s">
        <v>1115</v>
      </c>
      <c r="P577" s="621"/>
      <c r="Q577" s="598"/>
      <c r="R577" s="598"/>
      <c r="S577" s="598"/>
      <c r="T577" s="598" t="s">
        <v>992</v>
      </c>
      <c r="U577" s="673" t="s">
        <v>4870</v>
      </c>
      <c r="V577" s="616" t="s">
        <v>4871</v>
      </c>
      <c r="W577" s="598" t="s">
        <v>950</v>
      </c>
      <c r="X577" s="624">
        <v>37974</v>
      </c>
      <c r="Y577" s="625">
        <f t="shared" ca="1" si="5"/>
        <v>22</v>
      </c>
      <c r="Z577" s="616" t="s">
        <v>4872</v>
      </c>
      <c r="AA577" s="652"/>
      <c r="AB577" s="598" t="s">
        <v>996</v>
      </c>
      <c r="AC577" s="598" t="s">
        <v>1018</v>
      </c>
      <c r="AD577" s="616" t="s">
        <v>246</v>
      </c>
      <c r="AE577" s="616" t="s">
        <v>246</v>
      </c>
      <c r="AF577" s="616" t="s">
        <v>3815</v>
      </c>
      <c r="AG577" s="598"/>
      <c r="AH577" s="598" t="s">
        <v>4873</v>
      </c>
      <c r="AI577" s="598" t="s">
        <v>1349</v>
      </c>
      <c r="AJ577" s="598" t="s">
        <v>1020</v>
      </c>
      <c r="AK577" s="626">
        <v>-3</v>
      </c>
      <c r="AL577" s="626"/>
    </row>
    <row r="578" spans="1:38" ht="18" customHeight="1">
      <c r="A578" s="593"/>
      <c r="B578" s="598">
        <v>561</v>
      </c>
      <c r="C578" s="598" t="s">
        <v>4333</v>
      </c>
      <c r="D578" s="598">
        <f t="shared" si="7"/>
        <v>530</v>
      </c>
      <c r="E578" s="616" t="s">
        <v>3862</v>
      </c>
      <c r="F578" s="616" t="s">
        <v>4209</v>
      </c>
      <c r="G578" s="618" t="s">
        <v>4208</v>
      </c>
      <c r="H578" s="618" t="s">
        <v>473</v>
      </c>
      <c r="I578" s="618" t="s">
        <v>4208</v>
      </c>
      <c r="J578" s="618" t="s">
        <v>4333</v>
      </c>
      <c r="K578" s="618" t="s">
        <v>4334</v>
      </c>
      <c r="L578" s="619"/>
      <c r="M578" s="620"/>
      <c r="N578" s="620"/>
      <c r="O578" s="667" t="s">
        <v>1127</v>
      </c>
      <c r="P578" s="621"/>
      <c r="Q578" s="598" t="s">
        <v>55</v>
      </c>
      <c r="R578" s="598" t="s">
        <v>178</v>
      </c>
      <c r="S578" s="598"/>
      <c r="T578" s="598" t="s">
        <v>1015</v>
      </c>
      <c r="U578" s="667" t="s">
        <v>476</v>
      </c>
      <c r="V578" s="616" t="s">
        <v>4336</v>
      </c>
      <c r="W578" s="598" t="s">
        <v>950</v>
      </c>
      <c r="X578" s="624">
        <v>27135</v>
      </c>
      <c r="Y578" s="625">
        <f t="shared" ca="1" si="5"/>
        <v>51</v>
      </c>
      <c r="Z578" s="654" t="s">
        <v>4337</v>
      </c>
      <c r="AA578" s="598" t="s">
        <v>4338</v>
      </c>
      <c r="AB578" s="598" t="s">
        <v>966</v>
      </c>
      <c r="AC578" s="598" t="s">
        <v>953</v>
      </c>
      <c r="AD578" s="616" t="s">
        <v>246</v>
      </c>
      <c r="AE578" s="616" t="s">
        <v>246</v>
      </c>
      <c r="AF578" s="653" t="s">
        <v>4064</v>
      </c>
      <c r="AG578" s="598"/>
      <c r="AH578" s="598"/>
      <c r="AI578" s="598"/>
      <c r="AJ578" s="598" t="s">
        <v>3510</v>
      </c>
      <c r="AK578" s="626">
        <v>-3</v>
      </c>
      <c r="AL578" s="626"/>
    </row>
    <row r="579" spans="1:38" ht="18" customHeight="1">
      <c r="A579" s="593"/>
      <c r="B579" s="598">
        <v>562</v>
      </c>
      <c r="C579" s="598" t="s">
        <v>4334</v>
      </c>
      <c r="D579" s="598">
        <f t="shared" si="7"/>
        <v>531</v>
      </c>
      <c r="E579" s="616" t="s">
        <v>3862</v>
      </c>
      <c r="F579" s="616" t="s">
        <v>4209</v>
      </c>
      <c r="G579" s="618" t="s">
        <v>4208</v>
      </c>
      <c r="H579" s="618" t="s">
        <v>473</v>
      </c>
      <c r="I579" s="618" t="s">
        <v>4208</v>
      </c>
      <c r="J579" s="618" t="s">
        <v>4333</v>
      </c>
      <c r="K579" s="618" t="s">
        <v>4334</v>
      </c>
      <c r="L579" s="619"/>
      <c r="M579" s="620"/>
      <c r="N579" s="620"/>
      <c r="O579" s="663" t="s">
        <v>1127</v>
      </c>
      <c r="P579" s="621"/>
      <c r="Q579" s="598" t="s">
        <v>69</v>
      </c>
      <c r="R579" s="598" t="s">
        <v>69</v>
      </c>
      <c r="S579" s="598"/>
      <c r="T579" s="598" t="s">
        <v>1015</v>
      </c>
      <c r="U579" s="663" t="s">
        <v>4339</v>
      </c>
      <c r="V579" s="616" t="s">
        <v>4340</v>
      </c>
      <c r="W579" s="598" t="s">
        <v>950</v>
      </c>
      <c r="X579" s="624">
        <v>27601</v>
      </c>
      <c r="Y579" s="625">
        <f t="shared" ca="1" si="5"/>
        <v>50</v>
      </c>
      <c r="Z579" s="616" t="s">
        <v>4341</v>
      </c>
      <c r="AA579" s="598" t="s">
        <v>4342</v>
      </c>
      <c r="AB579" s="598" t="s">
        <v>996</v>
      </c>
      <c r="AC579" s="598" t="s">
        <v>997</v>
      </c>
      <c r="AD579" s="616" t="s">
        <v>246</v>
      </c>
      <c r="AE579" s="616" t="s">
        <v>246</v>
      </c>
      <c r="AF579" s="616" t="s">
        <v>4343</v>
      </c>
      <c r="AG579" s="598"/>
      <c r="AH579" s="598"/>
      <c r="AI579" s="598" t="s">
        <v>1125</v>
      </c>
      <c r="AJ579" s="598" t="s">
        <v>3510</v>
      </c>
      <c r="AK579" s="626"/>
      <c r="AL579" s="626"/>
    </row>
    <row r="580" spans="1:38" ht="18" customHeight="1">
      <c r="A580" s="593"/>
      <c r="B580" s="598">
        <v>563</v>
      </c>
      <c r="C580" s="598" t="s">
        <v>4348</v>
      </c>
      <c r="D580" s="598">
        <f t="shared" si="7"/>
        <v>532</v>
      </c>
      <c r="E580" s="616" t="s">
        <v>3862</v>
      </c>
      <c r="F580" s="616" t="s">
        <v>4209</v>
      </c>
      <c r="G580" s="618" t="s">
        <v>4208</v>
      </c>
      <c r="H580" s="618" t="s">
        <v>473</v>
      </c>
      <c r="I580" s="618" t="s">
        <v>4208</v>
      </c>
      <c r="J580" s="618" t="s">
        <v>4333</v>
      </c>
      <c r="K580" s="618" t="s">
        <v>4334</v>
      </c>
      <c r="L580" s="619"/>
      <c r="M580" s="620"/>
      <c r="N580" s="620"/>
      <c r="O580" s="663" t="s">
        <v>1127</v>
      </c>
      <c r="P580" s="621"/>
      <c r="Q580" s="598"/>
      <c r="R580" s="598"/>
      <c r="S580" s="598"/>
      <c r="T580" s="598" t="s">
        <v>1015</v>
      </c>
      <c r="U580" s="663" t="s">
        <v>4349</v>
      </c>
      <c r="V580" s="616" t="s">
        <v>4350</v>
      </c>
      <c r="W580" s="598" t="s">
        <v>950</v>
      </c>
      <c r="X580" s="624">
        <v>26677</v>
      </c>
      <c r="Y580" s="625">
        <f t="shared" ca="1" si="5"/>
        <v>53</v>
      </c>
      <c r="Z580" s="616" t="s">
        <v>4351</v>
      </c>
      <c r="AA580" s="598" t="s">
        <v>4352</v>
      </c>
      <c r="AB580" s="598" t="s">
        <v>996</v>
      </c>
      <c r="AC580" s="598" t="s">
        <v>997</v>
      </c>
      <c r="AD580" s="616" t="s">
        <v>246</v>
      </c>
      <c r="AE580" s="616" t="s">
        <v>246</v>
      </c>
      <c r="AF580" s="616" t="s">
        <v>4353</v>
      </c>
      <c r="AG580" s="598"/>
      <c r="AH580" s="598"/>
      <c r="AI580" s="598" t="s">
        <v>1125</v>
      </c>
      <c r="AJ580" s="598" t="s">
        <v>3510</v>
      </c>
      <c r="AK580" s="626">
        <v>-3</v>
      </c>
      <c r="AL580" s="626"/>
    </row>
    <row r="581" spans="1:38" ht="18" customHeight="1">
      <c r="A581" s="593"/>
      <c r="B581" s="598">
        <v>564</v>
      </c>
      <c r="C581" s="598" t="s">
        <v>4033</v>
      </c>
      <c r="D581" s="598">
        <f t="shared" si="7"/>
        <v>533</v>
      </c>
      <c r="E581" s="616" t="s">
        <v>3862</v>
      </c>
      <c r="F581" s="616" t="s">
        <v>4209</v>
      </c>
      <c r="G581" s="618" t="s">
        <v>4208</v>
      </c>
      <c r="H581" s="618" t="s">
        <v>473</v>
      </c>
      <c r="I581" s="618" t="s">
        <v>4208</v>
      </c>
      <c r="J581" s="618" t="s">
        <v>4333</v>
      </c>
      <c r="K581" s="618" t="s">
        <v>4334</v>
      </c>
      <c r="L581" s="619"/>
      <c r="M581" s="620"/>
      <c r="N581" s="620"/>
      <c r="O581" s="663" t="s">
        <v>1127</v>
      </c>
      <c r="P581" s="621"/>
      <c r="Q581" s="598"/>
      <c r="R581" s="598"/>
      <c r="S581" s="598"/>
      <c r="T581" s="598" t="s">
        <v>1015</v>
      </c>
      <c r="U581" s="663" t="s">
        <v>4034</v>
      </c>
      <c r="V581" s="616" t="s">
        <v>4035</v>
      </c>
      <c r="W581" s="598" t="s">
        <v>950</v>
      </c>
      <c r="X581" s="624">
        <v>28550</v>
      </c>
      <c r="Y581" s="625">
        <f t="shared" ca="1" si="5"/>
        <v>47</v>
      </c>
      <c r="Z581" s="616" t="s">
        <v>4036</v>
      </c>
      <c r="AA581" s="598" t="s">
        <v>4037</v>
      </c>
      <c r="AB581" s="598" t="s">
        <v>996</v>
      </c>
      <c r="AC581" s="644" t="s">
        <v>997</v>
      </c>
      <c r="AD581" s="616" t="s">
        <v>246</v>
      </c>
      <c r="AE581" s="616" t="s">
        <v>246</v>
      </c>
      <c r="AF581" s="616" t="s">
        <v>3815</v>
      </c>
      <c r="AG581" s="598"/>
      <c r="AH581" s="598"/>
      <c r="AI581" s="598" t="s">
        <v>1125</v>
      </c>
      <c r="AJ581" s="598" t="s">
        <v>3510</v>
      </c>
      <c r="AK581" s="626">
        <v>-3</v>
      </c>
      <c r="AL581" s="626"/>
    </row>
    <row r="582" spans="1:38" ht="18" customHeight="1">
      <c r="A582" s="593"/>
      <c r="B582" s="598">
        <v>565</v>
      </c>
      <c r="C582" s="598" t="s">
        <v>3980</v>
      </c>
      <c r="D582" s="598">
        <f t="shared" si="7"/>
        <v>534</v>
      </c>
      <c r="E582" s="616" t="s">
        <v>3862</v>
      </c>
      <c r="F582" s="616" t="s">
        <v>4209</v>
      </c>
      <c r="G582" s="618" t="s">
        <v>4208</v>
      </c>
      <c r="H582" s="618" t="s">
        <v>473</v>
      </c>
      <c r="I582" s="618" t="s">
        <v>4208</v>
      </c>
      <c r="J582" s="618" t="s">
        <v>4333</v>
      </c>
      <c r="K582" s="618" t="s">
        <v>4334</v>
      </c>
      <c r="L582" s="619"/>
      <c r="M582" s="620"/>
      <c r="N582" s="620"/>
      <c r="O582" s="663" t="s">
        <v>1127</v>
      </c>
      <c r="P582" s="621"/>
      <c r="Q582" s="598"/>
      <c r="R582" s="598"/>
      <c r="S582" s="598"/>
      <c r="T582" s="598" t="s">
        <v>1015</v>
      </c>
      <c r="U582" s="663" t="s">
        <v>3981</v>
      </c>
      <c r="V582" s="616" t="s">
        <v>3982</v>
      </c>
      <c r="W582" s="598" t="s">
        <v>950</v>
      </c>
      <c r="X582" s="624">
        <v>29149</v>
      </c>
      <c r="Y582" s="625">
        <f t="shared" ca="1" si="5"/>
        <v>46</v>
      </c>
      <c r="Z582" s="616" t="s">
        <v>3983</v>
      </c>
      <c r="AA582" s="598" t="s">
        <v>3984</v>
      </c>
      <c r="AB582" s="598" t="s">
        <v>996</v>
      </c>
      <c r="AC582" s="598" t="s">
        <v>997</v>
      </c>
      <c r="AD582" s="616" t="s">
        <v>246</v>
      </c>
      <c r="AE582" s="616" t="s">
        <v>246</v>
      </c>
      <c r="AF582" s="616" t="s">
        <v>3936</v>
      </c>
      <c r="AG582" s="598"/>
      <c r="AH582" s="598"/>
      <c r="AI582" s="598" t="s">
        <v>1125</v>
      </c>
      <c r="AJ582" s="598" t="s">
        <v>3510</v>
      </c>
      <c r="AK582" s="626">
        <v>-3</v>
      </c>
      <c r="AL582" s="626"/>
    </row>
    <row r="583" spans="1:38" ht="18" customHeight="1">
      <c r="A583" s="593"/>
      <c r="B583" s="598">
        <v>566</v>
      </c>
      <c r="C583" s="598" t="s">
        <v>4236</v>
      </c>
      <c r="D583" s="598">
        <f t="shared" si="7"/>
        <v>535</v>
      </c>
      <c r="E583" s="616" t="s">
        <v>3862</v>
      </c>
      <c r="F583" s="616" t="s">
        <v>4209</v>
      </c>
      <c r="G583" s="618" t="s">
        <v>4208</v>
      </c>
      <c r="H583" s="618" t="s">
        <v>473</v>
      </c>
      <c r="I583" s="618" t="s">
        <v>4208</v>
      </c>
      <c r="J583" s="618" t="s">
        <v>4333</v>
      </c>
      <c r="K583" s="618" t="s">
        <v>4334</v>
      </c>
      <c r="L583" s="619"/>
      <c r="M583" s="620"/>
      <c r="N583" s="620"/>
      <c r="O583" s="663" t="s">
        <v>1127</v>
      </c>
      <c r="P583" s="621"/>
      <c r="Q583" s="598"/>
      <c r="R583" s="598"/>
      <c r="S583" s="598"/>
      <c r="T583" s="598" t="s">
        <v>1015</v>
      </c>
      <c r="U583" s="663" t="s">
        <v>4237</v>
      </c>
      <c r="V583" s="616" t="s">
        <v>4238</v>
      </c>
      <c r="W583" s="598" t="s">
        <v>950</v>
      </c>
      <c r="X583" s="624">
        <v>29930</v>
      </c>
      <c r="Y583" s="625">
        <f t="shared" ca="1" si="5"/>
        <v>44</v>
      </c>
      <c r="Z583" s="616" t="s">
        <v>4239</v>
      </c>
      <c r="AA583" s="598" t="s">
        <v>4240</v>
      </c>
      <c r="AB583" s="598" t="s">
        <v>996</v>
      </c>
      <c r="AC583" s="644" t="s">
        <v>997</v>
      </c>
      <c r="AD583" s="616" t="s">
        <v>246</v>
      </c>
      <c r="AE583" s="616" t="s">
        <v>246</v>
      </c>
      <c r="AF583" s="653" t="s">
        <v>4241</v>
      </c>
      <c r="AG583" s="598"/>
      <c r="AH583" s="598"/>
      <c r="AI583" s="598" t="s">
        <v>1125</v>
      </c>
      <c r="AJ583" s="598" t="s">
        <v>3510</v>
      </c>
      <c r="AK583" s="626"/>
      <c r="AL583" s="626"/>
    </row>
    <row r="584" spans="1:38" ht="18" customHeight="1">
      <c r="A584" s="593"/>
      <c r="B584" s="598">
        <v>567</v>
      </c>
      <c r="C584" s="598" t="s">
        <v>4874</v>
      </c>
      <c r="D584" s="598">
        <f t="shared" si="7"/>
        <v>536</v>
      </c>
      <c r="E584" s="616" t="s">
        <v>3862</v>
      </c>
      <c r="F584" s="616" t="s">
        <v>4209</v>
      </c>
      <c r="G584" s="618" t="s">
        <v>4208</v>
      </c>
      <c r="H584" s="618" t="s">
        <v>473</v>
      </c>
      <c r="I584" s="618" t="s">
        <v>4208</v>
      </c>
      <c r="J584" s="618" t="s">
        <v>4333</v>
      </c>
      <c r="K584" s="618" t="s">
        <v>4334</v>
      </c>
      <c r="L584" s="619"/>
      <c r="M584" s="620"/>
      <c r="N584" s="620"/>
      <c r="O584" s="663" t="s">
        <v>1127</v>
      </c>
      <c r="P584" s="621"/>
      <c r="Q584" s="598"/>
      <c r="R584" s="598"/>
      <c r="S584" s="598"/>
      <c r="T584" s="598" t="s">
        <v>1015</v>
      </c>
      <c r="U584" s="663" t="s">
        <v>4875</v>
      </c>
      <c r="V584" s="616" t="s">
        <v>4876</v>
      </c>
      <c r="W584" s="598" t="s">
        <v>950</v>
      </c>
      <c r="X584" s="624">
        <v>26318</v>
      </c>
      <c r="Y584" s="625">
        <f t="shared" ca="1" si="5"/>
        <v>54</v>
      </c>
      <c r="Z584" s="616" t="s">
        <v>4877</v>
      </c>
      <c r="AA584" s="652"/>
      <c r="AB584" s="598" t="s">
        <v>996</v>
      </c>
      <c r="AC584" s="598" t="s">
        <v>1018</v>
      </c>
      <c r="AD584" s="616" t="s">
        <v>246</v>
      </c>
      <c r="AE584" s="616" t="s">
        <v>246</v>
      </c>
      <c r="AF584" s="616" t="s">
        <v>4064</v>
      </c>
      <c r="AG584" s="598"/>
      <c r="AH584" s="598" t="s">
        <v>4858</v>
      </c>
      <c r="AI584" s="598" t="s">
        <v>1125</v>
      </c>
      <c r="AJ584" s="598" t="s">
        <v>1020</v>
      </c>
      <c r="AK584" s="626">
        <v>-3</v>
      </c>
      <c r="AL584" s="626"/>
    </row>
    <row r="585" spans="1:38" ht="18" customHeight="1">
      <c r="A585" s="593"/>
      <c r="B585" s="598">
        <v>568</v>
      </c>
      <c r="C585" s="598" t="s">
        <v>4878</v>
      </c>
      <c r="D585" s="598">
        <f t="shared" si="7"/>
        <v>537</v>
      </c>
      <c r="E585" s="616" t="s">
        <v>3862</v>
      </c>
      <c r="F585" s="616" t="s">
        <v>4209</v>
      </c>
      <c r="G585" s="618" t="s">
        <v>4208</v>
      </c>
      <c r="H585" s="618" t="s">
        <v>473</v>
      </c>
      <c r="I585" s="618" t="s">
        <v>4208</v>
      </c>
      <c r="J585" s="618" t="s">
        <v>4333</v>
      </c>
      <c r="K585" s="618" t="s">
        <v>4334</v>
      </c>
      <c r="L585" s="619"/>
      <c r="M585" s="620"/>
      <c r="N585" s="620"/>
      <c r="O585" s="673" t="s">
        <v>1127</v>
      </c>
      <c r="P585" s="621"/>
      <c r="Q585" s="598"/>
      <c r="R585" s="598"/>
      <c r="S585" s="598"/>
      <c r="T585" s="598" t="s">
        <v>1015</v>
      </c>
      <c r="U585" s="673" t="s">
        <v>4879</v>
      </c>
      <c r="V585" s="616" t="s">
        <v>4880</v>
      </c>
      <c r="W585" s="598" t="s">
        <v>950</v>
      </c>
      <c r="X585" s="624">
        <v>28655</v>
      </c>
      <c r="Y585" s="625">
        <f t="shared" ca="1" si="5"/>
        <v>47</v>
      </c>
      <c r="Z585" s="616" t="s">
        <v>4881</v>
      </c>
      <c r="AA585" s="652"/>
      <c r="AB585" s="598" t="s">
        <v>996</v>
      </c>
      <c r="AC585" s="598" t="s">
        <v>1018</v>
      </c>
      <c r="AD585" s="616" t="s">
        <v>4882</v>
      </c>
      <c r="AE585" s="616" t="s">
        <v>729</v>
      </c>
      <c r="AF585" s="616" t="s">
        <v>4883</v>
      </c>
      <c r="AG585" s="598"/>
      <c r="AH585" s="598" t="s">
        <v>4229</v>
      </c>
      <c r="AI585" s="598" t="s">
        <v>1125</v>
      </c>
      <c r="AJ585" s="598" t="s">
        <v>4607</v>
      </c>
      <c r="AK585" s="626"/>
      <c r="AL585" s="626"/>
    </row>
    <row r="586" spans="1:38" ht="18" customHeight="1">
      <c r="A586" s="593"/>
      <c r="B586" s="598">
        <v>569</v>
      </c>
      <c r="C586" s="598" t="s">
        <v>3598</v>
      </c>
      <c r="D586" s="598">
        <f t="shared" si="7"/>
        <v>538</v>
      </c>
      <c r="E586" s="616" t="s">
        <v>1810</v>
      </c>
      <c r="F586" s="616" t="s">
        <v>4209</v>
      </c>
      <c r="G586" s="618" t="s">
        <v>4208</v>
      </c>
      <c r="H586" s="618" t="s">
        <v>473</v>
      </c>
      <c r="I586" s="618" t="s">
        <v>4208</v>
      </c>
      <c r="J586" s="618" t="s">
        <v>3598</v>
      </c>
      <c r="K586" s="618" t="s">
        <v>3599</v>
      </c>
      <c r="L586" s="619"/>
      <c r="M586" s="620"/>
      <c r="N586" s="620"/>
      <c r="O586" s="667" t="s">
        <v>1157</v>
      </c>
      <c r="P586" s="621"/>
      <c r="Q586" s="598" t="s">
        <v>55</v>
      </c>
      <c r="R586" s="598" t="s">
        <v>178</v>
      </c>
      <c r="S586" s="598"/>
      <c r="T586" s="598" t="s">
        <v>1015</v>
      </c>
      <c r="U586" s="667" t="s">
        <v>3601</v>
      </c>
      <c r="V586" s="616" t="s">
        <v>3602</v>
      </c>
      <c r="W586" s="598" t="s">
        <v>950</v>
      </c>
      <c r="X586" s="624">
        <v>25388</v>
      </c>
      <c r="Y586" s="625">
        <f t="shared" ca="1" si="5"/>
        <v>56</v>
      </c>
      <c r="Z586" s="616" t="s">
        <v>3603</v>
      </c>
      <c r="AA586" s="645" t="s">
        <v>3604</v>
      </c>
      <c r="AB586" s="598" t="s">
        <v>996</v>
      </c>
      <c r="AC586" s="598" t="s">
        <v>997</v>
      </c>
      <c r="AD586" s="616" t="s">
        <v>973</v>
      </c>
      <c r="AE586" s="616" t="s">
        <v>973</v>
      </c>
      <c r="AF586" s="616" t="s">
        <v>3509</v>
      </c>
      <c r="AG586" s="598"/>
      <c r="AH586" s="598"/>
      <c r="AI586" s="598" t="s">
        <v>1125</v>
      </c>
      <c r="AJ586" s="598" t="s">
        <v>3510</v>
      </c>
      <c r="AK586" s="626"/>
      <c r="AL586" s="626"/>
    </row>
    <row r="587" spans="1:38" ht="18" customHeight="1">
      <c r="A587" s="593"/>
      <c r="B587" s="598">
        <v>570</v>
      </c>
      <c r="C587" s="598" t="s">
        <v>3599</v>
      </c>
      <c r="D587" s="598">
        <f t="shared" si="7"/>
        <v>539</v>
      </c>
      <c r="E587" s="616" t="s">
        <v>1810</v>
      </c>
      <c r="F587" s="616" t="s">
        <v>4209</v>
      </c>
      <c r="G587" s="618" t="s">
        <v>4208</v>
      </c>
      <c r="H587" s="618" t="s">
        <v>473</v>
      </c>
      <c r="I587" s="618" t="s">
        <v>4208</v>
      </c>
      <c r="J587" s="618" t="s">
        <v>3598</v>
      </c>
      <c r="K587" s="618" t="s">
        <v>3599</v>
      </c>
      <c r="L587" s="619"/>
      <c r="M587" s="620"/>
      <c r="N587" s="620"/>
      <c r="O587" s="663" t="s">
        <v>1157</v>
      </c>
      <c r="P587" s="621"/>
      <c r="Q587" s="598" t="s">
        <v>69</v>
      </c>
      <c r="R587" s="598" t="s">
        <v>69</v>
      </c>
      <c r="S587" s="598"/>
      <c r="T587" s="598" t="s">
        <v>1015</v>
      </c>
      <c r="U587" s="663" t="s">
        <v>3605</v>
      </c>
      <c r="V587" s="616" t="s">
        <v>3606</v>
      </c>
      <c r="W587" s="598" t="s">
        <v>950</v>
      </c>
      <c r="X587" s="624">
        <v>27470</v>
      </c>
      <c r="Y587" s="625">
        <f t="shared" ca="1" si="5"/>
        <v>50</v>
      </c>
      <c r="Z587" s="616" t="s">
        <v>3607</v>
      </c>
      <c r="AA587" s="598" t="s">
        <v>3608</v>
      </c>
      <c r="AB587" s="598" t="s">
        <v>996</v>
      </c>
      <c r="AC587" s="598" t="s">
        <v>997</v>
      </c>
      <c r="AD587" s="616" t="s">
        <v>1078</v>
      </c>
      <c r="AE587" s="616" t="s">
        <v>1078</v>
      </c>
      <c r="AF587" s="616" t="s">
        <v>3578</v>
      </c>
      <c r="AG587" s="598"/>
      <c r="AH587" s="598"/>
      <c r="AI587" s="598" t="s">
        <v>1125</v>
      </c>
      <c r="AJ587" s="598" t="s">
        <v>3510</v>
      </c>
      <c r="AK587" s="626">
        <v>-3</v>
      </c>
      <c r="AL587" s="626"/>
    </row>
    <row r="588" spans="1:38" ht="18" customHeight="1">
      <c r="A588" s="593"/>
      <c r="B588" s="598">
        <v>571</v>
      </c>
      <c r="C588" s="598" t="s">
        <v>2996</v>
      </c>
      <c r="D588" s="598">
        <f t="shared" si="7"/>
        <v>540</v>
      </c>
      <c r="E588" s="616" t="s">
        <v>1798</v>
      </c>
      <c r="F588" s="616" t="s">
        <v>4209</v>
      </c>
      <c r="G588" s="618" t="s">
        <v>4208</v>
      </c>
      <c r="H588" s="618" t="s">
        <v>473</v>
      </c>
      <c r="I588" s="618" t="s">
        <v>4208</v>
      </c>
      <c r="J588" s="618" t="s">
        <v>3598</v>
      </c>
      <c r="K588" s="618" t="s">
        <v>3599</v>
      </c>
      <c r="L588" s="619"/>
      <c r="M588" s="620"/>
      <c r="N588" s="620"/>
      <c r="O588" s="663" t="s">
        <v>1157</v>
      </c>
      <c r="P588" s="621"/>
      <c r="Q588" s="598"/>
      <c r="R588" s="598"/>
      <c r="S588" s="598"/>
      <c r="T588" s="598" t="s">
        <v>1015</v>
      </c>
      <c r="U588" s="663" t="s">
        <v>2997</v>
      </c>
      <c r="V588" s="616" t="s">
        <v>2998</v>
      </c>
      <c r="W588" s="598" t="s">
        <v>950</v>
      </c>
      <c r="X588" s="624">
        <v>24892</v>
      </c>
      <c r="Y588" s="625">
        <f t="shared" ca="1" si="5"/>
        <v>57</v>
      </c>
      <c r="Z588" s="616" t="s">
        <v>2999</v>
      </c>
      <c r="AA588" s="598" t="s">
        <v>3000</v>
      </c>
      <c r="AB588" s="598" t="s">
        <v>996</v>
      </c>
      <c r="AC588" s="644" t="s">
        <v>997</v>
      </c>
      <c r="AD588" s="616" t="s">
        <v>1041</v>
      </c>
      <c r="AE588" s="721" t="s">
        <v>1041</v>
      </c>
      <c r="AF588" s="616" t="s">
        <v>2784</v>
      </c>
      <c r="AG588" s="598"/>
      <c r="AH588" s="598"/>
      <c r="AI588" s="598" t="s">
        <v>1125</v>
      </c>
      <c r="AJ588" s="598"/>
      <c r="AK588" s="626"/>
      <c r="AL588" s="626"/>
    </row>
    <row r="589" spans="1:38" ht="18" customHeight="1">
      <c r="A589" s="593"/>
      <c r="B589" s="598">
        <v>572</v>
      </c>
      <c r="C589" s="598" t="s">
        <v>2916</v>
      </c>
      <c r="D589" s="598">
        <f t="shared" si="7"/>
        <v>541</v>
      </c>
      <c r="E589" s="616" t="s">
        <v>1798</v>
      </c>
      <c r="F589" s="616" t="s">
        <v>4209</v>
      </c>
      <c r="G589" s="618" t="s">
        <v>4208</v>
      </c>
      <c r="H589" s="618" t="s">
        <v>473</v>
      </c>
      <c r="I589" s="618" t="s">
        <v>4208</v>
      </c>
      <c r="J589" s="618" t="s">
        <v>3598</v>
      </c>
      <c r="K589" s="618" t="s">
        <v>3599</v>
      </c>
      <c r="L589" s="619"/>
      <c r="M589" s="620"/>
      <c r="N589" s="620"/>
      <c r="O589" s="663" t="s">
        <v>1157</v>
      </c>
      <c r="P589" s="621"/>
      <c r="Q589" s="598"/>
      <c r="R589" s="598"/>
      <c r="S589" s="598"/>
      <c r="T589" s="598" t="s">
        <v>1015</v>
      </c>
      <c r="U589" s="663" t="s">
        <v>2917</v>
      </c>
      <c r="V589" s="616" t="s">
        <v>2918</v>
      </c>
      <c r="W589" s="598" t="s">
        <v>950</v>
      </c>
      <c r="X589" s="624">
        <v>26163</v>
      </c>
      <c r="Y589" s="625">
        <f t="shared" ca="1" si="5"/>
        <v>54</v>
      </c>
      <c r="Z589" s="616" t="s">
        <v>2919</v>
      </c>
      <c r="AA589" s="598"/>
      <c r="AB589" s="598" t="s">
        <v>996</v>
      </c>
      <c r="AC589" s="644" t="s">
        <v>997</v>
      </c>
      <c r="AD589" s="616" t="s">
        <v>1041</v>
      </c>
      <c r="AE589" s="721" t="s">
        <v>1041</v>
      </c>
      <c r="AF589" s="616" t="s">
        <v>1382</v>
      </c>
      <c r="AG589" s="598"/>
      <c r="AH589" s="598"/>
      <c r="AI589" s="598" t="s">
        <v>1125</v>
      </c>
      <c r="AJ589" s="598"/>
      <c r="AK589" s="626"/>
      <c r="AL589" s="626"/>
    </row>
    <row r="590" spans="1:38" ht="18" customHeight="1">
      <c r="A590" s="593"/>
      <c r="B590" s="598">
        <v>573</v>
      </c>
      <c r="C590" s="598" t="s">
        <v>2940</v>
      </c>
      <c r="D590" s="598">
        <f t="shared" si="7"/>
        <v>542</v>
      </c>
      <c r="E590" s="616" t="s">
        <v>1798</v>
      </c>
      <c r="F590" s="616" t="s">
        <v>4209</v>
      </c>
      <c r="G590" s="618" t="s">
        <v>4208</v>
      </c>
      <c r="H590" s="618" t="s">
        <v>473</v>
      </c>
      <c r="I590" s="618" t="s">
        <v>4208</v>
      </c>
      <c r="J590" s="618" t="s">
        <v>3598</v>
      </c>
      <c r="K590" s="618" t="s">
        <v>3599</v>
      </c>
      <c r="L590" s="619"/>
      <c r="M590" s="620"/>
      <c r="N590" s="620"/>
      <c r="O590" s="673" t="s">
        <v>1157</v>
      </c>
      <c r="P590" s="621"/>
      <c r="Q590" s="598"/>
      <c r="R590" s="598"/>
      <c r="S590" s="598"/>
      <c r="T590" s="598" t="s">
        <v>1015</v>
      </c>
      <c r="U590" s="673" t="s">
        <v>2941</v>
      </c>
      <c r="V590" s="616" t="s">
        <v>2942</v>
      </c>
      <c r="W590" s="598" t="s">
        <v>950</v>
      </c>
      <c r="X590" s="624">
        <v>29041</v>
      </c>
      <c r="Y590" s="625">
        <f t="shared" ca="1" si="5"/>
        <v>46</v>
      </c>
      <c r="Z590" s="616" t="s">
        <v>2943</v>
      </c>
      <c r="AA590" s="598" t="s">
        <v>2944</v>
      </c>
      <c r="AB590" s="598" t="s">
        <v>996</v>
      </c>
      <c r="AC590" s="598" t="s">
        <v>997</v>
      </c>
      <c r="AD590" s="616" t="s">
        <v>1041</v>
      </c>
      <c r="AE590" s="616" t="s">
        <v>2325</v>
      </c>
      <c r="AF590" s="616" t="s">
        <v>2945</v>
      </c>
      <c r="AG590" s="598"/>
      <c r="AH590" s="598"/>
      <c r="AI590" s="598" t="s">
        <v>1125</v>
      </c>
      <c r="AJ590" s="598"/>
      <c r="AK590" s="626"/>
      <c r="AL590" s="626"/>
    </row>
    <row r="591" spans="1:38" ht="18" customHeight="1">
      <c r="A591" s="593"/>
      <c r="B591" s="598">
        <v>574</v>
      </c>
      <c r="C591" s="598" t="s">
        <v>4210</v>
      </c>
      <c r="D591" s="598">
        <f t="shared" si="7"/>
        <v>543</v>
      </c>
      <c r="E591" s="616" t="s">
        <v>3862</v>
      </c>
      <c r="F591" s="616" t="s">
        <v>4884</v>
      </c>
      <c r="G591" s="618" t="s">
        <v>4208</v>
      </c>
      <c r="H591" s="618" t="s">
        <v>4211</v>
      </c>
      <c r="I591" s="618" t="s">
        <v>4210</v>
      </c>
      <c r="J591" s="618" t="s">
        <v>4210</v>
      </c>
      <c r="K591" s="618"/>
      <c r="L591" s="619"/>
      <c r="M591" s="620"/>
      <c r="N591" s="620"/>
      <c r="O591" s="667" t="s">
        <v>1044</v>
      </c>
      <c r="P591" s="621"/>
      <c r="Q591" s="598" t="s">
        <v>173</v>
      </c>
      <c r="R591" s="598" t="s">
        <v>514</v>
      </c>
      <c r="S591" s="598" t="s">
        <v>55</v>
      </c>
      <c r="T591" s="623" t="s">
        <v>1015</v>
      </c>
      <c r="U591" s="667" t="s">
        <v>4211</v>
      </c>
      <c r="V591" s="674" t="s">
        <v>4395</v>
      </c>
      <c r="W591" s="598" t="s">
        <v>950</v>
      </c>
      <c r="X591" s="624">
        <v>27947</v>
      </c>
      <c r="Y591" s="625">
        <f t="shared" ca="1" si="5"/>
        <v>49</v>
      </c>
      <c r="Z591" s="616" t="s">
        <v>3817</v>
      </c>
      <c r="AA591" s="598" t="s">
        <v>4396</v>
      </c>
      <c r="AB591" s="598" t="s">
        <v>966</v>
      </c>
      <c r="AC591" s="598" t="s">
        <v>953</v>
      </c>
      <c r="AD591" s="616" t="s">
        <v>246</v>
      </c>
      <c r="AE591" s="616" t="s">
        <v>246</v>
      </c>
      <c r="AF591" s="616" t="s">
        <v>4216</v>
      </c>
      <c r="AG591" s="598"/>
      <c r="AH591" s="598"/>
      <c r="AI591" s="598"/>
      <c r="AJ591" s="598" t="s">
        <v>3510</v>
      </c>
      <c r="AK591" s="626"/>
      <c r="AL591" s="626"/>
    </row>
    <row r="592" spans="1:38" ht="18" customHeight="1">
      <c r="A592" s="593"/>
      <c r="B592" s="598">
        <v>575</v>
      </c>
      <c r="C592" s="598" t="s">
        <v>4099</v>
      </c>
      <c r="D592" s="598">
        <f t="shared" si="7"/>
        <v>544</v>
      </c>
      <c r="E592" s="616" t="s">
        <v>3862</v>
      </c>
      <c r="F592" s="616" t="s">
        <v>4884</v>
      </c>
      <c r="G592" s="618" t="s">
        <v>4208</v>
      </c>
      <c r="H592" s="618" t="s">
        <v>4211</v>
      </c>
      <c r="I592" s="618" t="s">
        <v>4210</v>
      </c>
      <c r="J592" s="618" t="s">
        <v>4210</v>
      </c>
      <c r="K592" s="618"/>
      <c r="L592" s="619"/>
      <c r="M592" s="620"/>
      <c r="N592" s="620"/>
      <c r="O592" s="663" t="s">
        <v>1044</v>
      </c>
      <c r="P592" s="621"/>
      <c r="Q592" s="598"/>
      <c r="R592" s="598"/>
      <c r="S592" s="598"/>
      <c r="T592" s="623" t="s">
        <v>1015</v>
      </c>
      <c r="U592" s="663" t="s">
        <v>527</v>
      </c>
      <c r="V592" s="674" t="s">
        <v>4102</v>
      </c>
      <c r="W592" s="598" t="s">
        <v>950</v>
      </c>
      <c r="X592" s="624">
        <v>31368</v>
      </c>
      <c r="Y592" s="625">
        <f t="shared" ca="1" si="5"/>
        <v>40</v>
      </c>
      <c r="Z592" s="616" t="s">
        <v>4103</v>
      </c>
      <c r="AA592" s="598" t="s">
        <v>4104</v>
      </c>
      <c r="AB592" s="598" t="s">
        <v>996</v>
      </c>
      <c r="AC592" s="644" t="s">
        <v>997</v>
      </c>
      <c r="AD592" s="616" t="s">
        <v>246</v>
      </c>
      <c r="AE592" s="616" t="s">
        <v>246</v>
      </c>
      <c r="AF592" s="616" t="s">
        <v>3936</v>
      </c>
      <c r="AG592" s="598"/>
      <c r="AH592" s="598"/>
      <c r="AI592" s="598" t="s">
        <v>1114</v>
      </c>
      <c r="AJ592" s="598" t="s">
        <v>3510</v>
      </c>
      <c r="AK592" s="626">
        <v>-3</v>
      </c>
      <c r="AL592" s="626"/>
    </row>
    <row r="593" spans="1:38" ht="18" customHeight="1">
      <c r="A593" s="593"/>
      <c r="B593" s="598">
        <v>576</v>
      </c>
      <c r="C593" s="598" t="s">
        <v>4242</v>
      </c>
      <c r="D593" s="598">
        <f t="shared" si="7"/>
        <v>545</v>
      </c>
      <c r="E593" s="616" t="s">
        <v>3862</v>
      </c>
      <c r="F593" s="616" t="s">
        <v>4884</v>
      </c>
      <c r="G593" s="618" t="s">
        <v>4208</v>
      </c>
      <c r="H593" s="618" t="s">
        <v>4211</v>
      </c>
      <c r="I593" s="618" t="s">
        <v>4210</v>
      </c>
      <c r="J593" s="618" t="s">
        <v>4210</v>
      </c>
      <c r="K593" s="618"/>
      <c r="L593" s="619"/>
      <c r="M593" s="620"/>
      <c r="N593" s="620"/>
      <c r="O593" s="663" t="s">
        <v>1044</v>
      </c>
      <c r="P593" s="621"/>
      <c r="Q593" s="598"/>
      <c r="R593" s="598"/>
      <c r="S593" s="598"/>
      <c r="T593" s="623" t="s">
        <v>1015</v>
      </c>
      <c r="U593" s="663" t="s">
        <v>4243</v>
      </c>
      <c r="V593" s="674" t="s">
        <v>4244</v>
      </c>
      <c r="W593" s="598" t="s">
        <v>950</v>
      </c>
      <c r="X593" s="624">
        <v>32528</v>
      </c>
      <c r="Y593" s="625">
        <f t="shared" ca="1" si="5"/>
        <v>37</v>
      </c>
      <c r="Z593" s="616" t="s">
        <v>4245</v>
      </c>
      <c r="AA593" s="598" t="s">
        <v>4246</v>
      </c>
      <c r="AB593" s="598" t="s">
        <v>996</v>
      </c>
      <c r="AC593" s="598" t="s">
        <v>1018</v>
      </c>
      <c r="AD593" s="616" t="s">
        <v>246</v>
      </c>
      <c r="AE593" s="616" t="s">
        <v>246</v>
      </c>
      <c r="AF593" s="653" t="s">
        <v>4247</v>
      </c>
      <c r="AG593" s="598"/>
      <c r="AH593" s="598"/>
      <c r="AI593" s="598" t="s">
        <v>1114</v>
      </c>
      <c r="AJ593" s="598" t="s">
        <v>3510</v>
      </c>
      <c r="AK593" s="626"/>
      <c r="AL593" s="626"/>
    </row>
    <row r="594" spans="1:38" ht="18" customHeight="1">
      <c r="A594" s="593"/>
      <c r="B594" s="598">
        <v>577</v>
      </c>
      <c r="C594" s="598" t="s">
        <v>4002</v>
      </c>
      <c r="D594" s="598">
        <f t="shared" si="7"/>
        <v>546</v>
      </c>
      <c r="E594" s="616" t="s">
        <v>3862</v>
      </c>
      <c r="F594" s="616" t="s">
        <v>4884</v>
      </c>
      <c r="G594" s="618" t="s">
        <v>4208</v>
      </c>
      <c r="H594" s="618" t="s">
        <v>4211</v>
      </c>
      <c r="I594" s="618" t="s">
        <v>4210</v>
      </c>
      <c r="J594" s="618" t="s">
        <v>4210</v>
      </c>
      <c r="K594" s="618"/>
      <c r="L594" s="619"/>
      <c r="M594" s="620"/>
      <c r="N594" s="620"/>
      <c r="O594" s="663" t="s">
        <v>1044</v>
      </c>
      <c r="P594" s="621"/>
      <c r="Q594" s="598"/>
      <c r="R594" s="598"/>
      <c r="S594" s="598"/>
      <c r="T594" s="623" t="s">
        <v>1015</v>
      </c>
      <c r="U594" s="663" t="s">
        <v>543</v>
      </c>
      <c r="V594" s="674" t="s">
        <v>4003</v>
      </c>
      <c r="W594" s="598" t="s">
        <v>950</v>
      </c>
      <c r="X594" s="624">
        <v>33412</v>
      </c>
      <c r="Y594" s="625">
        <f t="shared" ca="1" si="5"/>
        <v>34</v>
      </c>
      <c r="Z594" s="616" t="s">
        <v>4004</v>
      </c>
      <c r="AA594" s="598" t="s">
        <v>4005</v>
      </c>
      <c r="AB594" s="598" t="s">
        <v>996</v>
      </c>
      <c r="AC594" s="644" t="s">
        <v>997</v>
      </c>
      <c r="AD594" s="616" t="s">
        <v>246</v>
      </c>
      <c r="AE594" s="616" t="s">
        <v>246</v>
      </c>
      <c r="AF594" s="616" t="s">
        <v>3936</v>
      </c>
      <c r="AG594" s="598"/>
      <c r="AH594" s="598"/>
      <c r="AI594" s="598" t="s">
        <v>1114</v>
      </c>
      <c r="AJ594" s="598" t="s">
        <v>3510</v>
      </c>
      <c r="AK594" s="626">
        <v>-3</v>
      </c>
      <c r="AL594" s="626"/>
    </row>
    <row r="595" spans="1:38" ht="18" customHeight="1">
      <c r="A595" s="593"/>
      <c r="B595" s="598">
        <v>578</v>
      </c>
      <c r="C595" s="598" t="s">
        <v>3627</v>
      </c>
      <c r="D595" s="598">
        <f t="shared" si="7"/>
        <v>547</v>
      </c>
      <c r="E595" s="616" t="s">
        <v>3862</v>
      </c>
      <c r="F595" s="616" t="s">
        <v>4884</v>
      </c>
      <c r="G595" s="618" t="s">
        <v>4208</v>
      </c>
      <c r="H595" s="618" t="s">
        <v>4211</v>
      </c>
      <c r="I595" s="618" t="s">
        <v>4210</v>
      </c>
      <c r="J595" s="618" t="s">
        <v>4210</v>
      </c>
      <c r="K595" s="618"/>
      <c r="L595" s="619"/>
      <c r="M595" s="620"/>
      <c r="N595" s="620"/>
      <c r="O595" s="663" t="s">
        <v>1044</v>
      </c>
      <c r="P595" s="621"/>
      <c r="Q595" s="598"/>
      <c r="R595" s="598"/>
      <c r="S595" s="598"/>
      <c r="T595" s="623" t="s">
        <v>1015</v>
      </c>
      <c r="U595" s="664" t="s">
        <v>550</v>
      </c>
      <c r="V595" s="674" t="s">
        <v>3628</v>
      </c>
      <c r="W595" s="598" t="s">
        <v>950</v>
      </c>
      <c r="X595" s="624">
        <v>32543</v>
      </c>
      <c r="Y595" s="625">
        <f t="shared" ca="1" si="5"/>
        <v>36</v>
      </c>
      <c r="Z595" s="616" t="s">
        <v>3629</v>
      </c>
      <c r="AA595" s="598"/>
      <c r="AB595" s="598" t="s">
        <v>996</v>
      </c>
      <c r="AC595" s="598" t="s">
        <v>1018</v>
      </c>
      <c r="AD595" s="616" t="s">
        <v>1078</v>
      </c>
      <c r="AE595" s="616" t="s">
        <v>1078</v>
      </c>
      <c r="AF595" s="616" t="s">
        <v>3630</v>
      </c>
      <c r="AG595" s="598"/>
      <c r="AH595" s="598"/>
      <c r="AI595" s="598" t="s">
        <v>1114</v>
      </c>
      <c r="AJ595" s="598" t="s">
        <v>3510</v>
      </c>
      <c r="AK595" s="626">
        <v>-3</v>
      </c>
      <c r="AL595" s="626"/>
    </row>
    <row r="596" spans="1:38" ht="18" customHeight="1">
      <c r="A596" s="593"/>
      <c r="B596" s="598">
        <v>579</v>
      </c>
      <c r="C596" s="598" t="s">
        <v>3723</v>
      </c>
      <c r="D596" s="598">
        <f t="shared" si="7"/>
        <v>548</v>
      </c>
      <c r="E596" s="616" t="s">
        <v>1810</v>
      </c>
      <c r="F596" s="616" t="s">
        <v>4884</v>
      </c>
      <c r="G596" s="618" t="s">
        <v>4208</v>
      </c>
      <c r="H596" s="618" t="s">
        <v>4211</v>
      </c>
      <c r="I596" s="618" t="s">
        <v>4210</v>
      </c>
      <c r="J596" s="618" t="s">
        <v>4210</v>
      </c>
      <c r="K596" s="618"/>
      <c r="L596" s="619"/>
      <c r="M596" s="620"/>
      <c r="N596" s="620"/>
      <c r="O596" s="663" t="s">
        <v>1044</v>
      </c>
      <c r="P596" s="621" t="s">
        <v>319</v>
      </c>
      <c r="Q596" s="598"/>
      <c r="R596" s="598"/>
      <c r="S596" s="598"/>
      <c r="T596" s="623" t="s">
        <v>1015</v>
      </c>
      <c r="U596" s="710" t="s">
        <v>3724</v>
      </c>
      <c r="V596" s="674" t="s">
        <v>3725</v>
      </c>
      <c r="W596" s="598" t="s">
        <v>950</v>
      </c>
      <c r="X596" s="624">
        <v>32597</v>
      </c>
      <c r="Y596" s="625">
        <f t="shared" ca="1" si="5"/>
        <v>36</v>
      </c>
      <c r="Z596" s="616" t="s">
        <v>3726</v>
      </c>
      <c r="AA596" s="598"/>
      <c r="AB596" s="598" t="s">
        <v>996</v>
      </c>
      <c r="AC596" s="598" t="s">
        <v>1018</v>
      </c>
      <c r="AD596" s="616" t="s">
        <v>1078</v>
      </c>
      <c r="AE596" s="616" t="s">
        <v>1078</v>
      </c>
      <c r="AF596" s="616" t="s">
        <v>3578</v>
      </c>
      <c r="AG596" s="598"/>
      <c r="AH596" s="598"/>
      <c r="AI596" s="644" t="s">
        <v>1566</v>
      </c>
      <c r="AJ596" s="598"/>
      <c r="AK596" s="626"/>
      <c r="AL596" s="626"/>
    </row>
    <row r="597" spans="1:38" ht="18" customHeight="1">
      <c r="A597" s="593"/>
      <c r="B597" s="598">
        <v>580</v>
      </c>
      <c r="C597" s="598" t="s">
        <v>4006</v>
      </c>
      <c r="D597" s="598">
        <f t="shared" si="7"/>
        <v>549</v>
      </c>
      <c r="E597" s="616" t="s">
        <v>3808</v>
      </c>
      <c r="F597" s="616" t="s">
        <v>4884</v>
      </c>
      <c r="G597" s="618" t="s">
        <v>4208</v>
      </c>
      <c r="H597" s="618" t="s">
        <v>4211</v>
      </c>
      <c r="I597" s="618" t="s">
        <v>4210</v>
      </c>
      <c r="J597" s="618" t="s">
        <v>4210</v>
      </c>
      <c r="K597" s="618"/>
      <c r="L597" s="619"/>
      <c r="M597" s="620"/>
      <c r="N597" s="620"/>
      <c r="O597" s="663" t="s">
        <v>1044</v>
      </c>
      <c r="P597" s="621" t="s">
        <v>319</v>
      </c>
      <c r="Q597" s="598"/>
      <c r="R597" s="598"/>
      <c r="S597" s="598"/>
      <c r="T597" s="623" t="s">
        <v>1015</v>
      </c>
      <c r="U597" s="676" t="s">
        <v>4007</v>
      </c>
      <c r="V597" s="674" t="s">
        <v>4008</v>
      </c>
      <c r="W597" s="598" t="s">
        <v>950</v>
      </c>
      <c r="X597" s="624"/>
      <c r="Y597" s="625"/>
      <c r="Z597" s="616"/>
      <c r="AA597" s="598" t="s">
        <v>4009</v>
      </c>
      <c r="AB597" s="598" t="s">
        <v>996</v>
      </c>
      <c r="AC597" s="644" t="s">
        <v>997</v>
      </c>
      <c r="AD597" s="616"/>
      <c r="AE597" s="616"/>
      <c r="AF597" s="616"/>
      <c r="AG597" s="598"/>
      <c r="AH597" s="598"/>
      <c r="AI597" s="644" t="s">
        <v>1513</v>
      </c>
      <c r="AJ597" s="598"/>
      <c r="AK597" s="626"/>
      <c r="AL597" s="626"/>
    </row>
    <row r="598" spans="1:38" ht="18" customHeight="1">
      <c r="A598" s="593"/>
      <c r="B598" s="598">
        <v>581</v>
      </c>
      <c r="C598" s="598" t="s">
        <v>4042</v>
      </c>
      <c r="D598" s="598">
        <f t="shared" si="7"/>
        <v>549</v>
      </c>
      <c r="E598" s="616"/>
      <c r="F598" s="616" t="s">
        <v>4884</v>
      </c>
      <c r="G598" s="618" t="s">
        <v>4208</v>
      </c>
      <c r="H598" s="618" t="s">
        <v>4211</v>
      </c>
      <c r="I598" s="618" t="s">
        <v>4210</v>
      </c>
      <c r="J598" s="618" t="s">
        <v>4042</v>
      </c>
      <c r="K598" s="618"/>
      <c r="L598" s="619"/>
      <c r="M598" s="620"/>
      <c r="N598" s="620"/>
      <c r="O598" s="667" t="s">
        <v>1074</v>
      </c>
      <c r="P598" s="621"/>
      <c r="Q598" s="598" t="s">
        <v>55</v>
      </c>
      <c r="R598" s="598" t="s">
        <v>55</v>
      </c>
      <c r="S598" s="598"/>
      <c r="T598" s="598"/>
      <c r="U598" s="667" t="s">
        <v>487</v>
      </c>
      <c r="V598" s="616" t="s">
        <v>4044</v>
      </c>
      <c r="W598" s="598" t="s">
        <v>950</v>
      </c>
      <c r="X598" s="624">
        <v>22938</v>
      </c>
      <c r="Y598" s="625">
        <f t="shared" ref="Y598:Y767" ca="1" si="8">DATEDIF(X598,TODAY(),"Y")</f>
        <v>63</v>
      </c>
      <c r="Z598" s="616" t="s">
        <v>4045</v>
      </c>
      <c r="AA598" s="598"/>
      <c r="AB598" s="598" t="s">
        <v>966</v>
      </c>
      <c r="AC598" s="598" t="s">
        <v>953</v>
      </c>
      <c r="AD598" s="616" t="s">
        <v>246</v>
      </c>
      <c r="AE598" s="616" t="s">
        <v>246</v>
      </c>
      <c r="AF598" s="616" t="s">
        <v>3815</v>
      </c>
      <c r="AG598" s="598" t="s">
        <v>955</v>
      </c>
      <c r="AH598" s="598"/>
      <c r="AI598" s="598"/>
      <c r="AJ598" s="598"/>
      <c r="AK598" s="626"/>
      <c r="AL598" s="626"/>
    </row>
    <row r="599" spans="1:38" ht="18" customHeight="1">
      <c r="A599" s="593"/>
      <c r="B599" s="598">
        <v>582</v>
      </c>
      <c r="C599" s="598" t="s">
        <v>3933</v>
      </c>
      <c r="D599" s="598">
        <f t="shared" si="7"/>
        <v>550</v>
      </c>
      <c r="E599" s="616" t="s">
        <v>3862</v>
      </c>
      <c r="F599" s="616" t="s">
        <v>4884</v>
      </c>
      <c r="G599" s="618" t="s">
        <v>4208</v>
      </c>
      <c r="H599" s="618" t="s">
        <v>4211</v>
      </c>
      <c r="I599" s="618" t="s">
        <v>4210</v>
      </c>
      <c r="J599" s="618" t="s">
        <v>4042</v>
      </c>
      <c r="K599" s="618"/>
      <c r="L599" s="619"/>
      <c r="M599" s="620"/>
      <c r="N599" s="620"/>
      <c r="O599" s="663" t="s">
        <v>1074</v>
      </c>
      <c r="P599" s="621"/>
      <c r="Q599" s="598"/>
      <c r="R599" s="598"/>
      <c r="S599" s="598"/>
      <c r="T599" s="598" t="s">
        <v>1015</v>
      </c>
      <c r="U599" s="663" t="s">
        <v>528</v>
      </c>
      <c r="V599" s="616" t="s">
        <v>3934</v>
      </c>
      <c r="W599" s="598" t="s">
        <v>950</v>
      </c>
      <c r="X599" s="624">
        <v>20551</v>
      </c>
      <c r="Y599" s="625">
        <f t="shared" ca="1" si="8"/>
        <v>69</v>
      </c>
      <c r="Z599" s="616" t="s">
        <v>3935</v>
      </c>
      <c r="AA599" s="598"/>
      <c r="AB599" s="598" t="s">
        <v>996</v>
      </c>
      <c r="AC599" s="644" t="s">
        <v>997</v>
      </c>
      <c r="AD599" s="616" t="s">
        <v>246</v>
      </c>
      <c r="AE599" s="616" t="s">
        <v>246</v>
      </c>
      <c r="AF599" s="616" t="s">
        <v>3936</v>
      </c>
      <c r="AG599" s="598"/>
      <c r="AH599" s="598"/>
      <c r="AI599" s="598" t="s">
        <v>1114</v>
      </c>
      <c r="AJ599" s="598" t="s">
        <v>3510</v>
      </c>
      <c r="AK599" s="626">
        <v>-3</v>
      </c>
      <c r="AL599" s="626"/>
    </row>
    <row r="600" spans="1:38" ht="18" customHeight="1">
      <c r="A600" s="593"/>
      <c r="B600" s="598">
        <v>583</v>
      </c>
      <c r="C600" s="598" t="s">
        <v>4056</v>
      </c>
      <c r="D600" s="598">
        <f t="shared" si="7"/>
        <v>551</v>
      </c>
      <c r="E600" s="616" t="s">
        <v>3862</v>
      </c>
      <c r="F600" s="616" t="s">
        <v>4884</v>
      </c>
      <c r="G600" s="618" t="s">
        <v>4208</v>
      </c>
      <c r="H600" s="618" t="s">
        <v>4211</v>
      </c>
      <c r="I600" s="618" t="s">
        <v>4210</v>
      </c>
      <c r="J600" s="618" t="s">
        <v>4042</v>
      </c>
      <c r="K600" s="618"/>
      <c r="L600" s="619"/>
      <c r="M600" s="620"/>
      <c r="N600" s="620"/>
      <c r="O600" s="663" t="s">
        <v>1074</v>
      </c>
      <c r="P600" s="621"/>
      <c r="Q600" s="598"/>
      <c r="R600" s="598"/>
      <c r="S600" s="598"/>
      <c r="T600" s="598" t="s">
        <v>1015</v>
      </c>
      <c r="U600" s="663" t="s">
        <v>536</v>
      </c>
      <c r="V600" s="616" t="s">
        <v>4057</v>
      </c>
      <c r="W600" s="598" t="s">
        <v>950</v>
      </c>
      <c r="X600" s="624">
        <v>21795</v>
      </c>
      <c r="Y600" s="625">
        <f t="shared" ca="1" si="8"/>
        <v>66</v>
      </c>
      <c r="Z600" s="616" t="s">
        <v>4058</v>
      </c>
      <c r="AA600" s="598"/>
      <c r="AB600" s="598" t="s">
        <v>996</v>
      </c>
      <c r="AC600" s="598" t="s">
        <v>1018</v>
      </c>
      <c r="AD600" s="616" t="s">
        <v>246</v>
      </c>
      <c r="AE600" s="616" t="s">
        <v>246</v>
      </c>
      <c r="AF600" s="653" t="s">
        <v>4059</v>
      </c>
      <c r="AG600" s="598"/>
      <c r="AH600" s="598"/>
      <c r="AI600" s="598" t="s">
        <v>1114</v>
      </c>
      <c r="AJ600" s="598" t="s">
        <v>3510</v>
      </c>
      <c r="AK600" s="626">
        <v>-3</v>
      </c>
      <c r="AL600" s="626"/>
    </row>
    <row r="601" spans="1:38" ht="18" customHeight="1">
      <c r="A601" s="593"/>
      <c r="B601" s="598">
        <v>584</v>
      </c>
      <c r="C601" s="598" t="s">
        <v>4081</v>
      </c>
      <c r="D601" s="598">
        <f t="shared" si="7"/>
        <v>552</v>
      </c>
      <c r="E601" s="616" t="s">
        <v>3862</v>
      </c>
      <c r="F601" s="616" t="s">
        <v>4884</v>
      </c>
      <c r="G601" s="618" t="s">
        <v>4208</v>
      </c>
      <c r="H601" s="618" t="s">
        <v>4211</v>
      </c>
      <c r="I601" s="618" t="s">
        <v>4210</v>
      </c>
      <c r="J601" s="618" t="s">
        <v>4042</v>
      </c>
      <c r="K601" s="618"/>
      <c r="L601" s="619"/>
      <c r="M601" s="620"/>
      <c r="N601" s="620"/>
      <c r="O601" s="663" t="s">
        <v>1074</v>
      </c>
      <c r="P601" s="621"/>
      <c r="Q601" s="598"/>
      <c r="R601" s="598"/>
      <c r="S601" s="598"/>
      <c r="T601" s="598" t="s">
        <v>1015</v>
      </c>
      <c r="U601" s="663" t="s">
        <v>544</v>
      </c>
      <c r="V601" s="616" t="s">
        <v>4082</v>
      </c>
      <c r="W601" s="598" t="s">
        <v>950</v>
      </c>
      <c r="X601" s="624">
        <v>23541</v>
      </c>
      <c r="Y601" s="625">
        <f t="shared" ca="1" si="8"/>
        <v>61</v>
      </c>
      <c r="Z601" s="616" t="s">
        <v>4083</v>
      </c>
      <c r="AA601" s="598"/>
      <c r="AB601" s="598" t="s">
        <v>996</v>
      </c>
      <c r="AC601" s="644" t="s">
        <v>997</v>
      </c>
      <c r="AD601" s="616" t="s">
        <v>246</v>
      </c>
      <c r="AE601" s="616" t="s">
        <v>246</v>
      </c>
      <c r="AF601" s="616" t="s">
        <v>4084</v>
      </c>
      <c r="AG601" s="598"/>
      <c r="AH601" s="598"/>
      <c r="AI601" s="598" t="s">
        <v>1114</v>
      </c>
      <c r="AJ601" s="598" t="s">
        <v>3510</v>
      </c>
      <c r="AK601" s="626">
        <v>-3</v>
      </c>
      <c r="AL601" s="626"/>
    </row>
    <row r="602" spans="1:38" ht="18" customHeight="1">
      <c r="A602" s="593"/>
      <c r="B602" s="598">
        <v>585</v>
      </c>
      <c r="C602" s="598" t="s">
        <v>3989</v>
      </c>
      <c r="D602" s="598">
        <f t="shared" si="7"/>
        <v>553</v>
      </c>
      <c r="E602" s="616" t="s">
        <v>3862</v>
      </c>
      <c r="F602" s="616" t="s">
        <v>4884</v>
      </c>
      <c r="G602" s="618" t="s">
        <v>4208</v>
      </c>
      <c r="H602" s="618" t="s">
        <v>4211</v>
      </c>
      <c r="I602" s="618" t="s">
        <v>4210</v>
      </c>
      <c r="J602" s="618" t="s">
        <v>4042</v>
      </c>
      <c r="K602" s="618"/>
      <c r="L602" s="619"/>
      <c r="M602" s="620"/>
      <c r="N602" s="620"/>
      <c r="O602" s="663" t="s">
        <v>1074</v>
      </c>
      <c r="P602" s="621"/>
      <c r="Q602" s="598"/>
      <c r="R602" s="598"/>
      <c r="S602" s="598"/>
      <c r="T602" s="598" t="s">
        <v>1015</v>
      </c>
      <c r="U602" s="663" t="s">
        <v>3990</v>
      </c>
      <c r="V602" s="616" t="s">
        <v>3991</v>
      </c>
      <c r="W602" s="598" t="s">
        <v>950</v>
      </c>
      <c r="X602" s="624">
        <v>27315</v>
      </c>
      <c r="Y602" s="625">
        <f t="shared" ca="1" si="8"/>
        <v>51</v>
      </c>
      <c r="Z602" s="616" t="s">
        <v>3992</v>
      </c>
      <c r="AA602" s="598" t="s">
        <v>3993</v>
      </c>
      <c r="AB602" s="598" t="s">
        <v>996</v>
      </c>
      <c r="AC602" s="644" t="s">
        <v>997</v>
      </c>
      <c r="AD602" s="616" t="s">
        <v>246</v>
      </c>
      <c r="AE602" s="616" t="s">
        <v>246</v>
      </c>
      <c r="AF602" s="616" t="s">
        <v>3936</v>
      </c>
      <c r="AG602" s="598"/>
      <c r="AH602" s="598"/>
      <c r="AI602" s="598" t="s">
        <v>1114</v>
      </c>
      <c r="AJ602" s="598" t="s">
        <v>3510</v>
      </c>
      <c r="AK602" s="626">
        <v>-3</v>
      </c>
      <c r="AL602" s="626"/>
    </row>
    <row r="603" spans="1:38" ht="18" customHeight="1">
      <c r="A603" s="593"/>
      <c r="B603" s="598">
        <v>586</v>
      </c>
      <c r="C603" s="598" t="s">
        <v>3642</v>
      </c>
      <c r="D603" s="598">
        <f t="shared" si="7"/>
        <v>554</v>
      </c>
      <c r="E603" s="616" t="s">
        <v>1810</v>
      </c>
      <c r="F603" s="616" t="s">
        <v>4884</v>
      </c>
      <c r="G603" s="618" t="s">
        <v>4208</v>
      </c>
      <c r="H603" s="618" t="s">
        <v>4211</v>
      </c>
      <c r="I603" s="618" t="s">
        <v>4210</v>
      </c>
      <c r="J603" s="618" t="s">
        <v>4042</v>
      </c>
      <c r="K603" s="618"/>
      <c r="L603" s="619"/>
      <c r="M603" s="620"/>
      <c r="N603" s="620"/>
      <c r="O603" s="663" t="s">
        <v>1074</v>
      </c>
      <c r="P603" s="621"/>
      <c r="Q603" s="598"/>
      <c r="R603" s="598"/>
      <c r="S603" s="598"/>
      <c r="T603" s="598" t="s">
        <v>1090</v>
      </c>
      <c r="U603" s="663" t="s">
        <v>3643</v>
      </c>
      <c r="V603" s="616" t="s">
        <v>3644</v>
      </c>
      <c r="W603" s="598" t="s">
        <v>950</v>
      </c>
      <c r="X603" s="624">
        <v>19981</v>
      </c>
      <c r="Y603" s="625">
        <f t="shared" ca="1" si="8"/>
        <v>71</v>
      </c>
      <c r="Z603" s="616" t="s">
        <v>3645</v>
      </c>
      <c r="AA603" s="598" t="s">
        <v>3646</v>
      </c>
      <c r="AB603" s="598" t="s">
        <v>996</v>
      </c>
      <c r="AC603" s="644" t="s">
        <v>997</v>
      </c>
      <c r="AD603" s="616" t="s">
        <v>1078</v>
      </c>
      <c r="AE603" s="616" t="s">
        <v>1078</v>
      </c>
      <c r="AF603" s="616" t="s">
        <v>4676</v>
      </c>
      <c r="AG603" s="598"/>
      <c r="AH603" s="598"/>
      <c r="AI603" s="598" t="s">
        <v>1114</v>
      </c>
      <c r="AJ603" s="598" t="s">
        <v>3510</v>
      </c>
      <c r="AK603" s="626">
        <v>-3</v>
      </c>
      <c r="AL603" s="626"/>
    </row>
    <row r="604" spans="1:38" ht="18" customHeight="1">
      <c r="A604" s="593"/>
      <c r="B604" s="598">
        <v>587</v>
      </c>
      <c r="C604" s="598" t="s">
        <v>3653</v>
      </c>
      <c r="D604" s="598">
        <f t="shared" si="7"/>
        <v>555</v>
      </c>
      <c r="E604" s="616" t="s">
        <v>1810</v>
      </c>
      <c r="F604" s="616" t="s">
        <v>4884</v>
      </c>
      <c r="G604" s="618" t="s">
        <v>4208</v>
      </c>
      <c r="H604" s="618" t="s">
        <v>4211</v>
      </c>
      <c r="I604" s="618" t="s">
        <v>4210</v>
      </c>
      <c r="J604" s="618" t="s">
        <v>4042</v>
      </c>
      <c r="K604" s="618"/>
      <c r="L604" s="619"/>
      <c r="M604" s="620"/>
      <c r="N604" s="620"/>
      <c r="O604" s="663" t="s">
        <v>1074</v>
      </c>
      <c r="P604" s="621"/>
      <c r="Q604" s="598"/>
      <c r="R604" s="598"/>
      <c r="S604" s="598"/>
      <c r="T604" s="598" t="s">
        <v>1015</v>
      </c>
      <c r="U604" s="663" t="s">
        <v>3654</v>
      </c>
      <c r="V604" s="616" t="s">
        <v>3655</v>
      </c>
      <c r="W604" s="598" t="s">
        <v>950</v>
      </c>
      <c r="X604" s="624">
        <v>22694</v>
      </c>
      <c r="Y604" s="625">
        <f t="shared" ca="1" si="8"/>
        <v>63</v>
      </c>
      <c r="Z604" s="616" t="s">
        <v>3656</v>
      </c>
      <c r="AA604" s="598" t="s">
        <v>3657</v>
      </c>
      <c r="AB604" s="598" t="s">
        <v>996</v>
      </c>
      <c r="AC604" s="644" t="s">
        <v>997</v>
      </c>
      <c r="AD604" s="616" t="s">
        <v>1078</v>
      </c>
      <c r="AE604" s="616" t="s">
        <v>1078</v>
      </c>
      <c r="AF604" s="616" t="s">
        <v>3630</v>
      </c>
      <c r="AG604" s="598"/>
      <c r="AH604" s="598"/>
      <c r="AI604" s="598" t="s">
        <v>1114</v>
      </c>
      <c r="AJ604" s="598" t="s">
        <v>3510</v>
      </c>
      <c r="AK604" s="626">
        <v>-3</v>
      </c>
      <c r="AL604" s="626"/>
    </row>
    <row r="605" spans="1:38" ht="18" customHeight="1">
      <c r="A605" s="593"/>
      <c r="B605" s="598">
        <v>588</v>
      </c>
      <c r="C605" s="598" t="s">
        <v>2684</v>
      </c>
      <c r="D605" s="598">
        <f t="shared" si="7"/>
        <v>556</v>
      </c>
      <c r="E605" s="616" t="s">
        <v>1798</v>
      </c>
      <c r="F605" s="616" t="s">
        <v>4884</v>
      </c>
      <c r="G605" s="618" t="s">
        <v>4208</v>
      </c>
      <c r="H605" s="618" t="s">
        <v>4211</v>
      </c>
      <c r="I605" s="618" t="s">
        <v>4210</v>
      </c>
      <c r="J605" s="618" t="s">
        <v>4042</v>
      </c>
      <c r="K605" s="618"/>
      <c r="L605" s="619"/>
      <c r="M605" s="620"/>
      <c r="N605" s="620"/>
      <c r="O605" s="663" t="s">
        <v>1074</v>
      </c>
      <c r="P605" s="621"/>
      <c r="Q605" s="598"/>
      <c r="R605" s="598"/>
      <c r="S605" s="598"/>
      <c r="T605" s="598" t="s">
        <v>962</v>
      </c>
      <c r="U605" s="663" t="s">
        <v>567</v>
      </c>
      <c r="V605" s="616" t="s">
        <v>2685</v>
      </c>
      <c r="W605" s="598" t="s">
        <v>963</v>
      </c>
      <c r="X605" s="624">
        <v>20455</v>
      </c>
      <c r="Y605" s="625">
        <f t="shared" ca="1" si="8"/>
        <v>70</v>
      </c>
      <c r="Z605" s="616" t="s">
        <v>2686</v>
      </c>
      <c r="AA605" s="598"/>
      <c r="AB605" s="598" t="s">
        <v>996</v>
      </c>
      <c r="AC605" s="644" t="s">
        <v>997</v>
      </c>
      <c r="AD605" s="616" t="s">
        <v>1041</v>
      </c>
      <c r="AE605" s="721" t="s">
        <v>1041</v>
      </c>
      <c r="AF605" s="616" t="s">
        <v>2687</v>
      </c>
      <c r="AG605" s="598"/>
      <c r="AH605" s="598"/>
      <c r="AI605" s="598" t="s">
        <v>1318</v>
      </c>
      <c r="AJ605" s="598"/>
      <c r="AK605" s="626"/>
      <c r="AL605" s="626"/>
    </row>
    <row r="606" spans="1:38" ht="18" customHeight="1">
      <c r="A606" s="593"/>
      <c r="B606" s="598">
        <v>589</v>
      </c>
      <c r="C606" s="598" t="s">
        <v>2913</v>
      </c>
      <c r="D606" s="598">
        <f t="shared" si="7"/>
        <v>557</v>
      </c>
      <c r="E606" s="616" t="s">
        <v>1798</v>
      </c>
      <c r="F606" s="616" t="s">
        <v>4884</v>
      </c>
      <c r="G606" s="618" t="s">
        <v>4208</v>
      </c>
      <c r="H606" s="618" t="s">
        <v>4211</v>
      </c>
      <c r="I606" s="618" t="s">
        <v>4210</v>
      </c>
      <c r="J606" s="618" t="s">
        <v>4042</v>
      </c>
      <c r="K606" s="618"/>
      <c r="L606" s="619"/>
      <c r="M606" s="620"/>
      <c r="N606" s="620"/>
      <c r="O606" s="663" t="s">
        <v>1074</v>
      </c>
      <c r="P606" s="621"/>
      <c r="Q606" s="598"/>
      <c r="R606" s="598"/>
      <c r="S606" s="598"/>
      <c r="T606" s="598" t="s">
        <v>1015</v>
      </c>
      <c r="U606" s="663" t="s">
        <v>571</v>
      </c>
      <c r="V606" s="616" t="s">
        <v>2914</v>
      </c>
      <c r="W606" s="598" t="s">
        <v>950</v>
      </c>
      <c r="X606" s="624">
        <v>21731</v>
      </c>
      <c r="Y606" s="625">
        <f t="shared" ca="1" si="8"/>
        <v>66</v>
      </c>
      <c r="Z606" s="616" t="s">
        <v>2686</v>
      </c>
      <c r="AA606" s="598" t="s">
        <v>2915</v>
      </c>
      <c r="AB606" s="598" t="s">
        <v>996</v>
      </c>
      <c r="AC606" s="644" t="s">
        <v>997</v>
      </c>
      <c r="AD606" s="616" t="s">
        <v>1041</v>
      </c>
      <c r="AE606" s="721" t="s">
        <v>1041</v>
      </c>
      <c r="AF606" s="616" t="s">
        <v>2687</v>
      </c>
      <c r="AG606" s="598"/>
      <c r="AH606" s="598"/>
      <c r="AI606" s="598" t="s">
        <v>1318</v>
      </c>
      <c r="AJ606" s="598"/>
      <c r="AK606" s="626"/>
      <c r="AL606" s="626"/>
    </row>
    <row r="607" spans="1:38" ht="18" customHeight="1">
      <c r="A607" s="593"/>
      <c r="B607" s="598">
        <v>590</v>
      </c>
      <c r="C607" s="598" t="s">
        <v>3946</v>
      </c>
      <c r="D607" s="598">
        <f t="shared" si="7"/>
        <v>558</v>
      </c>
      <c r="E607" s="616" t="s">
        <v>3862</v>
      </c>
      <c r="F607" s="616" t="s">
        <v>4884</v>
      </c>
      <c r="G607" s="618" t="s">
        <v>4208</v>
      </c>
      <c r="H607" s="618" t="s">
        <v>4211</v>
      </c>
      <c r="I607" s="618" t="s">
        <v>4210</v>
      </c>
      <c r="J607" s="618" t="s">
        <v>4042</v>
      </c>
      <c r="K607" s="618"/>
      <c r="L607" s="619"/>
      <c r="M607" s="620"/>
      <c r="N607" s="620"/>
      <c r="O607" s="673" t="s">
        <v>1074</v>
      </c>
      <c r="P607" s="621"/>
      <c r="Q607" s="598"/>
      <c r="R607" s="598"/>
      <c r="S607" s="598"/>
      <c r="T607" s="598" t="s">
        <v>1090</v>
      </c>
      <c r="U607" s="673" t="s">
        <v>3947</v>
      </c>
      <c r="V607" s="616" t="s">
        <v>3948</v>
      </c>
      <c r="W607" s="598" t="s">
        <v>950</v>
      </c>
      <c r="X607" s="624">
        <v>17849</v>
      </c>
      <c r="Y607" s="625">
        <f t="shared" ca="1" si="8"/>
        <v>77</v>
      </c>
      <c r="Z607" s="616" t="s">
        <v>3949</v>
      </c>
      <c r="AA607" s="598"/>
      <c r="AB607" s="598" t="s">
        <v>996</v>
      </c>
      <c r="AC607" s="598" t="s">
        <v>1018</v>
      </c>
      <c r="AD607" s="616" t="s">
        <v>246</v>
      </c>
      <c r="AE607" s="616" t="s">
        <v>246</v>
      </c>
      <c r="AF607" s="616" t="s">
        <v>3936</v>
      </c>
      <c r="AG607" s="598"/>
      <c r="AH607" s="598" t="s">
        <v>3950</v>
      </c>
      <c r="AI607" s="598" t="s">
        <v>1114</v>
      </c>
      <c r="AJ607" s="598" t="s">
        <v>1020</v>
      </c>
      <c r="AK607" s="626">
        <v>-3</v>
      </c>
      <c r="AL607" s="626"/>
    </row>
    <row r="608" spans="1:38" ht="18" customHeight="1">
      <c r="A608" s="593"/>
      <c r="B608" s="598">
        <v>591</v>
      </c>
      <c r="C608" s="598" t="s">
        <v>3985</v>
      </c>
      <c r="D608" s="598">
        <f t="shared" si="7"/>
        <v>558</v>
      </c>
      <c r="E608" s="616"/>
      <c r="F608" s="616" t="s">
        <v>4884</v>
      </c>
      <c r="G608" s="618" t="s">
        <v>4208</v>
      </c>
      <c r="H608" s="618" t="s">
        <v>4211</v>
      </c>
      <c r="I608" s="618" t="s">
        <v>4210</v>
      </c>
      <c r="J608" s="618" t="s">
        <v>3985</v>
      </c>
      <c r="K608" s="618" t="s">
        <v>4406</v>
      </c>
      <c r="L608" s="619" t="s">
        <v>4267</v>
      </c>
      <c r="M608" s="620" t="s">
        <v>4365</v>
      </c>
      <c r="N608" s="620" t="s">
        <v>4335</v>
      </c>
      <c r="O608" s="667" t="s">
        <v>1115</v>
      </c>
      <c r="P608" s="621"/>
      <c r="Q608" s="598" t="s">
        <v>55</v>
      </c>
      <c r="R608" s="598" t="s">
        <v>178</v>
      </c>
      <c r="S608" s="598"/>
      <c r="T608" s="598"/>
      <c r="U608" s="667" t="s">
        <v>495</v>
      </c>
      <c r="V608" s="616" t="s">
        <v>3986</v>
      </c>
      <c r="W608" s="598" t="s">
        <v>950</v>
      </c>
      <c r="X608" s="624">
        <v>25024</v>
      </c>
      <c r="Y608" s="625">
        <f t="shared" ca="1" si="8"/>
        <v>57</v>
      </c>
      <c r="Z608" s="616" t="s">
        <v>3987</v>
      </c>
      <c r="AA608" s="598"/>
      <c r="AB608" s="598" t="s">
        <v>966</v>
      </c>
      <c r="AC608" s="598" t="s">
        <v>953</v>
      </c>
      <c r="AD608" s="616" t="s">
        <v>246</v>
      </c>
      <c r="AE608" s="616" t="s">
        <v>246</v>
      </c>
      <c r="AF608" s="616" t="s">
        <v>3815</v>
      </c>
      <c r="AG608" s="598" t="s">
        <v>955</v>
      </c>
      <c r="AH608" s="598"/>
      <c r="AI608" s="598"/>
      <c r="AJ608" s="598"/>
      <c r="AK608" s="626"/>
      <c r="AL608" s="626"/>
    </row>
    <row r="609" spans="1:38" ht="18" customHeight="1">
      <c r="A609" s="593"/>
      <c r="B609" s="598">
        <v>592</v>
      </c>
      <c r="C609" s="598" t="s">
        <v>4406</v>
      </c>
      <c r="D609" s="598">
        <f t="shared" si="7"/>
        <v>559</v>
      </c>
      <c r="E609" s="616" t="s">
        <v>3862</v>
      </c>
      <c r="F609" s="616" t="s">
        <v>4884</v>
      </c>
      <c r="G609" s="618" t="s">
        <v>4208</v>
      </c>
      <c r="H609" s="618" t="s">
        <v>4211</v>
      </c>
      <c r="I609" s="618" t="s">
        <v>4210</v>
      </c>
      <c r="J609" s="618" t="s">
        <v>3985</v>
      </c>
      <c r="K609" s="618" t="s">
        <v>4406</v>
      </c>
      <c r="L609" s="619" t="s">
        <v>4267</v>
      </c>
      <c r="M609" s="620" t="s">
        <v>4365</v>
      </c>
      <c r="N609" s="620" t="s">
        <v>4335</v>
      </c>
      <c r="O609" s="663" t="s">
        <v>1115</v>
      </c>
      <c r="P609" s="621"/>
      <c r="Q609" s="598" t="s">
        <v>69</v>
      </c>
      <c r="R609" s="598" t="s">
        <v>562</v>
      </c>
      <c r="S609" s="598"/>
      <c r="T609" s="598" t="s">
        <v>1015</v>
      </c>
      <c r="U609" s="663" t="s">
        <v>529</v>
      </c>
      <c r="V609" s="616" t="s">
        <v>4410</v>
      </c>
      <c r="W609" s="598" t="s">
        <v>950</v>
      </c>
      <c r="X609" s="624">
        <v>20844</v>
      </c>
      <c r="Y609" s="625">
        <f t="shared" ca="1" si="8"/>
        <v>69</v>
      </c>
      <c r="Z609" s="616" t="s">
        <v>4411</v>
      </c>
      <c r="AA609" s="598" t="s">
        <v>4412</v>
      </c>
      <c r="AB609" s="598" t="s">
        <v>996</v>
      </c>
      <c r="AC609" s="644" t="s">
        <v>997</v>
      </c>
      <c r="AD609" s="616" t="s">
        <v>246</v>
      </c>
      <c r="AE609" s="616" t="s">
        <v>246</v>
      </c>
      <c r="AF609" s="616" t="s">
        <v>4413</v>
      </c>
      <c r="AG609" s="598"/>
      <c r="AH609" s="598"/>
      <c r="AI609" s="598" t="s">
        <v>1452</v>
      </c>
      <c r="AJ609" s="598" t="s">
        <v>3510</v>
      </c>
      <c r="AK609" s="626">
        <v>-3</v>
      </c>
      <c r="AL609" s="626"/>
    </row>
    <row r="610" spans="1:38" ht="18" customHeight="1">
      <c r="A610" s="593"/>
      <c r="B610" s="598">
        <v>593</v>
      </c>
      <c r="C610" s="598" t="s">
        <v>4267</v>
      </c>
      <c r="D610" s="598">
        <f t="shared" si="7"/>
        <v>560</v>
      </c>
      <c r="E610" s="616" t="s">
        <v>3862</v>
      </c>
      <c r="F610" s="616" t="s">
        <v>4884</v>
      </c>
      <c r="G610" s="618" t="s">
        <v>4208</v>
      </c>
      <c r="H610" s="618" t="s">
        <v>4211</v>
      </c>
      <c r="I610" s="618" t="s">
        <v>4210</v>
      </c>
      <c r="J610" s="618" t="s">
        <v>3985</v>
      </c>
      <c r="K610" s="618" t="s">
        <v>4406</v>
      </c>
      <c r="L610" s="619" t="s">
        <v>4267</v>
      </c>
      <c r="M610" s="620" t="s">
        <v>4365</v>
      </c>
      <c r="N610" s="620" t="s">
        <v>4335</v>
      </c>
      <c r="O610" s="663" t="s">
        <v>1115</v>
      </c>
      <c r="P610" s="621"/>
      <c r="Q610" s="598" t="s">
        <v>69</v>
      </c>
      <c r="R610" s="598" t="s">
        <v>562</v>
      </c>
      <c r="S610" s="598"/>
      <c r="T610" s="598" t="s">
        <v>1015</v>
      </c>
      <c r="U610" s="663" t="s">
        <v>521</v>
      </c>
      <c r="V610" s="616" t="s">
        <v>4271</v>
      </c>
      <c r="W610" s="598" t="s">
        <v>950</v>
      </c>
      <c r="X610" s="624">
        <v>20604</v>
      </c>
      <c r="Y610" s="625">
        <f t="shared" ca="1" si="8"/>
        <v>69</v>
      </c>
      <c r="Z610" s="616" t="s">
        <v>4272</v>
      </c>
      <c r="AA610" s="598" t="s">
        <v>4273</v>
      </c>
      <c r="AB610" s="598" t="s">
        <v>996</v>
      </c>
      <c r="AC610" s="644" t="s">
        <v>997</v>
      </c>
      <c r="AD610" s="616" t="s">
        <v>246</v>
      </c>
      <c r="AE610" s="616" t="s">
        <v>246</v>
      </c>
      <c r="AF610" s="616" t="s">
        <v>4274</v>
      </c>
      <c r="AG610" s="598"/>
      <c r="AH610" s="598"/>
      <c r="AI610" s="598" t="s">
        <v>1452</v>
      </c>
      <c r="AJ610" s="598" t="s">
        <v>3510</v>
      </c>
      <c r="AK610" s="626"/>
      <c r="AL610" s="626"/>
    </row>
    <row r="611" spans="1:38" ht="18" customHeight="1">
      <c r="A611" s="593"/>
      <c r="B611" s="598">
        <v>594</v>
      </c>
      <c r="C611" s="598" t="s">
        <v>4365</v>
      </c>
      <c r="D611" s="598">
        <f t="shared" si="7"/>
        <v>561</v>
      </c>
      <c r="E611" s="616" t="s">
        <v>3862</v>
      </c>
      <c r="F611" s="616" t="s">
        <v>4884</v>
      </c>
      <c r="G611" s="618" t="s">
        <v>4208</v>
      </c>
      <c r="H611" s="618" t="s">
        <v>4211</v>
      </c>
      <c r="I611" s="618" t="s">
        <v>4210</v>
      </c>
      <c r="J611" s="618" t="s">
        <v>3985</v>
      </c>
      <c r="K611" s="618" t="s">
        <v>4406</v>
      </c>
      <c r="L611" s="619" t="s">
        <v>4267</v>
      </c>
      <c r="M611" s="620" t="s">
        <v>4365</v>
      </c>
      <c r="N611" s="620" t="s">
        <v>4335</v>
      </c>
      <c r="O611" s="663" t="s">
        <v>1115</v>
      </c>
      <c r="P611" s="621"/>
      <c r="Q611" s="598" t="s">
        <v>69</v>
      </c>
      <c r="R611" s="598" t="s">
        <v>562</v>
      </c>
      <c r="S611" s="598"/>
      <c r="T611" s="598" t="s">
        <v>1015</v>
      </c>
      <c r="U611" s="663" t="s">
        <v>545</v>
      </c>
      <c r="V611" s="616" t="s">
        <v>4370</v>
      </c>
      <c r="W611" s="598" t="s">
        <v>950</v>
      </c>
      <c r="X611" s="624">
        <v>22829</v>
      </c>
      <c r="Y611" s="625">
        <f t="shared" ca="1" si="8"/>
        <v>63</v>
      </c>
      <c r="Z611" s="616" t="s">
        <v>4371</v>
      </c>
      <c r="AA611" s="598" t="s">
        <v>4372</v>
      </c>
      <c r="AB611" s="598" t="s">
        <v>996</v>
      </c>
      <c r="AC611" s="644" t="s">
        <v>997</v>
      </c>
      <c r="AD611" s="616" t="s">
        <v>246</v>
      </c>
      <c r="AE611" s="616" t="s">
        <v>246</v>
      </c>
      <c r="AF611" s="653" t="s">
        <v>4373</v>
      </c>
      <c r="AG611" s="598"/>
      <c r="AH611" s="598"/>
      <c r="AI611" s="598" t="s">
        <v>1452</v>
      </c>
      <c r="AJ611" s="598" t="s">
        <v>3510</v>
      </c>
      <c r="AK611" s="626">
        <v>-3</v>
      </c>
      <c r="AL611" s="626"/>
    </row>
    <row r="612" spans="1:38" ht="18" customHeight="1">
      <c r="A612" s="593"/>
      <c r="B612" s="598">
        <v>595</v>
      </c>
      <c r="C612" s="598" t="s">
        <v>4335</v>
      </c>
      <c r="D612" s="598">
        <f t="shared" si="7"/>
        <v>562</v>
      </c>
      <c r="E612" s="616" t="s">
        <v>3862</v>
      </c>
      <c r="F612" s="616" t="s">
        <v>4884</v>
      </c>
      <c r="G612" s="618" t="s">
        <v>4208</v>
      </c>
      <c r="H612" s="618" t="s">
        <v>4211</v>
      </c>
      <c r="I612" s="618" t="s">
        <v>4210</v>
      </c>
      <c r="J612" s="618" t="s">
        <v>3985</v>
      </c>
      <c r="K612" s="618" t="s">
        <v>4406</v>
      </c>
      <c r="L612" s="619" t="s">
        <v>4267</v>
      </c>
      <c r="M612" s="620" t="s">
        <v>4365</v>
      </c>
      <c r="N612" s="620" t="s">
        <v>4335</v>
      </c>
      <c r="O612" s="663" t="s">
        <v>1115</v>
      </c>
      <c r="P612" s="621"/>
      <c r="Q612" s="598" t="s">
        <v>69</v>
      </c>
      <c r="R612" s="598" t="s">
        <v>562</v>
      </c>
      <c r="S612" s="598"/>
      <c r="T612" s="598" t="s">
        <v>1015</v>
      </c>
      <c r="U612" s="663" t="s">
        <v>557</v>
      </c>
      <c r="V612" s="616" t="s">
        <v>4344</v>
      </c>
      <c r="W612" s="598" t="s">
        <v>950</v>
      </c>
      <c r="X612" s="624">
        <v>26443</v>
      </c>
      <c r="Y612" s="625">
        <f t="shared" ca="1" si="8"/>
        <v>53</v>
      </c>
      <c r="Z612" s="616" t="s">
        <v>4345</v>
      </c>
      <c r="AA612" s="598" t="s">
        <v>4346</v>
      </c>
      <c r="AB612" s="598" t="s">
        <v>996</v>
      </c>
      <c r="AC612" s="644" t="s">
        <v>997</v>
      </c>
      <c r="AD612" s="616" t="s">
        <v>246</v>
      </c>
      <c r="AE612" s="616" t="s">
        <v>246</v>
      </c>
      <c r="AF612" s="653" t="s">
        <v>4347</v>
      </c>
      <c r="AG612" s="598"/>
      <c r="AH612" s="598"/>
      <c r="AI612" s="598" t="s">
        <v>1452</v>
      </c>
      <c r="AJ612" s="598" t="s">
        <v>3510</v>
      </c>
      <c r="AK612" s="626">
        <v>-3</v>
      </c>
      <c r="AL612" s="626"/>
    </row>
    <row r="613" spans="1:38" ht="18" customHeight="1">
      <c r="A613" s="593"/>
      <c r="B613" s="598">
        <v>596</v>
      </c>
      <c r="C613" s="598" t="s">
        <v>3609</v>
      </c>
      <c r="D613" s="598">
        <f t="shared" si="7"/>
        <v>563</v>
      </c>
      <c r="E613" s="616" t="s">
        <v>3862</v>
      </c>
      <c r="F613" s="616" t="s">
        <v>4884</v>
      </c>
      <c r="G613" s="618" t="s">
        <v>4208</v>
      </c>
      <c r="H613" s="618" t="s">
        <v>4211</v>
      </c>
      <c r="I613" s="618" t="s">
        <v>4210</v>
      </c>
      <c r="J613" s="618" t="s">
        <v>3985</v>
      </c>
      <c r="K613" s="618" t="s">
        <v>4406</v>
      </c>
      <c r="L613" s="619" t="s">
        <v>4267</v>
      </c>
      <c r="M613" s="620" t="s">
        <v>4365</v>
      </c>
      <c r="N613" s="620" t="s">
        <v>4335</v>
      </c>
      <c r="O613" s="663" t="s">
        <v>1115</v>
      </c>
      <c r="P613" s="621"/>
      <c r="Q613" s="598"/>
      <c r="R613" s="598"/>
      <c r="S613" s="598"/>
      <c r="T613" s="598" t="s">
        <v>1015</v>
      </c>
      <c r="U613" s="663" t="s">
        <v>552</v>
      </c>
      <c r="V613" s="616" t="s">
        <v>3610</v>
      </c>
      <c r="W613" s="598" t="s">
        <v>950</v>
      </c>
      <c r="X613" s="624">
        <v>22980</v>
      </c>
      <c r="Y613" s="625">
        <f t="shared" ca="1" si="8"/>
        <v>63</v>
      </c>
      <c r="Z613" s="616" t="s">
        <v>3611</v>
      </c>
      <c r="AA613" s="598"/>
      <c r="AB613" s="598" t="s">
        <v>996</v>
      </c>
      <c r="AC613" s="598" t="s">
        <v>1018</v>
      </c>
      <c r="AD613" s="616" t="s">
        <v>973</v>
      </c>
      <c r="AE613" s="616" t="s">
        <v>973</v>
      </c>
      <c r="AF613" s="616" t="s">
        <v>3612</v>
      </c>
      <c r="AG613" s="598"/>
      <c r="AH613" s="598"/>
      <c r="AI613" s="598" t="s">
        <v>1452</v>
      </c>
      <c r="AJ613" s="598" t="s">
        <v>3510</v>
      </c>
      <c r="AK613" s="626">
        <v>-3</v>
      </c>
      <c r="AL613" s="626"/>
    </row>
    <row r="614" spans="1:38" ht="18" customHeight="1">
      <c r="A614" s="593"/>
      <c r="B614" s="598">
        <v>597</v>
      </c>
      <c r="C614" s="598" t="s">
        <v>4354</v>
      </c>
      <c r="D614" s="598">
        <f t="shared" si="7"/>
        <v>564</v>
      </c>
      <c r="E614" s="616" t="s">
        <v>3862</v>
      </c>
      <c r="F614" s="616" t="s">
        <v>4884</v>
      </c>
      <c r="G614" s="618" t="s">
        <v>4208</v>
      </c>
      <c r="H614" s="618" t="s">
        <v>4211</v>
      </c>
      <c r="I614" s="618" t="s">
        <v>4210</v>
      </c>
      <c r="J614" s="618" t="s">
        <v>3985</v>
      </c>
      <c r="K614" s="618" t="s">
        <v>4406</v>
      </c>
      <c r="L614" s="619" t="s">
        <v>4267</v>
      </c>
      <c r="M614" s="620" t="s">
        <v>4365</v>
      </c>
      <c r="N614" s="620" t="s">
        <v>4335</v>
      </c>
      <c r="O614" s="663" t="s">
        <v>1115</v>
      </c>
      <c r="P614" s="621"/>
      <c r="Q614" s="598"/>
      <c r="R614" s="598"/>
      <c r="S614" s="598"/>
      <c r="T614" s="598" t="s">
        <v>1015</v>
      </c>
      <c r="U614" s="663" t="s">
        <v>563</v>
      </c>
      <c r="V614" s="616" t="s">
        <v>4355</v>
      </c>
      <c r="W614" s="598" t="s">
        <v>950</v>
      </c>
      <c r="X614" s="624">
        <v>27733</v>
      </c>
      <c r="Y614" s="625">
        <f t="shared" ca="1" si="8"/>
        <v>50</v>
      </c>
      <c r="Z614" s="616" t="s">
        <v>4356</v>
      </c>
      <c r="AA614" s="598" t="s">
        <v>4357</v>
      </c>
      <c r="AB614" s="598" t="s">
        <v>996</v>
      </c>
      <c r="AC614" s="644" t="s">
        <v>997</v>
      </c>
      <c r="AD614" s="616" t="s">
        <v>246</v>
      </c>
      <c r="AE614" s="616" t="s">
        <v>246</v>
      </c>
      <c r="AF614" s="616" t="s">
        <v>4358</v>
      </c>
      <c r="AG614" s="598"/>
      <c r="AH614" s="598" t="s">
        <v>4259</v>
      </c>
      <c r="AI614" s="598" t="s">
        <v>1452</v>
      </c>
      <c r="AJ614" s="598" t="s">
        <v>3510</v>
      </c>
      <c r="AK614" s="626">
        <v>-3</v>
      </c>
      <c r="AL614" s="626"/>
    </row>
    <row r="615" spans="1:38" ht="18" customHeight="1">
      <c r="A615" s="593"/>
      <c r="B615" s="598">
        <v>598</v>
      </c>
      <c r="C615" s="598" t="s">
        <v>4254</v>
      </c>
      <c r="D615" s="598">
        <f t="shared" si="7"/>
        <v>565</v>
      </c>
      <c r="E615" s="616" t="s">
        <v>3862</v>
      </c>
      <c r="F615" s="616" t="s">
        <v>4884</v>
      </c>
      <c r="G615" s="618" t="s">
        <v>4208</v>
      </c>
      <c r="H615" s="618" t="s">
        <v>4211</v>
      </c>
      <c r="I615" s="618" t="s">
        <v>4210</v>
      </c>
      <c r="J615" s="618" t="s">
        <v>3985</v>
      </c>
      <c r="K615" s="618" t="s">
        <v>4406</v>
      </c>
      <c r="L615" s="619" t="s">
        <v>4267</v>
      </c>
      <c r="M615" s="620" t="s">
        <v>4365</v>
      </c>
      <c r="N615" s="620" t="s">
        <v>4335</v>
      </c>
      <c r="O615" s="663" t="s">
        <v>1115</v>
      </c>
      <c r="P615" s="621"/>
      <c r="Q615" s="598"/>
      <c r="R615" s="598"/>
      <c r="S615" s="598"/>
      <c r="T615" s="598" t="s">
        <v>1015</v>
      </c>
      <c r="U615" s="663" t="s">
        <v>568</v>
      </c>
      <c r="V615" s="616" t="s">
        <v>4255</v>
      </c>
      <c r="W615" s="598" t="s">
        <v>950</v>
      </c>
      <c r="X615" s="624">
        <v>32138</v>
      </c>
      <c r="Y615" s="625">
        <f t="shared" ca="1" si="8"/>
        <v>38</v>
      </c>
      <c r="Z615" s="616" t="s">
        <v>4256</v>
      </c>
      <c r="AA615" s="598" t="s">
        <v>4257</v>
      </c>
      <c r="AB615" s="598" t="s">
        <v>996</v>
      </c>
      <c r="AC615" s="598" t="s">
        <v>1018</v>
      </c>
      <c r="AD615" s="616" t="s">
        <v>246</v>
      </c>
      <c r="AE615" s="616" t="s">
        <v>246</v>
      </c>
      <c r="AF615" s="616" t="s">
        <v>4258</v>
      </c>
      <c r="AG615" s="598"/>
      <c r="AH615" s="598" t="s">
        <v>4259</v>
      </c>
      <c r="AI615" s="598" t="s">
        <v>1452</v>
      </c>
      <c r="AJ615" s="598" t="s">
        <v>3510</v>
      </c>
      <c r="AK615" s="626">
        <v>-3</v>
      </c>
      <c r="AL615" s="626"/>
    </row>
    <row r="616" spans="1:38" ht="18" customHeight="1">
      <c r="A616" s="593"/>
      <c r="B616" s="598">
        <v>599</v>
      </c>
      <c r="C616" s="598" t="s">
        <v>4885</v>
      </c>
      <c r="D616" s="598">
        <f t="shared" si="7"/>
        <v>566</v>
      </c>
      <c r="E616" s="616" t="s">
        <v>3862</v>
      </c>
      <c r="F616" s="616" t="s">
        <v>4884</v>
      </c>
      <c r="G616" s="618" t="s">
        <v>4208</v>
      </c>
      <c r="H616" s="618" t="s">
        <v>4211</v>
      </c>
      <c r="I616" s="618" t="s">
        <v>4210</v>
      </c>
      <c r="J616" s="618" t="s">
        <v>3985</v>
      </c>
      <c r="K616" s="618" t="s">
        <v>4406</v>
      </c>
      <c r="L616" s="619" t="s">
        <v>4267</v>
      </c>
      <c r="M616" s="620" t="s">
        <v>4365</v>
      </c>
      <c r="N616" s="620" t="s">
        <v>4335</v>
      </c>
      <c r="O616" s="663" t="s">
        <v>1115</v>
      </c>
      <c r="P616" s="621"/>
      <c r="Q616" s="598"/>
      <c r="R616" s="598"/>
      <c r="S616" s="598"/>
      <c r="T616" s="598" t="s">
        <v>992</v>
      </c>
      <c r="U616" s="663" t="s">
        <v>572</v>
      </c>
      <c r="V616" s="616" t="s">
        <v>4886</v>
      </c>
      <c r="W616" s="598" t="s">
        <v>950</v>
      </c>
      <c r="X616" s="624">
        <v>36800</v>
      </c>
      <c r="Y616" s="625">
        <f t="shared" ca="1" si="8"/>
        <v>25</v>
      </c>
      <c r="Z616" s="616" t="s">
        <v>4887</v>
      </c>
      <c r="AA616" s="652"/>
      <c r="AB616" s="598" t="s">
        <v>996</v>
      </c>
      <c r="AC616" s="598" t="s">
        <v>1018</v>
      </c>
      <c r="AD616" s="616" t="s">
        <v>246</v>
      </c>
      <c r="AE616" s="616" t="s">
        <v>246</v>
      </c>
      <c r="AF616" s="616" t="s">
        <v>3815</v>
      </c>
      <c r="AG616" s="598"/>
      <c r="AH616" s="598"/>
      <c r="AI616" s="598" t="s">
        <v>1452</v>
      </c>
      <c r="AJ616" s="598" t="s">
        <v>3510</v>
      </c>
      <c r="AK616" s="626">
        <v>-3</v>
      </c>
      <c r="AL616" s="626"/>
    </row>
    <row r="617" spans="1:38" ht="18" customHeight="1">
      <c r="A617" s="593"/>
      <c r="B617" s="598">
        <v>600</v>
      </c>
      <c r="C617" s="598" t="s">
        <v>4888</v>
      </c>
      <c r="D617" s="598">
        <f t="shared" si="7"/>
        <v>567</v>
      </c>
      <c r="E617" s="616" t="s">
        <v>3862</v>
      </c>
      <c r="F617" s="616" t="s">
        <v>4884</v>
      </c>
      <c r="G617" s="618" t="s">
        <v>4208</v>
      </c>
      <c r="H617" s="618" t="s">
        <v>4211</v>
      </c>
      <c r="I617" s="618" t="s">
        <v>4210</v>
      </c>
      <c r="J617" s="618" t="s">
        <v>3985</v>
      </c>
      <c r="K617" s="618" t="s">
        <v>4406</v>
      </c>
      <c r="L617" s="619" t="s">
        <v>4267</v>
      </c>
      <c r="M617" s="620" t="s">
        <v>4365</v>
      </c>
      <c r="N617" s="620" t="s">
        <v>4335</v>
      </c>
      <c r="O617" s="663" t="s">
        <v>1115</v>
      </c>
      <c r="P617" s="621"/>
      <c r="Q617" s="598"/>
      <c r="R617" s="598"/>
      <c r="S617" s="598"/>
      <c r="T617" s="598" t="s">
        <v>1015</v>
      </c>
      <c r="U617" s="663" t="s">
        <v>537</v>
      </c>
      <c r="V617" s="616" t="s">
        <v>4889</v>
      </c>
      <c r="W617" s="598" t="s">
        <v>950</v>
      </c>
      <c r="X617" s="624">
        <v>21916</v>
      </c>
      <c r="Y617" s="625">
        <f t="shared" ca="1" si="8"/>
        <v>66</v>
      </c>
      <c r="Z617" s="616" t="s">
        <v>4890</v>
      </c>
      <c r="AA617" s="652"/>
      <c r="AB617" s="598" t="s">
        <v>996</v>
      </c>
      <c r="AC617" s="598" t="s">
        <v>1018</v>
      </c>
      <c r="AD617" s="616" t="s">
        <v>246</v>
      </c>
      <c r="AE617" s="616" t="s">
        <v>246</v>
      </c>
      <c r="AF617" s="616" t="s">
        <v>4891</v>
      </c>
      <c r="AG617" s="598"/>
      <c r="AH617" s="598" t="s">
        <v>4892</v>
      </c>
      <c r="AI617" s="598" t="s">
        <v>1452</v>
      </c>
      <c r="AJ617" s="598" t="s">
        <v>1020</v>
      </c>
      <c r="AK617" s="626">
        <v>-3</v>
      </c>
      <c r="AL617" s="626"/>
    </row>
    <row r="618" spans="1:38" ht="18" customHeight="1">
      <c r="A618" s="593"/>
      <c r="B618" s="598">
        <v>601</v>
      </c>
      <c r="C618" s="598" t="s">
        <v>4893</v>
      </c>
      <c r="D618" s="598">
        <f t="shared" si="7"/>
        <v>568</v>
      </c>
      <c r="E618" s="616" t="s">
        <v>3862</v>
      </c>
      <c r="F618" s="616" t="s">
        <v>4884</v>
      </c>
      <c r="G618" s="618" t="s">
        <v>4208</v>
      </c>
      <c r="H618" s="618" t="s">
        <v>4211</v>
      </c>
      <c r="I618" s="618" t="s">
        <v>4210</v>
      </c>
      <c r="J618" s="618" t="s">
        <v>3985</v>
      </c>
      <c r="K618" s="618" t="s">
        <v>4406</v>
      </c>
      <c r="L618" s="619" t="s">
        <v>4267</v>
      </c>
      <c r="M618" s="620" t="s">
        <v>4365</v>
      </c>
      <c r="N618" s="620" t="s">
        <v>4335</v>
      </c>
      <c r="O618" s="673" t="s">
        <v>1115</v>
      </c>
      <c r="P618" s="621"/>
      <c r="Q618" s="598"/>
      <c r="R618" s="598"/>
      <c r="S618" s="598"/>
      <c r="T618" s="598" t="s">
        <v>1015</v>
      </c>
      <c r="U618" s="673" t="s">
        <v>4894</v>
      </c>
      <c r="V618" s="616" t="s">
        <v>4895</v>
      </c>
      <c r="W618" s="598" t="s">
        <v>950</v>
      </c>
      <c r="X618" s="624">
        <v>28211</v>
      </c>
      <c r="Y618" s="625">
        <f t="shared" ca="1" si="8"/>
        <v>48</v>
      </c>
      <c r="Z618" s="616" t="s">
        <v>4896</v>
      </c>
      <c r="AA618" s="598" t="s">
        <v>4897</v>
      </c>
      <c r="AB618" s="598" t="s">
        <v>996</v>
      </c>
      <c r="AC618" s="598" t="s">
        <v>1018</v>
      </c>
      <c r="AD618" s="616" t="s">
        <v>246</v>
      </c>
      <c r="AE618" s="616" t="s">
        <v>246</v>
      </c>
      <c r="AF618" s="616" t="s">
        <v>4898</v>
      </c>
      <c r="AG618" s="598"/>
      <c r="AH618" s="598" t="s">
        <v>4858</v>
      </c>
      <c r="AI618" s="598" t="s">
        <v>1452</v>
      </c>
      <c r="AJ618" s="598" t="s">
        <v>1020</v>
      </c>
      <c r="AK618" s="626">
        <v>-3</v>
      </c>
      <c r="AL618" s="626"/>
    </row>
    <row r="619" spans="1:38" ht="18" customHeight="1">
      <c r="A619" s="593"/>
      <c r="B619" s="598">
        <v>602</v>
      </c>
      <c r="C619" s="598" t="s">
        <v>4169</v>
      </c>
      <c r="D619" s="598">
        <f t="shared" si="7"/>
        <v>568</v>
      </c>
      <c r="E619" s="616"/>
      <c r="F619" s="616" t="s">
        <v>4884</v>
      </c>
      <c r="G619" s="618" t="s">
        <v>4208</v>
      </c>
      <c r="H619" s="618" t="s">
        <v>4211</v>
      </c>
      <c r="I619" s="618" t="s">
        <v>4210</v>
      </c>
      <c r="J619" s="618" t="s">
        <v>4169</v>
      </c>
      <c r="K619" s="618" t="s">
        <v>959</v>
      </c>
      <c r="L619" s="619"/>
      <c r="M619" s="620"/>
      <c r="N619" s="620"/>
      <c r="O619" s="667" t="s">
        <v>1127</v>
      </c>
      <c r="P619" s="621"/>
      <c r="Q619" s="598" t="s">
        <v>55</v>
      </c>
      <c r="R619" s="598" t="s">
        <v>178</v>
      </c>
      <c r="S619" s="598"/>
      <c r="T619" s="598"/>
      <c r="U619" s="667" t="s">
        <v>241</v>
      </c>
      <c r="V619" s="616" t="s">
        <v>4170</v>
      </c>
      <c r="W619" s="598" t="s">
        <v>950</v>
      </c>
      <c r="X619" s="624">
        <v>25211</v>
      </c>
      <c r="Y619" s="625">
        <f t="shared" ca="1" si="8"/>
        <v>57</v>
      </c>
      <c r="Z619" s="616" t="s">
        <v>4171</v>
      </c>
      <c r="AA619" s="598"/>
      <c r="AB619" s="598" t="s">
        <v>966</v>
      </c>
      <c r="AC619" s="598" t="s">
        <v>953</v>
      </c>
      <c r="AD619" s="616" t="s">
        <v>973</v>
      </c>
      <c r="AE619" s="616" t="s">
        <v>973</v>
      </c>
      <c r="AF619" s="616" t="s">
        <v>3509</v>
      </c>
      <c r="AG619" s="598" t="s">
        <v>955</v>
      </c>
      <c r="AH619" s="598"/>
      <c r="AI619" s="598"/>
      <c r="AJ619" s="598"/>
      <c r="AK619" s="626"/>
      <c r="AL619" s="626"/>
    </row>
    <row r="620" spans="1:38" ht="18" customHeight="1">
      <c r="A620" s="593"/>
      <c r="B620" s="598">
        <v>603</v>
      </c>
      <c r="C620" s="598" t="s">
        <v>4260</v>
      </c>
      <c r="D620" s="598">
        <f t="shared" si="7"/>
        <v>569</v>
      </c>
      <c r="E620" s="616" t="s">
        <v>3862</v>
      </c>
      <c r="F620" s="616" t="s">
        <v>4884</v>
      </c>
      <c r="G620" s="618" t="s">
        <v>4208</v>
      </c>
      <c r="H620" s="618" t="s">
        <v>4211</v>
      </c>
      <c r="I620" s="618" t="s">
        <v>4210</v>
      </c>
      <c r="J620" s="618" t="s">
        <v>4169</v>
      </c>
      <c r="K620" s="618" t="s">
        <v>959</v>
      </c>
      <c r="L620" s="619"/>
      <c r="M620" s="620"/>
      <c r="N620" s="620"/>
      <c r="O620" s="663" t="s">
        <v>1127</v>
      </c>
      <c r="P620" s="621" t="s">
        <v>319</v>
      </c>
      <c r="Q620" s="598"/>
      <c r="R620" s="598"/>
      <c r="S620" s="598"/>
      <c r="T620" s="598" t="s">
        <v>1015</v>
      </c>
      <c r="U620" s="663" t="s">
        <v>4261</v>
      </c>
      <c r="V620" s="616" t="s">
        <v>4262</v>
      </c>
      <c r="W620" s="598" t="s">
        <v>950</v>
      </c>
      <c r="X620" s="624">
        <v>33974</v>
      </c>
      <c r="Y620" s="625">
        <f t="shared" ca="1" si="8"/>
        <v>33</v>
      </c>
      <c r="Z620" s="616" t="s">
        <v>4263</v>
      </c>
      <c r="AA620" s="598" t="s">
        <v>4264</v>
      </c>
      <c r="AB620" s="598" t="s">
        <v>996</v>
      </c>
      <c r="AC620" s="598" t="s">
        <v>1018</v>
      </c>
      <c r="AD620" s="616" t="s">
        <v>246</v>
      </c>
      <c r="AE620" s="616" t="s">
        <v>246</v>
      </c>
      <c r="AF620" s="616" t="s">
        <v>4265</v>
      </c>
      <c r="AG620" s="598"/>
      <c r="AH620" s="598"/>
      <c r="AI620" s="598" t="s">
        <v>1107</v>
      </c>
      <c r="AJ620" s="598"/>
      <c r="AK620" s="626"/>
      <c r="AL620" s="626"/>
    </row>
    <row r="621" spans="1:38" ht="18" customHeight="1">
      <c r="A621" s="593"/>
      <c r="B621" s="598">
        <v>604</v>
      </c>
      <c r="C621" s="598" t="s">
        <v>4323</v>
      </c>
      <c r="D621" s="598">
        <f t="shared" si="7"/>
        <v>570</v>
      </c>
      <c r="E621" s="616" t="s">
        <v>3862</v>
      </c>
      <c r="F621" s="616" t="s">
        <v>4884</v>
      </c>
      <c r="G621" s="618" t="s">
        <v>4208</v>
      </c>
      <c r="H621" s="618" t="s">
        <v>4211</v>
      </c>
      <c r="I621" s="618" t="s">
        <v>4210</v>
      </c>
      <c r="J621" s="618" t="s">
        <v>4169</v>
      </c>
      <c r="K621" s="618" t="s">
        <v>959</v>
      </c>
      <c r="L621" s="619"/>
      <c r="M621" s="620"/>
      <c r="N621" s="620"/>
      <c r="O621" s="663" t="s">
        <v>1127</v>
      </c>
      <c r="P621" s="621" t="s">
        <v>319</v>
      </c>
      <c r="Q621" s="598"/>
      <c r="R621" s="598"/>
      <c r="S621" s="598"/>
      <c r="T621" s="598" t="s">
        <v>992</v>
      </c>
      <c r="U621" s="663" t="s">
        <v>4324</v>
      </c>
      <c r="V621" s="616" t="s">
        <v>4325</v>
      </c>
      <c r="W621" s="598" t="s">
        <v>950</v>
      </c>
      <c r="X621" s="624">
        <v>37889</v>
      </c>
      <c r="Y621" s="625">
        <f t="shared" ca="1" si="8"/>
        <v>22</v>
      </c>
      <c r="Z621" s="616" t="s">
        <v>4326</v>
      </c>
      <c r="AA621" s="598" t="s">
        <v>4327</v>
      </c>
      <c r="AB621" s="598" t="s">
        <v>996</v>
      </c>
      <c r="AC621" s="644" t="s">
        <v>997</v>
      </c>
      <c r="AD621" s="616" t="s">
        <v>246</v>
      </c>
      <c r="AE621" s="616" t="s">
        <v>246</v>
      </c>
      <c r="AF621" s="616" t="s">
        <v>4312</v>
      </c>
      <c r="AG621" s="598"/>
      <c r="AH621" s="598" t="s">
        <v>4216</v>
      </c>
      <c r="AI621" s="598" t="s">
        <v>1107</v>
      </c>
      <c r="AJ621" s="598"/>
      <c r="AK621" s="626"/>
      <c r="AL621" s="626"/>
    </row>
    <row r="622" spans="1:38" ht="18" customHeight="1">
      <c r="A622" s="593"/>
      <c r="B622" s="598">
        <v>605</v>
      </c>
      <c r="C622" s="598" t="s">
        <v>4304</v>
      </c>
      <c r="D622" s="598">
        <f t="shared" si="7"/>
        <v>571</v>
      </c>
      <c r="E622" s="616" t="s">
        <v>1351</v>
      </c>
      <c r="F622" s="616" t="s">
        <v>4884</v>
      </c>
      <c r="G622" s="618" t="s">
        <v>4208</v>
      </c>
      <c r="H622" s="618" t="s">
        <v>4211</v>
      </c>
      <c r="I622" s="618" t="s">
        <v>4210</v>
      </c>
      <c r="J622" s="618" t="s">
        <v>4169</v>
      </c>
      <c r="K622" s="618" t="s">
        <v>959</v>
      </c>
      <c r="L622" s="619"/>
      <c r="M622" s="620"/>
      <c r="N622" s="620"/>
      <c r="O622" s="663" t="s">
        <v>1127</v>
      </c>
      <c r="P622" s="621" t="s">
        <v>319</v>
      </c>
      <c r="Q622" s="598"/>
      <c r="R622" s="598"/>
      <c r="S622" s="598"/>
      <c r="T622" s="598" t="s">
        <v>992</v>
      </c>
      <c r="U622" s="663" t="s">
        <v>538</v>
      </c>
      <c r="V622" s="616" t="s">
        <v>4309</v>
      </c>
      <c r="W622" s="598" t="s">
        <v>950</v>
      </c>
      <c r="X622" s="624">
        <v>38551</v>
      </c>
      <c r="Y622" s="625">
        <f t="shared" ca="1" si="8"/>
        <v>20</v>
      </c>
      <c r="Z622" s="616" t="s">
        <v>4310</v>
      </c>
      <c r="AA622" s="598" t="s">
        <v>4311</v>
      </c>
      <c r="AB622" s="598" t="s">
        <v>996</v>
      </c>
      <c r="AC622" s="644" t="s">
        <v>997</v>
      </c>
      <c r="AD622" s="616" t="s">
        <v>246</v>
      </c>
      <c r="AE622" s="616" t="s">
        <v>246</v>
      </c>
      <c r="AF622" s="616" t="s">
        <v>4312</v>
      </c>
      <c r="AG622" s="598"/>
      <c r="AH622" s="598" t="s">
        <v>4216</v>
      </c>
      <c r="AI622" s="598" t="s">
        <v>1107</v>
      </c>
      <c r="AJ622" s="598"/>
      <c r="AK622" s="626"/>
      <c r="AL622" s="626"/>
    </row>
    <row r="623" spans="1:38" ht="18" customHeight="1">
      <c r="A623" s="593"/>
      <c r="B623" s="598">
        <v>606</v>
      </c>
      <c r="C623" s="598" t="s">
        <v>4899</v>
      </c>
      <c r="D623" s="598">
        <f t="shared" si="7"/>
        <v>572</v>
      </c>
      <c r="E623" s="616" t="s">
        <v>1351</v>
      </c>
      <c r="F623" s="616" t="s">
        <v>4884</v>
      </c>
      <c r="G623" s="618" t="s">
        <v>4208</v>
      </c>
      <c r="H623" s="618" t="s">
        <v>4211</v>
      </c>
      <c r="I623" s="618" t="s">
        <v>4210</v>
      </c>
      <c r="J623" s="618" t="s">
        <v>4169</v>
      </c>
      <c r="K623" s="618" t="s">
        <v>959</v>
      </c>
      <c r="L623" s="619"/>
      <c r="M623" s="620"/>
      <c r="N623" s="620"/>
      <c r="O623" s="673" t="s">
        <v>1127</v>
      </c>
      <c r="P623" s="621" t="s">
        <v>319</v>
      </c>
      <c r="Q623" s="598"/>
      <c r="R623" s="598"/>
      <c r="S623" s="598"/>
      <c r="T623" s="598" t="s">
        <v>1015</v>
      </c>
      <c r="U623" s="664" t="s">
        <v>4900</v>
      </c>
      <c r="V623" s="616" t="s">
        <v>4901</v>
      </c>
      <c r="W623" s="598" t="s">
        <v>950</v>
      </c>
      <c r="X623" s="624">
        <v>33117</v>
      </c>
      <c r="Y623" s="625">
        <f t="shared" ca="1" si="8"/>
        <v>35</v>
      </c>
      <c r="Z623" s="616" t="s">
        <v>4902</v>
      </c>
      <c r="AA623" s="598"/>
      <c r="AB623" s="598" t="s">
        <v>996</v>
      </c>
      <c r="AC623" s="598" t="s">
        <v>1018</v>
      </c>
      <c r="AD623" s="616" t="s">
        <v>729</v>
      </c>
      <c r="AE623" s="616" t="s">
        <v>729</v>
      </c>
      <c r="AF623" s="616" t="s">
        <v>4903</v>
      </c>
      <c r="AG623" s="598"/>
      <c r="AH623" s="598" t="s">
        <v>1019</v>
      </c>
      <c r="AI623" s="598" t="s">
        <v>1107</v>
      </c>
      <c r="AJ623" s="598"/>
      <c r="AK623" s="747">
        <v>45753</v>
      </c>
      <c r="AL623" s="626"/>
    </row>
    <row r="624" spans="1:38" ht="18" customHeight="1">
      <c r="A624" s="593"/>
      <c r="B624" s="598">
        <v>607</v>
      </c>
      <c r="C624" s="598" t="s">
        <v>1051</v>
      </c>
      <c r="D624" s="598">
        <f t="shared" si="7"/>
        <v>572</v>
      </c>
      <c r="E624" s="616"/>
      <c r="F624" s="616" t="s">
        <v>4904</v>
      </c>
      <c r="G624" s="618"/>
      <c r="H624" s="618" t="s">
        <v>80</v>
      </c>
      <c r="I624" s="618"/>
      <c r="J624" s="618"/>
      <c r="K624" s="618"/>
      <c r="L624" s="619"/>
      <c r="M624" s="620"/>
      <c r="N624" s="620"/>
      <c r="O624" s="667" t="s">
        <v>2625</v>
      </c>
      <c r="P624" s="621"/>
      <c r="Q624" s="598" t="s">
        <v>173</v>
      </c>
      <c r="R624" s="598" t="s">
        <v>514</v>
      </c>
      <c r="S624" s="598"/>
      <c r="T624" s="623"/>
      <c r="U624" s="667" t="s">
        <v>80</v>
      </c>
      <c r="V624" s="674" t="s">
        <v>4905</v>
      </c>
      <c r="W624" s="598" t="s">
        <v>950</v>
      </c>
      <c r="X624" s="624">
        <v>31722</v>
      </c>
      <c r="Y624" s="625">
        <f t="shared" ca="1" si="8"/>
        <v>39</v>
      </c>
      <c r="Z624" s="616" t="s">
        <v>1054</v>
      </c>
      <c r="AA624" s="598" t="s">
        <v>4906</v>
      </c>
      <c r="AB624" s="598" t="s">
        <v>966</v>
      </c>
      <c r="AC624" s="598" t="s">
        <v>953</v>
      </c>
      <c r="AD624" s="616" t="s">
        <v>729</v>
      </c>
      <c r="AE624" s="616" t="s">
        <v>954</v>
      </c>
      <c r="AF624" s="616" t="s">
        <v>974</v>
      </c>
      <c r="AG624" s="598" t="s">
        <v>955</v>
      </c>
      <c r="AH624" s="598"/>
      <c r="AI624" s="598"/>
      <c r="AJ624" s="598"/>
      <c r="AK624" s="626"/>
      <c r="AL624" s="626"/>
    </row>
    <row r="625" spans="1:38" ht="18" customHeight="1">
      <c r="A625" s="593"/>
      <c r="B625" s="598">
        <v>608</v>
      </c>
      <c r="C625" s="598" t="s">
        <v>2600</v>
      </c>
      <c r="D625" s="598">
        <f t="shared" si="7"/>
        <v>573</v>
      </c>
      <c r="E625" s="616" t="s">
        <v>1351</v>
      </c>
      <c r="F625" s="616" t="s">
        <v>4904</v>
      </c>
      <c r="G625" s="618" t="s">
        <v>1195</v>
      </c>
      <c r="H625" s="618" t="s">
        <v>80</v>
      </c>
      <c r="I625" s="618" t="s">
        <v>1051</v>
      </c>
      <c r="J625" s="681" t="s">
        <v>2600</v>
      </c>
      <c r="K625" s="728" t="s">
        <v>2398</v>
      </c>
      <c r="L625" s="619"/>
      <c r="M625" s="620"/>
      <c r="N625" s="620"/>
      <c r="O625" s="663" t="s">
        <v>2625</v>
      </c>
      <c r="P625" s="621"/>
      <c r="Q625" s="650" t="s">
        <v>55</v>
      </c>
      <c r="R625" s="650" t="s">
        <v>55</v>
      </c>
      <c r="S625" s="598"/>
      <c r="T625" s="623" t="s">
        <v>1015</v>
      </c>
      <c r="U625" s="663" t="s">
        <v>610</v>
      </c>
      <c r="V625" s="674" t="s">
        <v>2601</v>
      </c>
      <c r="W625" s="598" t="s">
        <v>950</v>
      </c>
      <c r="X625" s="624">
        <v>33100</v>
      </c>
      <c r="Y625" s="625">
        <f t="shared" ca="1" si="8"/>
        <v>35</v>
      </c>
      <c r="Z625" s="616" t="s">
        <v>2602</v>
      </c>
      <c r="AA625" s="598" t="s">
        <v>2603</v>
      </c>
      <c r="AB625" s="598" t="s">
        <v>996</v>
      </c>
      <c r="AC625" s="598" t="s">
        <v>997</v>
      </c>
      <c r="AD625" s="616" t="s">
        <v>729</v>
      </c>
      <c r="AE625" s="640" t="s">
        <v>729</v>
      </c>
      <c r="AF625" s="633" t="s">
        <v>2424</v>
      </c>
      <c r="AG625" s="598"/>
      <c r="AH625" s="598"/>
      <c r="AI625" s="598" t="s">
        <v>1125</v>
      </c>
      <c r="AJ625" s="598"/>
      <c r="AK625" s="626">
        <v>-6</v>
      </c>
      <c r="AL625" s="626"/>
    </row>
    <row r="626" spans="1:38" ht="18" customHeight="1">
      <c r="A626" s="593"/>
      <c r="B626" s="598">
        <v>609</v>
      </c>
      <c r="C626" s="598" t="s">
        <v>2425</v>
      </c>
      <c r="D626" s="598">
        <f t="shared" si="7"/>
        <v>574</v>
      </c>
      <c r="E626" s="616" t="s">
        <v>1351</v>
      </c>
      <c r="F626" s="616" t="s">
        <v>4904</v>
      </c>
      <c r="G626" s="618" t="s">
        <v>1195</v>
      </c>
      <c r="H626" s="618" t="s">
        <v>80</v>
      </c>
      <c r="I626" s="618" t="s">
        <v>1051</v>
      </c>
      <c r="J626" s="681" t="s">
        <v>2600</v>
      </c>
      <c r="K626" s="728" t="s">
        <v>2398</v>
      </c>
      <c r="L626" s="619"/>
      <c r="M626" s="620"/>
      <c r="N626" s="620"/>
      <c r="O626" s="663" t="s">
        <v>2625</v>
      </c>
      <c r="P626" s="621"/>
      <c r="Q626" s="598"/>
      <c r="R626" s="598"/>
      <c r="S626" s="598"/>
      <c r="T626" s="623" t="s">
        <v>1015</v>
      </c>
      <c r="U626" s="663" t="s">
        <v>4907</v>
      </c>
      <c r="V626" s="674" t="s">
        <v>4908</v>
      </c>
      <c r="W626" s="598" t="s">
        <v>950</v>
      </c>
      <c r="X626" s="624">
        <v>32267</v>
      </c>
      <c r="Y626" s="625">
        <f t="shared" ca="1" si="8"/>
        <v>37</v>
      </c>
      <c r="Z626" s="616" t="s">
        <v>2428</v>
      </c>
      <c r="AA626" s="598" t="s">
        <v>2429</v>
      </c>
      <c r="AB626" s="598" t="s">
        <v>996</v>
      </c>
      <c r="AC626" s="598" t="s">
        <v>1018</v>
      </c>
      <c r="AD626" s="616" t="s">
        <v>729</v>
      </c>
      <c r="AE626" s="640" t="s">
        <v>729</v>
      </c>
      <c r="AF626" s="633" t="s">
        <v>2424</v>
      </c>
      <c r="AG626" s="598"/>
      <c r="AH626" s="598" t="s">
        <v>2430</v>
      </c>
      <c r="AI626" s="598" t="s">
        <v>1125</v>
      </c>
      <c r="AJ626" s="598"/>
      <c r="AK626" s="626">
        <v>-6</v>
      </c>
      <c r="AL626" s="626"/>
    </row>
    <row r="627" spans="1:38" ht="18" customHeight="1">
      <c r="A627" s="593"/>
      <c r="B627" s="598">
        <v>610</v>
      </c>
      <c r="C627" s="598" t="s">
        <v>2419</v>
      </c>
      <c r="D627" s="598">
        <f t="shared" si="7"/>
        <v>575</v>
      </c>
      <c r="E627" s="616" t="s">
        <v>1351</v>
      </c>
      <c r="F627" s="616" t="s">
        <v>4904</v>
      </c>
      <c r="G627" s="618" t="s">
        <v>1195</v>
      </c>
      <c r="H627" s="618" t="s">
        <v>80</v>
      </c>
      <c r="I627" s="618" t="s">
        <v>1051</v>
      </c>
      <c r="J627" s="681" t="s">
        <v>2600</v>
      </c>
      <c r="K627" s="728" t="s">
        <v>2398</v>
      </c>
      <c r="L627" s="619"/>
      <c r="M627" s="620"/>
      <c r="N627" s="620"/>
      <c r="O627" s="663" t="s">
        <v>2625</v>
      </c>
      <c r="P627" s="621"/>
      <c r="Q627" s="598"/>
      <c r="R627" s="598"/>
      <c r="S627" s="598"/>
      <c r="T627" s="623" t="s">
        <v>1015</v>
      </c>
      <c r="U627" s="663" t="s">
        <v>2420</v>
      </c>
      <c r="V627" s="674" t="s">
        <v>2421</v>
      </c>
      <c r="W627" s="598" t="s">
        <v>950</v>
      </c>
      <c r="X627" s="624">
        <v>35591</v>
      </c>
      <c r="Y627" s="625">
        <f t="shared" ca="1" si="8"/>
        <v>28</v>
      </c>
      <c r="Z627" s="616" t="s">
        <v>2422</v>
      </c>
      <c r="AA627" s="730" t="s">
        <v>2423</v>
      </c>
      <c r="AB627" s="598" t="s">
        <v>966</v>
      </c>
      <c r="AC627" s="598" t="s">
        <v>953</v>
      </c>
      <c r="AD627" s="616" t="s">
        <v>729</v>
      </c>
      <c r="AE627" s="640" t="s">
        <v>729</v>
      </c>
      <c r="AF627" s="633" t="s">
        <v>2424</v>
      </c>
      <c r="AG627" s="598"/>
      <c r="AH627" s="598"/>
      <c r="AI627" s="598" t="s">
        <v>1125</v>
      </c>
      <c r="AJ627" s="598"/>
      <c r="AK627" s="626">
        <v>-6</v>
      </c>
      <c r="AL627" s="626"/>
    </row>
    <row r="628" spans="1:38" ht="18" customHeight="1">
      <c r="A628" s="593"/>
      <c r="B628" s="598">
        <v>611</v>
      </c>
      <c r="C628" s="598" t="s">
        <v>2395</v>
      </c>
      <c r="D628" s="598">
        <f t="shared" si="7"/>
        <v>576</v>
      </c>
      <c r="E628" s="616" t="s">
        <v>1351</v>
      </c>
      <c r="F628" s="616" t="s">
        <v>4904</v>
      </c>
      <c r="G628" s="618" t="s">
        <v>1195</v>
      </c>
      <c r="H628" s="618" t="s">
        <v>80</v>
      </c>
      <c r="I628" s="618" t="s">
        <v>1051</v>
      </c>
      <c r="J628" s="681" t="s">
        <v>2600</v>
      </c>
      <c r="K628" s="728" t="s">
        <v>2398</v>
      </c>
      <c r="L628" s="619"/>
      <c r="M628" s="620"/>
      <c r="N628" s="620"/>
      <c r="O628" s="663" t="s">
        <v>2625</v>
      </c>
      <c r="P628" s="621" t="s">
        <v>319</v>
      </c>
      <c r="Q628" s="598"/>
      <c r="R628" s="598"/>
      <c r="S628" s="598"/>
      <c r="T628" s="623" t="s">
        <v>1015</v>
      </c>
      <c r="U628" s="663" t="s">
        <v>2399</v>
      </c>
      <c r="V628" s="674" t="s">
        <v>2400</v>
      </c>
      <c r="W628" s="598" t="s">
        <v>950</v>
      </c>
      <c r="X628" s="624">
        <v>31113</v>
      </c>
      <c r="Y628" s="625">
        <f t="shared" ca="1" si="8"/>
        <v>40</v>
      </c>
      <c r="Z628" s="616" t="s">
        <v>2401</v>
      </c>
      <c r="AA628" s="598" t="s">
        <v>2402</v>
      </c>
      <c r="AB628" s="598" t="s">
        <v>996</v>
      </c>
      <c r="AC628" s="644" t="s">
        <v>997</v>
      </c>
      <c r="AD628" s="616" t="s">
        <v>729</v>
      </c>
      <c r="AE628" s="640" t="s">
        <v>729</v>
      </c>
      <c r="AF628" s="633" t="s">
        <v>2403</v>
      </c>
      <c r="AG628" s="598"/>
      <c r="AH628" s="598"/>
      <c r="AI628" s="634" t="s">
        <v>1359</v>
      </c>
      <c r="AJ628" s="598"/>
      <c r="AK628" s="715">
        <v>-2</v>
      </c>
      <c r="AL628" s="626"/>
    </row>
    <row r="629" spans="1:38" ht="18" customHeight="1">
      <c r="A629" s="593"/>
      <c r="B629" s="598">
        <v>612</v>
      </c>
      <c r="C629" s="598" t="s">
        <v>2408</v>
      </c>
      <c r="D629" s="598">
        <f t="shared" si="7"/>
        <v>577</v>
      </c>
      <c r="E629" s="616" t="s">
        <v>1351</v>
      </c>
      <c r="F629" s="616" t="s">
        <v>4904</v>
      </c>
      <c r="G629" s="618" t="s">
        <v>1195</v>
      </c>
      <c r="H629" s="618" t="s">
        <v>80</v>
      </c>
      <c r="I629" s="618" t="s">
        <v>1051</v>
      </c>
      <c r="J629" s="681" t="s">
        <v>2600</v>
      </c>
      <c r="K629" s="728" t="s">
        <v>2398</v>
      </c>
      <c r="L629" s="619"/>
      <c r="M629" s="620"/>
      <c r="N629" s="620"/>
      <c r="O629" s="663" t="s">
        <v>2625</v>
      </c>
      <c r="P629" s="621" t="s">
        <v>319</v>
      </c>
      <c r="Q629" s="598"/>
      <c r="R629" s="598"/>
      <c r="S629" s="598"/>
      <c r="T629" s="623" t="s">
        <v>1015</v>
      </c>
      <c r="U629" s="664" t="s">
        <v>2409</v>
      </c>
      <c r="V629" s="674" t="s">
        <v>2410</v>
      </c>
      <c r="W629" s="598" t="s">
        <v>950</v>
      </c>
      <c r="X629" s="624">
        <v>30783</v>
      </c>
      <c r="Y629" s="625">
        <f t="shared" ca="1" si="8"/>
        <v>41</v>
      </c>
      <c r="Z629" s="616" t="s">
        <v>2411</v>
      </c>
      <c r="AA629" s="598" t="s">
        <v>2412</v>
      </c>
      <c r="AB629" s="598" t="s">
        <v>996</v>
      </c>
      <c r="AC629" s="644" t="s">
        <v>997</v>
      </c>
      <c r="AD629" s="616" t="s">
        <v>729</v>
      </c>
      <c r="AE629" s="640" t="s">
        <v>729</v>
      </c>
      <c r="AF629" s="616" t="s">
        <v>2413</v>
      </c>
      <c r="AG629" s="598"/>
      <c r="AH629" s="598"/>
      <c r="AI629" s="700" t="s">
        <v>1612</v>
      </c>
      <c r="AJ629" s="598"/>
      <c r="AK629" s="715">
        <v>-1</v>
      </c>
      <c r="AL629" s="626"/>
    </row>
    <row r="630" spans="1:38" ht="18" customHeight="1">
      <c r="A630" s="593"/>
      <c r="B630" s="598">
        <v>613</v>
      </c>
      <c r="C630" s="598" t="s">
        <v>2398</v>
      </c>
      <c r="D630" s="598">
        <f t="shared" si="7"/>
        <v>578</v>
      </c>
      <c r="E630" s="616" t="s">
        <v>1351</v>
      </c>
      <c r="F630" s="616" t="s">
        <v>4904</v>
      </c>
      <c r="G630" s="618" t="s">
        <v>1195</v>
      </c>
      <c r="H630" s="618" t="s">
        <v>80</v>
      </c>
      <c r="I630" s="618" t="s">
        <v>1051</v>
      </c>
      <c r="J630" s="681" t="s">
        <v>2600</v>
      </c>
      <c r="K630" s="728" t="s">
        <v>2398</v>
      </c>
      <c r="L630" s="619"/>
      <c r="M630" s="620"/>
      <c r="N630" s="620"/>
      <c r="O630" s="663" t="s">
        <v>2625</v>
      </c>
      <c r="P630" s="621" t="s">
        <v>319</v>
      </c>
      <c r="Q630" s="644" t="s">
        <v>69</v>
      </c>
      <c r="R630" s="644" t="s">
        <v>562</v>
      </c>
      <c r="S630" s="598"/>
      <c r="T630" s="623" t="s">
        <v>1015</v>
      </c>
      <c r="U630" s="710" t="s">
        <v>699</v>
      </c>
      <c r="V630" s="674" t="s">
        <v>2404</v>
      </c>
      <c r="W630" s="598" t="s">
        <v>950</v>
      </c>
      <c r="X630" s="624">
        <v>31732</v>
      </c>
      <c r="Y630" s="625">
        <f t="shared" ca="1" si="8"/>
        <v>39</v>
      </c>
      <c r="Z630" s="616" t="s">
        <v>2405</v>
      </c>
      <c r="AA630" s="598" t="s">
        <v>2406</v>
      </c>
      <c r="AB630" s="598" t="s">
        <v>996</v>
      </c>
      <c r="AC630" s="644" t="s">
        <v>997</v>
      </c>
      <c r="AD630" s="616" t="s">
        <v>729</v>
      </c>
      <c r="AE630" s="616" t="s">
        <v>729</v>
      </c>
      <c r="AF630" s="616" t="s">
        <v>2418</v>
      </c>
      <c r="AG630" s="598"/>
      <c r="AH630" s="598"/>
      <c r="AI630" s="748" t="s">
        <v>1566</v>
      </c>
      <c r="AJ630" s="598"/>
      <c r="AK630" s="715">
        <v>-2</v>
      </c>
      <c r="AL630" s="626"/>
    </row>
    <row r="631" spans="1:38" ht="18" customHeight="1">
      <c r="A631" s="593"/>
      <c r="B631" s="598">
        <v>614</v>
      </c>
      <c r="C631" s="598" t="s">
        <v>2414</v>
      </c>
      <c r="D631" s="598">
        <f t="shared" si="7"/>
        <v>579</v>
      </c>
      <c r="E631" s="616" t="s">
        <v>1351</v>
      </c>
      <c r="F631" s="616" t="s">
        <v>4904</v>
      </c>
      <c r="G631" s="618" t="s">
        <v>1195</v>
      </c>
      <c r="H631" s="618" t="s">
        <v>80</v>
      </c>
      <c r="I631" s="618" t="s">
        <v>1051</v>
      </c>
      <c r="J631" s="681" t="s">
        <v>2600</v>
      </c>
      <c r="K631" s="728" t="s">
        <v>2398</v>
      </c>
      <c r="L631" s="619"/>
      <c r="M631" s="620"/>
      <c r="N631" s="620"/>
      <c r="O631" s="664" t="s">
        <v>2625</v>
      </c>
      <c r="P631" s="621" t="s">
        <v>319</v>
      </c>
      <c r="Q631" s="598"/>
      <c r="R631" s="598"/>
      <c r="S631" s="598"/>
      <c r="T631" s="623" t="s">
        <v>1015</v>
      </c>
      <c r="U631" s="676" t="s">
        <v>709</v>
      </c>
      <c r="V631" s="674" t="s">
        <v>2415</v>
      </c>
      <c r="W631" s="598" t="s">
        <v>950</v>
      </c>
      <c r="X631" s="624">
        <v>32987</v>
      </c>
      <c r="Y631" s="625">
        <f t="shared" ca="1" si="8"/>
        <v>35</v>
      </c>
      <c r="Z631" s="616" t="s">
        <v>2416</v>
      </c>
      <c r="AA631" s="598" t="s">
        <v>2417</v>
      </c>
      <c r="AB631" s="598" t="s">
        <v>996</v>
      </c>
      <c r="AC631" s="644" t="s">
        <v>997</v>
      </c>
      <c r="AD631" s="616" t="s">
        <v>729</v>
      </c>
      <c r="AE631" s="640" t="s">
        <v>729</v>
      </c>
      <c r="AF631" s="616" t="s">
        <v>2418</v>
      </c>
      <c r="AG631" s="598"/>
      <c r="AH631" s="598"/>
      <c r="AI631" s="748" t="s">
        <v>1566</v>
      </c>
      <c r="AJ631" s="598"/>
      <c r="AK631" s="715">
        <v>-2</v>
      </c>
      <c r="AL631" s="626"/>
    </row>
    <row r="632" spans="1:38" ht="18" customHeight="1">
      <c r="A632" s="593"/>
      <c r="B632" s="598">
        <v>615</v>
      </c>
      <c r="C632" s="598" t="s">
        <v>1361</v>
      </c>
      <c r="D632" s="598">
        <f t="shared" si="7"/>
        <v>580</v>
      </c>
      <c r="E632" s="616" t="s">
        <v>1233</v>
      </c>
      <c r="F632" s="616" t="s">
        <v>4904</v>
      </c>
      <c r="G632" s="618" t="s">
        <v>1195</v>
      </c>
      <c r="H632" s="618" t="s">
        <v>80</v>
      </c>
      <c r="I632" s="618" t="s">
        <v>1051</v>
      </c>
      <c r="J632" s="681" t="s">
        <v>1361</v>
      </c>
      <c r="K632" s="619" t="s">
        <v>1304</v>
      </c>
      <c r="L632" s="619"/>
      <c r="M632" s="620"/>
      <c r="N632" s="620"/>
      <c r="O632" s="667" t="s">
        <v>2668</v>
      </c>
      <c r="P632" s="621"/>
      <c r="Q632" s="650" t="s">
        <v>55</v>
      </c>
      <c r="R632" s="650" t="s">
        <v>55</v>
      </c>
      <c r="S632" s="598"/>
      <c r="T632" s="598" t="s">
        <v>1015</v>
      </c>
      <c r="U632" s="663" t="s">
        <v>1365</v>
      </c>
      <c r="V632" s="616" t="s">
        <v>1366</v>
      </c>
      <c r="W632" s="598" t="s">
        <v>950</v>
      </c>
      <c r="X632" s="624">
        <v>28273</v>
      </c>
      <c r="Y632" s="625">
        <f t="shared" ca="1" si="8"/>
        <v>48</v>
      </c>
      <c r="Z632" s="616" t="s">
        <v>1367</v>
      </c>
      <c r="AA632" s="598" t="s">
        <v>1368</v>
      </c>
      <c r="AB632" s="598" t="s">
        <v>996</v>
      </c>
      <c r="AC632" s="598" t="s">
        <v>997</v>
      </c>
      <c r="AD632" s="643" t="s">
        <v>1250</v>
      </c>
      <c r="AE632" s="616" t="s">
        <v>1250</v>
      </c>
      <c r="AF632" s="616" t="s">
        <v>1369</v>
      </c>
      <c r="AG632" s="598"/>
      <c r="AH632" s="598"/>
      <c r="AI632" s="598" t="s">
        <v>1125</v>
      </c>
      <c r="AJ632" s="598"/>
      <c r="AK632" s="626"/>
      <c r="AL632" s="626"/>
    </row>
    <row r="633" spans="1:38" ht="18" customHeight="1">
      <c r="A633" s="593"/>
      <c r="B633" s="598">
        <v>616</v>
      </c>
      <c r="C633" s="598" t="s">
        <v>1304</v>
      </c>
      <c r="D633" s="598">
        <f t="shared" si="7"/>
        <v>581</v>
      </c>
      <c r="E633" s="616" t="s">
        <v>1233</v>
      </c>
      <c r="F633" s="616" t="s">
        <v>4904</v>
      </c>
      <c r="G633" s="618" t="s">
        <v>1195</v>
      </c>
      <c r="H633" s="618" t="s">
        <v>80</v>
      </c>
      <c r="I633" s="618" t="s">
        <v>1051</v>
      </c>
      <c r="J633" s="681" t="s">
        <v>1361</v>
      </c>
      <c r="K633" s="619" t="s">
        <v>1304</v>
      </c>
      <c r="L633" s="619"/>
      <c r="M633" s="620"/>
      <c r="N633" s="620"/>
      <c r="O633" s="663" t="s">
        <v>2668</v>
      </c>
      <c r="P633" s="621"/>
      <c r="Q633" s="598" t="s">
        <v>69</v>
      </c>
      <c r="R633" s="598" t="s">
        <v>562</v>
      </c>
      <c r="S633" s="598"/>
      <c r="T633" s="598" t="s">
        <v>1015</v>
      </c>
      <c r="U633" s="669" t="s">
        <v>1308</v>
      </c>
      <c r="V633" s="616" t="s">
        <v>1309</v>
      </c>
      <c r="W633" s="598" t="s">
        <v>950</v>
      </c>
      <c r="X633" s="624">
        <v>21995</v>
      </c>
      <c r="Y633" s="625">
        <f t="shared" ca="1" si="8"/>
        <v>65</v>
      </c>
      <c r="Z633" s="616" t="s">
        <v>1310</v>
      </c>
      <c r="AA633" s="598" t="s">
        <v>1311</v>
      </c>
      <c r="AB633" s="598" t="s">
        <v>966</v>
      </c>
      <c r="AC633" s="598" t="s">
        <v>953</v>
      </c>
      <c r="AD633" s="643" t="s">
        <v>1250</v>
      </c>
      <c r="AE633" s="616" t="s">
        <v>1250</v>
      </c>
      <c r="AF633" s="616" t="s">
        <v>1312</v>
      </c>
      <c r="AG633" s="598"/>
      <c r="AH633" s="598"/>
      <c r="AI633" s="598" t="s">
        <v>1125</v>
      </c>
      <c r="AJ633" s="598"/>
      <c r="AK633" s="626"/>
      <c r="AL633" s="626"/>
    </row>
    <row r="634" spans="1:38" ht="18" customHeight="1">
      <c r="A634" s="593"/>
      <c r="B634" s="598">
        <v>617</v>
      </c>
      <c r="C634" s="598" t="s">
        <v>1980</v>
      </c>
      <c r="D634" s="598">
        <f t="shared" si="7"/>
        <v>582</v>
      </c>
      <c r="E634" s="616" t="s">
        <v>1351</v>
      </c>
      <c r="F634" s="616" t="s">
        <v>4904</v>
      </c>
      <c r="G634" s="618" t="s">
        <v>1195</v>
      </c>
      <c r="H634" s="618" t="s">
        <v>80</v>
      </c>
      <c r="I634" s="618" t="s">
        <v>1051</v>
      </c>
      <c r="J634" s="681" t="s">
        <v>1361</v>
      </c>
      <c r="K634" s="619" t="s">
        <v>1304</v>
      </c>
      <c r="L634" s="619"/>
      <c r="M634" s="620"/>
      <c r="N634" s="620"/>
      <c r="O634" s="663" t="s">
        <v>2668</v>
      </c>
      <c r="P634" s="621"/>
      <c r="Q634" s="598"/>
      <c r="R634" s="598"/>
      <c r="S634" s="598"/>
      <c r="T634" s="598" t="s">
        <v>1015</v>
      </c>
      <c r="U634" s="663" t="s">
        <v>1981</v>
      </c>
      <c r="V634" s="616" t="s">
        <v>1982</v>
      </c>
      <c r="W634" s="598" t="s">
        <v>950</v>
      </c>
      <c r="X634" s="624">
        <v>31463</v>
      </c>
      <c r="Y634" s="625">
        <f t="shared" ca="1" si="8"/>
        <v>39</v>
      </c>
      <c r="Z634" s="616" t="s">
        <v>1983</v>
      </c>
      <c r="AA634" s="598" t="s">
        <v>1984</v>
      </c>
      <c r="AB634" s="598" t="s">
        <v>996</v>
      </c>
      <c r="AC634" s="598" t="s">
        <v>997</v>
      </c>
      <c r="AD634" s="616" t="s">
        <v>729</v>
      </c>
      <c r="AE634" s="616" t="s">
        <v>729</v>
      </c>
      <c r="AF634" s="643" t="s">
        <v>1835</v>
      </c>
      <c r="AG634" s="598"/>
      <c r="AH634" s="598"/>
      <c r="AI634" s="598" t="s">
        <v>1125</v>
      </c>
      <c r="AJ634" s="598"/>
      <c r="AK634" s="626">
        <v>-4</v>
      </c>
      <c r="AL634" s="626"/>
    </row>
    <row r="635" spans="1:38" ht="18" customHeight="1">
      <c r="A635" s="593"/>
      <c r="B635" s="598">
        <v>618</v>
      </c>
      <c r="C635" s="598" t="s">
        <v>1370</v>
      </c>
      <c r="D635" s="598">
        <f t="shared" si="7"/>
        <v>583</v>
      </c>
      <c r="E635" s="616" t="s">
        <v>1233</v>
      </c>
      <c r="F635" s="616" t="s">
        <v>4904</v>
      </c>
      <c r="G635" s="618" t="s">
        <v>1195</v>
      </c>
      <c r="H635" s="618" t="s">
        <v>80</v>
      </c>
      <c r="I635" s="618" t="s">
        <v>1051</v>
      </c>
      <c r="J635" s="681" t="s">
        <v>1361</v>
      </c>
      <c r="K635" s="619" t="s">
        <v>1304</v>
      </c>
      <c r="L635" s="619"/>
      <c r="M635" s="620"/>
      <c r="N635" s="620"/>
      <c r="O635" s="663" t="s">
        <v>2668</v>
      </c>
      <c r="P635" s="621"/>
      <c r="Q635" s="598"/>
      <c r="R635" s="598"/>
      <c r="S635" s="598"/>
      <c r="T635" s="598" t="s">
        <v>1015</v>
      </c>
      <c r="U635" s="663" t="s">
        <v>1371</v>
      </c>
      <c r="V635" s="616" t="s">
        <v>1372</v>
      </c>
      <c r="W635" s="598" t="s">
        <v>950</v>
      </c>
      <c r="X635" s="624">
        <v>30230</v>
      </c>
      <c r="Y635" s="625">
        <f t="shared" ca="1" si="8"/>
        <v>43</v>
      </c>
      <c r="Z635" s="616" t="s">
        <v>1373</v>
      </c>
      <c r="AA635" s="598" t="s">
        <v>1374</v>
      </c>
      <c r="AB635" s="598" t="s">
        <v>996</v>
      </c>
      <c r="AC635" s="598" t="s">
        <v>997</v>
      </c>
      <c r="AD635" s="643" t="s">
        <v>1375</v>
      </c>
      <c r="AE635" s="616" t="s">
        <v>1375</v>
      </c>
      <c r="AF635" s="616" t="s">
        <v>1376</v>
      </c>
      <c r="AG635" s="598"/>
      <c r="AH635" s="598"/>
      <c r="AI635" s="598" t="s">
        <v>1125</v>
      </c>
      <c r="AJ635" s="598"/>
      <c r="AK635" s="626"/>
      <c r="AL635" s="626"/>
    </row>
    <row r="636" spans="1:38" ht="18" customHeight="1">
      <c r="A636" s="593"/>
      <c r="B636" s="598">
        <v>619</v>
      </c>
      <c r="C636" s="598" t="s">
        <v>1377</v>
      </c>
      <c r="D636" s="598">
        <f t="shared" si="7"/>
        <v>584</v>
      </c>
      <c r="E636" s="616" t="s">
        <v>1233</v>
      </c>
      <c r="F636" s="616" t="s">
        <v>4904</v>
      </c>
      <c r="G636" s="618" t="s">
        <v>1195</v>
      </c>
      <c r="H636" s="618" t="s">
        <v>80</v>
      </c>
      <c r="I636" s="618" t="s">
        <v>1051</v>
      </c>
      <c r="J636" s="681" t="s">
        <v>1361</v>
      </c>
      <c r="K636" s="619" t="s">
        <v>1304</v>
      </c>
      <c r="L636" s="619"/>
      <c r="M636" s="620"/>
      <c r="N636" s="620"/>
      <c r="O636" s="663" t="s">
        <v>2668</v>
      </c>
      <c r="P636" s="621"/>
      <c r="Q636" s="598"/>
      <c r="R636" s="598"/>
      <c r="S636" s="598"/>
      <c r="T636" s="598" t="s">
        <v>1015</v>
      </c>
      <c r="U636" s="663" t="s">
        <v>1378</v>
      </c>
      <c r="V636" s="616" t="s">
        <v>1379</v>
      </c>
      <c r="W636" s="598" t="s">
        <v>950</v>
      </c>
      <c r="X636" s="624">
        <v>32894</v>
      </c>
      <c r="Y636" s="625">
        <f t="shared" ca="1" si="8"/>
        <v>36</v>
      </c>
      <c r="Z636" s="616" t="s">
        <v>1380</v>
      </c>
      <c r="AA636" s="598" t="s">
        <v>1381</v>
      </c>
      <c r="AB636" s="598" t="s">
        <v>996</v>
      </c>
      <c r="AC636" s="598" t="s">
        <v>997</v>
      </c>
      <c r="AD636" s="643" t="s">
        <v>1375</v>
      </c>
      <c r="AE636" s="616" t="s">
        <v>1375</v>
      </c>
      <c r="AF636" s="616" t="s">
        <v>1376</v>
      </c>
      <c r="AG636" s="598"/>
      <c r="AH636" s="598"/>
      <c r="AI636" s="598" t="s">
        <v>1125</v>
      </c>
      <c r="AJ636" s="598"/>
      <c r="AK636" s="626"/>
      <c r="AL636" s="626"/>
    </row>
    <row r="637" spans="1:38" ht="18" customHeight="1">
      <c r="A637" s="593"/>
      <c r="B637" s="598">
        <v>620</v>
      </c>
      <c r="C637" s="598" t="s">
        <v>1383</v>
      </c>
      <c r="D637" s="598">
        <f t="shared" si="7"/>
        <v>585</v>
      </c>
      <c r="E637" s="616" t="s">
        <v>1798</v>
      </c>
      <c r="F637" s="616" t="s">
        <v>4904</v>
      </c>
      <c r="G637" s="618" t="s">
        <v>1195</v>
      </c>
      <c r="H637" s="618" t="s">
        <v>80</v>
      </c>
      <c r="I637" s="618" t="s">
        <v>1051</v>
      </c>
      <c r="J637" s="681" t="s">
        <v>1361</v>
      </c>
      <c r="K637" s="619" t="s">
        <v>1304</v>
      </c>
      <c r="L637" s="619"/>
      <c r="M637" s="620"/>
      <c r="N637" s="620"/>
      <c r="O637" s="663" t="s">
        <v>2668</v>
      </c>
      <c r="P637" s="621"/>
      <c r="Q637" s="598"/>
      <c r="R637" s="598"/>
      <c r="S637" s="598"/>
      <c r="T637" s="598" t="s">
        <v>1015</v>
      </c>
      <c r="U637" s="664" t="s">
        <v>1384</v>
      </c>
      <c r="V637" s="616" t="s">
        <v>1385</v>
      </c>
      <c r="W637" s="598" t="s">
        <v>950</v>
      </c>
      <c r="X637" s="624">
        <v>25602</v>
      </c>
      <c r="Y637" s="625">
        <f t="shared" ca="1" si="8"/>
        <v>55</v>
      </c>
      <c r="Z637" s="616"/>
      <c r="AA637" s="598" t="s">
        <v>1386</v>
      </c>
      <c r="AB637" s="598" t="s">
        <v>996</v>
      </c>
      <c r="AC637" s="598" t="s">
        <v>997</v>
      </c>
      <c r="AD637" s="616" t="s">
        <v>1250</v>
      </c>
      <c r="AE637" s="616" t="s">
        <v>1250</v>
      </c>
      <c r="AF637" s="616" t="s">
        <v>1387</v>
      </c>
      <c r="AG637" s="598"/>
      <c r="AH637" s="598"/>
      <c r="AI637" s="598" t="s">
        <v>1011</v>
      </c>
      <c r="AJ637" s="598"/>
      <c r="AK637" s="626"/>
      <c r="AL637" s="626"/>
    </row>
    <row r="638" spans="1:38" ht="18" customHeight="1">
      <c r="A638" s="593"/>
      <c r="B638" s="598">
        <v>621</v>
      </c>
      <c r="C638" s="598" t="s">
        <v>1681</v>
      </c>
      <c r="D638" s="598">
        <f t="shared" si="7"/>
        <v>586</v>
      </c>
      <c r="E638" s="616" t="s">
        <v>1798</v>
      </c>
      <c r="F638" s="616" t="s">
        <v>4904</v>
      </c>
      <c r="G638" s="618" t="s">
        <v>1195</v>
      </c>
      <c r="H638" s="618" t="s">
        <v>80</v>
      </c>
      <c r="I638" s="618" t="s">
        <v>1051</v>
      </c>
      <c r="J638" s="681" t="s">
        <v>1361</v>
      </c>
      <c r="K638" s="619" t="s">
        <v>1304</v>
      </c>
      <c r="L638" s="619"/>
      <c r="M638" s="620"/>
      <c r="N638" s="620"/>
      <c r="O638" s="673" t="s">
        <v>2668</v>
      </c>
      <c r="P638" s="621" t="s">
        <v>319</v>
      </c>
      <c r="Q638" s="598"/>
      <c r="R638" s="598"/>
      <c r="S638" s="598"/>
      <c r="T638" s="598" t="s">
        <v>1015</v>
      </c>
      <c r="U638" s="720" t="s">
        <v>900</v>
      </c>
      <c r="V638" s="708" t="s">
        <v>1682</v>
      </c>
      <c r="W638" s="598" t="s">
        <v>950</v>
      </c>
      <c r="X638" s="624">
        <v>30389</v>
      </c>
      <c r="Y638" s="625">
        <f t="shared" ca="1" si="8"/>
        <v>42</v>
      </c>
      <c r="Z638" s="714" t="s">
        <v>1683</v>
      </c>
      <c r="AA638" s="598"/>
      <c r="AB638" s="598" t="s">
        <v>996</v>
      </c>
      <c r="AC638" s="598" t="s">
        <v>1018</v>
      </c>
      <c r="AD638" s="616" t="s">
        <v>1250</v>
      </c>
      <c r="AE638" s="616" t="s">
        <v>1250</v>
      </c>
      <c r="AF638" s="616" t="s">
        <v>1684</v>
      </c>
      <c r="AG638" s="598"/>
      <c r="AH638" s="598"/>
      <c r="AI638" s="650" t="s">
        <v>1575</v>
      </c>
      <c r="AJ638" s="598"/>
      <c r="AK638" s="626"/>
      <c r="AL638" s="626"/>
    </row>
    <row r="639" spans="1:38" ht="18" customHeight="1">
      <c r="A639" s="593"/>
      <c r="B639" s="598">
        <v>622</v>
      </c>
      <c r="C639" s="598" t="s">
        <v>1991</v>
      </c>
      <c r="D639" s="598">
        <f t="shared" si="7"/>
        <v>586</v>
      </c>
      <c r="E639" s="616"/>
      <c r="F639" s="616" t="s">
        <v>4904</v>
      </c>
      <c r="G639" s="618" t="s">
        <v>1202</v>
      </c>
      <c r="H639" s="618" t="s">
        <v>80</v>
      </c>
      <c r="I639" s="618" t="s">
        <v>1051</v>
      </c>
      <c r="J639" s="618" t="s">
        <v>1991</v>
      </c>
      <c r="K639" s="618" t="s">
        <v>2521</v>
      </c>
      <c r="L639" s="619"/>
      <c r="M639" s="620"/>
      <c r="N639" s="620"/>
      <c r="O639" s="669" t="s">
        <v>1074</v>
      </c>
      <c r="P639" s="621"/>
      <c r="Q639" s="598" t="s">
        <v>55</v>
      </c>
      <c r="R639" s="598" t="s">
        <v>178</v>
      </c>
      <c r="S639" s="598"/>
      <c r="T639" s="598"/>
      <c r="U639" s="667" t="s">
        <v>289</v>
      </c>
      <c r="V639" s="616" t="s">
        <v>1993</v>
      </c>
      <c r="W639" s="598" t="s">
        <v>950</v>
      </c>
      <c r="X639" s="624">
        <v>28944</v>
      </c>
      <c r="Y639" s="625">
        <f t="shared" ca="1" si="8"/>
        <v>46</v>
      </c>
      <c r="Z639" s="616" t="s">
        <v>1994</v>
      </c>
      <c r="AA639" s="598" t="s">
        <v>4909</v>
      </c>
      <c r="AB639" s="598" t="s">
        <v>966</v>
      </c>
      <c r="AC639" s="598" t="s">
        <v>953</v>
      </c>
      <c r="AD639" s="616" t="s">
        <v>246</v>
      </c>
      <c r="AE639" s="616" t="s">
        <v>246</v>
      </c>
      <c r="AF639" s="616" t="s">
        <v>4586</v>
      </c>
      <c r="AG639" s="598" t="s">
        <v>955</v>
      </c>
      <c r="AH639" s="598"/>
      <c r="AI639" s="598"/>
      <c r="AJ639" s="598"/>
      <c r="AK639" s="626"/>
      <c r="AL639" s="626"/>
    </row>
    <row r="640" spans="1:38" ht="18" customHeight="1">
      <c r="A640" s="593"/>
      <c r="B640" s="598">
        <v>623</v>
      </c>
      <c r="C640" s="598" t="s">
        <v>2521</v>
      </c>
      <c r="D640" s="598">
        <f t="shared" si="7"/>
        <v>587</v>
      </c>
      <c r="E640" s="616" t="s">
        <v>1351</v>
      </c>
      <c r="F640" s="616" t="s">
        <v>4904</v>
      </c>
      <c r="G640" s="618" t="s">
        <v>1195</v>
      </c>
      <c r="H640" s="618" t="s">
        <v>80</v>
      </c>
      <c r="I640" s="618" t="s">
        <v>1051</v>
      </c>
      <c r="J640" s="618" t="s">
        <v>1991</v>
      </c>
      <c r="K640" s="618" t="s">
        <v>2521</v>
      </c>
      <c r="L640" s="619"/>
      <c r="M640" s="620"/>
      <c r="N640" s="620"/>
      <c r="O640" s="663" t="s">
        <v>1074</v>
      </c>
      <c r="P640" s="621"/>
      <c r="Q640" s="598" t="s">
        <v>69</v>
      </c>
      <c r="R640" s="598" t="s">
        <v>562</v>
      </c>
      <c r="S640" s="598"/>
      <c r="T640" s="598" t="s">
        <v>1015</v>
      </c>
      <c r="U640" s="663" t="s">
        <v>611</v>
      </c>
      <c r="V640" s="616" t="s">
        <v>2522</v>
      </c>
      <c r="W640" s="598" t="s">
        <v>950</v>
      </c>
      <c r="X640" s="624">
        <v>30933</v>
      </c>
      <c r="Y640" s="625">
        <f t="shared" ca="1" si="8"/>
        <v>41</v>
      </c>
      <c r="Z640" s="616" t="s">
        <v>2523</v>
      </c>
      <c r="AA640" s="598" t="s">
        <v>2524</v>
      </c>
      <c r="AB640" s="598" t="s">
        <v>996</v>
      </c>
      <c r="AC640" s="598" t="s">
        <v>997</v>
      </c>
      <c r="AD640" s="616" t="s">
        <v>729</v>
      </c>
      <c r="AE640" s="640" t="s">
        <v>729</v>
      </c>
      <c r="AF640" s="616" t="s">
        <v>2525</v>
      </c>
      <c r="AG640" s="598"/>
      <c r="AH640" s="598"/>
      <c r="AI640" s="598" t="s">
        <v>1025</v>
      </c>
      <c r="AJ640" s="598"/>
      <c r="AK640" s="626" t="s">
        <v>2526</v>
      </c>
      <c r="AL640" s="626"/>
    </row>
    <row r="641" spans="1:38" ht="18" customHeight="1">
      <c r="A641" s="593"/>
      <c r="B641" s="598">
        <v>624</v>
      </c>
      <c r="C641" s="598" t="s">
        <v>1388</v>
      </c>
      <c r="D641" s="598">
        <f t="shared" si="7"/>
        <v>588</v>
      </c>
      <c r="E641" s="616" t="s">
        <v>1233</v>
      </c>
      <c r="F641" s="616" t="s">
        <v>4904</v>
      </c>
      <c r="G641" s="618" t="s">
        <v>1195</v>
      </c>
      <c r="H641" s="618" t="s">
        <v>80</v>
      </c>
      <c r="I641" s="618" t="s">
        <v>1051</v>
      </c>
      <c r="J641" s="618" t="s">
        <v>1991</v>
      </c>
      <c r="K641" s="618" t="s">
        <v>2521</v>
      </c>
      <c r="L641" s="619"/>
      <c r="M641" s="620"/>
      <c r="N641" s="620"/>
      <c r="O641" s="663" t="s">
        <v>1074</v>
      </c>
      <c r="P641" s="621"/>
      <c r="Q641" s="598"/>
      <c r="R641" s="598"/>
      <c r="S641" s="598"/>
      <c r="T641" s="598" t="s">
        <v>1015</v>
      </c>
      <c r="U641" s="663" t="s">
        <v>630</v>
      </c>
      <c r="V641" s="616" t="s">
        <v>1389</v>
      </c>
      <c r="W641" s="598" t="s">
        <v>950</v>
      </c>
      <c r="X641" s="624">
        <v>26339</v>
      </c>
      <c r="Y641" s="625">
        <f t="shared" ca="1" si="8"/>
        <v>53</v>
      </c>
      <c r="Z641" s="616" t="s">
        <v>1390</v>
      </c>
      <c r="AA641" s="598" t="s">
        <v>1391</v>
      </c>
      <c r="AB641" s="598" t="s">
        <v>996</v>
      </c>
      <c r="AC641" s="598" t="s">
        <v>997</v>
      </c>
      <c r="AD641" s="616" t="s">
        <v>729</v>
      </c>
      <c r="AE641" s="640" t="s">
        <v>729</v>
      </c>
      <c r="AF641" s="616" t="s">
        <v>1392</v>
      </c>
      <c r="AG641" s="598"/>
      <c r="AH641" s="598"/>
      <c r="AI641" s="598" t="s">
        <v>1025</v>
      </c>
      <c r="AJ641" s="598"/>
      <c r="AK641" s="626">
        <v>-6</v>
      </c>
      <c r="AL641" s="626"/>
    </row>
    <row r="642" spans="1:38" ht="18" customHeight="1">
      <c r="A642" s="593"/>
      <c r="B642" s="598">
        <v>625</v>
      </c>
      <c r="C642" s="598" t="s">
        <v>4910</v>
      </c>
      <c r="D642" s="598">
        <f t="shared" si="7"/>
        <v>589</v>
      </c>
      <c r="E642" s="616" t="s">
        <v>1233</v>
      </c>
      <c r="F642" s="616" t="s">
        <v>4904</v>
      </c>
      <c r="G642" s="618" t="s">
        <v>1195</v>
      </c>
      <c r="H642" s="618" t="s">
        <v>80</v>
      </c>
      <c r="I642" s="618" t="s">
        <v>1051</v>
      </c>
      <c r="J642" s="618" t="s">
        <v>1991</v>
      </c>
      <c r="K642" s="618" t="s">
        <v>2521</v>
      </c>
      <c r="L642" s="619"/>
      <c r="M642" s="620"/>
      <c r="N642" s="620"/>
      <c r="O642" s="663" t="s">
        <v>1074</v>
      </c>
      <c r="P642" s="621"/>
      <c r="Q642" s="598"/>
      <c r="R642" s="598"/>
      <c r="S642" s="598"/>
      <c r="T642" s="598" t="s">
        <v>1015</v>
      </c>
      <c r="U642" s="663" t="s">
        <v>648</v>
      </c>
      <c r="V642" s="616" t="s">
        <v>4911</v>
      </c>
      <c r="W642" s="598" t="s">
        <v>950</v>
      </c>
      <c r="X642" s="624">
        <v>31788</v>
      </c>
      <c r="Y642" s="625">
        <f t="shared" ca="1" si="8"/>
        <v>39</v>
      </c>
      <c r="Z642" s="616" t="s">
        <v>4912</v>
      </c>
      <c r="AA642" s="598"/>
      <c r="AB642" s="598" t="s">
        <v>996</v>
      </c>
      <c r="AC642" s="598" t="s">
        <v>997</v>
      </c>
      <c r="AD642" s="616" t="s">
        <v>729</v>
      </c>
      <c r="AE642" s="640" t="s">
        <v>729</v>
      </c>
      <c r="AF642" s="616" t="s">
        <v>4913</v>
      </c>
      <c r="AG642" s="598" t="s">
        <v>1775</v>
      </c>
      <c r="AH642" s="749" t="s">
        <v>4914</v>
      </c>
      <c r="AI642" s="598" t="s">
        <v>1025</v>
      </c>
      <c r="AJ642" s="598"/>
      <c r="AK642" s="626">
        <v>-6</v>
      </c>
      <c r="AL642" s="626"/>
    </row>
    <row r="643" spans="1:38" ht="18" customHeight="1">
      <c r="A643" s="593"/>
      <c r="B643" s="598">
        <v>626</v>
      </c>
      <c r="C643" s="598" t="s">
        <v>4915</v>
      </c>
      <c r="D643" s="598">
        <f t="shared" si="7"/>
        <v>590</v>
      </c>
      <c r="E643" s="616" t="s">
        <v>1351</v>
      </c>
      <c r="F643" s="616" t="s">
        <v>4904</v>
      </c>
      <c r="G643" s="618" t="s">
        <v>1195</v>
      </c>
      <c r="H643" s="618" t="s">
        <v>80</v>
      </c>
      <c r="I643" s="618" t="s">
        <v>1051</v>
      </c>
      <c r="J643" s="618" t="s">
        <v>1991</v>
      </c>
      <c r="K643" s="618" t="s">
        <v>2521</v>
      </c>
      <c r="L643" s="619"/>
      <c r="M643" s="620"/>
      <c r="N643" s="620"/>
      <c r="O643" s="663" t="s">
        <v>1074</v>
      </c>
      <c r="P643" s="621"/>
      <c r="Q643" s="598"/>
      <c r="R643" s="598"/>
      <c r="S643" s="598"/>
      <c r="T643" s="598" t="s">
        <v>1015</v>
      </c>
      <c r="U643" s="663" t="s">
        <v>4916</v>
      </c>
      <c r="V643" s="616" t="s">
        <v>4917</v>
      </c>
      <c r="W643" s="598" t="s">
        <v>950</v>
      </c>
      <c r="X643" s="624">
        <v>21929</v>
      </c>
      <c r="Y643" s="625">
        <f t="shared" ca="1" si="8"/>
        <v>66</v>
      </c>
      <c r="Z643" s="616" t="s">
        <v>4918</v>
      </c>
      <c r="AA643" s="652"/>
      <c r="AB643" s="598" t="s">
        <v>996</v>
      </c>
      <c r="AC643" s="598" t="s">
        <v>1018</v>
      </c>
      <c r="AD643" s="616" t="s">
        <v>729</v>
      </c>
      <c r="AE643" s="616" t="s">
        <v>729</v>
      </c>
      <c r="AF643" s="616" t="s">
        <v>4919</v>
      </c>
      <c r="AG643" s="598"/>
      <c r="AH643" s="598" t="s">
        <v>1019</v>
      </c>
      <c r="AI643" s="598" t="s">
        <v>1025</v>
      </c>
      <c r="AJ643" s="598"/>
      <c r="AK643" s="750">
        <v>1</v>
      </c>
      <c r="AL643" s="626"/>
    </row>
    <row r="644" spans="1:38" ht="18" customHeight="1">
      <c r="A644" s="593"/>
      <c r="B644" s="598">
        <v>627</v>
      </c>
      <c r="C644" s="598" t="s">
        <v>2384</v>
      </c>
      <c r="D644" s="598">
        <f t="shared" si="7"/>
        <v>591</v>
      </c>
      <c r="E644" s="616" t="s">
        <v>1351</v>
      </c>
      <c r="F644" s="616" t="s">
        <v>4904</v>
      </c>
      <c r="G644" s="618" t="s">
        <v>1195</v>
      </c>
      <c r="H644" s="618" t="s">
        <v>80</v>
      </c>
      <c r="I644" s="618" t="s">
        <v>1051</v>
      </c>
      <c r="J644" s="618" t="s">
        <v>1991</v>
      </c>
      <c r="K644" s="618" t="s">
        <v>2521</v>
      </c>
      <c r="L644" s="619"/>
      <c r="M644" s="620"/>
      <c r="N644" s="620"/>
      <c r="O644" s="673" t="s">
        <v>1074</v>
      </c>
      <c r="P644" s="621"/>
      <c r="Q644" s="598"/>
      <c r="R644" s="598"/>
      <c r="S644" s="598"/>
      <c r="T644" s="598" t="s">
        <v>1015</v>
      </c>
      <c r="U644" s="673" t="s">
        <v>2387</v>
      </c>
      <c r="V644" s="616" t="s">
        <v>2388</v>
      </c>
      <c r="W644" s="598" t="s">
        <v>950</v>
      </c>
      <c r="X644" s="624">
        <v>32411</v>
      </c>
      <c r="Y644" s="625">
        <f t="shared" ca="1" si="8"/>
        <v>37</v>
      </c>
      <c r="Z644" s="616" t="s">
        <v>2389</v>
      </c>
      <c r="AA644" s="652"/>
      <c r="AB644" s="598" t="s">
        <v>996</v>
      </c>
      <c r="AC644" s="598" t="s">
        <v>1018</v>
      </c>
      <c r="AD644" s="616" t="s">
        <v>729</v>
      </c>
      <c r="AE644" s="616" t="s">
        <v>729</v>
      </c>
      <c r="AF644" s="616" t="s">
        <v>2390</v>
      </c>
      <c r="AG644" s="598"/>
      <c r="AH644" s="598" t="s">
        <v>1019</v>
      </c>
      <c r="AI644" s="598" t="s">
        <v>1114</v>
      </c>
      <c r="AJ644" s="598"/>
      <c r="AK644" s="626">
        <v>-6</v>
      </c>
      <c r="AL644" s="626"/>
    </row>
    <row r="645" spans="1:38" ht="18" customHeight="1">
      <c r="A645" s="593"/>
      <c r="B645" s="598">
        <v>628</v>
      </c>
      <c r="C645" s="598" t="s">
        <v>1871</v>
      </c>
      <c r="D645" s="598">
        <f t="shared" si="7"/>
        <v>592</v>
      </c>
      <c r="E645" s="616" t="s">
        <v>1351</v>
      </c>
      <c r="F645" s="616" t="s">
        <v>4904</v>
      </c>
      <c r="G645" s="618" t="s">
        <v>1195</v>
      </c>
      <c r="H645" s="618" t="s">
        <v>80</v>
      </c>
      <c r="I645" s="618" t="s">
        <v>1051</v>
      </c>
      <c r="J645" s="681" t="s">
        <v>1871</v>
      </c>
      <c r="K645" s="681" t="s">
        <v>1404</v>
      </c>
      <c r="L645" s="619"/>
      <c r="M645" s="620"/>
      <c r="N645" s="620"/>
      <c r="O645" s="667" t="s">
        <v>1115</v>
      </c>
      <c r="P645" s="621"/>
      <c r="Q645" s="598" t="s">
        <v>55</v>
      </c>
      <c r="R645" s="598" t="s">
        <v>178</v>
      </c>
      <c r="S645" s="598"/>
      <c r="T645" s="598" t="s">
        <v>1015</v>
      </c>
      <c r="U645" s="667" t="s">
        <v>1878</v>
      </c>
      <c r="V645" s="616" t="s">
        <v>1879</v>
      </c>
      <c r="W645" s="598" t="s">
        <v>950</v>
      </c>
      <c r="X645" s="624">
        <v>33871</v>
      </c>
      <c r="Y645" s="625">
        <f t="shared" ca="1" si="8"/>
        <v>33</v>
      </c>
      <c r="Z645" s="616" t="s">
        <v>1880</v>
      </c>
      <c r="AA645" s="598" t="s">
        <v>1881</v>
      </c>
      <c r="AB645" s="598" t="s">
        <v>996</v>
      </c>
      <c r="AC645" s="598" t="s">
        <v>997</v>
      </c>
      <c r="AD645" s="616" t="s">
        <v>1494</v>
      </c>
      <c r="AE645" s="616" t="s">
        <v>1494</v>
      </c>
      <c r="AF645" s="616"/>
      <c r="AG645" s="598"/>
      <c r="AH645" s="598"/>
      <c r="AI645" s="598" t="s">
        <v>1114</v>
      </c>
      <c r="AJ645" s="598"/>
      <c r="AK645" s="626"/>
      <c r="AL645" s="626"/>
    </row>
    <row r="646" spans="1:38" ht="18" customHeight="1">
      <c r="A646" s="593"/>
      <c r="B646" s="598">
        <v>629</v>
      </c>
      <c r="C646" s="598" t="s">
        <v>1404</v>
      </c>
      <c r="D646" s="598">
        <f t="shared" si="7"/>
        <v>593</v>
      </c>
      <c r="E646" s="616" t="s">
        <v>1233</v>
      </c>
      <c r="F646" s="616" t="s">
        <v>4904</v>
      </c>
      <c r="G646" s="618" t="s">
        <v>1195</v>
      </c>
      <c r="H646" s="618" t="s">
        <v>80</v>
      </c>
      <c r="I646" s="618" t="s">
        <v>1051</v>
      </c>
      <c r="J646" s="681" t="s">
        <v>1871</v>
      </c>
      <c r="K646" s="681" t="s">
        <v>1404</v>
      </c>
      <c r="L646" s="619"/>
      <c r="M646" s="620"/>
      <c r="N646" s="620"/>
      <c r="O646" s="663" t="s">
        <v>1115</v>
      </c>
      <c r="P646" s="621"/>
      <c r="Q646" s="598" t="s">
        <v>69</v>
      </c>
      <c r="R646" s="598" t="s">
        <v>562</v>
      </c>
      <c r="S646" s="598"/>
      <c r="T646" s="598" t="s">
        <v>1015</v>
      </c>
      <c r="U646" s="663" t="s">
        <v>612</v>
      </c>
      <c r="V646" s="616" t="s">
        <v>1411</v>
      </c>
      <c r="W646" s="598" t="s">
        <v>950</v>
      </c>
      <c r="X646" s="624">
        <v>35425</v>
      </c>
      <c r="Y646" s="625">
        <f t="shared" ca="1" si="8"/>
        <v>29</v>
      </c>
      <c r="Z646" s="616" t="s">
        <v>1412</v>
      </c>
      <c r="AA646" s="598" t="s">
        <v>1413</v>
      </c>
      <c r="AB646" s="598" t="s">
        <v>996</v>
      </c>
      <c r="AC646" s="598" t="s">
        <v>997</v>
      </c>
      <c r="AD646" s="616" t="s">
        <v>729</v>
      </c>
      <c r="AE646" s="640" t="s">
        <v>729</v>
      </c>
      <c r="AF646" s="616" t="s">
        <v>1335</v>
      </c>
      <c r="AG646" s="598"/>
      <c r="AH646" s="598"/>
      <c r="AI646" s="598" t="s">
        <v>1114</v>
      </c>
      <c r="AJ646" s="598"/>
      <c r="AK646" s="626">
        <v>-6</v>
      </c>
      <c r="AL646" s="626"/>
    </row>
    <row r="647" spans="1:38" ht="18" customHeight="1">
      <c r="A647" s="593"/>
      <c r="B647" s="598">
        <v>630</v>
      </c>
      <c r="C647" s="598" t="s">
        <v>1888</v>
      </c>
      <c r="D647" s="598">
        <f t="shared" si="7"/>
        <v>594</v>
      </c>
      <c r="E647" s="616" t="s">
        <v>1351</v>
      </c>
      <c r="F647" s="616" t="s">
        <v>4904</v>
      </c>
      <c r="G647" s="618" t="s">
        <v>1195</v>
      </c>
      <c r="H647" s="618" t="s">
        <v>80</v>
      </c>
      <c r="I647" s="618" t="s">
        <v>1051</v>
      </c>
      <c r="J647" s="681" t="s">
        <v>1871</v>
      </c>
      <c r="K647" s="681" t="s">
        <v>1404</v>
      </c>
      <c r="L647" s="619"/>
      <c r="M647" s="620"/>
      <c r="N647" s="620"/>
      <c r="O647" s="663" t="s">
        <v>1115</v>
      </c>
      <c r="P647" s="621"/>
      <c r="Q647" s="598"/>
      <c r="R647" s="598"/>
      <c r="S647" s="598"/>
      <c r="T647" s="598" t="s">
        <v>1015</v>
      </c>
      <c r="U647" s="663" t="s">
        <v>631</v>
      </c>
      <c r="V647" s="616" t="s">
        <v>1889</v>
      </c>
      <c r="W647" s="598" t="s">
        <v>950</v>
      </c>
      <c r="X647" s="624">
        <v>35131</v>
      </c>
      <c r="Y647" s="625">
        <f t="shared" ca="1" si="8"/>
        <v>29</v>
      </c>
      <c r="Z647" s="616" t="s">
        <v>1890</v>
      </c>
      <c r="AA647" s="598" t="s">
        <v>1891</v>
      </c>
      <c r="AB647" s="598" t="s">
        <v>996</v>
      </c>
      <c r="AC647" s="598" t="s">
        <v>997</v>
      </c>
      <c r="AD647" s="616" t="s">
        <v>1494</v>
      </c>
      <c r="AE647" s="616" t="s">
        <v>1494</v>
      </c>
      <c r="AF647" s="616" t="s">
        <v>1892</v>
      </c>
      <c r="AG647" s="598"/>
      <c r="AH647" s="598"/>
      <c r="AI647" s="598" t="s">
        <v>1114</v>
      </c>
      <c r="AJ647" s="598"/>
      <c r="AK647" s="626"/>
      <c r="AL647" s="626"/>
    </row>
    <row r="648" spans="1:38" ht="18" customHeight="1">
      <c r="A648" s="593"/>
      <c r="B648" s="598">
        <v>631</v>
      </c>
      <c r="C648" s="598" t="s">
        <v>2454</v>
      </c>
      <c r="D648" s="598">
        <f t="shared" si="7"/>
        <v>595</v>
      </c>
      <c r="E648" s="616" t="s">
        <v>1351</v>
      </c>
      <c r="F648" s="616" t="s">
        <v>4904</v>
      </c>
      <c r="G648" s="618" t="s">
        <v>1195</v>
      </c>
      <c r="H648" s="618" t="s">
        <v>80</v>
      </c>
      <c r="I648" s="618" t="s">
        <v>1051</v>
      </c>
      <c r="J648" s="681" t="s">
        <v>1871</v>
      </c>
      <c r="K648" s="681" t="s">
        <v>1404</v>
      </c>
      <c r="L648" s="619"/>
      <c r="M648" s="620"/>
      <c r="N648" s="620"/>
      <c r="O648" s="663" t="s">
        <v>1115</v>
      </c>
      <c r="P648" s="621"/>
      <c r="Q648" s="598"/>
      <c r="R648" s="598"/>
      <c r="S648" s="598"/>
      <c r="T648" s="598" t="s">
        <v>1015</v>
      </c>
      <c r="U648" s="663" t="s">
        <v>649</v>
      </c>
      <c r="V648" s="616" t="s">
        <v>2455</v>
      </c>
      <c r="W648" s="598" t="s">
        <v>950</v>
      </c>
      <c r="X648" s="624">
        <v>31175</v>
      </c>
      <c r="Y648" s="625">
        <f t="shared" ca="1" si="8"/>
        <v>40</v>
      </c>
      <c r="Z648" s="616" t="s">
        <v>2456</v>
      </c>
      <c r="AA648" s="598" t="s">
        <v>2457</v>
      </c>
      <c r="AB648" s="598" t="s">
        <v>996</v>
      </c>
      <c r="AC648" s="598" t="s">
        <v>997</v>
      </c>
      <c r="AD648" s="616" t="s">
        <v>729</v>
      </c>
      <c r="AE648" s="640" t="s">
        <v>729</v>
      </c>
      <c r="AF648" s="616" t="s">
        <v>2458</v>
      </c>
      <c r="AG648" s="598"/>
      <c r="AH648" s="598"/>
      <c r="AI648" s="598" t="s">
        <v>1114</v>
      </c>
      <c r="AJ648" s="598"/>
      <c r="AK648" s="750">
        <v>-2</v>
      </c>
      <c r="AL648" s="626"/>
    </row>
    <row r="649" spans="1:38" ht="18" customHeight="1">
      <c r="A649" s="593"/>
      <c r="B649" s="598">
        <v>632</v>
      </c>
      <c r="C649" s="598" t="s">
        <v>1426</v>
      </c>
      <c r="D649" s="598">
        <f t="shared" si="7"/>
        <v>596</v>
      </c>
      <c r="E649" s="616" t="s">
        <v>1233</v>
      </c>
      <c r="F649" s="616" t="s">
        <v>4904</v>
      </c>
      <c r="G649" s="618" t="s">
        <v>1195</v>
      </c>
      <c r="H649" s="618" t="s">
        <v>80</v>
      </c>
      <c r="I649" s="618" t="s">
        <v>1051</v>
      </c>
      <c r="J649" s="681" t="s">
        <v>1871</v>
      </c>
      <c r="K649" s="681" t="s">
        <v>1404</v>
      </c>
      <c r="L649" s="619"/>
      <c r="M649" s="620"/>
      <c r="N649" s="620"/>
      <c r="O649" s="663" t="s">
        <v>1115</v>
      </c>
      <c r="P649" s="621"/>
      <c r="Q649" s="598"/>
      <c r="R649" s="598"/>
      <c r="S649" s="598"/>
      <c r="T649" s="598" t="s">
        <v>1015</v>
      </c>
      <c r="U649" s="663" t="s">
        <v>668</v>
      </c>
      <c r="V649" s="616" t="s">
        <v>1427</v>
      </c>
      <c r="W649" s="598" t="s">
        <v>950</v>
      </c>
      <c r="X649" s="624">
        <v>31279</v>
      </c>
      <c r="Y649" s="625">
        <f t="shared" ca="1" si="8"/>
        <v>40</v>
      </c>
      <c r="Z649" s="616" t="s">
        <v>1428</v>
      </c>
      <c r="AA649" s="652"/>
      <c r="AB649" s="598" t="s">
        <v>996</v>
      </c>
      <c r="AC649" s="644" t="s">
        <v>997</v>
      </c>
      <c r="AD649" s="616" t="s">
        <v>729</v>
      </c>
      <c r="AE649" s="640" t="s">
        <v>729</v>
      </c>
      <c r="AF649" s="616" t="s">
        <v>1429</v>
      </c>
      <c r="AG649" s="598"/>
      <c r="AH649" s="598"/>
      <c r="AI649" s="598" t="s">
        <v>1114</v>
      </c>
      <c r="AJ649" s="598"/>
      <c r="AK649" s="626">
        <v>-6</v>
      </c>
      <c r="AL649" s="626"/>
    </row>
    <row r="650" spans="1:38" ht="18" customHeight="1">
      <c r="A650" s="593"/>
      <c r="B650" s="598">
        <v>633</v>
      </c>
      <c r="C650" s="598" t="s">
        <v>1430</v>
      </c>
      <c r="D650" s="598">
        <f t="shared" si="7"/>
        <v>597</v>
      </c>
      <c r="E650" s="616" t="s">
        <v>1233</v>
      </c>
      <c r="F650" s="616" t="s">
        <v>4904</v>
      </c>
      <c r="G650" s="618" t="s">
        <v>1195</v>
      </c>
      <c r="H650" s="618" t="s">
        <v>80</v>
      </c>
      <c r="I650" s="618" t="s">
        <v>1051</v>
      </c>
      <c r="J650" s="681" t="s">
        <v>1871</v>
      </c>
      <c r="K650" s="681" t="s">
        <v>1404</v>
      </c>
      <c r="L650" s="619"/>
      <c r="M650" s="620"/>
      <c r="N650" s="620"/>
      <c r="O650" s="663" t="s">
        <v>1115</v>
      </c>
      <c r="P650" s="621"/>
      <c r="Q650" s="598"/>
      <c r="R650" s="598"/>
      <c r="S650" s="598"/>
      <c r="T650" s="598" t="s">
        <v>1015</v>
      </c>
      <c r="U650" s="663" t="s">
        <v>686</v>
      </c>
      <c r="V650" s="616" t="s">
        <v>1431</v>
      </c>
      <c r="W650" s="598" t="s">
        <v>950</v>
      </c>
      <c r="X650" s="624">
        <v>34479</v>
      </c>
      <c r="Y650" s="625">
        <f t="shared" ca="1" si="8"/>
        <v>31</v>
      </c>
      <c r="Z650" s="616" t="s">
        <v>1432</v>
      </c>
      <c r="AA650" s="598" t="s">
        <v>1433</v>
      </c>
      <c r="AB650" s="598" t="s">
        <v>996</v>
      </c>
      <c r="AC650" s="598" t="s">
        <v>997</v>
      </c>
      <c r="AD650" s="616" t="s">
        <v>729</v>
      </c>
      <c r="AE650" s="640" t="s">
        <v>729</v>
      </c>
      <c r="AF650" s="616" t="s">
        <v>1335</v>
      </c>
      <c r="AG650" s="598"/>
      <c r="AH650" s="598"/>
      <c r="AI650" s="598" t="s">
        <v>1114</v>
      </c>
      <c r="AJ650" s="598"/>
      <c r="AK650" s="626">
        <v>-6</v>
      </c>
      <c r="AL650" s="626"/>
    </row>
    <row r="651" spans="1:38" ht="18" customHeight="1">
      <c r="A651" s="593"/>
      <c r="B651" s="598">
        <v>634</v>
      </c>
      <c r="C651" s="598" t="s">
        <v>2431</v>
      </c>
      <c r="D651" s="598">
        <f t="shared" si="7"/>
        <v>598</v>
      </c>
      <c r="E651" s="616" t="s">
        <v>1351</v>
      </c>
      <c r="F651" s="616" t="s">
        <v>4904</v>
      </c>
      <c r="G651" s="618" t="s">
        <v>1195</v>
      </c>
      <c r="H651" s="618" t="s">
        <v>80</v>
      </c>
      <c r="I651" s="618" t="s">
        <v>1051</v>
      </c>
      <c r="J651" s="681" t="s">
        <v>1871</v>
      </c>
      <c r="K651" s="681" t="s">
        <v>1404</v>
      </c>
      <c r="L651" s="619"/>
      <c r="M651" s="620"/>
      <c r="N651" s="620"/>
      <c r="O651" s="673" t="s">
        <v>1115</v>
      </c>
      <c r="P651" s="621"/>
      <c r="Q651" s="598"/>
      <c r="R651" s="598"/>
      <c r="S651" s="598"/>
      <c r="T651" s="598" t="s">
        <v>1015</v>
      </c>
      <c r="U651" s="673" t="s">
        <v>700</v>
      </c>
      <c r="V651" s="616" t="s">
        <v>2432</v>
      </c>
      <c r="W651" s="598" t="s">
        <v>950</v>
      </c>
      <c r="X651" s="624" t="s">
        <v>2433</v>
      </c>
      <c r="Y651" s="625">
        <f t="shared" ca="1" si="8"/>
        <v>25</v>
      </c>
      <c r="Z651" s="616" t="s">
        <v>2434</v>
      </c>
      <c r="AA651" s="598" t="s">
        <v>2435</v>
      </c>
      <c r="AB651" s="598" t="s">
        <v>996</v>
      </c>
      <c r="AC651" s="598" t="s">
        <v>997</v>
      </c>
      <c r="AD651" s="616" t="s">
        <v>729</v>
      </c>
      <c r="AE651" s="640" t="s">
        <v>729</v>
      </c>
      <c r="AF651" s="616" t="s">
        <v>2436</v>
      </c>
      <c r="AG651" s="598"/>
      <c r="AH651" s="598"/>
      <c r="AI651" s="598" t="s">
        <v>1114</v>
      </c>
      <c r="AJ651" s="598"/>
      <c r="AK651" s="750">
        <v>-2</v>
      </c>
      <c r="AL651" s="626"/>
    </row>
    <row r="652" spans="1:38" ht="18" customHeight="1">
      <c r="A652" s="593"/>
      <c r="B652" s="598">
        <v>635</v>
      </c>
      <c r="C652" s="598" t="s">
        <v>1360</v>
      </c>
      <c r="D652" s="598">
        <f t="shared" si="7"/>
        <v>598</v>
      </c>
      <c r="E652" s="616"/>
      <c r="F652" s="616" t="s">
        <v>4904</v>
      </c>
      <c r="G652" s="618" t="s">
        <v>1195</v>
      </c>
      <c r="H652" s="618" t="s">
        <v>80</v>
      </c>
      <c r="I652" s="618" t="s">
        <v>1051</v>
      </c>
      <c r="J652" s="618" t="s">
        <v>1360</v>
      </c>
      <c r="K652" s="618" t="s">
        <v>2971</v>
      </c>
      <c r="L652" s="619"/>
      <c r="M652" s="620"/>
      <c r="N652" s="620"/>
      <c r="O652" s="667" t="s">
        <v>1127</v>
      </c>
      <c r="P652" s="621"/>
      <c r="Q652" s="598" t="s">
        <v>55</v>
      </c>
      <c r="R652" s="598" t="s">
        <v>178</v>
      </c>
      <c r="S652" s="598"/>
      <c r="T652" s="598"/>
      <c r="U652" s="667" t="s">
        <v>305</v>
      </c>
      <c r="V652" s="616" t="s">
        <v>1362</v>
      </c>
      <c r="W652" s="598" t="s">
        <v>950</v>
      </c>
      <c r="X652" s="624">
        <v>25307</v>
      </c>
      <c r="Y652" s="625">
        <f t="shared" ca="1" si="8"/>
        <v>56</v>
      </c>
      <c r="Z652" s="616" t="s">
        <v>1363</v>
      </c>
      <c r="AA652" s="598" t="s">
        <v>4920</v>
      </c>
      <c r="AB652" s="598" t="s">
        <v>966</v>
      </c>
      <c r="AC652" s="598" t="s">
        <v>953</v>
      </c>
      <c r="AD652" s="616" t="s">
        <v>729</v>
      </c>
      <c r="AE652" s="616" t="s">
        <v>1239</v>
      </c>
      <c r="AF652" s="616" t="s">
        <v>1240</v>
      </c>
      <c r="AG652" s="598" t="s">
        <v>955</v>
      </c>
      <c r="AH652" s="598"/>
      <c r="AI652" s="598"/>
      <c r="AJ652" s="598"/>
      <c r="AK652" s="626"/>
      <c r="AL652" s="626"/>
    </row>
    <row r="653" spans="1:38" ht="18" customHeight="1">
      <c r="A653" s="593"/>
      <c r="B653" s="598">
        <v>636</v>
      </c>
      <c r="C653" s="598" t="s">
        <v>2971</v>
      </c>
      <c r="D653" s="598">
        <f t="shared" si="7"/>
        <v>599</v>
      </c>
      <c r="E653" s="616" t="s">
        <v>1798</v>
      </c>
      <c r="F653" s="616" t="s">
        <v>4904</v>
      </c>
      <c r="G653" s="618" t="s">
        <v>1195</v>
      </c>
      <c r="H653" s="618" t="s">
        <v>80</v>
      </c>
      <c r="I653" s="618" t="s">
        <v>1051</v>
      </c>
      <c r="J653" s="618" t="s">
        <v>1360</v>
      </c>
      <c r="K653" s="618" t="s">
        <v>2971</v>
      </c>
      <c r="L653" s="619"/>
      <c r="M653" s="620"/>
      <c r="N653" s="620"/>
      <c r="O653" s="663" t="s">
        <v>1127</v>
      </c>
      <c r="P653" s="621"/>
      <c r="Q653" s="598" t="s">
        <v>69</v>
      </c>
      <c r="R653" s="598" t="s">
        <v>562</v>
      </c>
      <c r="S653" s="598"/>
      <c r="T653" s="598" t="s">
        <v>1015</v>
      </c>
      <c r="U653" s="663" t="s">
        <v>613</v>
      </c>
      <c r="V653" s="616" t="s">
        <v>2973</v>
      </c>
      <c r="W653" s="598" t="s">
        <v>950</v>
      </c>
      <c r="X653" s="624">
        <v>27337</v>
      </c>
      <c r="Y653" s="625">
        <f t="shared" ca="1" si="8"/>
        <v>51</v>
      </c>
      <c r="Z653" s="616" t="s">
        <v>2974</v>
      </c>
      <c r="AA653" s="598" t="s">
        <v>2975</v>
      </c>
      <c r="AB653" s="598" t="s">
        <v>996</v>
      </c>
      <c r="AC653" s="598" t="s">
        <v>997</v>
      </c>
      <c r="AD653" s="616" t="s">
        <v>1041</v>
      </c>
      <c r="AE653" s="721" t="s">
        <v>1041</v>
      </c>
      <c r="AF653" s="616" t="s">
        <v>1473</v>
      </c>
      <c r="AG653" s="598"/>
      <c r="AH653" s="598"/>
      <c r="AI653" s="598" t="s">
        <v>1107</v>
      </c>
      <c r="AJ653" s="598"/>
      <c r="AK653" s="626"/>
      <c r="AL653" s="626"/>
    </row>
    <row r="654" spans="1:38" ht="18" customHeight="1">
      <c r="A654" s="593"/>
      <c r="B654" s="598">
        <v>637</v>
      </c>
      <c r="C654" s="598" t="s">
        <v>2560</v>
      </c>
      <c r="D654" s="598">
        <f t="shared" si="7"/>
        <v>600</v>
      </c>
      <c r="E654" s="616" t="s">
        <v>1351</v>
      </c>
      <c r="F654" s="616" t="s">
        <v>4904</v>
      </c>
      <c r="G654" s="618" t="s">
        <v>1195</v>
      </c>
      <c r="H654" s="618" t="s">
        <v>80</v>
      </c>
      <c r="I654" s="618" t="s">
        <v>1051</v>
      </c>
      <c r="J654" s="618" t="s">
        <v>1360</v>
      </c>
      <c r="K654" s="618" t="s">
        <v>2971</v>
      </c>
      <c r="L654" s="619"/>
      <c r="M654" s="620"/>
      <c r="N654" s="620"/>
      <c r="O654" s="663" t="s">
        <v>1127</v>
      </c>
      <c r="P654" s="621"/>
      <c r="Q654" s="598"/>
      <c r="R654" s="598"/>
      <c r="S654" s="598"/>
      <c r="T654" s="598" t="s">
        <v>1015</v>
      </c>
      <c r="U654" s="663" t="s">
        <v>632</v>
      </c>
      <c r="V654" s="616" t="s">
        <v>2561</v>
      </c>
      <c r="W654" s="598" t="s">
        <v>950</v>
      </c>
      <c r="X654" s="624">
        <v>26046</v>
      </c>
      <c r="Y654" s="625">
        <f t="shared" ca="1" si="8"/>
        <v>54</v>
      </c>
      <c r="Z654" s="616" t="s">
        <v>2562</v>
      </c>
      <c r="AA654" s="652"/>
      <c r="AB654" s="598" t="s">
        <v>996</v>
      </c>
      <c r="AC654" s="644" t="s">
        <v>997</v>
      </c>
      <c r="AD654" s="616" t="s">
        <v>729</v>
      </c>
      <c r="AE654" s="640" t="s">
        <v>729</v>
      </c>
      <c r="AF654" s="616" t="s">
        <v>2563</v>
      </c>
      <c r="AG654" s="598"/>
      <c r="AH654" s="598"/>
      <c r="AI654" s="598" t="s">
        <v>1107</v>
      </c>
      <c r="AJ654" s="598"/>
      <c r="AK654" s="750">
        <v>-2</v>
      </c>
      <c r="AL654" s="626"/>
    </row>
    <row r="655" spans="1:38" ht="18" customHeight="1">
      <c r="A655" s="593"/>
      <c r="B655" s="598">
        <v>638</v>
      </c>
      <c r="C655" s="598" t="s">
        <v>2987</v>
      </c>
      <c r="D655" s="598">
        <f t="shared" si="7"/>
        <v>601</v>
      </c>
      <c r="E655" s="616" t="s">
        <v>1798</v>
      </c>
      <c r="F655" s="616" t="s">
        <v>4904</v>
      </c>
      <c r="G655" s="618" t="s">
        <v>1195</v>
      </c>
      <c r="H655" s="618" t="s">
        <v>80</v>
      </c>
      <c r="I655" s="618" t="s">
        <v>1051</v>
      </c>
      <c r="J655" s="618" t="s">
        <v>1360</v>
      </c>
      <c r="K655" s="618" t="s">
        <v>2971</v>
      </c>
      <c r="L655" s="619"/>
      <c r="M655" s="620"/>
      <c r="N655" s="620"/>
      <c r="O655" s="663" t="s">
        <v>1127</v>
      </c>
      <c r="P655" s="621"/>
      <c r="Q655" s="598"/>
      <c r="R655" s="598"/>
      <c r="S655" s="598"/>
      <c r="T655" s="598" t="s">
        <v>1015</v>
      </c>
      <c r="U655" s="663" t="s">
        <v>650</v>
      </c>
      <c r="V655" s="616" t="s">
        <v>2988</v>
      </c>
      <c r="W655" s="598" t="s">
        <v>950</v>
      </c>
      <c r="X655" s="624">
        <v>26397</v>
      </c>
      <c r="Y655" s="625">
        <f t="shared" ca="1" si="8"/>
        <v>53</v>
      </c>
      <c r="Z655" s="616" t="s">
        <v>2989</v>
      </c>
      <c r="AA655" s="598" t="s">
        <v>2990</v>
      </c>
      <c r="AB655" s="598" t="s">
        <v>996</v>
      </c>
      <c r="AC655" s="598" t="s">
        <v>997</v>
      </c>
      <c r="AD655" s="616" t="s">
        <v>729</v>
      </c>
      <c r="AE655" s="721" t="s">
        <v>1041</v>
      </c>
      <c r="AF655" s="616" t="s">
        <v>2991</v>
      </c>
      <c r="AG655" s="598"/>
      <c r="AH655" s="598"/>
      <c r="AI655" s="598" t="s">
        <v>1107</v>
      </c>
      <c r="AJ655" s="598"/>
      <c r="AK655" s="626"/>
      <c r="AL655" s="626"/>
    </row>
    <row r="656" spans="1:38" ht="18" customHeight="1">
      <c r="A656" s="593"/>
      <c r="B656" s="598">
        <v>639</v>
      </c>
      <c r="C656" s="598" t="s">
        <v>1996</v>
      </c>
      <c r="D656" s="598">
        <f t="shared" si="7"/>
        <v>602</v>
      </c>
      <c r="E656" s="616" t="s">
        <v>1351</v>
      </c>
      <c r="F656" s="616" t="s">
        <v>4904</v>
      </c>
      <c r="G656" s="618" t="s">
        <v>1195</v>
      </c>
      <c r="H656" s="618" t="s">
        <v>80</v>
      </c>
      <c r="I656" s="618" t="s">
        <v>1051</v>
      </c>
      <c r="J656" s="618" t="s">
        <v>1360</v>
      </c>
      <c r="K656" s="618" t="s">
        <v>2971</v>
      </c>
      <c r="L656" s="619"/>
      <c r="M656" s="620"/>
      <c r="N656" s="620"/>
      <c r="O656" s="663" t="s">
        <v>1127</v>
      </c>
      <c r="P656" s="621"/>
      <c r="Q656" s="598"/>
      <c r="R656" s="598"/>
      <c r="S656" s="598"/>
      <c r="T656" s="598" t="s">
        <v>1015</v>
      </c>
      <c r="U656" s="663" t="s">
        <v>669</v>
      </c>
      <c r="V656" s="616" t="s">
        <v>1997</v>
      </c>
      <c r="W656" s="598" t="s">
        <v>950</v>
      </c>
      <c r="X656" s="624">
        <v>26636</v>
      </c>
      <c r="Y656" s="625">
        <f t="shared" ca="1" si="8"/>
        <v>53</v>
      </c>
      <c r="Z656" s="616" t="s">
        <v>1998</v>
      </c>
      <c r="AA656" s="598" t="s">
        <v>1999</v>
      </c>
      <c r="AB656" s="598" t="s">
        <v>996</v>
      </c>
      <c r="AC656" s="644" t="s">
        <v>997</v>
      </c>
      <c r="AD656" s="616" t="s">
        <v>729</v>
      </c>
      <c r="AE656" s="616" t="s">
        <v>729</v>
      </c>
      <c r="AF656" s="616" t="s">
        <v>2000</v>
      </c>
      <c r="AG656" s="598"/>
      <c r="AH656" s="598"/>
      <c r="AI656" s="598" t="s">
        <v>1107</v>
      </c>
      <c r="AJ656" s="598"/>
      <c r="AK656" s="626">
        <v>-6</v>
      </c>
      <c r="AL656" s="626"/>
    </row>
    <row r="657" spans="1:38" ht="18" customHeight="1">
      <c r="A657" s="593"/>
      <c r="B657" s="598">
        <v>640</v>
      </c>
      <c r="C657" s="598" t="s">
        <v>1398</v>
      </c>
      <c r="D657" s="598">
        <f t="shared" si="7"/>
        <v>603</v>
      </c>
      <c r="E657" s="616" t="s">
        <v>1233</v>
      </c>
      <c r="F657" s="616" t="s">
        <v>4904</v>
      </c>
      <c r="G657" s="618" t="s">
        <v>1195</v>
      </c>
      <c r="H657" s="618" t="s">
        <v>80</v>
      </c>
      <c r="I657" s="618" t="s">
        <v>1051</v>
      </c>
      <c r="J657" s="618" t="s">
        <v>1360</v>
      </c>
      <c r="K657" s="618" t="s">
        <v>2971</v>
      </c>
      <c r="L657" s="619"/>
      <c r="M657" s="620"/>
      <c r="N657" s="620"/>
      <c r="O657" s="663" t="s">
        <v>1127</v>
      </c>
      <c r="P657" s="621"/>
      <c r="Q657" s="598"/>
      <c r="R657" s="598"/>
      <c r="S657" s="598"/>
      <c r="T657" s="598" t="s">
        <v>1015</v>
      </c>
      <c r="U657" s="663" t="s">
        <v>701</v>
      </c>
      <c r="V657" s="616" t="s">
        <v>1399</v>
      </c>
      <c r="W657" s="598" t="s">
        <v>950</v>
      </c>
      <c r="X657" s="624">
        <v>27745</v>
      </c>
      <c r="Y657" s="625">
        <f t="shared" ca="1" si="8"/>
        <v>50</v>
      </c>
      <c r="Z657" s="616" t="s">
        <v>1400</v>
      </c>
      <c r="AA657" s="598" t="s">
        <v>1401</v>
      </c>
      <c r="AB657" s="598" t="s">
        <v>996</v>
      </c>
      <c r="AC657" s="644" t="s">
        <v>997</v>
      </c>
      <c r="AD657" s="616" t="s">
        <v>1375</v>
      </c>
      <c r="AE657" s="616" t="s">
        <v>1375</v>
      </c>
      <c r="AF657" s="616" t="s">
        <v>1402</v>
      </c>
      <c r="AG657" s="598"/>
      <c r="AH657" s="598"/>
      <c r="AI657" s="598" t="s">
        <v>1107</v>
      </c>
      <c r="AJ657" s="598"/>
      <c r="AK657" s="626"/>
      <c r="AL657" s="626"/>
    </row>
    <row r="658" spans="1:38" ht="18" customHeight="1">
      <c r="A658" s="593"/>
      <c r="B658" s="598">
        <v>641</v>
      </c>
      <c r="C658" s="598" t="s">
        <v>2023</v>
      </c>
      <c r="D658" s="598">
        <f t="shared" si="7"/>
        <v>604</v>
      </c>
      <c r="E658" s="616" t="s">
        <v>1351</v>
      </c>
      <c r="F658" s="616" t="s">
        <v>4904</v>
      </c>
      <c r="G658" s="618" t="s">
        <v>1195</v>
      </c>
      <c r="H658" s="618" t="s">
        <v>80</v>
      </c>
      <c r="I658" s="618" t="s">
        <v>1051</v>
      </c>
      <c r="J658" s="618" t="s">
        <v>1360</v>
      </c>
      <c r="K658" s="618" t="s">
        <v>2971</v>
      </c>
      <c r="L658" s="619"/>
      <c r="M658" s="620"/>
      <c r="N658" s="620"/>
      <c r="O658" s="663" t="s">
        <v>1127</v>
      </c>
      <c r="P658" s="621"/>
      <c r="Q658" s="598"/>
      <c r="R658" s="598"/>
      <c r="S658" s="598"/>
      <c r="T658" s="598" t="s">
        <v>1015</v>
      </c>
      <c r="U658" s="663" t="s">
        <v>710</v>
      </c>
      <c r="V658" s="616" t="s">
        <v>2024</v>
      </c>
      <c r="W658" s="598" t="s">
        <v>950</v>
      </c>
      <c r="X658" s="624">
        <v>28463</v>
      </c>
      <c r="Y658" s="625">
        <f t="shared" ca="1" si="8"/>
        <v>48</v>
      </c>
      <c r="Z658" s="616" t="s">
        <v>2025</v>
      </c>
      <c r="AA658" s="598" t="s">
        <v>2026</v>
      </c>
      <c r="AB658" s="598" t="s">
        <v>996</v>
      </c>
      <c r="AC658" s="598" t="s">
        <v>997</v>
      </c>
      <c r="AD658" s="616" t="s">
        <v>729</v>
      </c>
      <c r="AE658" s="640" t="s">
        <v>729</v>
      </c>
      <c r="AF658" s="616" t="s">
        <v>2027</v>
      </c>
      <c r="AG658" s="598"/>
      <c r="AH658" s="598"/>
      <c r="AI658" s="598" t="s">
        <v>1107</v>
      </c>
      <c r="AJ658" s="598"/>
      <c r="AK658" s="626">
        <v>-5</v>
      </c>
      <c r="AL658" s="626"/>
    </row>
    <row r="659" spans="1:38" ht="18" customHeight="1">
      <c r="A659" s="593"/>
      <c r="B659" s="598">
        <v>642</v>
      </c>
      <c r="C659" s="598" t="s">
        <v>1934</v>
      </c>
      <c r="D659" s="598">
        <f t="shared" si="7"/>
        <v>605</v>
      </c>
      <c r="E659" s="616" t="s">
        <v>1351</v>
      </c>
      <c r="F659" s="616" t="s">
        <v>4904</v>
      </c>
      <c r="G659" s="618" t="s">
        <v>1195</v>
      </c>
      <c r="H659" s="618" t="s">
        <v>80</v>
      </c>
      <c r="I659" s="618" t="s">
        <v>1051</v>
      </c>
      <c r="J659" s="618" t="s">
        <v>1360</v>
      </c>
      <c r="K659" s="618" t="s">
        <v>2971</v>
      </c>
      <c r="L659" s="619"/>
      <c r="M659" s="620"/>
      <c r="N659" s="620"/>
      <c r="O659" s="663" t="s">
        <v>1127</v>
      </c>
      <c r="P659" s="621"/>
      <c r="Q659" s="598"/>
      <c r="R659" s="598"/>
      <c r="S659" s="598"/>
      <c r="T659" s="598" t="s">
        <v>1015</v>
      </c>
      <c r="U659" s="663" t="s">
        <v>1935</v>
      </c>
      <c r="V659" s="616" t="s">
        <v>1936</v>
      </c>
      <c r="W659" s="598" t="s">
        <v>950</v>
      </c>
      <c r="X659" s="624">
        <v>29857</v>
      </c>
      <c r="Y659" s="625">
        <f t="shared" ca="1" si="8"/>
        <v>44</v>
      </c>
      <c r="Z659" s="616" t="s">
        <v>1937</v>
      </c>
      <c r="AA659" s="598" t="s">
        <v>1938</v>
      </c>
      <c r="AB659" s="598" t="s">
        <v>996</v>
      </c>
      <c r="AC659" s="598" t="s">
        <v>997</v>
      </c>
      <c r="AD659" s="616" t="s">
        <v>246</v>
      </c>
      <c r="AE659" s="640" t="s">
        <v>729</v>
      </c>
      <c r="AF659" s="616" t="s">
        <v>1808</v>
      </c>
      <c r="AG659" s="598"/>
      <c r="AH659" s="598"/>
      <c r="AI659" s="598" t="s">
        <v>1107</v>
      </c>
      <c r="AJ659" s="598"/>
      <c r="AK659" s="626">
        <v>-6</v>
      </c>
      <c r="AL659" s="626"/>
    </row>
    <row r="660" spans="1:38" ht="18" customHeight="1">
      <c r="A660" s="593"/>
      <c r="B660" s="598">
        <v>643</v>
      </c>
      <c r="C660" s="598" t="s">
        <v>1939</v>
      </c>
      <c r="D660" s="598">
        <f t="shared" si="7"/>
        <v>606</v>
      </c>
      <c r="E660" s="616" t="s">
        <v>1351</v>
      </c>
      <c r="F660" s="616" t="s">
        <v>4904</v>
      </c>
      <c r="G660" s="618" t="s">
        <v>1195</v>
      </c>
      <c r="H660" s="618" t="s">
        <v>80</v>
      </c>
      <c r="I660" s="618" t="s">
        <v>1051</v>
      </c>
      <c r="J660" s="618" t="s">
        <v>1360</v>
      </c>
      <c r="K660" s="618" t="s">
        <v>2971</v>
      </c>
      <c r="L660" s="619"/>
      <c r="M660" s="620"/>
      <c r="N660" s="620"/>
      <c r="O660" s="663" t="s">
        <v>1127</v>
      </c>
      <c r="P660" s="621"/>
      <c r="Q660" s="598"/>
      <c r="R660" s="598"/>
      <c r="S660" s="598"/>
      <c r="T660" s="598" t="s">
        <v>1015</v>
      </c>
      <c r="U660" s="663" t="s">
        <v>1940</v>
      </c>
      <c r="V660" s="616" t="s">
        <v>1941</v>
      </c>
      <c r="W660" s="598" t="s">
        <v>950</v>
      </c>
      <c r="X660" s="624">
        <v>30123</v>
      </c>
      <c r="Y660" s="625">
        <f t="shared" ca="1" si="8"/>
        <v>43</v>
      </c>
      <c r="Z660" s="616" t="s">
        <v>1942</v>
      </c>
      <c r="AA660" s="598" t="s">
        <v>1943</v>
      </c>
      <c r="AB660" s="598" t="s">
        <v>996</v>
      </c>
      <c r="AC660" s="644" t="s">
        <v>997</v>
      </c>
      <c r="AD660" s="616" t="s">
        <v>729</v>
      </c>
      <c r="AE660" s="640" t="s">
        <v>729</v>
      </c>
      <c r="AF660" s="616" t="s">
        <v>1808</v>
      </c>
      <c r="AG660" s="598"/>
      <c r="AH660" s="598"/>
      <c r="AI660" s="598" t="s">
        <v>1107</v>
      </c>
      <c r="AJ660" s="598"/>
      <c r="AK660" s="626">
        <v>-6</v>
      </c>
      <c r="AL660" s="626"/>
    </row>
    <row r="661" spans="1:38" ht="18" customHeight="1">
      <c r="A661" s="593"/>
      <c r="B661" s="598">
        <v>644</v>
      </c>
      <c r="C661" s="598" t="s">
        <v>1944</v>
      </c>
      <c r="D661" s="598">
        <f t="shared" si="7"/>
        <v>607</v>
      </c>
      <c r="E661" s="616" t="s">
        <v>1351</v>
      </c>
      <c r="F661" s="616" t="s">
        <v>4904</v>
      </c>
      <c r="G661" s="618" t="s">
        <v>1195</v>
      </c>
      <c r="H661" s="618" t="s">
        <v>80</v>
      </c>
      <c r="I661" s="618" t="s">
        <v>1051</v>
      </c>
      <c r="J661" s="618" t="s">
        <v>1360</v>
      </c>
      <c r="K661" s="618" t="s">
        <v>2971</v>
      </c>
      <c r="L661" s="619"/>
      <c r="M661" s="620"/>
      <c r="N661" s="620"/>
      <c r="O661" s="673" t="s">
        <v>1127</v>
      </c>
      <c r="P661" s="621"/>
      <c r="Q661" s="598"/>
      <c r="R661" s="598"/>
      <c r="S661" s="598"/>
      <c r="T661" s="598" t="s">
        <v>1015</v>
      </c>
      <c r="U661" s="673" t="s">
        <v>1945</v>
      </c>
      <c r="V661" s="616" t="s">
        <v>1946</v>
      </c>
      <c r="W661" s="598" t="s">
        <v>950</v>
      </c>
      <c r="X661" s="624">
        <v>30594</v>
      </c>
      <c r="Y661" s="625">
        <f t="shared" ca="1" si="8"/>
        <v>42</v>
      </c>
      <c r="Z661" s="616" t="s">
        <v>1947</v>
      </c>
      <c r="AA661" s="598" t="s">
        <v>1948</v>
      </c>
      <c r="AB661" s="598" t="s">
        <v>996</v>
      </c>
      <c r="AC661" s="598" t="s">
        <v>997</v>
      </c>
      <c r="AD661" s="616" t="s">
        <v>729</v>
      </c>
      <c r="AE661" s="640" t="s">
        <v>729</v>
      </c>
      <c r="AF661" s="616" t="s">
        <v>1808</v>
      </c>
      <c r="AG661" s="598"/>
      <c r="AH661" s="598"/>
      <c r="AI661" s="598" t="s">
        <v>1107</v>
      </c>
      <c r="AJ661" s="598"/>
      <c r="AK661" s="626">
        <v>-6</v>
      </c>
      <c r="AL661" s="626"/>
    </row>
    <row r="662" spans="1:38" ht="18" customHeight="1">
      <c r="A662" s="593"/>
      <c r="B662" s="598">
        <v>645</v>
      </c>
      <c r="C662" s="598" t="s">
        <v>2168</v>
      </c>
      <c r="D662" s="598">
        <f t="shared" si="7"/>
        <v>608</v>
      </c>
      <c r="E662" s="616" t="s">
        <v>1351</v>
      </c>
      <c r="F662" s="616" t="s">
        <v>4904</v>
      </c>
      <c r="G662" s="618" t="s">
        <v>1195</v>
      </c>
      <c r="H662" s="618" t="s">
        <v>80</v>
      </c>
      <c r="I662" s="618" t="s">
        <v>1051</v>
      </c>
      <c r="J662" s="618" t="s">
        <v>2168</v>
      </c>
      <c r="K662" s="618" t="s">
        <v>1963</v>
      </c>
      <c r="L662" s="619"/>
      <c r="M662" s="620"/>
      <c r="N662" s="620"/>
      <c r="O662" s="667" t="s">
        <v>1157</v>
      </c>
      <c r="P662" s="621"/>
      <c r="Q662" s="598" t="s">
        <v>55</v>
      </c>
      <c r="R662" s="598" t="s">
        <v>178</v>
      </c>
      <c r="S662" s="598"/>
      <c r="T662" s="623" t="s">
        <v>1015</v>
      </c>
      <c r="U662" s="667" t="s">
        <v>605</v>
      </c>
      <c r="V662" s="674" t="s">
        <v>2169</v>
      </c>
      <c r="W662" s="598" t="s">
        <v>950</v>
      </c>
      <c r="X662" s="624">
        <v>21524</v>
      </c>
      <c r="Y662" s="625">
        <f t="shared" ca="1" si="8"/>
        <v>67</v>
      </c>
      <c r="Z662" s="616" t="s">
        <v>2170</v>
      </c>
      <c r="AA662" s="598" t="s">
        <v>2171</v>
      </c>
      <c r="AB662" s="598" t="s">
        <v>966</v>
      </c>
      <c r="AC662" s="598" t="s">
        <v>953</v>
      </c>
      <c r="AD662" s="616" t="s">
        <v>729</v>
      </c>
      <c r="AE662" s="640" t="s">
        <v>729</v>
      </c>
      <c r="AF662" s="616" t="s">
        <v>2172</v>
      </c>
      <c r="AG662" s="598"/>
      <c r="AH662" s="598"/>
      <c r="AI662" s="598" t="s">
        <v>1025</v>
      </c>
      <c r="AJ662" s="598"/>
      <c r="AK662" s="626">
        <v>-4</v>
      </c>
      <c r="AL662" s="626"/>
    </row>
    <row r="663" spans="1:38" ht="18" customHeight="1">
      <c r="A663" s="593"/>
      <c r="B663" s="598">
        <v>646</v>
      </c>
      <c r="C663" s="598" t="s">
        <v>1963</v>
      </c>
      <c r="D663" s="598">
        <f t="shared" si="7"/>
        <v>609</v>
      </c>
      <c r="E663" s="616" t="s">
        <v>1351</v>
      </c>
      <c r="F663" s="616" t="s">
        <v>4904</v>
      </c>
      <c r="G663" s="618" t="s">
        <v>1195</v>
      </c>
      <c r="H663" s="618" t="s">
        <v>80</v>
      </c>
      <c r="I663" s="618" t="s">
        <v>1051</v>
      </c>
      <c r="J663" s="618" t="s">
        <v>2168</v>
      </c>
      <c r="K663" s="618" t="s">
        <v>1963</v>
      </c>
      <c r="L663" s="619"/>
      <c r="M663" s="620"/>
      <c r="N663" s="620"/>
      <c r="O663" s="663" t="s">
        <v>1157</v>
      </c>
      <c r="P663" s="621"/>
      <c r="Q663" s="598" t="s">
        <v>69</v>
      </c>
      <c r="R663" s="598" t="s">
        <v>562</v>
      </c>
      <c r="S663" s="598"/>
      <c r="T663" s="623" t="s">
        <v>1015</v>
      </c>
      <c r="U663" s="663" t="s">
        <v>633</v>
      </c>
      <c r="V663" s="674" t="s">
        <v>1964</v>
      </c>
      <c r="W663" s="598" t="s">
        <v>950</v>
      </c>
      <c r="X663" s="624">
        <v>25485</v>
      </c>
      <c r="Y663" s="625">
        <f t="shared" ca="1" si="8"/>
        <v>56</v>
      </c>
      <c r="Z663" s="616" t="s">
        <v>1965</v>
      </c>
      <c r="AA663" s="598" t="s">
        <v>1966</v>
      </c>
      <c r="AB663" s="598" t="s">
        <v>996</v>
      </c>
      <c r="AC663" s="644" t="s">
        <v>997</v>
      </c>
      <c r="AD663" s="616" t="s">
        <v>729</v>
      </c>
      <c r="AE663" s="640" t="s">
        <v>729</v>
      </c>
      <c r="AF663" s="616" t="s">
        <v>1760</v>
      </c>
      <c r="AG663" s="598"/>
      <c r="AH663" s="598"/>
      <c r="AI663" s="598" t="s">
        <v>1107</v>
      </c>
      <c r="AJ663" s="598"/>
      <c r="AK663" s="626">
        <v>-4</v>
      </c>
      <c r="AL663" s="626"/>
    </row>
    <row r="664" spans="1:38" ht="18" customHeight="1">
      <c r="A664" s="593"/>
      <c r="B664" s="598">
        <v>647</v>
      </c>
      <c r="C664" s="598" t="s">
        <v>2508</v>
      </c>
      <c r="D664" s="598">
        <f t="shared" si="7"/>
        <v>610</v>
      </c>
      <c r="E664" s="616" t="s">
        <v>1351</v>
      </c>
      <c r="F664" s="616" t="s">
        <v>4904</v>
      </c>
      <c r="G664" s="618" t="s">
        <v>1195</v>
      </c>
      <c r="H664" s="618" t="s">
        <v>80</v>
      </c>
      <c r="I664" s="618" t="s">
        <v>1051</v>
      </c>
      <c r="J664" s="618" t="s">
        <v>2168</v>
      </c>
      <c r="K664" s="618" t="s">
        <v>1963</v>
      </c>
      <c r="L664" s="619"/>
      <c r="M664" s="620"/>
      <c r="N664" s="620"/>
      <c r="O664" s="663" t="s">
        <v>1157</v>
      </c>
      <c r="P664" s="621"/>
      <c r="Q664" s="598"/>
      <c r="R664" s="598"/>
      <c r="S664" s="598"/>
      <c r="T664" s="623" t="s">
        <v>1015</v>
      </c>
      <c r="U664" s="663" t="s">
        <v>614</v>
      </c>
      <c r="V664" s="674" t="s">
        <v>2509</v>
      </c>
      <c r="W664" s="598" t="s">
        <v>950</v>
      </c>
      <c r="X664" s="624">
        <v>21286</v>
      </c>
      <c r="Y664" s="625">
        <f t="shared" ca="1" si="8"/>
        <v>67</v>
      </c>
      <c r="Z664" s="616" t="s">
        <v>2510</v>
      </c>
      <c r="AA664" s="598" t="s">
        <v>2511</v>
      </c>
      <c r="AB664" s="598" t="s">
        <v>996</v>
      </c>
      <c r="AC664" s="598" t="s">
        <v>997</v>
      </c>
      <c r="AD664" s="616" t="s">
        <v>729</v>
      </c>
      <c r="AE664" s="640" t="s">
        <v>729</v>
      </c>
      <c r="AF664" s="616" t="s">
        <v>2512</v>
      </c>
      <c r="AG664" s="598"/>
      <c r="AH664" s="598"/>
      <c r="AI664" s="598" t="s">
        <v>1107</v>
      </c>
      <c r="AJ664" s="598"/>
      <c r="AK664" s="678">
        <v>2</v>
      </c>
      <c r="AL664" s="626"/>
    </row>
    <row r="665" spans="1:38" ht="18" customHeight="1">
      <c r="A665" s="593"/>
      <c r="B665" s="598">
        <v>648</v>
      </c>
      <c r="C665" s="598" t="s">
        <v>2531</v>
      </c>
      <c r="D665" s="598">
        <f t="shared" si="7"/>
        <v>611</v>
      </c>
      <c r="E665" s="616" t="s">
        <v>1351</v>
      </c>
      <c r="F665" s="616" t="s">
        <v>4904</v>
      </c>
      <c r="G665" s="618" t="s">
        <v>1195</v>
      </c>
      <c r="H665" s="618" t="s">
        <v>80</v>
      </c>
      <c r="I665" s="618" t="s">
        <v>1051</v>
      </c>
      <c r="J665" s="618" t="s">
        <v>2168</v>
      </c>
      <c r="K665" s="618" t="s">
        <v>1963</v>
      </c>
      <c r="L665" s="619"/>
      <c r="M665" s="620"/>
      <c r="N665" s="620"/>
      <c r="O665" s="663" t="s">
        <v>1157</v>
      </c>
      <c r="P665" s="621"/>
      <c r="Q665" s="598"/>
      <c r="R665" s="598"/>
      <c r="S665" s="598"/>
      <c r="T665" s="623" t="s">
        <v>1015</v>
      </c>
      <c r="U665" s="664" t="s">
        <v>651</v>
      </c>
      <c r="V665" s="674" t="s">
        <v>2532</v>
      </c>
      <c r="W665" s="598" t="s">
        <v>950</v>
      </c>
      <c r="X665" s="624">
        <v>26525</v>
      </c>
      <c r="Y665" s="625">
        <f t="shared" ca="1" si="8"/>
        <v>53</v>
      </c>
      <c r="Z665" s="616" t="s">
        <v>2533</v>
      </c>
      <c r="AA665" s="598" t="s">
        <v>2534</v>
      </c>
      <c r="AB665" s="598" t="s">
        <v>996</v>
      </c>
      <c r="AC665" s="644" t="s">
        <v>997</v>
      </c>
      <c r="AD665" s="616" t="s">
        <v>729</v>
      </c>
      <c r="AE665" s="640" t="s">
        <v>729</v>
      </c>
      <c r="AF665" s="616" t="s">
        <v>2535</v>
      </c>
      <c r="AG665" s="598"/>
      <c r="AH665" s="598"/>
      <c r="AI665" s="598" t="s">
        <v>1107</v>
      </c>
      <c r="AJ665" s="598"/>
      <c r="AK665" s="678">
        <v>-1</v>
      </c>
      <c r="AL665" s="626"/>
    </row>
    <row r="666" spans="1:38" ht="18" customHeight="1">
      <c r="A666" s="593"/>
      <c r="B666" s="598">
        <v>649</v>
      </c>
      <c r="C666" s="598" t="s">
        <v>2498</v>
      </c>
      <c r="D666" s="598">
        <f t="shared" si="7"/>
        <v>612</v>
      </c>
      <c r="E666" s="616" t="s">
        <v>1351</v>
      </c>
      <c r="F666" s="616" t="s">
        <v>4904</v>
      </c>
      <c r="G666" s="618" t="s">
        <v>1195</v>
      </c>
      <c r="H666" s="618" t="s">
        <v>80</v>
      </c>
      <c r="I666" s="618" t="s">
        <v>1051</v>
      </c>
      <c r="J666" s="618" t="s">
        <v>2168</v>
      </c>
      <c r="K666" s="618" t="s">
        <v>1963</v>
      </c>
      <c r="L666" s="619"/>
      <c r="M666" s="620"/>
      <c r="N666" s="620"/>
      <c r="O666" s="663" t="s">
        <v>1157</v>
      </c>
      <c r="P666" s="621" t="s">
        <v>319</v>
      </c>
      <c r="Q666" s="598"/>
      <c r="R666" s="598"/>
      <c r="S666" s="598"/>
      <c r="T666" s="623" t="s">
        <v>1015</v>
      </c>
      <c r="U666" s="664" t="s">
        <v>670</v>
      </c>
      <c r="V666" s="674" t="s">
        <v>2499</v>
      </c>
      <c r="W666" s="598" t="s">
        <v>950</v>
      </c>
      <c r="X666" s="624">
        <v>21228</v>
      </c>
      <c r="Y666" s="625">
        <f t="shared" ca="1" si="8"/>
        <v>67</v>
      </c>
      <c r="Z666" s="616" t="s">
        <v>2500</v>
      </c>
      <c r="AA666" s="598" t="s">
        <v>2501</v>
      </c>
      <c r="AB666" s="598" t="s">
        <v>996</v>
      </c>
      <c r="AC666" s="644" t="s">
        <v>997</v>
      </c>
      <c r="AD666" s="616" t="s">
        <v>729</v>
      </c>
      <c r="AE666" s="640" t="s">
        <v>729</v>
      </c>
      <c r="AF666" s="616" t="s">
        <v>2502</v>
      </c>
      <c r="AG666" s="598"/>
      <c r="AH666" s="598"/>
      <c r="AI666" s="748" t="s">
        <v>1566</v>
      </c>
      <c r="AJ666" s="598"/>
      <c r="AK666" s="678">
        <v>-1</v>
      </c>
      <c r="AL666" s="626"/>
    </row>
    <row r="667" spans="1:38" ht="18" customHeight="1">
      <c r="A667" s="593"/>
      <c r="B667" s="598">
        <v>650</v>
      </c>
      <c r="C667" s="598" t="s">
        <v>2191</v>
      </c>
      <c r="D667" s="598">
        <f t="shared" si="7"/>
        <v>613</v>
      </c>
      <c r="E667" s="616" t="s">
        <v>1351</v>
      </c>
      <c r="F667" s="616" t="s">
        <v>4904</v>
      </c>
      <c r="G667" s="618" t="s">
        <v>1195</v>
      </c>
      <c r="H667" s="618" t="s">
        <v>80</v>
      </c>
      <c r="I667" s="618" t="s">
        <v>1051</v>
      </c>
      <c r="J667" s="618" t="s">
        <v>2168</v>
      </c>
      <c r="K667" s="618" t="s">
        <v>1963</v>
      </c>
      <c r="L667" s="619"/>
      <c r="M667" s="620"/>
      <c r="N667" s="620"/>
      <c r="O667" s="663" t="s">
        <v>1157</v>
      </c>
      <c r="P667" s="621" t="s">
        <v>319</v>
      </c>
      <c r="Q667" s="598"/>
      <c r="R667" s="598"/>
      <c r="S667" s="598"/>
      <c r="T667" s="623" t="s">
        <v>1015</v>
      </c>
      <c r="U667" s="664" t="s">
        <v>687</v>
      </c>
      <c r="V667" s="674" t="s">
        <v>2192</v>
      </c>
      <c r="W667" s="598" t="s">
        <v>950</v>
      </c>
      <c r="X667" s="624">
        <v>23272</v>
      </c>
      <c r="Y667" s="625">
        <f t="shared" ca="1" si="8"/>
        <v>62</v>
      </c>
      <c r="Z667" s="616" t="s">
        <v>2193</v>
      </c>
      <c r="AA667" s="598" t="s">
        <v>2194</v>
      </c>
      <c r="AB667" s="598" t="s">
        <v>996</v>
      </c>
      <c r="AC667" s="644" t="s">
        <v>997</v>
      </c>
      <c r="AD667" s="616" t="s">
        <v>729</v>
      </c>
      <c r="AE667" s="640" t="s">
        <v>729</v>
      </c>
      <c r="AF667" s="616" t="s">
        <v>2172</v>
      </c>
      <c r="AG667" s="598"/>
      <c r="AH667" s="598"/>
      <c r="AI667" s="748" t="s">
        <v>1566</v>
      </c>
      <c r="AJ667" s="598"/>
      <c r="AK667" s="626">
        <v>-4</v>
      </c>
      <c r="AL667" s="626"/>
    </row>
    <row r="668" spans="1:38" ht="18" customHeight="1">
      <c r="A668" s="593"/>
      <c r="B668" s="598">
        <v>651</v>
      </c>
      <c r="C668" s="598" t="s">
        <v>2555</v>
      </c>
      <c r="D668" s="598">
        <f t="shared" si="7"/>
        <v>614</v>
      </c>
      <c r="E668" s="616" t="s">
        <v>1351</v>
      </c>
      <c r="F668" s="616" t="s">
        <v>4904</v>
      </c>
      <c r="G668" s="618" t="s">
        <v>1195</v>
      </c>
      <c r="H668" s="618" t="s">
        <v>80</v>
      </c>
      <c r="I668" s="618" t="s">
        <v>1051</v>
      </c>
      <c r="J668" s="618" t="s">
        <v>2168</v>
      </c>
      <c r="K668" s="618" t="s">
        <v>1963</v>
      </c>
      <c r="L668" s="619"/>
      <c r="M668" s="620"/>
      <c r="N668" s="620"/>
      <c r="O668" s="663" t="s">
        <v>1157</v>
      </c>
      <c r="P668" s="621" t="s">
        <v>319</v>
      </c>
      <c r="Q668" s="598"/>
      <c r="R668" s="598"/>
      <c r="S668" s="598"/>
      <c r="T668" s="623" t="s">
        <v>1015</v>
      </c>
      <c r="U668" s="664" t="s">
        <v>702</v>
      </c>
      <c r="V668" s="674" t="s">
        <v>2556</v>
      </c>
      <c r="W668" s="598" t="s">
        <v>950</v>
      </c>
      <c r="X668" s="624">
        <v>23843</v>
      </c>
      <c r="Y668" s="625">
        <f t="shared" ca="1" si="8"/>
        <v>60</v>
      </c>
      <c r="Z668" s="616" t="s">
        <v>2557</v>
      </c>
      <c r="AA668" s="598" t="s">
        <v>2558</v>
      </c>
      <c r="AB668" s="598" t="s">
        <v>996</v>
      </c>
      <c r="AC668" s="598" t="s">
        <v>1018</v>
      </c>
      <c r="AD668" s="616" t="s">
        <v>729</v>
      </c>
      <c r="AE668" s="616" t="s">
        <v>729</v>
      </c>
      <c r="AF668" s="616" t="s">
        <v>2559</v>
      </c>
      <c r="AG668" s="598"/>
      <c r="AH668" s="598"/>
      <c r="AI668" s="748" t="s">
        <v>1566</v>
      </c>
      <c r="AJ668" s="598"/>
      <c r="AK668" s="678">
        <v>-2</v>
      </c>
      <c r="AL668" s="626"/>
    </row>
    <row r="669" spans="1:38" ht="18" customHeight="1">
      <c r="A669" s="593"/>
      <c r="B669" s="598">
        <v>652</v>
      </c>
      <c r="C669" s="598" t="s">
        <v>2489</v>
      </c>
      <c r="D669" s="598">
        <f t="shared" si="7"/>
        <v>615</v>
      </c>
      <c r="E669" s="616" t="s">
        <v>1351</v>
      </c>
      <c r="F669" s="616" t="s">
        <v>4904</v>
      </c>
      <c r="G669" s="618" t="s">
        <v>1195</v>
      </c>
      <c r="H669" s="618" t="s">
        <v>80</v>
      </c>
      <c r="I669" s="618" t="s">
        <v>1051</v>
      </c>
      <c r="J669" s="618" t="s">
        <v>2168</v>
      </c>
      <c r="K669" s="618" t="s">
        <v>1963</v>
      </c>
      <c r="L669" s="619"/>
      <c r="M669" s="620"/>
      <c r="N669" s="620"/>
      <c r="O669" s="663" t="s">
        <v>1157</v>
      </c>
      <c r="P669" s="621" t="s">
        <v>319</v>
      </c>
      <c r="Q669" s="598"/>
      <c r="R669" s="598"/>
      <c r="S669" s="598"/>
      <c r="T669" s="623" t="s">
        <v>1090</v>
      </c>
      <c r="U669" s="718" t="s">
        <v>901</v>
      </c>
      <c r="V669" s="708" t="s">
        <v>2490</v>
      </c>
      <c r="W669" s="598" t="s">
        <v>950</v>
      </c>
      <c r="X669" s="624">
        <v>20209</v>
      </c>
      <c r="Y669" s="625">
        <f t="shared" ca="1" si="8"/>
        <v>70</v>
      </c>
      <c r="Z669" s="616" t="s">
        <v>2491</v>
      </c>
      <c r="AA669" s="598"/>
      <c r="AB669" s="598" t="s">
        <v>996</v>
      </c>
      <c r="AC669" s="598" t="s">
        <v>1018</v>
      </c>
      <c r="AD669" s="616" t="s">
        <v>729</v>
      </c>
      <c r="AE669" s="616" t="s">
        <v>729</v>
      </c>
      <c r="AF669" s="712" t="s">
        <v>2492</v>
      </c>
      <c r="AG669" s="598"/>
      <c r="AH669" s="598"/>
      <c r="AI669" s="744" t="s">
        <v>1575</v>
      </c>
      <c r="AJ669" s="598"/>
      <c r="AK669" s="626"/>
      <c r="AL669" s="626"/>
    </row>
    <row r="670" spans="1:38" ht="18" customHeight="1">
      <c r="A670" s="593"/>
      <c r="B670" s="598">
        <v>653</v>
      </c>
      <c r="C670" s="598" t="s">
        <v>1241</v>
      </c>
      <c r="D670" s="598">
        <f t="shared" si="7"/>
        <v>615</v>
      </c>
      <c r="E670" s="616"/>
      <c r="F670" s="616" t="s">
        <v>4921</v>
      </c>
      <c r="G670" s="618" t="s">
        <v>1195</v>
      </c>
      <c r="H670" s="618" t="s">
        <v>254</v>
      </c>
      <c r="I670" s="618" t="s">
        <v>1241</v>
      </c>
      <c r="J670" s="618" t="s">
        <v>1241</v>
      </c>
      <c r="K670" s="618" t="s">
        <v>2214</v>
      </c>
      <c r="L670" s="619" t="s">
        <v>2028</v>
      </c>
      <c r="M670" s="620"/>
      <c r="N670" s="620"/>
      <c r="O670" s="667" t="s">
        <v>1480</v>
      </c>
      <c r="P670" s="621"/>
      <c r="Q670" s="598" t="s">
        <v>173</v>
      </c>
      <c r="R670" s="598" t="s">
        <v>514</v>
      </c>
      <c r="S670" s="598"/>
      <c r="T670" s="623"/>
      <c r="U670" s="667" t="s">
        <v>254</v>
      </c>
      <c r="V670" s="674" t="s">
        <v>4922</v>
      </c>
      <c r="W670" s="598" t="s">
        <v>950</v>
      </c>
      <c r="X670" s="624">
        <v>20283</v>
      </c>
      <c r="Y670" s="625">
        <f t="shared" ca="1" si="8"/>
        <v>70</v>
      </c>
      <c r="Z670" s="616" t="s">
        <v>1243</v>
      </c>
      <c r="AA670" s="598"/>
      <c r="AB670" s="598" t="s">
        <v>966</v>
      </c>
      <c r="AC670" s="598" t="s">
        <v>953</v>
      </c>
      <c r="AD670" s="616" t="s">
        <v>729</v>
      </c>
      <c r="AE670" s="616" t="s">
        <v>1239</v>
      </c>
      <c r="AF670" s="616" t="s">
        <v>1240</v>
      </c>
      <c r="AG670" s="598" t="s">
        <v>955</v>
      </c>
      <c r="AH670" s="598"/>
      <c r="AI670" s="598"/>
      <c r="AJ670" s="598"/>
      <c r="AK670" s="626"/>
      <c r="AL670" s="626"/>
    </row>
    <row r="671" spans="1:38" ht="18" customHeight="1">
      <c r="A671" s="593"/>
      <c r="B671" s="598">
        <v>654</v>
      </c>
      <c r="C671" s="598" t="s">
        <v>2214</v>
      </c>
      <c r="D671" s="598">
        <f t="shared" si="7"/>
        <v>616</v>
      </c>
      <c r="E671" s="616" t="s">
        <v>1351</v>
      </c>
      <c r="F671" s="616" t="s">
        <v>4921</v>
      </c>
      <c r="G671" s="618" t="s">
        <v>1195</v>
      </c>
      <c r="H671" s="618" t="s">
        <v>254</v>
      </c>
      <c r="I671" s="618" t="s">
        <v>1241</v>
      </c>
      <c r="J671" s="618" t="s">
        <v>1241</v>
      </c>
      <c r="K671" s="618" t="s">
        <v>2214</v>
      </c>
      <c r="L671" s="619" t="s">
        <v>2028</v>
      </c>
      <c r="M671" s="620"/>
      <c r="N671" s="620"/>
      <c r="O671" s="663" t="s">
        <v>1480</v>
      </c>
      <c r="P671" s="621"/>
      <c r="Q671" s="598" t="s">
        <v>69</v>
      </c>
      <c r="R671" s="598" t="s">
        <v>562</v>
      </c>
      <c r="S671" s="598"/>
      <c r="T671" s="623" t="s">
        <v>1015</v>
      </c>
      <c r="U671" s="663" t="s">
        <v>615</v>
      </c>
      <c r="V671" s="674" t="s">
        <v>2216</v>
      </c>
      <c r="W671" s="598" t="s">
        <v>950</v>
      </c>
      <c r="X671" s="624">
        <v>26069</v>
      </c>
      <c r="Y671" s="625">
        <f t="shared" ca="1" si="8"/>
        <v>54</v>
      </c>
      <c r="Z671" s="616" t="s">
        <v>2217</v>
      </c>
      <c r="AA671" s="598" t="s">
        <v>2218</v>
      </c>
      <c r="AB671" s="598" t="s">
        <v>996</v>
      </c>
      <c r="AC671" s="598" t="s">
        <v>997</v>
      </c>
      <c r="AD671" s="616" t="s">
        <v>729</v>
      </c>
      <c r="AE671" s="640" t="s">
        <v>729</v>
      </c>
      <c r="AF671" s="640" t="s">
        <v>1252</v>
      </c>
      <c r="AG671" s="598"/>
      <c r="AH671" s="598"/>
      <c r="AI671" s="598" t="s">
        <v>1318</v>
      </c>
      <c r="AJ671" s="598"/>
      <c r="AK671" s="626">
        <v>-6</v>
      </c>
      <c r="AL671" s="626"/>
    </row>
    <row r="672" spans="1:38" ht="18" customHeight="1">
      <c r="A672" s="593"/>
      <c r="B672" s="598">
        <v>655</v>
      </c>
      <c r="C672" s="598" t="s">
        <v>1319</v>
      </c>
      <c r="D672" s="598">
        <f t="shared" si="7"/>
        <v>617</v>
      </c>
      <c r="E672" s="616" t="s">
        <v>1233</v>
      </c>
      <c r="F672" s="616" t="s">
        <v>4921</v>
      </c>
      <c r="G672" s="618" t="s">
        <v>1195</v>
      </c>
      <c r="H672" s="618" t="s">
        <v>254</v>
      </c>
      <c r="I672" s="618" t="s">
        <v>1241</v>
      </c>
      <c r="J672" s="618" t="s">
        <v>1241</v>
      </c>
      <c r="K672" s="618" t="s">
        <v>2214</v>
      </c>
      <c r="L672" s="619" t="s">
        <v>2028</v>
      </c>
      <c r="M672" s="620"/>
      <c r="N672" s="620"/>
      <c r="O672" s="663" t="s">
        <v>1480</v>
      </c>
      <c r="P672" s="621"/>
      <c r="Q672" s="598"/>
      <c r="R672" s="598"/>
      <c r="S672" s="598"/>
      <c r="T672" s="623" t="s">
        <v>1015</v>
      </c>
      <c r="U672" s="663" t="s">
        <v>634</v>
      </c>
      <c r="V672" s="674" t="s">
        <v>1320</v>
      </c>
      <c r="W672" s="598" t="s">
        <v>950</v>
      </c>
      <c r="X672" s="624">
        <v>21767</v>
      </c>
      <c r="Y672" s="625">
        <f t="shared" ca="1" si="8"/>
        <v>66</v>
      </c>
      <c r="Z672" s="616" t="s">
        <v>1321</v>
      </c>
      <c r="AA672" s="598" t="s">
        <v>1322</v>
      </c>
      <c r="AB672" s="598" t="s">
        <v>996</v>
      </c>
      <c r="AC672" s="598" t="s">
        <v>997</v>
      </c>
      <c r="AD672" s="616" t="s">
        <v>729</v>
      </c>
      <c r="AE672" s="640" t="s">
        <v>729</v>
      </c>
      <c r="AF672" s="616" t="s">
        <v>1323</v>
      </c>
      <c r="AG672" s="598"/>
      <c r="AH672" s="598"/>
      <c r="AI672" s="598" t="s">
        <v>1318</v>
      </c>
      <c r="AJ672" s="598"/>
      <c r="AK672" s="626">
        <v>-6</v>
      </c>
      <c r="AL672" s="626"/>
    </row>
    <row r="673" spans="1:38" ht="18" customHeight="1">
      <c r="A673" s="593"/>
      <c r="B673" s="598">
        <v>656</v>
      </c>
      <c r="C673" s="598" t="s">
        <v>2037</v>
      </c>
      <c r="D673" s="598">
        <f t="shared" si="7"/>
        <v>618</v>
      </c>
      <c r="E673" s="616" t="s">
        <v>1351</v>
      </c>
      <c r="F673" s="616" t="s">
        <v>4921</v>
      </c>
      <c r="G673" s="618" t="s">
        <v>1195</v>
      </c>
      <c r="H673" s="618" t="s">
        <v>254</v>
      </c>
      <c r="I673" s="618" t="s">
        <v>1241</v>
      </c>
      <c r="J673" s="618" t="s">
        <v>1241</v>
      </c>
      <c r="K673" s="618" t="s">
        <v>2214</v>
      </c>
      <c r="L673" s="619" t="s">
        <v>2028</v>
      </c>
      <c r="M673" s="620"/>
      <c r="N673" s="620"/>
      <c r="O673" s="663" t="s">
        <v>1480</v>
      </c>
      <c r="P673" s="621"/>
      <c r="Q673" s="598"/>
      <c r="R673" s="598"/>
      <c r="S673" s="598"/>
      <c r="T673" s="623" t="s">
        <v>1015</v>
      </c>
      <c r="U673" s="663" t="s">
        <v>652</v>
      </c>
      <c r="V673" s="674" t="s">
        <v>2038</v>
      </c>
      <c r="W673" s="598" t="s">
        <v>950</v>
      </c>
      <c r="X673" s="624">
        <v>21805</v>
      </c>
      <c r="Y673" s="625">
        <f t="shared" ca="1" si="8"/>
        <v>66</v>
      </c>
      <c r="Z673" s="616" t="s">
        <v>2039</v>
      </c>
      <c r="AA673" s="598" t="s">
        <v>2040</v>
      </c>
      <c r="AB673" s="598" t="s">
        <v>996</v>
      </c>
      <c r="AC673" s="644" t="s">
        <v>997</v>
      </c>
      <c r="AD673" s="616" t="s">
        <v>729</v>
      </c>
      <c r="AE673" s="640" t="s">
        <v>729</v>
      </c>
      <c r="AF673" s="640" t="s">
        <v>1252</v>
      </c>
      <c r="AG673" s="598"/>
      <c r="AH673" s="598"/>
      <c r="AI673" s="598" t="s">
        <v>1318</v>
      </c>
      <c r="AJ673" s="598"/>
      <c r="AK673" s="626">
        <v>-6</v>
      </c>
      <c r="AL673" s="626"/>
    </row>
    <row r="674" spans="1:38" ht="18" customHeight="1">
      <c r="A674" s="593"/>
      <c r="B674" s="598">
        <v>657</v>
      </c>
      <c r="C674" s="598" t="s">
        <v>2046</v>
      </c>
      <c r="D674" s="598">
        <f t="shared" si="7"/>
        <v>619</v>
      </c>
      <c r="E674" s="616" t="s">
        <v>1351</v>
      </c>
      <c r="F674" s="616" t="s">
        <v>4921</v>
      </c>
      <c r="G674" s="618" t="s">
        <v>1195</v>
      </c>
      <c r="H674" s="618" t="s">
        <v>254</v>
      </c>
      <c r="I674" s="618" t="s">
        <v>1241</v>
      </c>
      <c r="J674" s="618" t="s">
        <v>1241</v>
      </c>
      <c r="K674" s="618" t="s">
        <v>2214</v>
      </c>
      <c r="L674" s="619" t="s">
        <v>2028</v>
      </c>
      <c r="M674" s="620"/>
      <c r="N674" s="620"/>
      <c r="O674" s="663" t="s">
        <v>1480</v>
      </c>
      <c r="P674" s="621"/>
      <c r="Q674" s="598"/>
      <c r="R674" s="598"/>
      <c r="S674" s="598"/>
      <c r="T674" s="623" t="s">
        <v>1015</v>
      </c>
      <c r="U674" s="663" t="s">
        <v>671</v>
      </c>
      <c r="V674" s="674" t="s">
        <v>2047</v>
      </c>
      <c r="W674" s="598" t="s">
        <v>950</v>
      </c>
      <c r="X674" s="624">
        <v>22122</v>
      </c>
      <c r="Y674" s="625">
        <f t="shared" ca="1" si="8"/>
        <v>65</v>
      </c>
      <c r="Z674" s="616" t="s">
        <v>2048</v>
      </c>
      <c r="AA674" s="598" t="s">
        <v>2049</v>
      </c>
      <c r="AB674" s="598" t="s">
        <v>996</v>
      </c>
      <c r="AC674" s="598" t="s">
        <v>997</v>
      </c>
      <c r="AD674" s="616" t="s">
        <v>729</v>
      </c>
      <c r="AE674" s="640" t="s">
        <v>729</v>
      </c>
      <c r="AF674" s="616" t="s">
        <v>1764</v>
      </c>
      <c r="AG674" s="598"/>
      <c r="AH674" s="598"/>
      <c r="AI674" s="598" t="s">
        <v>1318</v>
      </c>
      <c r="AK674" s="626">
        <v>-6</v>
      </c>
      <c r="AL674" s="626"/>
    </row>
    <row r="675" spans="1:38" ht="18" customHeight="1">
      <c r="A675" s="751" t="s">
        <v>1324</v>
      </c>
      <c r="B675" s="752">
        <v>658</v>
      </c>
      <c r="C675" s="752" t="s">
        <v>1325</v>
      </c>
      <c r="D675" s="752">
        <f t="shared" si="7"/>
        <v>620</v>
      </c>
      <c r="E675" s="616" t="s">
        <v>1233</v>
      </c>
      <c r="F675" s="753" t="s">
        <v>4921</v>
      </c>
      <c r="G675" s="754" t="s">
        <v>1195</v>
      </c>
      <c r="H675" s="754" t="s">
        <v>254</v>
      </c>
      <c r="I675" s="754" t="s">
        <v>1241</v>
      </c>
      <c r="J675" s="754" t="s">
        <v>1241</v>
      </c>
      <c r="K675" s="754" t="s">
        <v>2214</v>
      </c>
      <c r="L675" s="619" t="s">
        <v>2028</v>
      </c>
      <c r="M675" s="755"/>
      <c r="N675" s="755"/>
      <c r="O675" s="756" t="s">
        <v>1480</v>
      </c>
      <c r="P675" s="757"/>
      <c r="Q675" s="752"/>
      <c r="R675" s="752"/>
      <c r="S675" s="752"/>
      <c r="T675" s="758" t="s">
        <v>1015</v>
      </c>
      <c r="U675" s="756" t="s">
        <v>688</v>
      </c>
      <c r="V675" s="759" t="s">
        <v>1326</v>
      </c>
      <c r="W675" s="752" t="s">
        <v>950</v>
      </c>
      <c r="X675" s="760">
        <v>23390</v>
      </c>
      <c r="Y675" s="761">
        <f t="shared" ca="1" si="8"/>
        <v>62</v>
      </c>
      <c r="Z675" s="753" t="s">
        <v>1327</v>
      </c>
      <c r="AA675" s="752" t="s">
        <v>1328</v>
      </c>
      <c r="AB675" s="752" t="s">
        <v>996</v>
      </c>
      <c r="AC675" s="644" t="s">
        <v>997</v>
      </c>
      <c r="AD675" s="753" t="s">
        <v>729</v>
      </c>
      <c r="AE675" s="752" t="s">
        <v>729</v>
      </c>
      <c r="AF675" s="753" t="s">
        <v>1329</v>
      </c>
      <c r="AG675" s="752"/>
      <c r="AH675" s="752"/>
      <c r="AI675" s="752" t="s">
        <v>1318</v>
      </c>
      <c r="AJ675" s="752"/>
      <c r="AK675" s="762">
        <v>-7</v>
      </c>
      <c r="AL675" s="762"/>
    </row>
    <row r="676" spans="1:38" ht="18" customHeight="1">
      <c r="A676" s="593"/>
      <c r="B676" s="598">
        <v>659</v>
      </c>
      <c r="C676" s="598" t="s">
        <v>2028</v>
      </c>
      <c r="D676" s="598">
        <f t="shared" si="7"/>
        <v>621</v>
      </c>
      <c r="E676" s="616" t="s">
        <v>1351</v>
      </c>
      <c r="F676" s="616" t="s">
        <v>4921</v>
      </c>
      <c r="G676" s="618" t="s">
        <v>1195</v>
      </c>
      <c r="H676" s="618" t="s">
        <v>254</v>
      </c>
      <c r="I676" s="618" t="s">
        <v>1241</v>
      </c>
      <c r="J676" s="618" t="s">
        <v>1241</v>
      </c>
      <c r="K676" s="618" t="s">
        <v>2214</v>
      </c>
      <c r="L676" s="619" t="s">
        <v>2028</v>
      </c>
      <c r="M676" s="620"/>
      <c r="N676" s="620"/>
      <c r="O676" s="663" t="s">
        <v>1480</v>
      </c>
      <c r="P676" s="621"/>
      <c r="Q676" s="598" t="s">
        <v>69</v>
      </c>
      <c r="R676" s="598" t="s">
        <v>562</v>
      </c>
      <c r="S676" s="598"/>
      <c r="T676" s="623" t="s">
        <v>1015</v>
      </c>
      <c r="U676" s="663" t="s">
        <v>703</v>
      </c>
      <c r="V676" s="674" t="s">
        <v>2030</v>
      </c>
      <c r="W676" s="598" t="s">
        <v>950</v>
      </c>
      <c r="X676" s="624">
        <v>26671</v>
      </c>
      <c r="Y676" s="625">
        <f t="shared" ca="1" si="8"/>
        <v>53</v>
      </c>
      <c r="Z676" s="616" t="s">
        <v>2031</v>
      </c>
      <c r="AA676" s="598" t="s">
        <v>2032</v>
      </c>
      <c r="AB676" s="598" t="s">
        <v>996</v>
      </c>
      <c r="AC676" s="598" t="s">
        <v>997</v>
      </c>
      <c r="AD676" s="616" t="s">
        <v>729</v>
      </c>
      <c r="AE676" s="640" t="s">
        <v>729</v>
      </c>
      <c r="AF676" s="640" t="s">
        <v>1252</v>
      </c>
      <c r="AG676" s="598"/>
      <c r="AH676" s="598"/>
      <c r="AI676" s="598" t="s">
        <v>1318</v>
      </c>
      <c r="AJ676" s="598"/>
      <c r="AK676" s="626">
        <v>-6</v>
      </c>
      <c r="AL676" s="626"/>
    </row>
    <row r="677" spans="1:38" ht="18" customHeight="1">
      <c r="A677" s="593"/>
      <c r="B677" s="598">
        <v>660</v>
      </c>
      <c r="C677" s="598" t="s">
        <v>2241</v>
      </c>
      <c r="D677" s="598">
        <f t="shared" si="7"/>
        <v>622</v>
      </c>
      <c r="E677" s="616" t="s">
        <v>1351</v>
      </c>
      <c r="F677" s="616" t="s">
        <v>4921</v>
      </c>
      <c r="G677" s="618" t="s">
        <v>1195</v>
      </c>
      <c r="H677" s="618" t="s">
        <v>254</v>
      </c>
      <c r="I677" s="618" t="s">
        <v>1241</v>
      </c>
      <c r="J677" s="618" t="s">
        <v>1241</v>
      </c>
      <c r="K677" s="618" t="s">
        <v>2214</v>
      </c>
      <c r="L677" s="619" t="s">
        <v>2028</v>
      </c>
      <c r="M677" s="620"/>
      <c r="N677" s="620"/>
      <c r="O677" s="663" t="s">
        <v>1480</v>
      </c>
      <c r="P677" s="621"/>
      <c r="Q677" s="598"/>
      <c r="R677" s="598"/>
      <c r="S677" s="598"/>
      <c r="T677" s="623" t="s">
        <v>1015</v>
      </c>
      <c r="U677" s="663" t="s">
        <v>2242</v>
      </c>
      <c r="V677" s="674" t="s">
        <v>2243</v>
      </c>
      <c r="W677" s="598" t="s">
        <v>950</v>
      </c>
      <c r="X677" s="624">
        <v>23348</v>
      </c>
      <c r="Y677" s="625">
        <f t="shared" ca="1" si="8"/>
        <v>62</v>
      </c>
      <c r="Z677" s="616" t="s">
        <v>2244</v>
      </c>
      <c r="AA677" s="598" t="s">
        <v>2245</v>
      </c>
      <c r="AB677" s="598" t="s">
        <v>996</v>
      </c>
      <c r="AC677" s="644" t="s">
        <v>997</v>
      </c>
      <c r="AD677" s="616" t="s">
        <v>729</v>
      </c>
      <c r="AE677" s="616" t="s">
        <v>729</v>
      </c>
      <c r="AF677" s="640" t="s">
        <v>1252</v>
      </c>
      <c r="AG677" s="598"/>
      <c r="AH677" s="598"/>
      <c r="AI677" s="700" t="s">
        <v>1446</v>
      </c>
      <c r="AJ677" s="598"/>
      <c r="AK677" s="626"/>
      <c r="AL677" s="626"/>
    </row>
    <row r="678" spans="1:38" ht="18" customHeight="1">
      <c r="A678" s="593"/>
      <c r="B678" s="598">
        <v>661</v>
      </c>
      <c r="C678" s="598" t="s">
        <v>2379</v>
      </c>
      <c r="D678" s="598">
        <f t="shared" si="7"/>
        <v>623</v>
      </c>
      <c r="E678" s="616" t="s">
        <v>1351</v>
      </c>
      <c r="F678" s="616" t="s">
        <v>4921</v>
      </c>
      <c r="G678" s="618" t="s">
        <v>1195</v>
      </c>
      <c r="H678" s="618" t="s">
        <v>254</v>
      </c>
      <c r="I678" s="618" t="s">
        <v>1241</v>
      </c>
      <c r="J678" s="618" t="s">
        <v>1241</v>
      </c>
      <c r="K678" s="618" t="s">
        <v>2214</v>
      </c>
      <c r="L678" s="619" t="s">
        <v>2028</v>
      </c>
      <c r="M678" s="620"/>
      <c r="N678" s="620"/>
      <c r="O678" s="663" t="s">
        <v>1480</v>
      </c>
      <c r="P678" s="621" t="s">
        <v>319</v>
      </c>
      <c r="Q678" s="598"/>
      <c r="R678" s="598"/>
      <c r="S678" s="598"/>
      <c r="T678" s="623" t="s">
        <v>1015</v>
      </c>
      <c r="U678" s="668" t="s">
        <v>2380</v>
      </c>
      <c r="V678" s="674" t="s">
        <v>2381</v>
      </c>
      <c r="W678" s="598" t="s">
        <v>950</v>
      </c>
      <c r="X678" s="624">
        <v>25538</v>
      </c>
      <c r="Y678" s="625">
        <f t="shared" ca="1" si="8"/>
        <v>56</v>
      </c>
      <c r="Z678" s="616" t="s">
        <v>2382</v>
      </c>
      <c r="AA678" s="598"/>
      <c r="AB678" s="598" t="s">
        <v>996</v>
      </c>
      <c r="AC678" s="598" t="s">
        <v>1018</v>
      </c>
      <c r="AD678" s="616" t="s">
        <v>729</v>
      </c>
      <c r="AE678" s="616" t="s">
        <v>729</v>
      </c>
      <c r="AF678" s="616" t="s">
        <v>1899</v>
      </c>
      <c r="AG678" s="598" t="s">
        <v>1775</v>
      </c>
      <c r="AH678" s="598" t="s">
        <v>2383</v>
      </c>
      <c r="AI678" s="598" t="s">
        <v>1114</v>
      </c>
      <c r="AJ678" s="598"/>
      <c r="AK678" s="626">
        <v>-6</v>
      </c>
      <c r="AL678" s="626"/>
    </row>
    <row r="679" spans="1:38" ht="18" customHeight="1">
      <c r="A679" s="593"/>
      <c r="B679" s="598">
        <v>662</v>
      </c>
      <c r="C679" s="598" t="s">
        <v>1562</v>
      </c>
      <c r="D679" s="598">
        <f t="shared" si="7"/>
        <v>624</v>
      </c>
      <c r="E679" s="616" t="s">
        <v>1233</v>
      </c>
      <c r="F679" s="616" t="s">
        <v>4921</v>
      </c>
      <c r="G679" s="618" t="s">
        <v>1195</v>
      </c>
      <c r="H679" s="618" t="s">
        <v>254</v>
      </c>
      <c r="I679" s="618" t="s">
        <v>1241</v>
      </c>
      <c r="J679" s="618" t="s">
        <v>1241</v>
      </c>
      <c r="K679" s="618" t="s">
        <v>2214</v>
      </c>
      <c r="L679" s="619" t="s">
        <v>2028</v>
      </c>
      <c r="M679" s="620"/>
      <c r="N679" s="620"/>
      <c r="O679" s="663" t="s">
        <v>1480</v>
      </c>
      <c r="P679" s="621" t="s">
        <v>319</v>
      </c>
      <c r="Q679" s="598"/>
      <c r="R679" s="598"/>
      <c r="S679" s="598"/>
      <c r="T679" s="623" t="s">
        <v>1090</v>
      </c>
      <c r="U679" s="763" t="s">
        <v>717</v>
      </c>
      <c r="V679" s="674" t="s">
        <v>1563</v>
      </c>
      <c r="W679" s="598" t="s">
        <v>950</v>
      </c>
      <c r="X679" s="624">
        <v>18961</v>
      </c>
      <c r="Y679" s="625">
        <f t="shared" ca="1" si="8"/>
        <v>74</v>
      </c>
      <c r="Z679" s="616" t="s">
        <v>1564</v>
      </c>
      <c r="AA679" s="598" t="s">
        <v>1565</v>
      </c>
      <c r="AB679" s="598" t="s">
        <v>996</v>
      </c>
      <c r="AC679" s="644" t="s">
        <v>997</v>
      </c>
      <c r="AD679" s="616" t="s">
        <v>729</v>
      </c>
      <c r="AE679" s="616" t="s">
        <v>729</v>
      </c>
      <c r="AF679" s="616" t="s">
        <v>1533</v>
      </c>
      <c r="AG679" s="598"/>
      <c r="AH679" s="598"/>
      <c r="AI679" s="748" t="s">
        <v>1566</v>
      </c>
      <c r="AJ679" s="598"/>
      <c r="AK679" s="626">
        <v>-6</v>
      </c>
      <c r="AL679" s="626"/>
    </row>
    <row r="680" spans="1:38" ht="18" customHeight="1">
      <c r="A680" s="593"/>
      <c r="B680" s="598">
        <v>663</v>
      </c>
      <c r="C680" s="598" t="s">
        <v>2177</v>
      </c>
      <c r="D680" s="598">
        <f t="shared" si="7"/>
        <v>625</v>
      </c>
      <c r="E680" s="616" t="s">
        <v>1351</v>
      </c>
      <c r="F680" s="616" t="s">
        <v>4921</v>
      </c>
      <c r="G680" s="618" t="s">
        <v>1195</v>
      </c>
      <c r="H680" s="618" t="s">
        <v>254</v>
      </c>
      <c r="I680" s="618" t="s">
        <v>1241</v>
      </c>
      <c r="J680" s="618" t="s">
        <v>1241</v>
      </c>
      <c r="K680" s="618" t="s">
        <v>2214</v>
      </c>
      <c r="L680" s="619" t="s">
        <v>2028</v>
      </c>
      <c r="M680" s="620"/>
      <c r="N680" s="620"/>
      <c r="O680" s="663" t="s">
        <v>1480</v>
      </c>
      <c r="P680" s="621" t="s">
        <v>319</v>
      </c>
      <c r="Q680" s="598"/>
      <c r="R680" s="598"/>
      <c r="S680" s="598"/>
      <c r="T680" s="623" t="s">
        <v>1015</v>
      </c>
      <c r="U680" s="574" t="s">
        <v>722</v>
      </c>
      <c r="V680" s="674" t="s">
        <v>2178</v>
      </c>
      <c r="W680" s="598" t="s">
        <v>950</v>
      </c>
      <c r="X680" s="624">
        <v>21527</v>
      </c>
      <c r="Y680" s="625">
        <f t="shared" ca="1" si="8"/>
        <v>67</v>
      </c>
      <c r="Z680" s="616" t="s">
        <v>2179</v>
      </c>
      <c r="AA680" s="598" t="s">
        <v>2180</v>
      </c>
      <c r="AB680" s="598" t="s">
        <v>996</v>
      </c>
      <c r="AC680" s="644" t="s">
        <v>997</v>
      </c>
      <c r="AD680" s="616" t="s">
        <v>729</v>
      </c>
      <c r="AE680" s="616" t="s">
        <v>729</v>
      </c>
      <c r="AF680" s="616" t="s">
        <v>2000</v>
      </c>
      <c r="AG680" s="598"/>
      <c r="AH680" s="598"/>
      <c r="AI680" s="683" t="s">
        <v>1566</v>
      </c>
      <c r="AJ680" s="598"/>
      <c r="AK680" s="626">
        <v>-6</v>
      </c>
      <c r="AL680" s="626"/>
    </row>
    <row r="681" spans="1:38" ht="18" customHeight="1">
      <c r="A681" s="593"/>
      <c r="B681" s="598">
        <v>664</v>
      </c>
      <c r="C681" s="598" t="s">
        <v>1403</v>
      </c>
      <c r="D681" s="598">
        <f t="shared" si="7"/>
        <v>626</v>
      </c>
      <c r="E681" s="616" t="s">
        <v>1233</v>
      </c>
      <c r="F681" s="616" t="s">
        <v>4921</v>
      </c>
      <c r="G681" s="618" t="s">
        <v>1195</v>
      </c>
      <c r="H681" s="618" t="s">
        <v>254</v>
      </c>
      <c r="I681" s="618" t="s">
        <v>1241</v>
      </c>
      <c r="J681" s="618" t="s">
        <v>1403</v>
      </c>
      <c r="K681" s="618" t="s">
        <v>2041</v>
      </c>
      <c r="L681" s="619"/>
      <c r="M681" s="620"/>
      <c r="N681" s="620"/>
      <c r="O681" s="667" t="s">
        <v>1515</v>
      </c>
      <c r="P681" s="621"/>
      <c r="Q681" s="598" t="s">
        <v>55</v>
      </c>
      <c r="R681" s="598" t="s">
        <v>178</v>
      </c>
      <c r="S681" s="598"/>
      <c r="T681" s="598" t="s">
        <v>1015</v>
      </c>
      <c r="U681" s="667" t="s">
        <v>606</v>
      </c>
      <c r="V681" s="616" t="s">
        <v>1406</v>
      </c>
      <c r="W681" s="598" t="s">
        <v>950</v>
      </c>
      <c r="X681" s="624">
        <v>28783</v>
      </c>
      <c r="Y681" s="625">
        <f t="shared" ca="1" si="8"/>
        <v>47</v>
      </c>
      <c r="Z681" s="616" t="s">
        <v>1407</v>
      </c>
      <c r="AA681" s="645" t="s">
        <v>1408</v>
      </c>
      <c r="AB681" s="598" t="s">
        <v>996</v>
      </c>
      <c r="AC681" s="598" t="s">
        <v>997</v>
      </c>
      <c r="AD681" s="616" t="s">
        <v>729</v>
      </c>
      <c r="AE681" s="616" t="s">
        <v>1250</v>
      </c>
      <c r="AF681" s="616" t="s">
        <v>1409</v>
      </c>
      <c r="AG681" s="598"/>
      <c r="AH681" s="598"/>
      <c r="AI681" s="598" t="s">
        <v>1114</v>
      </c>
      <c r="AJ681" s="598"/>
      <c r="AK681" s="626"/>
      <c r="AL681" s="626"/>
    </row>
    <row r="682" spans="1:38" ht="18" customHeight="1">
      <c r="A682" s="593"/>
      <c r="B682" s="598">
        <v>665</v>
      </c>
      <c r="C682" s="598" t="s">
        <v>2041</v>
      </c>
      <c r="D682" s="598">
        <f t="shared" si="7"/>
        <v>627</v>
      </c>
      <c r="E682" s="616" t="s">
        <v>1351</v>
      </c>
      <c r="F682" s="616" t="s">
        <v>4921</v>
      </c>
      <c r="G682" s="618" t="s">
        <v>1195</v>
      </c>
      <c r="H682" s="618" t="s">
        <v>254</v>
      </c>
      <c r="I682" s="618" t="s">
        <v>1241</v>
      </c>
      <c r="J682" s="618" t="s">
        <v>1403</v>
      </c>
      <c r="K682" s="618" t="s">
        <v>2041</v>
      </c>
      <c r="L682" s="619"/>
      <c r="M682" s="620"/>
      <c r="N682" s="620"/>
      <c r="O682" s="663" t="s">
        <v>1515</v>
      </c>
      <c r="P682" s="621"/>
      <c r="Q682" s="598" t="s">
        <v>69</v>
      </c>
      <c r="R682" s="598" t="s">
        <v>562</v>
      </c>
      <c r="S682" s="598"/>
      <c r="T682" s="598" t="s">
        <v>1015</v>
      </c>
      <c r="U682" s="663" t="s">
        <v>635</v>
      </c>
      <c r="V682" s="616" t="s">
        <v>2042</v>
      </c>
      <c r="W682" s="598" t="s">
        <v>950</v>
      </c>
      <c r="X682" s="624">
        <v>22484</v>
      </c>
      <c r="Y682" s="625">
        <f t="shared" ca="1" si="8"/>
        <v>64</v>
      </c>
      <c r="Z682" s="616" t="s">
        <v>2043</v>
      </c>
      <c r="AA682" s="598" t="s">
        <v>2044</v>
      </c>
      <c r="AB682" s="598" t="s">
        <v>996</v>
      </c>
      <c r="AC682" s="598" t="s">
        <v>997</v>
      </c>
      <c r="AD682" s="616" t="s">
        <v>729</v>
      </c>
      <c r="AE682" s="616" t="s">
        <v>1494</v>
      </c>
      <c r="AF682" s="616" t="s">
        <v>2045</v>
      </c>
      <c r="AG682" s="598"/>
      <c r="AH682" s="598"/>
      <c r="AI682" s="598" t="s">
        <v>1114</v>
      </c>
      <c r="AJ682" s="598"/>
      <c r="AK682" s="626"/>
      <c r="AL682" s="626"/>
    </row>
    <row r="683" spans="1:38" ht="18" customHeight="1">
      <c r="A683" s="593"/>
      <c r="B683" s="598">
        <v>666</v>
      </c>
      <c r="C683" s="598" t="s">
        <v>2065</v>
      </c>
      <c r="D683" s="598">
        <f t="shared" si="7"/>
        <v>628</v>
      </c>
      <c r="E683" s="616" t="s">
        <v>1351</v>
      </c>
      <c r="F683" s="616" t="s">
        <v>4921</v>
      </c>
      <c r="G683" s="618" t="s">
        <v>1195</v>
      </c>
      <c r="H683" s="618" t="s">
        <v>254</v>
      </c>
      <c r="I683" s="618" t="s">
        <v>1241</v>
      </c>
      <c r="J683" s="618" t="s">
        <v>1403</v>
      </c>
      <c r="K683" s="618" t="s">
        <v>2041</v>
      </c>
      <c r="L683" s="619"/>
      <c r="M683" s="620"/>
      <c r="N683" s="620"/>
      <c r="O683" s="663" t="s">
        <v>1515</v>
      </c>
      <c r="P683" s="621"/>
      <c r="Q683" s="598"/>
      <c r="R683" s="598"/>
      <c r="S683" s="598"/>
      <c r="T683" s="598" t="s">
        <v>1090</v>
      </c>
      <c r="U683" s="663" t="s">
        <v>616</v>
      </c>
      <c r="V683" s="616" t="s">
        <v>2066</v>
      </c>
      <c r="W683" s="598" t="s">
        <v>950</v>
      </c>
      <c r="X683" s="624">
        <v>19196</v>
      </c>
      <c r="Y683" s="625">
        <f t="shared" ca="1" si="8"/>
        <v>73</v>
      </c>
      <c r="Z683" s="616" t="s">
        <v>2067</v>
      </c>
      <c r="AA683" s="598" t="s">
        <v>2068</v>
      </c>
      <c r="AB683" s="598" t="s">
        <v>996</v>
      </c>
      <c r="AC683" s="598" t="s">
        <v>997</v>
      </c>
      <c r="AD683" s="616" t="s">
        <v>2069</v>
      </c>
      <c r="AE683" s="616" t="s">
        <v>2069</v>
      </c>
      <c r="AF683" s="616" t="s">
        <v>2070</v>
      </c>
      <c r="AG683" s="598"/>
      <c r="AH683" s="598"/>
      <c r="AI683" s="598" t="s">
        <v>1114</v>
      </c>
      <c r="AJ683" s="598"/>
      <c r="AK683" s="626"/>
      <c r="AL683" s="626"/>
    </row>
    <row r="684" spans="1:38" ht="18" customHeight="1">
      <c r="A684" s="593"/>
      <c r="B684" s="598">
        <v>667</v>
      </c>
      <c r="C684" s="598" t="s">
        <v>4923</v>
      </c>
      <c r="D684" s="598">
        <f t="shared" si="7"/>
        <v>629</v>
      </c>
      <c r="E684" s="616" t="s">
        <v>1351</v>
      </c>
      <c r="F684" s="616" t="s">
        <v>4921</v>
      </c>
      <c r="G684" s="618" t="s">
        <v>1195</v>
      </c>
      <c r="H684" s="618" t="s">
        <v>254</v>
      </c>
      <c r="I684" s="618" t="s">
        <v>1241</v>
      </c>
      <c r="J684" s="618" t="s">
        <v>1403</v>
      </c>
      <c r="K684" s="618" t="s">
        <v>2041</v>
      </c>
      <c r="L684" s="619"/>
      <c r="M684" s="620"/>
      <c r="N684" s="620"/>
      <c r="O684" s="673" t="s">
        <v>1515</v>
      </c>
      <c r="P684" s="621"/>
      <c r="Q684" s="598"/>
      <c r="R684" s="598"/>
      <c r="S684" s="598"/>
      <c r="T684" s="598" t="s">
        <v>1015</v>
      </c>
      <c r="U684" s="673" t="s">
        <v>672</v>
      </c>
      <c r="V684" s="616" t="s">
        <v>4924</v>
      </c>
      <c r="W684" s="598" t="s">
        <v>950</v>
      </c>
      <c r="X684" s="624">
        <v>26250</v>
      </c>
      <c r="Y684" s="625">
        <f t="shared" ca="1" si="8"/>
        <v>54</v>
      </c>
      <c r="Z684" s="616" t="s">
        <v>4925</v>
      </c>
      <c r="AA684" s="652"/>
      <c r="AB684" s="598" t="s">
        <v>996</v>
      </c>
      <c r="AC684" s="598" t="s">
        <v>1018</v>
      </c>
      <c r="AD684" s="616" t="s">
        <v>729</v>
      </c>
      <c r="AE684" s="640" t="s">
        <v>729</v>
      </c>
      <c r="AF684" s="616" t="s">
        <v>1962</v>
      </c>
      <c r="AG684" s="598"/>
      <c r="AH684" s="598" t="s">
        <v>4926</v>
      </c>
      <c r="AI684" s="598" t="s">
        <v>1114</v>
      </c>
      <c r="AJ684" s="598"/>
      <c r="AK684" s="626">
        <v>-4</v>
      </c>
      <c r="AL684" s="626"/>
    </row>
    <row r="685" spans="1:38" ht="18" customHeight="1">
      <c r="A685" s="593"/>
      <c r="B685" s="598">
        <v>668</v>
      </c>
      <c r="C685" s="598" t="s">
        <v>1923</v>
      </c>
      <c r="D685" s="598">
        <f t="shared" si="7"/>
        <v>629</v>
      </c>
      <c r="E685" s="616"/>
      <c r="F685" s="616" t="s">
        <v>4921</v>
      </c>
      <c r="G685" s="618" t="s">
        <v>1195</v>
      </c>
      <c r="H685" s="618" t="s">
        <v>254</v>
      </c>
      <c r="I685" s="618" t="s">
        <v>1241</v>
      </c>
      <c r="J685" s="618" t="s">
        <v>1923</v>
      </c>
      <c r="K685" s="618" t="s">
        <v>2474</v>
      </c>
      <c r="L685" s="619"/>
      <c r="M685" s="620"/>
      <c r="N685" s="620"/>
      <c r="O685" s="667" t="s">
        <v>1529</v>
      </c>
      <c r="P685" s="621"/>
      <c r="Q685" s="598" t="s">
        <v>55</v>
      </c>
      <c r="R685" s="598" t="s">
        <v>178</v>
      </c>
      <c r="S685" s="598"/>
      <c r="T685" s="598"/>
      <c r="U685" s="667" t="s">
        <v>299</v>
      </c>
      <c r="V685" s="616" t="s">
        <v>1925</v>
      </c>
      <c r="W685" s="598" t="s">
        <v>950</v>
      </c>
      <c r="X685" s="624">
        <v>22549</v>
      </c>
      <c r="Y685" s="625">
        <f t="shared" ca="1" si="8"/>
        <v>64</v>
      </c>
      <c r="Z685" s="654" t="s">
        <v>1926</v>
      </c>
      <c r="AA685" s="598" t="s">
        <v>4927</v>
      </c>
      <c r="AB685" s="598" t="s">
        <v>966</v>
      </c>
      <c r="AC685" s="598" t="s">
        <v>953</v>
      </c>
      <c r="AD685" s="616" t="s">
        <v>729</v>
      </c>
      <c r="AE685" s="616" t="s">
        <v>729</v>
      </c>
      <c r="AF685" s="616" t="s">
        <v>1928</v>
      </c>
      <c r="AG685" s="598" t="s">
        <v>955</v>
      </c>
      <c r="AH685" s="598"/>
      <c r="AI685" s="598"/>
      <c r="AJ685" s="598"/>
      <c r="AK685" s="626"/>
      <c r="AL685" s="626"/>
    </row>
    <row r="686" spans="1:38" ht="18" customHeight="1">
      <c r="A686" s="593"/>
      <c r="B686" s="598">
        <v>669</v>
      </c>
      <c r="C686" s="598" t="s">
        <v>2474</v>
      </c>
      <c r="D686" s="598">
        <f t="shared" si="7"/>
        <v>630</v>
      </c>
      <c r="E686" s="616" t="s">
        <v>1351</v>
      </c>
      <c r="F686" s="616" t="s">
        <v>4921</v>
      </c>
      <c r="G686" s="618" t="s">
        <v>1195</v>
      </c>
      <c r="H686" s="618" t="s">
        <v>254</v>
      </c>
      <c r="I686" s="618" t="s">
        <v>1241</v>
      </c>
      <c r="J686" s="618" t="s">
        <v>1923</v>
      </c>
      <c r="K686" s="618" t="s">
        <v>2474</v>
      </c>
      <c r="L686" s="619"/>
      <c r="M686" s="620"/>
      <c r="N686" s="620"/>
      <c r="O686" s="663" t="s">
        <v>1529</v>
      </c>
      <c r="P686" s="621"/>
      <c r="Q686" s="598" t="s">
        <v>69</v>
      </c>
      <c r="R686" s="598" t="s">
        <v>562</v>
      </c>
      <c r="S686" s="598"/>
      <c r="T686" s="598" t="s">
        <v>1090</v>
      </c>
      <c r="U686" s="663" t="s">
        <v>617</v>
      </c>
      <c r="V686" s="616" t="s">
        <v>2475</v>
      </c>
      <c r="W686" s="598" t="s">
        <v>950</v>
      </c>
      <c r="X686" s="624">
        <v>20098</v>
      </c>
      <c r="Y686" s="625">
        <f t="shared" ca="1" si="8"/>
        <v>71</v>
      </c>
      <c r="Z686" s="616" t="s">
        <v>2476</v>
      </c>
      <c r="AA686" s="598" t="s">
        <v>2477</v>
      </c>
      <c r="AB686" s="598" t="s">
        <v>996</v>
      </c>
      <c r="AC686" s="598" t="s">
        <v>997</v>
      </c>
      <c r="AD686" s="616" t="s">
        <v>729</v>
      </c>
      <c r="AE686" s="640" t="s">
        <v>729</v>
      </c>
      <c r="AF686" s="616" t="s">
        <v>2478</v>
      </c>
      <c r="AG686" s="598"/>
      <c r="AH686" s="598"/>
      <c r="AI686" s="598" t="s">
        <v>1452</v>
      </c>
      <c r="AJ686" s="598"/>
      <c r="AK686" s="626">
        <v>-5</v>
      </c>
      <c r="AL686" s="626"/>
    </row>
    <row r="687" spans="1:38" ht="18" customHeight="1">
      <c r="A687" s="593"/>
      <c r="B687" s="598">
        <v>670</v>
      </c>
      <c r="C687" s="598" t="s">
        <v>2479</v>
      </c>
      <c r="D687" s="598">
        <f t="shared" si="7"/>
        <v>631</v>
      </c>
      <c r="E687" s="616" t="s">
        <v>1351</v>
      </c>
      <c r="F687" s="616" t="s">
        <v>4921</v>
      </c>
      <c r="G687" s="618" t="s">
        <v>1195</v>
      </c>
      <c r="H687" s="618" t="s">
        <v>254</v>
      </c>
      <c r="I687" s="618" t="s">
        <v>1241</v>
      </c>
      <c r="J687" s="618" t="s">
        <v>1923</v>
      </c>
      <c r="K687" s="618" t="s">
        <v>2474</v>
      </c>
      <c r="L687" s="619"/>
      <c r="M687" s="620"/>
      <c r="N687" s="620"/>
      <c r="O687" s="663" t="s">
        <v>1529</v>
      </c>
      <c r="P687" s="621"/>
      <c r="Q687" s="598"/>
      <c r="R687" s="598"/>
      <c r="S687" s="598"/>
      <c r="T687" s="598" t="s">
        <v>1090</v>
      </c>
      <c r="U687" s="663" t="s">
        <v>654</v>
      </c>
      <c r="V687" s="616" t="s">
        <v>2480</v>
      </c>
      <c r="W687" s="598" t="s">
        <v>950</v>
      </c>
      <c r="X687" s="624">
        <v>15828</v>
      </c>
      <c r="Y687" s="625">
        <f t="shared" ca="1" si="8"/>
        <v>82</v>
      </c>
      <c r="Z687" s="616" t="s">
        <v>2481</v>
      </c>
      <c r="AA687" s="598" t="s">
        <v>2482</v>
      </c>
      <c r="AB687" s="598" t="s">
        <v>996</v>
      </c>
      <c r="AC687" s="598" t="s">
        <v>997</v>
      </c>
      <c r="AD687" s="616" t="s">
        <v>729</v>
      </c>
      <c r="AE687" s="640" t="s">
        <v>729</v>
      </c>
      <c r="AF687" s="616" t="s">
        <v>2483</v>
      </c>
      <c r="AG687" s="598"/>
      <c r="AH687" s="598"/>
      <c r="AI687" s="598" t="s">
        <v>1452</v>
      </c>
      <c r="AJ687" s="598"/>
      <c r="AK687" s="715">
        <v>1</v>
      </c>
      <c r="AL687" s="626"/>
    </row>
    <row r="688" spans="1:38" ht="18" customHeight="1">
      <c r="A688" s="593"/>
      <c r="B688" s="598">
        <v>671</v>
      </c>
      <c r="C688" s="598" t="s">
        <v>4928</v>
      </c>
      <c r="D688" s="598">
        <f t="shared" si="7"/>
        <v>632</v>
      </c>
      <c r="E688" s="616" t="s">
        <v>1351</v>
      </c>
      <c r="F688" s="616" t="s">
        <v>4921</v>
      </c>
      <c r="G688" s="618" t="s">
        <v>1195</v>
      </c>
      <c r="H688" s="618" t="s">
        <v>254</v>
      </c>
      <c r="I688" s="618" t="s">
        <v>1241</v>
      </c>
      <c r="J688" s="618" t="s">
        <v>1923</v>
      </c>
      <c r="K688" s="618" t="s">
        <v>2474</v>
      </c>
      <c r="L688" s="619"/>
      <c r="M688" s="620"/>
      <c r="N688" s="620"/>
      <c r="O688" s="663" t="s">
        <v>1529</v>
      </c>
      <c r="P688" s="621"/>
      <c r="Q688" s="598"/>
      <c r="R688" s="598"/>
      <c r="S688" s="598"/>
      <c r="T688" s="598" t="s">
        <v>1015</v>
      </c>
      <c r="U688" s="663" t="s">
        <v>636</v>
      </c>
      <c r="V688" s="616" t="s">
        <v>4929</v>
      </c>
      <c r="W688" s="598" t="s">
        <v>950</v>
      </c>
      <c r="X688" s="624">
        <v>27355</v>
      </c>
      <c r="Y688" s="625">
        <f t="shared" ca="1" si="8"/>
        <v>51</v>
      </c>
      <c r="Z688" s="616" t="s">
        <v>4930</v>
      </c>
      <c r="AA688" s="598" t="s">
        <v>4931</v>
      </c>
      <c r="AB688" s="598" t="s">
        <v>996</v>
      </c>
      <c r="AC688" s="598" t="s">
        <v>997</v>
      </c>
      <c r="AD688" s="616" t="s">
        <v>729</v>
      </c>
      <c r="AE688" s="640" t="s">
        <v>729</v>
      </c>
      <c r="AF688" s="616" t="s">
        <v>4932</v>
      </c>
      <c r="AG688" s="598"/>
      <c r="AH688" s="598"/>
      <c r="AI688" s="598" t="s">
        <v>1452</v>
      </c>
      <c r="AJ688" s="598"/>
      <c r="AK688" s="715">
        <v>1</v>
      </c>
      <c r="AL688" s="626"/>
    </row>
    <row r="689" spans="1:38" ht="18" customHeight="1">
      <c r="A689" s="593"/>
      <c r="B689" s="598">
        <v>672</v>
      </c>
      <c r="C689" s="598" t="s">
        <v>2493</v>
      </c>
      <c r="D689" s="598">
        <f t="shared" si="7"/>
        <v>633</v>
      </c>
      <c r="E689" s="616" t="s">
        <v>1351</v>
      </c>
      <c r="F689" s="616" t="s">
        <v>4921</v>
      </c>
      <c r="G689" s="618" t="s">
        <v>1195</v>
      </c>
      <c r="H689" s="618" t="s">
        <v>254</v>
      </c>
      <c r="I689" s="618" t="s">
        <v>1241</v>
      </c>
      <c r="J689" s="618" t="s">
        <v>1923</v>
      </c>
      <c r="K689" s="618" t="s">
        <v>2474</v>
      </c>
      <c r="L689" s="619"/>
      <c r="M689" s="620"/>
      <c r="N689" s="620"/>
      <c r="O689" s="663" t="s">
        <v>1529</v>
      </c>
      <c r="P689" s="621"/>
      <c r="Q689" s="598"/>
      <c r="R689" s="598"/>
      <c r="S689" s="598"/>
      <c r="T689" s="598" t="s">
        <v>1015</v>
      </c>
      <c r="U689" s="663" t="s">
        <v>673</v>
      </c>
      <c r="V689" s="616" t="s">
        <v>2494</v>
      </c>
      <c r="W689" s="598" t="s">
        <v>950</v>
      </c>
      <c r="X689" s="624">
        <v>21451</v>
      </c>
      <c r="Y689" s="625">
        <f t="shared" ca="1" si="8"/>
        <v>67</v>
      </c>
      <c r="Z689" s="616" t="s">
        <v>2495</v>
      </c>
      <c r="AA689" s="598" t="s">
        <v>2496</v>
      </c>
      <c r="AB689" s="598" t="s">
        <v>996</v>
      </c>
      <c r="AC689" s="598" t="s">
        <v>997</v>
      </c>
      <c r="AD689" s="616" t="s">
        <v>729</v>
      </c>
      <c r="AE689" s="640" t="s">
        <v>729</v>
      </c>
      <c r="AF689" s="616" t="s">
        <v>2497</v>
      </c>
      <c r="AG689" s="598"/>
      <c r="AH689" s="598"/>
      <c r="AI689" s="598" t="s">
        <v>1452</v>
      </c>
      <c r="AJ689" s="598"/>
      <c r="AK689" s="715">
        <v>2</v>
      </c>
      <c r="AL689" s="626"/>
    </row>
    <row r="690" spans="1:38" ht="18" customHeight="1">
      <c r="A690" s="593"/>
      <c r="B690" s="598">
        <v>673</v>
      </c>
      <c r="C690" s="598" t="s">
        <v>2550</v>
      </c>
      <c r="D690" s="598">
        <f t="shared" si="7"/>
        <v>634</v>
      </c>
      <c r="E690" s="616" t="s">
        <v>1351</v>
      </c>
      <c r="F690" s="616" t="s">
        <v>4921</v>
      </c>
      <c r="G690" s="618" t="s">
        <v>1195</v>
      </c>
      <c r="H690" s="618" t="s">
        <v>254</v>
      </c>
      <c r="I690" s="618" t="s">
        <v>1241</v>
      </c>
      <c r="J690" s="618" t="s">
        <v>1923</v>
      </c>
      <c r="K690" s="618" t="s">
        <v>2474</v>
      </c>
      <c r="L690" s="619"/>
      <c r="M690" s="620"/>
      <c r="N690" s="620"/>
      <c r="O690" s="663" t="s">
        <v>1529</v>
      </c>
      <c r="P690" s="621"/>
      <c r="Q690" s="598"/>
      <c r="R690" s="598"/>
      <c r="S690" s="598"/>
      <c r="T690" s="598" t="s">
        <v>1015</v>
      </c>
      <c r="U690" s="663" t="s">
        <v>689</v>
      </c>
      <c r="V690" s="616" t="s">
        <v>2551</v>
      </c>
      <c r="W690" s="598" t="s">
        <v>950</v>
      </c>
      <c r="X690" s="624">
        <v>25299</v>
      </c>
      <c r="Y690" s="625">
        <f t="shared" ca="1" si="8"/>
        <v>56</v>
      </c>
      <c r="Z690" s="616" t="s">
        <v>2552</v>
      </c>
      <c r="AA690" s="598" t="s">
        <v>2553</v>
      </c>
      <c r="AB690" s="598" t="s">
        <v>996</v>
      </c>
      <c r="AC690" s="598" t="s">
        <v>997</v>
      </c>
      <c r="AD690" s="616" t="s">
        <v>729</v>
      </c>
      <c r="AE690" s="640" t="s">
        <v>729</v>
      </c>
      <c r="AF690" s="616" t="s">
        <v>2554</v>
      </c>
      <c r="AG690" s="598"/>
      <c r="AH690" s="598"/>
      <c r="AI690" s="598" t="s">
        <v>1452</v>
      </c>
      <c r="AJ690" s="598"/>
      <c r="AK690" s="626">
        <v>5</v>
      </c>
      <c r="AL690" s="626"/>
    </row>
    <row r="691" spans="1:38" ht="18" customHeight="1">
      <c r="A691" s="593"/>
      <c r="B691" s="598">
        <v>674</v>
      </c>
      <c r="C691" s="598" t="s">
        <v>2469</v>
      </c>
      <c r="D691" s="598">
        <f t="shared" si="7"/>
        <v>635</v>
      </c>
      <c r="E691" s="616" t="s">
        <v>1351</v>
      </c>
      <c r="F691" s="616" t="s">
        <v>4921</v>
      </c>
      <c r="G691" s="618" t="s">
        <v>1195</v>
      </c>
      <c r="H691" s="618" t="s">
        <v>254</v>
      </c>
      <c r="I691" s="618" t="s">
        <v>1241</v>
      </c>
      <c r="J691" s="618" t="s">
        <v>1923</v>
      </c>
      <c r="K691" s="618" t="s">
        <v>2474</v>
      </c>
      <c r="L691" s="619"/>
      <c r="M691" s="620"/>
      <c r="N691" s="620"/>
      <c r="O691" s="663" t="s">
        <v>1529</v>
      </c>
      <c r="P691" s="621"/>
      <c r="Q691" s="598"/>
      <c r="R691" s="598"/>
      <c r="S691" s="598"/>
      <c r="T691" s="598" t="s">
        <v>1015</v>
      </c>
      <c r="U691" s="663" t="s">
        <v>704</v>
      </c>
      <c r="V691" s="616" t="s">
        <v>2470</v>
      </c>
      <c r="W691" s="598" t="s">
        <v>950</v>
      </c>
      <c r="X691" s="624">
        <v>29981</v>
      </c>
      <c r="Y691" s="625">
        <f t="shared" ca="1" si="8"/>
        <v>44</v>
      </c>
      <c r="Z691" s="616" t="s">
        <v>2471</v>
      </c>
      <c r="AA691" s="598" t="s">
        <v>2472</v>
      </c>
      <c r="AB691" s="598" t="s">
        <v>996</v>
      </c>
      <c r="AC691" s="598" t="s">
        <v>997</v>
      </c>
      <c r="AD691" s="616" t="s">
        <v>729</v>
      </c>
      <c r="AE691" s="640" t="s">
        <v>729</v>
      </c>
      <c r="AF691" s="616" t="s">
        <v>2473</v>
      </c>
      <c r="AG691" s="598"/>
      <c r="AH691" s="598"/>
      <c r="AI691" s="598" t="s">
        <v>1452</v>
      </c>
      <c r="AJ691" s="598"/>
      <c r="AK691" s="715">
        <v>-1</v>
      </c>
      <c r="AL691" s="626"/>
    </row>
    <row r="692" spans="1:38" ht="18" customHeight="1">
      <c r="A692" s="593"/>
      <c r="B692" s="598">
        <v>675</v>
      </c>
      <c r="C692" s="598" t="s">
        <v>2464</v>
      </c>
      <c r="D692" s="598">
        <f t="shared" si="7"/>
        <v>636</v>
      </c>
      <c r="E692" s="616" t="s">
        <v>1351</v>
      </c>
      <c r="F692" s="616" t="s">
        <v>4921</v>
      </c>
      <c r="G692" s="618" t="s">
        <v>1195</v>
      </c>
      <c r="H692" s="618" t="s">
        <v>254</v>
      </c>
      <c r="I692" s="618" t="s">
        <v>1241</v>
      </c>
      <c r="J692" s="618" t="s">
        <v>1923</v>
      </c>
      <c r="K692" s="618" t="s">
        <v>2474</v>
      </c>
      <c r="L692" s="619"/>
      <c r="M692" s="620"/>
      <c r="N692" s="620"/>
      <c r="O692" s="663" t="s">
        <v>1529</v>
      </c>
      <c r="P692" s="621"/>
      <c r="Q692" s="598"/>
      <c r="R692" s="598"/>
      <c r="S692" s="598"/>
      <c r="T692" s="598" t="s">
        <v>1015</v>
      </c>
      <c r="U692" s="663" t="s">
        <v>712</v>
      </c>
      <c r="V692" s="616" t="s">
        <v>2465</v>
      </c>
      <c r="W692" s="598" t="s">
        <v>950</v>
      </c>
      <c r="X692" s="624">
        <v>30203</v>
      </c>
      <c r="Y692" s="625">
        <f t="shared" ca="1" si="8"/>
        <v>43</v>
      </c>
      <c r="Z692" s="616" t="s">
        <v>2466</v>
      </c>
      <c r="AA692" s="598" t="s">
        <v>2467</v>
      </c>
      <c r="AB692" s="598" t="s">
        <v>996</v>
      </c>
      <c r="AC692" s="598" t="s">
        <v>997</v>
      </c>
      <c r="AD692" s="616" t="s">
        <v>729</v>
      </c>
      <c r="AE692" s="640" t="s">
        <v>729</v>
      </c>
      <c r="AF692" s="616" t="s">
        <v>2468</v>
      </c>
      <c r="AG692" s="598"/>
      <c r="AH692" s="598"/>
      <c r="AI692" s="598" t="s">
        <v>1452</v>
      </c>
      <c r="AJ692" s="598"/>
      <c r="AK692" s="626">
        <v>-5</v>
      </c>
      <c r="AL692" s="626"/>
    </row>
    <row r="693" spans="1:38" ht="18" customHeight="1">
      <c r="A693" s="593"/>
      <c r="B693" s="598">
        <v>676</v>
      </c>
      <c r="C693" s="598" t="s">
        <v>4933</v>
      </c>
      <c r="D693" s="598">
        <f t="shared" si="7"/>
        <v>637</v>
      </c>
      <c r="E693" s="616" t="s">
        <v>1351</v>
      </c>
      <c r="F693" s="616" t="s">
        <v>4921</v>
      </c>
      <c r="G693" s="618" t="s">
        <v>1195</v>
      </c>
      <c r="H693" s="618" t="s">
        <v>254</v>
      </c>
      <c r="I693" s="618" t="s">
        <v>1241</v>
      </c>
      <c r="J693" s="618" t="s">
        <v>1923</v>
      </c>
      <c r="K693" s="618" t="s">
        <v>2474</v>
      </c>
      <c r="L693" s="619"/>
      <c r="M693" s="620"/>
      <c r="N693" s="620"/>
      <c r="O693" s="673" t="s">
        <v>1529</v>
      </c>
      <c r="P693" s="621"/>
      <c r="Q693" s="598"/>
      <c r="R693" s="598"/>
      <c r="S693" s="598"/>
      <c r="T693" s="598" t="s">
        <v>1015</v>
      </c>
      <c r="U693" s="673" t="s">
        <v>4934</v>
      </c>
      <c r="V693" s="616" t="s">
        <v>4935</v>
      </c>
      <c r="W693" s="598" t="s">
        <v>950</v>
      </c>
      <c r="X693" s="624">
        <v>21232</v>
      </c>
      <c r="Y693" s="625">
        <f t="shared" ca="1" si="8"/>
        <v>67</v>
      </c>
      <c r="Z693" s="616" t="s">
        <v>4936</v>
      </c>
      <c r="AA693" s="598" t="s">
        <v>4937</v>
      </c>
      <c r="AB693" s="598" t="s">
        <v>996</v>
      </c>
      <c r="AC693" s="598" t="s">
        <v>1018</v>
      </c>
      <c r="AD693" s="616" t="s">
        <v>729</v>
      </c>
      <c r="AE693" s="616" t="s">
        <v>729</v>
      </c>
      <c r="AF693" s="616" t="s">
        <v>4938</v>
      </c>
      <c r="AG693" s="598"/>
      <c r="AH693" s="598" t="s">
        <v>1019</v>
      </c>
      <c r="AI693" s="598" t="s">
        <v>1452</v>
      </c>
      <c r="AJ693" s="598"/>
      <c r="AK693" s="626">
        <v>-6</v>
      </c>
      <c r="AL693" s="626"/>
    </row>
    <row r="694" spans="1:38" ht="18" customHeight="1">
      <c r="A694" s="593"/>
      <c r="B694" s="598">
        <v>677</v>
      </c>
      <c r="C694" s="598" t="s">
        <v>2775</v>
      </c>
      <c r="D694" s="598">
        <f t="shared" si="7"/>
        <v>637</v>
      </c>
      <c r="E694" s="616"/>
      <c r="F694" s="616" t="s">
        <v>4921</v>
      </c>
      <c r="G694" s="618" t="s">
        <v>1195</v>
      </c>
      <c r="H694" s="618" t="s">
        <v>254</v>
      </c>
      <c r="I694" s="618" t="s">
        <v>1241</v>
      </c>
      <c r="J694" s="618" t="s">
        <v>2775</v>
      </c>
      <c r="K694" s="618" t="s">
        <v>2082</v>
      </c>
      <c r="L694" s="619" t="s">
        <v>2029</v>
      </c>
      <c r="M694" s="620"/>
      <c r="N694" s="620"/>
      <c r="O694" s="667" t="s">
        <v>2057</v>
      </c>
      <c r="P694" s="621"/>
      <c r="Q694" s="598" t="s">
        <v>55</v>
      </c>
      <c r="R694" s="598" t="s">
        <v>178</v>
      </c>
      <c r="S694" s="598"/>
      <c r="T694" s="598"/>
      <c r="U694" s="667" t="s">
        <v>207</v>
      </c>
      <c r="V694" s="616" t="s">
        <v>2776</v>
      </c>
      <c r="W694" s="598" t="s">
        <v>950</v>
      </c>
      <c r="X694" s="624">
        <v>28739</v>
      </c>
      <c r="Y694" s="625">
        <f t="shared" ca="1" si="8"/>
        <v>47</v>
      </c>
      <c r="Z694" s="616"/>
      <c r="AA694" s="598"/>
      <c r="AB694" s="598" t="s">
        <v>966</v>
      </c>
      <c r="AC694" s="598" t="s">
        <v>953</v>
      </c>
      <c r="AD694" s="616" t="s">
        <v>2737</v>
      </c>
      <c r="AE694" s="616" t="s">
        <v>2737</v>
      </c>
      <c r="AF694" s="616" t="s">
        <v>2779</v>
      </c>
      <c r="AG694" s="598" t="s">
        <v>955</v>
      </c>
      <c r="AH694" s="598"/>
      <c r="AI694" s="598"/>
      <c r="AJ694" s="598"/>
      <c r="AK694" s="626"/>
      <c r="AL694" s="626"/>
    </row>
    <row r="695" spans="1:38" ht="18" customHeight="1">
      <c r="A695" s="593"/>
      <c r="B695" s="598">
        <v>678</v>
      </c>
      <c r="C695" s="598" t="s">
        <v>2082</v>
      </c>
      <c r="D695" s="598">
        <f t="shared" si="7"/>
        <v>638</v>
      </c>
      <c r="E695" s="616" t="s">
        <v>1351</v>
      </c>
      <c r="F695" s="616" t="s">
        <v>4921</v>
      </c>
      <c r="G695" s="618" t="s">
        <v>1195</v>
      </c>
      <c r="H695" s="618" t="s">
        <v>254</v>
      </c>
      <c r="I695" s="618" t="s">
        <v>1241</v>
      </c>
      <c r="J695" s="618" t="s">
        <v>2775</v>
      </c>
      <c r="K695" s="618" t="s">
        <v>2082</v>
      </c>
      <c r="L695" s="619" t="s">
        <v>2029</v>
      </c>
      <c r="M695" s="620"/>
      <c r="N695" s="620"/>
      <c r="O695" s="663" t="s">
        <v>2057</v>
      </c>
      <c r="P695" s="621"/>
      <c r="Q695" s="598" t="s">
        <v>69</v>
      </c>
      <c r="R695" s="598" t="s">
        <v>562</v>
      </c>
      <c r="S695" s="598"/>
      <c r="T695" s="598" t="s">
        <v>1015</v>
      </c>
      <c r="U695" s="663" t="s">
        <v>618</v>
      </c>
      <c r="V695" s="616" t="s">
        <v>2083</v>
      </c>
      <c r="W695" s="598" t="s">
        <v>950</v>
      </c>
      <c r="X695" s="624">
        <v>24860</v>
      </c>
      <c r="Y695" s="625">
        <f t="shared" ca="1" si="8"/>
        <v>58</v>
      </c>
      <c r="Z695" s="616" t="s">
        <v>2084</v>
      </c>
      <c r="AA695" s="598" t="s">
        <v>2085</v>
      </c>
      <c r="AB695" s="598" t="s">
        <v>996</v>
      </c>
      <c r="AC695" s="598" t="s">
        <v>997</v>
      </c>
      <c r="AD695" s="616" t="s">
        <v>729</v>
      </c>
      <c r="AE695" s="640" t="s">
        <v>729</v>
      </c>
      <c r="AF695" s="616" t="s">
        <v>2086</v>
      </c>
      <c r="AG695" s="598"/>
      <c r="AH695" s="598"/>
      <c r="AI695" s="598" t="s">
        <v>1452</v>
      </c>
      <c r="AJ695" s="598"/>
      <c r="AK695" s="626">
        <v>-6</v>
      </c>
      <c r="AL695" s="626"/>
    </row>
    <row r="696" spans="1:38" ht="18" customHeight="1">
      <c r="A696" s="593"/>
      <c r="B696" s="598">
        <v>679</v>
      </c>
      <c r="C696" s="598" t="s">
        <v>2029</v>
      </c>
      <c r="D696" s="598">
        <f t="shared" si="7"/>
        <v>639</v>
      </c>
      <c r="E696" s="616" t="s">
        <v>1351</v>
      </c>
      <c r="F696" s="616" t="s">
        <v>4921</v>
      </c>
      <c r="G696" s="618" t="s">
        <v>1195</v>
      </c>
      <c r="H696" s="618" t="s">
        <v>254</v>
      </c>
      <c r="I696" s="618" t="s">
        <v>1241</v>
      </c>
      <c r="J696" s="618" t="s">
        <v>2775</v>
      </c>
      <c r="K696" s="618" t="s">
        <v>2082</v>
      </c>
      <c r="L696" s="619" t="s">
        <v>2029</v>
      </c>
      <c r="M696" s="620"/>
      <c r="N696" s="620"/>
      <c r="O696" s="663" t="s">
        <v>2057</v>
      </c>
      <c r="P696" s="621"/>
      <c r="Q696" s="598" t="s">
        <v>69</v>
      </c>
      <c r="R696" s="598" t="s">
        <v>562</v>
      </c>
      <c r="S696" s="598"/>
      <c r="T696" s="598" t="s">
        <v>1015</v>
      </c>
      <c r="U696" s="663" t="s">
        <v>637</v>
      </c>
      <c r="V696" s="616" t="s">
        <v>2033</v>
      </c>
      <c r="W696" s="598" t="s">
        <v>950</v>
      </c>
      <c r="X696" s="624">
        <v>23911</v>
      </c>
      <c r="Y696" s="625">
        <f t="shared" ca="1" si="8"/>
        <v>60</v>
      </c>
      <c r="Z696" s="616" t="s">
        <v>2034</v>
      </c>
      <c r="AA696" s="598" t="s">
        <v>2035</v>
      </c>
      <c r="AB696" s="598" t="s">
        <v>996</v>
      </c>
      <c r="AC696" s="598" t="s">
        <v>997</v>
      </c>
      <c r="AD696" s="616" t="s">
        <v>729</v>
      </c>
      <c r="AE696" s="640" t="s">
        <v>729</v>
      </c>
      <c r="AF696" s="616" t="s">
        <v>2036</v>
      </c>
      <c r="AG696" s="598"/>
      <c r="AH696" s="598"/>
      <c r="AI696" s="598" t="s">
        <v>1452</v>
      </c>
      <c r="AJ696" s="598"/>
      <c r="AK696" s="626">
        <v>-6</v>
      </c>
      <c r="AL696" s="626"/>
    </row>
    <row r="697" spans="1:38" ht="18" customHeight="1">
      <c r="A697" s="593"/>
      <c r="B697" s="598">
        <v>680</v>
      </c>
      <c r="C697" s="598" t="s">
        <v>2050</v>
      </c>
      <c r="D697" s="598">
        <f t="shared" si="7"/>
        <v>640</v>
      </c>
      <c r="E697" s="616" t="s">
        <v>1351</v>
      </c>
      <c r="F697" s="616" t="s">
        <v>4921</v>
      </c>
      <c r="G697" s="618" t="s">
        <v>1195</v>
      </c>
      <c r="H697" s="618" t="s">
        <v>254</v>
      </c>
      <c r="I697" s="618" t="s">
        <v>1241</v>
      </c>
      <c r="J697" s="618" t="s">
        <v>2775</v>
      </c>
      <c r="K697" s="618" t="s">
        <v>2082</v>
      </c>
      <c r="L697" s="619" t="s">
        <v>2029</v>
      </c>
      <c r="M697" s="620"/>
      <c r="N697" s="620"/>
      <c r="O697" s="663" t="s">
        <v>2057</v>
      </c>
      <c r="P697" s="621"/>
      <c r="Q697" s="598"/>
      <c r="R697" s="598"/>
      <c r="S697" s="598"/>
      <c r="T697" s="598" t="s">
        <v>1015</v>
      </c>
      <c r="U697" s="663" t="s">
        <v>655</v>
      </c>
      <c r="V697" s="616" t="s">
        <v>2051</v>
      </c>
      <c r="W697" s="598" t="s">
        <v>950</v>
      </c>
      <c r="X697" s="624">
        <v>24181</v>
      </c>
      <c r="Y697" s="625">
        <f t="shared" ca="1" si="8"/>
        <v>59</v>
      </c>
      <c r="Z697" s="616" t="s">
        <v>2052</v>
      </c>
      <c r="AA697" s="598" t="s">
        <v>2053</v>
      </c>
      <c r="AB697" s="598" t="s">
        <v>996</v>
      </c>
      <c r="AC697" s="598" t="s">
        <v>997</v>
      </c>
      <c r="AD697" s="616" t="s">
        <v>729</v>
      </c>
      <c r="AE697" s="640" t="s">
        <v>729</v>
      </c>
      <c r="AF697" s="616" t="s">
        <v>2054</v>
      </c>
      <c r="AG697" s="598"/>
      <c r="AH697" s="598"/>
      <c r="AI697" s="598" t="s">
        <v>1452</v>
      </c>
      <c r="AJ697" s="598"/>
      <c r="AK697" s="626">
        <v>-7</v>
      </c>
      <c r="AL697" s="626"/>
    </row>
    <row r="698" spans="1:38" ht="18" customHeight="1">
      <c r="A698" s="593"/>
      <c r="B698" s="598">
        <v>681</v>
      </c>
      <c r="C698" s="598" t="s">
        <v>2006</v>
      </c>
      <c r="D698" s="598">
        <f t="shared" si="7"/>
        <v>641</v>
      </c>
      <c r="E698" s="616" t="s">
        <v>1351</v>
      </c>
      <c r="F698" s="616" t="s">
        <v>4921</v>
      </c>
      <c r="G698" s="618" t="s">
        <v>1195</v>
      </c>
      <c r="H698" s="618" t="s">
        <v>254</v>
      </c>
      <c r="I698" s="618" t="s">
        <v>1241</v>
      </c>
      <c r="J698" s="618" t="s">
        <v>2775</v>
      </c>
      <c r="K698" s="618" t="s">
        <v>2082</v>
      </c>
      <c r="L698" s="619" t="s">
        <v>2029</v>
      </c>
      <c r="M698" s="620"/>
      <c r="N698" s="620"/>
      <c r="O698" s="663" t="s">
        <v>2057</v>
      </c>
      <c r="P698" s="621"/>
      <c r="Q698" s="598"/>
      <c r="R698" s="598"/>
      <c r="S698" s="598"/>
      <c r="T698" s="598" t="s">
        <v>1015</v>
      </c>
      <c r="U698" s="663" t="s">
        <v>674</v>
      </c>
      <c r="V698" s="616" t="s">
        <v>2007</v>
      </c>
      <c r="W698" s="598" t="s">
        <v>950</v>
      </c>
      <c r="X698" s="624">
        <v>29947</v>
      </c>
      <c r="Y698" s="625">
        <f t="shared" ca="1" si="8"/>
        <v>44</v>
      </c>
      <c r="Z698" s="616" t="s">
        <v>2008</v>
      </c>
      <c r="AA698" s="598" t="s">
        <v>2009</v>
      </c>
      <c r="AB698" s="598" t="s">
        <v>996</v>
      </c>
      <c r="AC698" s="598" t="s">
        <v>997</v>
      </c>
      <c r="AD698" s="616" t="s">
        <v>1494</v>
      </c>
      <c r="AE698" s="616" t="s">
        <v>1494</v>
      </c>
      <c r="AF698" s="616" t="s">
        <v>2010</v>
      </c>
      <c r="AG698" s="598"/>
      <c r="AH698" s="598"/>
      <c r="AI698" s="598" t="s">
        <v>1452</v>
      </c>
      <c r="AJ698" s="598"/>
      <c r="AK698" s="626"/>
      <c r="AL698" s="626"/>
    </row>
    <row r="699" spans="1:38" ht="18" customHeight="1">
      <c r="A699" s="593"/>
      <c r="B699" s="598">
        <v>682</v>
      </c>
      <c r="C699" s="598" t="s">
        <v>1929</v>
      </c>
      <c r="D699" s="598">
        <f t="shared" si="7"/>
        <v>642</v>
      </c>
      <c r="E699" s="616" t="s">
        <v>1351</v>
      </c>
      <c r="F699" s="616" t="s">
        <v>4921</v>
      </c>
      <c r="G699" s="618" t="s">
        <v>1195</v>
      </c>
      <c r="H699" s="618" t="s">
        <v>254</v>
      </c>
      <c r="I699" s="618" t="s">
        <v>1241</v>
      </c>
      <c r="J699" s="618" t="s">
        <v>2775</v>
      </c>
      <c r="K699" s="618" t="s">
        <v>2082</v>
      </c>
      <c r="L699" s="619" t="s">
        <v>2029</v>
      </c>
      <c r="M699" s="620"/>
      <c r="N699" s="620"/>
      <c r="O699" s="663" t="s">
        <v>2057</v>
      </c>
      <c r="P699" s="621"/>
      <c r="Q699" s="598"/>
      <c r="R699" s="598"/>
      <c r="S699" s="598"/>
      <c r="T699" s="598" t="s">
        <v>1015</v>
      </c>
      <c r="U699" s="663" t="s">
        <v>690</v>
      </c>
      <c r="V699" s="616" t="s">
        <v>1930</v>
      </c>
      <c r="W699" s="598" t="s">
        <v>950</v>
      </c>
      <c r="X699" s="624">
        <v>30310</v>
      </c>
      <c r="Y699" s="625">
        <f t="shared" ca="1" si="8"/>
        <v>43</v>
      </c>
      <c r="Z699" s="616" t="s">
        <v>1931</v>
      </c>
      <c r="AA699" s="598" t="s">
        <v>1932</v>
      </c>
      <c r="AB699" s="598" t="s">
        <v>996</v>
      </c>
      <c r="AC699" s="598" t="s">
        <v>1018</v>
      </c>
      <c r="AD699" s="616" t="s">
        <v>729</v>
      </c>
      <c r="AE699" s="640" t="s">
        <v>729</v>
      </c>
      <c r="AF699" s="616" t="s">
        <v>4939</v>
      </c>
      <c r="AG699" s="598"/>
      <c r="AH699" s="598"/>
      <c r="AI699" s="598" t="s">
        <v>1452</v>
      </c>
      <c r="AJ699" s="598"/>
      <c r="AK699" s="626">
        <v>-7</v>
      </c>
      <c r="AL699" s="626"/>
    </row>
    <row r="700" spans="1:38" ht="18" customHeight="1">
      <c r="A700" s="593"/>
      <c r="B700" s="598">
        <v>683</v>
      </c>
      <c r="C700" s="598" t="s">
        <v>1447</v>
      </c>
      <c r="D700" s="598">
        <f t="shared" si="7"/>
        <v>643</v>
      </c>
      <c r="E700" s="616" t="s">
        <v>1233</v>
      </c>
      <c r="F700" s="616" t="s">
        <v>4921</v>
      </c>
      <c r="G700" s="618" t="s">
        <v>1195</v>
      </c>
      <c r="H700" s="618" t="s">
        <v>254</v>
      </c>
      <c r="I700" s="618" t="s">
        <v>1241</v>
      </c>
      <c r="J700" s="618" t="s">
        <v>2775</v>
      </c>
      <c r="K700" s="618" t="s">
        <v>2082</v>
      </c>
      <c r="L700" s="619" t="s">
        <v>2029</v>
      </c>
      <c r="M700" s="620"/>
      <c r="N700" s="620"/>
      <c r="O700" s="663" t="s">
        <v>2057</v>
      </c>
      <c r="P700" s="621"/>
      <c r="Q700" s="598"/>
      <c r="R700" s="598"/>
      <c r="S700" s="598"/>
      <c r="T700" s="598" t="s">
        <v>1015</v>
      </c>
      <c r="U700" s="663" t="s">
        <v>705</v>
      </c>
      <c r="V700" s="616" t="s">
        <v>1449</v>
      </c>
      <c r="W700" s="598" t="s">
        <v>950</v>
      </c>
      <c r="X700" s="624">
        <v>32130</v>
      </c>
      <c r="Y700" s="625">
        <f t="shared" ca="1" si="8"/>
        <v>38</v>
      </c>
      <c r="Z700" s="616" t="s">
        <v>1450</v>
      </c>
      <c r="AA700" s="652"/>
      <c r="AB700" s="598" t="s">
        <v>996</v>
      </c>
      <c r="AC700" s="598" t="s">
        <v>1018</v>
      </c>
      <c r="AD700" s="616" t="s">
        <v>729</v>
      </c>
      <c r="AE700" s="640" t="s">
        <v>729</v>
      </c>
      <c r="AF700" s="616" t="s">
        <v>1451</v>
      </c>
      <c r="AG700" s="598"/>
      <c r="AH700" s="598"/>
      <c r="AI700" s="598" t="s">
        <v>1452</v>
      </c>
      <c r="AJ700" s="598"/>
      <c r="AK700" s="626">
        <v>-6</v>
      </c>
      <c r="AL700" s="626"/>
    </row>
    <row r="701" spans="1:38" ht="18" customHeight="1">
      <c r="A701" s="593"/>
      <c r="B701" s="598">
        <v>684</v>
      </c>
      <c r="C701" s="598" t="s">
        <v>1350</v>
      </c>
      <c r="D701" s="598">
        <f t="shared" si="7"/>
        <v>644</v>
      </c>
      <c r="E701" s="616" t="s">
        <v>1351</v>
      </c>
      <c r="F701" s="616" t="s">
        <v>4921</v>
      </c>
      <c r="G701" s="618" t="s">
        <v>1195</v>
      </c>
      <c r="H701" s="618" t="s">
        <v>254</v>
      </c>
      <c r="I701" s="618" t="s">
        <v>1241</v>
      </c>
      <c r="J701" s="618" t="s">
        <v>2775</v>
      </c>
      <c r="K701" s="618" t="s">
        <v>2082</v>
      </c>
      <c r="L701" s="619" t="s">
        <v>2029</v>
      </c>
      <c r="M701" s="620"/>
      <c r="N701" s="620"/>
      <c r="O701" s="663" t="s">
        <v>2057</v>
      </c>
      <c r="P701" s="621" t="s">
        <v>319</v>
      </c>
      <c r="Q701" s="598"/>
      <c r="R701" s="598"/>
      <c r="S701" s="598"/>
      <c r="T701" s="598" t="s">
        <v>1015</v>
      </c>
      <c r="U701" s="663" t="s">
        <v>1353</v>
      </c>
      <c r="V701" s="616" t="s">
        <v>1354</v>
      </c>
      <c r="W701" s="598" t="s">
        <v>950</v>
      </c>
      <c r="X701" s="624">
        <v>22724</v>
      </c>
      <c r="Y701" s="625">
        <f t="shared" ca="1" si="8"/>
        <v>63</v>
      </c>
      <c r="Z701" s="616" t="s">
        <v>1355</v>
      </c>
      <c r="AA701" s="598" t="s">
        <v>1356</v>
      </c>
      <c r="AB701" s="598" t="s">
        <v>996</v>
      </c>
      <c r="AC701" s="644" t="s">
        <v>997</v>
      </c>
      <c r="AD701" s="616" t="s">
        <v>729</v>
      </c>
      <c r="AE701" s="616" t="s">
        <v>1357</v>
      </c>
      <c r="AF701" s="616" t="s">
        <v>1358</v>
      </c>
      <c r="AG701" s="598"/>
      <c r="AH701" s="598"/>
      <c r="AI701" s="634" t="s">
        <v>1359</v>
      </c>
      <c r="AJ701" s="598"/>
      <c r="AK701" s="626"/>
      <c r="AL701" s="626"/>
    </row>
    <row r="702" spans="1:38" ht="18" customHeight="1">
      <c r="A702" s="593"/>
      <c r="B702" s="598">
        <v>685</v>
      </c>
      <c r="C702" s="598" t="s">
        <v>2372</v>
      </c>
      <c r="D702" s="598">
        <f t="shared" si="7"/>
        <v>645</v>
      </c>
      <c r="E702" s="616" t="s">
        <v>1351</v>
      </c>
      <c r="F702" s="616" t="s">
        <v>4921</v>
      </c>
      <c r="G702" s="618" t="s">
        <v>1195</v>
      </c>
      <c r="H702" s="618" t="s">
        <v>254</v>
      </c>
      <c r="I702" s="618" t="s">
        <v>1241</v>
      </c>
      <c r="J702" s="618" t="s">
        <v>2775</v>
      </c>
      <c r="K702" s="618" t="s">
        <v>2082</v>
      </c>
      <c r="L702" s="619" t="s">
        <v>2029</v>
      </c>
      <c r="M702" s="620"/>
      <c r="N702" s="620"/>
      <c r="O702" s="663" t="s">
        <v>2057</v>
      </c>
      <c r="P702" s="621" t="s">
        <v>319</v>
      </c>
      <c r="Q702" s="598"/>
      <c r="R702" s="598"/>
      <c r="S702" s="598"/>
      <c r="T702" s="598" t="s">
        <v>1015</v>
      </c>
      <c r="U702" s="663" t="s">
        <v>2374</v>
      </c>
      <c r="V702" s="616" t="s">
        <v>2375</v>
      </c>
      <c r="W702" s="598" t="s">
        <v>950</v>
      </c>
      <c r="X702" s="624">
        <v>22873</v>
      </c>
      <c r="Y702" s="625">
        <f t="shared" ca="1" si="8"/>
        <v>63</v>
      </c>
      <c r="Z702" s="616" t="s">
        <v>2376</v>
      </c>
      <c r="AA702" s="598"/>
      <c r="AB702" s="598" t="s">
        <v>996</v>
      </c>
      <c r="AC702" s="598" t="s">
        <v>1018</v>
      </c>
      <c r="AD702" s="616" t="s">
        <v>729</v>
      </c>
      <c r="AE702" s="616" t="s">
        <v>729</v>
      </c>
      <c r="AF702" s="616" t="s">
        <v>2377</v>
      </c>
      <c r="AG702" s="598" t="s">
        <v>1775</v>
      </c>
      <c r="AH702" s="598" t="s">
        <v>4940</v>
      </c>
      <c r="AI702" s="634" t="s">
        <v>1359</v>
      </c>
      <c r="AJ702" s="598"/>
      <c r="AK702" s="626">
        <v>-6</v>
      </c>
      <c r="AL702" s="626"/>
    </row>
    <row r="703" spans="1:38" ht="18" customHeight="1">
      <c r="A703" s="593"/>
      <c r="B703" s="598">
        <v>686</v>
      </c>
      <c r="C703" s="598" t="s">
        <v>2001</v>
      </c>
      <c r="D703" s="598">
        <f t="shared" si="7"/>
        <v>646</v>
      </c>
      <c r="E703" s="616" t="s">
        <v>1351</v>
      </c>
      <c r="F703" s="616" t="s">
        <v>4921</v>
      </c>
      <c r="G703" s="618" t="s">
        <v>1195</v>
      </c>
      <c r="H703" s="618" t="s">
        <v>254</v>
      </c>
      <c r="I703" s="618" t="s">
        <v>1241</v>
      </c>
      <c r="J703" s="618" t="s">
        <v>2775</v>
      </c>
      <c r="K703" s="618" t="s">
        <v>2082</v>
      </c>
      <c r="L703" s="619" t="s">
        <v>2029</v>
      </c>
      <c r="M703" s="620"/>
      <c r="N703" s="620"/>
      <c r="O703" s="673" t="s">
        <v>2057</v>
      </c>
      <c r="P703" s="621" t="s">
        <v>319</v>
      </c>
      <c r="Q703" s="598"/>
      <c r="R703" s="598"/>
      <c r="S703" s="598"/>
      <c r="T703" s="598" t="s">
        <v>1015</v>
      </c>
      <c r="U703" s="673" t="s">
        <v>2002</v>
      </c>
      <c r="V703" s="616" t="s">
        <v>2003</v>
      </c>
      <c r="W703" s="598" t="s">
        <v>950</v>
      </c>
      <c r="X703" s="624">
        <v>25028</v>
      </c>
      <c r="Y703" s="625">
        <f t="shared" ca="1" si="8"/>
        <v>57</v>
      </c>
      <c r="Z703" s="616" t="s">
        <v>2004</v>
      </c>
      <c r="AA703" s="598" t="s">
        <v>2005</v>
      </c>
      <c r="AB703" s="598" t="s">
        <v>996</v>
      </c>
      <c r="AC703" s="644" t="s">
        <v>997</v>
      </c>
      <c r="AD703" s="616" t="s">
        <v>729</v>
      </c>
      <c r="AE703" s="640" t="s">
        <v>729</v>
      </c>
      <c r="AF703" s="616" t="s">
        <v>2000</v>
      </c>
      <c r="AG703" s="598"/>
      <c r="AH703" s="598"/>
      <c r="AI703" s="634" t="s">
        <v>1359</v>
      </c>
      <c r="AJ703" s="598"/>
      <c r="AK703" s="626">
        <v>-6</v>
      </c>
      <c r="AL703" s="626"/>
    </row>
    <row r="704" spans="1:38" ht="18" customHeight="1">
      <c r="A704" s="593"/>
      <c r="B704" s="598">
        <v>687</v>
      </c>
      <c r="C704" s="598" t="s">
        <v>986</v>
      </c>
      <c r="D704" s="598">
        <f t="shared" si="7"/>
        <v>646</v>
      </c>
      <c r="E704" s="616"/>
      <c r="F704" s="616" t="s">
        <v>991</v>
      </c>
      <c r="G704" s="618" t="s">
        <v>1195</v>
      </c>
      <c r="H704" s="618" t="s">
        <v>78</v>
      </c>
      <c r="I704" s="618" t="s">
        <v>986</v>
      </c>
      <c r="J704" s="618" t="s">
        <v>986</v>
      </c>
      <c r="K704" s="618"/>
      <c r="L704" s="619"/>
      <c r="M704" s="620"/>
      <c r="N704" s="620"/>
      <c r="O704" s="667" t="s">
        <v>4941</v>
      </c>
      <c r="P704" s="621"/>
      <c r="Q704" s="598" t="s">
        <v>55</v>
      </c>
      <c r="R704" s="598" t="s">
        <v>178</v>
      </c>
      <c r="S704" s="598"/>
      <c r="T704" s="598"/>
      <c r="U704" s="667" t="s">
        <v>78</v>
      </c>
      <c r="V704" s="616" t="s">
        <v>987</v>
      </c>
      <c r="W704" s="598" t="s">
        <v>963</v>
      </c>
      <c r="X704" s="624">
        <v>33031</v>
      </c>
      <c r="Y704" s="625">
        <f t="shared" ca="1" si="8"/>
        <v>35</v>
      </c>
      <c r="Z704" s="616" t="s">
        <v>988</v>
      </c>
      <c r="AA704" s="598" t="s">
        <v>2571</v>
      </c>
      <c r="AB704" s="598" t="s">
        <v>966</v>
      </c>
      <c r="AC704" s="598" t="s">
        <v>953</v>
      </c>
      <c r="AD704" s="616"/>
      <c r="AE704" s="616"/>
      <c r="AF704" s="616"/>
      <c r="AG704" s="598" t="s">
        <v>955</v>
      </c>
      <c r="AH704" s="598"/>
      <c r="AI704" s="598"/>
      <c r="AJ704" s="598"/>
      <c r="AK704" s="626"/>
      <c r="AL704" s="626"/>
    </row>
    <row r="705" spans="1:38" ht="18" customHeight="1">
      <c r="A705" s="593"/>
      <c r="B705" s="598">
        <v>688</v>
      </c>
      <c r="C705" s="598" t="s">
        <v>4942</v>
      </c>
      <c r="D705" s="598">
        <f t="shared" si="7"/>
        <v>647</v>
      </c>
      <c r="E705" s="616" t="s">
        <v>1351</v>
      </c>
      <c r="F705" s="616" t="s">
        <v>991</v>
      </c>
      <c r="G705" s="618" t="s">
        <v>1195</v>
      </c>
      <c r="H705" s="618" t="s">
        <v>78</v>
      </c>
      <c r="I705" s="618" t="s">
        <v>986</v>
      </c>
      <c r="J705" s="618" t="s">
        <v>986</v>
      </c>
      <c r="K705" s="618" t="s">
        <v>959</v>
      </c>
      <c r="L705" s="619"/>
      <c r="M705" s="620"/>
      <c r="N705" s="620"/>
      <c r="O705" s="663" t="s">
        <v>4941</v>
      </c>
      <c r="P705" s="621" t="s">
        <v>319</v>
      </c>
      <c r="Q705" s="598"/>
      <c r="R705" s="598"/>
      <c r="S705" s="598"/>
      <c r="T705" s="598" t="s">
        <v>992</v>
      </c>
      <c r="U705" s="663" t="s">
        <v>4943</v>
      </c>
      <c r="V705" s="616" t="s">
        <v>4944</v>
      </c>
      <c r="W705" s="598" t="s">
        <v>963</v>
      </c>
      <c r="X705" s="624">
        <v>34371</v>
      </c>
      <c r="Y705" s="625">
        <f t="shared" ca="1" si="8"/>
        <v>31</v>
      </c>
      <c r="Z705" s="616" t="s">
        <v>4945</v>
      </c>
      <c r="AA705" s="598" t="s">
        <v>4946</v>
      </c>
      <c r="AB705" s="598" t="s">
        <v>996</v>
      </c>
      <c r="AC705" s="598" t="s">
        <v>1018</v>
      </c>
      <c r="AD705" s="616" t="s">
        <v>729</v>
      </c>
      <c r="AE705" s="640" t="s">
        <v>729</v>
      </c>
      <c r="AF705" s="616" t="s">
        <v>4947</v>
      </c>
      <c r="AG705" s="598"/>
      <c r="AH705" s="598"/>
      <c r="AI705" s="598" t="s">
        <v>1107</v>
      </c>
      <c r="AJ705" s="598"/>
      <c r="AK705" s="715">
        <v>-1</v>
      </c>
      <c r="AL705" s="626"/>
    </row>
    <row r="706" spans="1:38" ht="18" customHeight="1">
      <c r="A706" s="593"/>
      <c r="B706" s="598">
        <v>689</v>
      </c>
      <c r="C706" s="598" t="s">
        <v>2727</v>
      </c>
      <c r="D706" s="598">
        <f t="shared" si="7"/>
        <v>648</v>
      </c>
      <c r="E706" s="616" t="s">
        <v>1798</v>
      </c>
      <c r="F706" s="616" t="s">
        <v>991</v>
      </c>
      <c r="G706" s="618" t="s">
        <v>1195</v>
      </c>
      <c r="H706" s="618" t="s">
        <v>78</v>
      </c>
      <c r="I706" s="618" t="s">
        <v>986</v>
      </c>
      <c r="J706" s="618" t="s">
        <v>986</v>
      </c>
      <c r="K706" s="618" t="s">
        <v>959</v>
      </c>
      <c r="L706" s="619"/>
      <c r="M706" s="620"/>
      <c r="N706" s="620"/>
      <c r="O706" s="673" t="s">
        <v>4941</v>
      </c>
      <c r="P706" s="621" t="s">
        <v>319</v>
      </c>
      <c r="Q706" s="598"/>
      <c r="R706" s="598"/>
      <c r="S706" s="598"/>
      <c r="T706" s="598" t="s">
        <v>962</v>
      </c>
      <c r="U706" s="673" t="s">
        <v>2728</v>
      </c>
      <c r="V706" s="616" t="s">
        <v>2729</v>
      </c>
      <c r="W706" s="598" t="s">
        <v>963</v>
      </c>
      <c r="X706" s="624">
        <v>30717</v>
      </c>
      <c r="Y706" s="625">
        <f t="shared" ca="1" si="8"/>
        <v>41</v>
      </c>
      <c r="Z706" s="616" t="s">
        <v>2730</v>
      </c>
      <c r="AA706" s="598"/>
      <c r="AB706" s="598" t="s">
        <v>996</v>
      </c>
      <c r="AC706" s="598" t="s">
        <v>1018</v>
      </c>
      <c r="AD706" s="616" t="s">
        <v>1041</v>
      </c>
      <c r="AE706" s="616" t="s">
        <v>1041</v>
      </c>
      <c r="AF706" s="616" t="s">
        <v>2672</v>
      </c>
      <c r="AG706" s="598" t="s">
        <v>1775</v>
      </c>
      <c r="AH706" s="598" t="s">
        <v>2731</v>
      </c>
      <c r="AI706" s="598" t="s">
        <v>1107</v>
      </c>
      <c r="AJ706" s="598"/>
      <c r="AK706" s="626"/>
      <c r="AL706" s="626"/>
    </row>
    <row r="707" spans="1:38" ht="18" customHeight="1">
      <c r="A707" s="593"/>
      <c r="B707" s="598">
        <v>690</v>
      </c>
      <c r="C707" s="598" t="s">
        <v>956</v>
      </c>
      <c r="D707" s="598">
        <f t="shared" si="7"/>
        <v>648</v>
      </c>
      <c r="E707" s="616"/>
      <c r="F707" s="616" t="s">
        <v>991</v>
      </c>
      <c r="G707" s="618" t="s">
        <v>1195</v>
      </c>
      <c r="H707" s="618" t="s">
        <v>78</v>
      </c>
      <c r="I707" s="618" t="s">
        <v>986</v>
      </c>
      <c r="J707" s="618" t="s">
        <v>956</v>
      </c>
      <c r="K707" s="618" t="s">
        <v>3825</v>
      </c>
      <c r="L707" s="619" t="s">
        <v>3963</v>
      </c>
      <c r="M707" s="620"/>
      <c r="N707" s="620"/>
      <c r="O707" s="667" t="s">
        <v>4948</v>
      </c>
      <c r="P707" s="621"/>
      <c r="Q707" s="598" t="s">
        <v>173</v>
      </c>
      <c r="R707" s="598" t="s">
        <v>173</v>
      </c>
      <c r="S707" s="598" t="s">
        <v>178</v>
      </c>
      <c r="T707" s="598"/>
      <c r="U707" s="667" t="s">
        <v>64</v>
      </c>
      <c r="V707" s="616" t="s">
        <v>4949</v>
      </c>
      <c r="W707" s="598" t="s">
        <v>963</v>
      </c>
      <c r="X707" s="624">
        <v>32431</v>
      </c>
      <c r="Y707" s="625">
        <f t="shared" ca="1" si="8"/>
        <v>37</v>
      </c>
      <c r="Z707" s="616" t="s">
        <v>964</v>
      </c>
      <c r="AA707" s="598" t="s">
        <v>4950</v>
      </c>
      <c r="AB707" s="598" t="s">
        <v>966</v>
      </c>
      <c r="AC707" s="598" t="s">
        <v>953</v>
      </c>
      <c r="AD707" s="616" t="s">
        <v>967</v>
      </c>
      <c r="AE707" s="616" t="s">
        <v>954</v>
      </c>
      <c r="AF707" s="616" t="s">
        <v>974</v>
      </c>
      <c r="AG707" s="598" t="s">
        <v>955</v>
      </c>
      <c r="AH707" s="598"/>
      <c r="AI707" s="598"/>
      <c r="AJ707" s="598"/>
      <c r="AK707" s="626"/>
      <c r="AL707" s="626"/>
    </row>
    <row r="708" spans="1:38" ht="18" customHeight="1">
      <c r="A708" s="593"/>
      <c r="B708" s="598">
        <v>691</v>
      </c>
      <c r="C708" s="598" t="s">
        <v>3825</v>
      </c>
      <c r="D708" s="598">
        <f t="shared" si="7"/>
        <v>649</v>
      </c>
      <c r="E708" s="616" t="s">
        <v>3808</v>
      </c>
      <c r="F708" s="616" t="s">
        <v>991</v>
      </c>
      <c r="G708" s="618" t="s">
        <v>1195</v>
      </c>
      <c r="H708" s="618" t="s">
        <v>78</v>
      </c>
      <c r="I708" s="618" t="s">
        <v>986</v>
      </c>
      <c r="J708" s="618" t="s">
        <v>956</v>
      </c>
      <c r="K708" s="618" t="s">
        <v>3825</v>
      </c>
      <c r="L708" s="619" t="s">
        <v>3963</v>
      </c>
      <c r="M708" s="620"/>
      <c r="N708" s="620"/>
      <c r="O708" s="663" t="s">
        <v>4948</v>
      </c>
      <c r="P708" s="621"/>
      <c r="Q708" s="598" t="s">
        <v>69</v>
      </c>
      <c r="R708" s="598" t="s">
        <v>562</v>
      </c>
      <c r="S708" s="598"/>
      <c r="T708" s="598" t="s">
        <v>962</v>
      </c>
      <c r="U708" s="663" t="s">
        <v>620</v>
      </c>
      <c r="V708" s="616" t="s">
        <v>3826</v>
      </c>
      <c r="W708" s="598" t="s">
        <v>963</v>
      </c>
      <c r="X708" s="624">
        <v>22474</v>
      </c>
      <c r="Y708" s="625">
        <f t="shared" ca="1" si="8"/>
        <v>64</v>
      </c>
      <c r="Z708" s="616" t="s">
        <v>3827</v>
      </c>
      <c r="AA708" s="598" t="s">
        <v>3828</v>
      </c>
      <c r="AB708" s="598" t="s">
        <v>996</v>
      </c>
      <c r="AC708" s="598" t="s">
        <v>1018</v>
      </c>
      <c r="AD708" s="616" t="s">
        <v>246</v>
      </c>
      <c r="AE708" s="616" t="s">
        <v>246</v>
      </c>
      <c r="AF708" s="653" t="s">
        <v>3829</v>
      </c>
      <c r="AG708" s="598"/>
      <c r="AH708" s="598"/>
      <c r="AI708" s="598" t="s">
        <v>1114</v>
      </c>
      <c r="AJ708" s="598"/>
      <c r="AK708" s="626"/>
      <c r="AL708" s="626"/>
    </row>
    <row r="709" spans="1:38" ht="18" customHeight="1">
      <c r="A709" s="593"/>
      <c r="B709" s="598">
        <v>692</v>
      </c>
      <c r="C709" s="598" t="s">
        <v>3963</v>
      </c>
      <c r="D709" s="598">
        <f t="shared" si="7"/>
        <v>650</v>
      </c>
      <c r="E709" s="616" t="s">
        <v>3808</v>
      </c>
      <c r="F709" s="616" t="s">
        <v>991</v>
      </c>
      <c r="G709" s="618" t="s">
        <v>1195</v>
      </c>
      <c r="H709" s="618" t="s">
        <v>78</v>
      </c>
      <c r="I709" s="618" t="s">
        <v>986</v>
      </c>
      <c r="J709" s="618" t="s">
        <v>956</v>
      </c>
      <c r="K709" s="618" t="s">
        <v>3825</v>
      </c>
      <c r="L709" s="619" t="s">
        <v>3963</v>
      </c>
      <c r="M709" s="620"/>
      <c r="N709" s="620"/>
      <c r="O709" s="663" t="s">
        <v>4948</v>
      </c>
      <c r="P709" s="621"/>
      <c r="Q709" s="598" t="s">
        <v>69</v>
      </c>
      <c r="R709" s="598" t="s">
        <v>562</v>
      </c>
      <c r="S709" s="598"/>
      <c r="T709" s="598" t="s">
        <v>1015</v>
      </c>
      <c r="U709" s="663" t="s">
        <v>639</v>
      </c>
      <c r="V709" s="616" t="s">
        <v>3964</v>
      </c>
      <c r="W709" s="598" t="s">
        <v>950</v>
      </c>
      <c r="X709" s="624">
        <v>26681</v>
      </c>
      <c r="Y709" s="625">
        <f t="shared" ca="1" si="8"/>
        <v>53</v>
      </c>
      <c r="Z709" s="616" t="s">
        <v>3965</v>
      </c>
      <c r="AA709" s="598" t="s">
        <v>3966</v>
      </c>
      <c r="AB709" s="598" t="s">
        <v>996</v>
      </c>
      <c r="AC709" s="598" t="s">
        <v>997</v>
      </c>
      <c r="AD709" s="616" t="s">
        <v>246</v>
      </c>
      <c r="AE709" s="616" t="s">
        <v>246</v>
      </c>
      <c r="AF709" s="653" t="s">
        <v>3829</v>
      </c>
      <c r="AG709" s="598"/>
      <c r="AH709" s="598"/>
      <c r="AI709" s="598" t="s">
        <v>1114</v>
      </c>
      <c r="AJ709" s="598"/>
      <c r="AK709" s="626"/>
      <c r="AL709" s="626"/>
    </row>
    <row r="710" spans="1:38" ht="18" customHeight="1">
      <c r="A710" s="593"/>
      <c r="B710" s="598">
        <v>693</v>
      </c>
      <c r="C710" s="598" t="s">
        <v>3851</v>
      </c>
      <c r="D710" s="598">
        <f t="shared" si="7"/>
        <v>651</v>
      </c>
      <c r="E710" s="616" t="s">
        <v>3808</v>
      </c>
      <c r="F710" s="616" t="s">
        <v>991</v>
      </c>
      <c r="G710" s="618" t="s">
        <v>1195</v>
      </c>
      <c r="H710" s="618" t="s">
        <v>78</v>
      </c>
      <c r="I710" s="618" t="s">
        <v>986</v>
      </c>
      <c r="J710" s="618" t="s">
        <v>956</v>
      </c>
      <c r="K710" s="618" t="s">
        <v>3825</v>
      </c>
      <c r="L710" s="619" t="s">
        <v>3963</v>
      </c>
      <c r="M710" s="620"/>
      <c r="N710" s="620"/>
      <c r="O710" s="663" t="s">
        <v>4948</v>
      </c>
      <c r="P710" s="621"/>
      <c r="Q710" s="598"/>
      <c r="R710" s="598"/>
      <c r="S710" s="598"/>
      <c r="T710" s="598" t="s">
        <v>962</v>
      </c>
      <c r="U710" s="663" t="s">
        <v>3852</v>
      </c>
      <c r="V710" s="616" t="s">
        <v>3853</v>
      </c>
      <c r="W710" s="598" t="s">
        <v>963</v>
      </c>
      <c r="X710" s="624">
        <v>26062</v>
      </c>
      <c r="Y710" s="625">
        <f t="shared" ca="1" si="8"/>
        <v>54</v>
      </c>
      <c r="Z710" s="616" t="s">
        <v>3854</v>
      </c>
      <c r="AA710" s="598" t="s">
        <v>3855</v>
      </c>
      <c r="AB710" s="598" t="s">
        <v>996</v>
      </c>
      <c r="AC710" s="598" t="s">
        <v>1018</v>
      </c>
      <c r="AD710" s="616" t="s">
        <v>246</v>
      </c>
      <c r="AE710" s="616" t="s">
        <v>246</v>
      </c>
      <c r="AF710" s="616" t="s">
        <v>3856</v>
      </c>
      <c r="AG710" s="598"/>
      <c r="AH710" s="598"/>
      <c r="AI710" s="598" t="s">
        <v>1107</v>
      </c>
      <c r="AJ710" s="598"/>
      <c r="AK710" s="626">
        <v>-3</v>
      </c>
      <c r="AL710" s="626"/>
    </row>
    <row r="711" spans="1:38" ht="18" customHeight="1">
      <c r="A711" s="593"/>
      <c r="B711" s="598">
        <v>694</v>
      </c>
      <c r="C711" s="598" t="s">
        <v>3515</v>
      </c>
      <c r="D711" s="598">
        <f t="shared" si="7"/>
        <v>652</v>
      </c>
      <c r="E711" s="616" t="s">
        <v>1810</v>
      </c>
      <c r="F711" s="616" t="s">
        <v>991</v>
      </c>
      <c r="G711" s="618" t="s">
        <v>1195</v>
      </c>
      <c r="H711" s="618" t="s">
        <v>78</v>
      </c>
      <c r="I711" s="618" t="s">
        <v>986</v>
      </c>
      <c r="J711" s="618" t="s">
        <v>956</v>
      </c>
      <c r="K711" s="618" t="s">
        <v>3825</v>
      </c>
      <c r="L711" s="619" t="s">
        <v>3963</v>
      </c>
      <c r="M711" s="620"/>
      <c r="N711" s="620"/>
      <c r="O711" s="663" t="s">
        <v>4948</v>
      </c>
      <c r="P711" s="621"/>
      <c r="Q711" s="598"/>
      <c r="R711" s="598"/>
      <c r="S711" s="598"/>
      <c r="T711" s="598" t="s">
        <v>962</v>
      </c>
      <c r="U711" s="663" t="s">
        <v>675</v>
      </c>
      <c r="V711" s="616" t="s">
        <v>3516</v>
      </c>
      <c r="W711" s="598" t="s">
        <v>963</v>
      </c>
      <c r="X711" s="624">
        <v>24209</v>
      </c>
      <c r="Y711" s="625">
        <f t="shared" ca="1" si="8"/>
        <v>59</v>
      </c>
      <c r="Z711" s="616" t="s">
        <v>3517</v>
      </c>
      <c r="AA711" s="598" t="s">
        <v>3518</v>
      </c>
      <c r="AB711" s="598" t="s">
        <v>996</v>
      </c>
      <c r="AC711" s="644" t="s">
        <v>997</v>
      </c>
      <c r="AD711" s="616" t="s">
        <v>973</v>
      </c>
      <c r="AE711" s="616" t="s">
        <v>973</v>
      </c>
      <c r="AF711" s="616" t="s">
        <v>3519</v>
      </c>
      <c r="AG711" s="598"/>
      <c r="AH711" s="598"/>
      <c r="AI711" s="598" t="s">
        <v>1114</v>
      </c>
      <c r="AJ711" s="598" t="s">
        <v>3510</v>
      </c>
      <c r="AK711" s="626">
        <v>-3</v>
      </c>
      <c r="AL711" s="626"/>
    </row>
    <row r="712" spans="1:38" ht="18" customHeight="1">
      <c r="A712" s="593"/>
      <c r="B712" s="598">
        <v>695</v>
      </c>
      <c r="C712" s="598" t="s">
        <v>3520</v>
      </c>
      <c r="D712" s="598">
        <f t="shared" si="7"/>
        <v>653</v>
      </c>
      <c r="E712" s="616" t="s">
        <v>1810</v>
      </c>
      <c r="F712" s="616" t="s">
        <v>991</v>
      </c>
      <c r="G712" s="618" t="s">
        <v>1195</v>
      </c>
      <c r="H712" s="618" t="s">
        <v>78</v>
      </c>
      <c r="I712" s="618" t="s">
        <v>986</v>
      </c>
      <c r="J712" s="618" t="s">
        <v>956</v>
      </c>
      <c r="K712" s="618" t="s">
        <v>3825</v>
      </c>
      <c r="L712" s="619" t="s">
        <v>3963</v>
      </c>
      <c r="M712" s="620"/>
      <c r="N712" s="620"/>
      <c r="O712" s="663" t="s">
        <v>4948</v>
      </c>
      <c r="P712" s="621"/>
      <c r="Q712" s="598"/>
      <c r="R712" s="598"/>
      <c r="S712" s="598"/>
      <c r="T712" s="598" t="s">
        <v>962</v>
      </c>
      <c r="U712" s="663" t="s">
        <v>691</v>
      </c>
      <c r="V712" s="616" t="s">
        <v>3521</v>
      </c>
      <c r="W712" s="598" t="s">
        <v>963</v>
      </c>
      <c r="X712" s="624">
        <v>26119</v>
      </c>
      <c r="Y712" s="625">
        <f t="shared" ca="1" si="8"/>
        <v>54</v>
      </c>
      <c r="Z712" s="616"/>
      <c r="AA712" s="598" t="s">
        <v>3522</v>
      </c>
      <c r="AB712" s="598" t="s">
        <v>996</v>
      </c>
      <c r="AC712" s="644" t="s">
        <v>997</v>
      </c>
      <c r="AD712" s="616" t="s">
        <v>973</v>
      </c>
      <c r="AE712" s="616" t="s">
        <v>973</v>
      </c>
      <c r="AF712" s="616" t="s">
        <v>3519</v>
      </c>
      <c r="AG712" s="598"/>
      <c r="AH712" s="598"/>
      <c r="AI712" s="598" t="s">
        <v>1114</v>
      </c>
      <c r="AJ712" s="598" t="s">
        <v>3510</v>
      </c>
      <c r="AK712" s="626">
        <v>-3</v>
      </c>
      <c r="AL712" s="626"/>
    </row>
    <row r="713" spans="1:38" ht="18" customHeight="1">
      <c r="A713" s="593"/>
      <c r="B713" s="598">
        <v>696</v>
      </c>
      <c r="C713" s="598" t="s">
        <v>4951</v>
      </c>
      <c r="D713" s="598">
        <f t="shared" si="7"/>
        <v>654</v>
      </c>
      <c r="E713" s="616" t="s">
        <v>1810</v>
      </c>
      <c r="F713" s="616" t="s">
        <v>991</v>
      </c>
      <c r="G713" s="618" t="s">
        <v>1195</v>
      </c>
      <c r="H713" s="618" t="s">
        <v>78</v>
      </c>
      <c r="I713" s="618" t="s">
        <v>986</v>
      </c>
      <c r="J713" s="618" t="s">
        <v>956</v>
      </c>
      <c r="K713" s="618" t="s">
        <v>3825</v>
      </c>
      <c r="L713" s="619" t="s">
        <v>3963</v>
      </c>
      <c r="M713" s="620"/>
      <c r="N713" s="620"/>
      <c r="O713" s="663" t="s">
        <v>4948</v>
      </c>
      <c r="P713" s="621"/>
      <c r="Q713" s="598"/>
      <c r="R713" s="598"/>
      <c r="S713" s="598"/>
      <c r="T713" s="598" t="s">
        <v>1015</v>
      </c>
      <c r="U713" s="668" t="s">
        <v>4952</v>
      </c>
      <c r="V713" s="616" t="s">
        <v>4953</v>
      </c>
      <c r="W713" s="598" t="s">
        <v>950</v>
      </c>
      <c r="X713" s="624">
        <v>22399</v>
      </c>
      <c r="Y713" s="625">
        <f t="shared" ca="1" si="8"/>
        <v>64</v>
      </c>
      <c r="Z713" s="616" t="s">
        <v>4954</v>
      </c>
      <c r="AA713" s="652"/>
      <c r="AB713" s="598" t="s">
        <v>996</v>
      </c>
      <c r="AC713" s="598" t="s">
        <v>1018</v>
      </c>
      <c r="AD713" s="616" t="s">
        <v>973</v>
      </c>
      <c r="AE713" s="616" t="s">
        <v>973</v>
      </c>
      <c r="AF713" s="616" t="s">
        <v>3519</v>
      </c>
      <c r="AG713" s="598"/>
      <c r="AH713" s="598" t="s">
        <v>4955</v>
      </c>
      <c r="AI713" s="598" t="s">
        <v>1114</v>
      </c>
      <c r="AJ713" s="598" t="s">
        <v>1020</v>
      </c>
      <c r="AK713" s="626">
        <v>-3</v>
      </c>
      <c r="AL713" s="626" t="s">
        <v>1121</v>
      </c>
    </row>
    <row r="714" spans="1:38" ht="18" customHeight="1">
      <c r="A714" s="593"/>
      <c r="B714" s="598">
        <v>697</v>
      </c>
      <c r="C714" s="598" t="s">
        <v>2572</v>
      </c>
      <c r="D714" s="598">
        <f t="shared" si="7"/>
        <v>655</v>
      </c>
      <c r="E714" s="616" t="s">
        <v>1351</v>
      </c>
      <c r="F714" s="616" t="s">
        <v>991</v>
      </c>
      <c r="G714" s="618" t="s">
        <v>1195</v>
      </c>
      <c r="H714" s="618" t="s">
        <v>78</v>
      </c>
      <c r="I714" s="618" t="s">
        <v>986</v>
      </c>
      <c r="J714" s="618" t="s">
        <v>956</v>
      </c>
      <c r="K714" s="618" t="s">
        <v>3825</v>
      </c>
      <c r="L714" s="619" t="s">
        <v>3963</v>
      </c>
      <c r="M714" s="620"/>
      <c r="N714" s="620"/>
      <c r="O714" s="663" t="s">
        <v>4948</v>
      </c>
      <c r="P714" s="621" t="s">
        <v>319</v>
      </c>
      <c r="Q714" s="598"/>
      <c r="R714" s="598"/>
      <c r="S714" s="598"/>
      <c r="T714" s="598" t="s">
        <v>962</v>
      </c>
      <c r="U714" s="675" t="s">
        <v>714</v>
      </c>
      <c r="V714" s="616" t="s">
        <v>2573</v>
      </c>
      <c r="W714" s="598" t="s">
        <v>963</v>
      </c>
      <c r="X714" s="624">
        <v>26765</v>
      </c>
      <c r="Y714" s="625">
        <f t="shared" ca="1" si="8"/>
        <v>52</v>
      </c>
      <c r="Z714" s="616" t="s">
        <v>2574</v>
      </c>
      <c r="AA714" s="598" t="s">
        <v>2575</v>
      </c>
      <c r="AB714" s="598" t="s">
        <v>996</v>
      </c>
      <c r="AC714" s="598" t="s">
        <v>1018</v>
      </c>
      <c r="AD714" s="616" t="s">
        <v>729</v>
      </c>
      <c r="AE714" s="616" t="s">
        <v>729</v>
      </c>
      <c r="AF714" s="616" t="s">
        <v>2576</v>
      </c>
      <c r="AG714" s="598"/>
      <c r="AH714" s="598"/>
      <c r="AI714" s="644" t="s">
        <v>1566</v>
      </c>
      <c r="AJ714" s="598"/>
      <c r="AK714" s="715">
        <v>-2</v>
      </c>
      <c r="AL714" s="626"/>
    </row>
    <row r="715" spans="1:38" ht="18" customHeight="1">
      <c r="A715" s="593"/>
      <c r="B715" s="598">
        <v>698</v>
      </c>
      <c r="C715" s="598" t="s">
        <v>1514</v>
      </c>
      <c r="D715" s="598">
        <f t="shared" si="7"/>
        <v>655</v>
      </c>
      <c r="E715" s="616"/>
      <c r="F715" s="616" t="s">
        <v>991</v>
      </c>
      <c r="G715" s="618" t="s">
        <v>1195</v>
      </c>
      <c r="H715" s="618" t="s">
        <v>78</v>
      </c>
      <c r="I715" s="618" t="s">
        <v>986</v>
      </c>
      <c r="J715" s="618" t="s">
        <v>1514</v>
      </c>
      <c r="K715" s="618" t="s">
        <v>959</v>
      </c>
      <c r="L715" s="619"/>
      <c r="M715" s="620"/>
      <c r="N715" s="620"/>
      <c r="O715" s="667" t="s">
        <v>4956</v>
      </c>
      <c r="P715" s="621"/>
      <c r="Q715" s="598" t="s">
        <v>55</v>
      </c>
      <c r="R715" s="598" t="s">
        <v>178</v>
      </c>
      <c r="S715" s="598"/>
      <c r="T715" s="598"/>
      <c r="U715" s="667" t="s">
        <v>191</v>
      </c>
      <c r="V715" s="616" t="s">
        <v>1516</v>
      </c>
      <c r="W715" s="598" t="s">
        <v>963</v>
      </c>
      <c r="X715" s="624">
        <v>19232</v>
      </c>
      <c r="Y715" s="625">
        <f t="shared" ca="1" si="8"/>
        <v>73</v>
      </c>
      <c r="Z715" s="616" t="s">
        <v>1517</v>
      </c>
      <c r="AA715" s="598" t="s">
        <v>4957</v>
      </c>
      <c r="AB715" s="598" t="s">
        <v>966</v>
      </c>
      <c r="AC715" s="598" t="s">
        <v>953</v>
      </c>
      <c r="AD715" s="616" t="s">
        <v>729</v>
      </c>
      <c r="AE715" s="616" t="s">
        <v>1239</v>
      </c>
      <c r="AF715" s="616" t="s">
        <v>1240</v>
      </c>
      <c r="AG715" s="598" t="s">
        <v>955</v>
      </c>
      <c r="AH715" s="598"/>
      <c r="AI715" s="598"/>
      <c r="AJ715" s="598"/>
      <c r="AK715" s="626"/>
      <c r="AL715" s="626"/>
    </row>
    <row r="716" spans="1:38" ht="18" customHeight="1">
      <c r="A716" s="593"/>
      <c r="B716" s="598">
        <v>699</v>
      </c>
      <c r="C716" s="598" t="s">
        <v>1765</v>
      </c>
      <c r="D716" s="598">
        <f t="shared" si="7"/>
        <v>656</v>
      </c>
      <c r="E716" s="616" t="s">
        <v>1351</v>
      </c>
      <c r="F716" s="616" t="s">
        <v>991</v>
      </c>
      <c r="G716" s="618" t="s">
        <v>1195</v>
      </c>
      <c r="H716" s="618" t="s">
        <v>78</v>
      </c>
      <c r="I716" s="618" t="s">
        <v>986</v>
      </c>
      <c r="J716" s="618" t="s">
        <v>1514</v>
      </c>
      <c r="K716" s="618" t="s">
        <v>959</v>
      </c>
      <c r="L716" s="619"/>
      <c r="M716" s="620"/>
      <c r="N716" s="620"/>
      <c r="O716" s="663" t="s">
        <v>4956</v>
      </c>
      <c r="P716" s="621"/>
      <c r="Q716" s="598"/>
      <c r="R716" s="598"/>
      <c r="S716" s="598"/>
      <c r="T716" s="598" t="s">
        <v>962</v>
      </c>
      <c r="U716" s="663" t="s">
        <v>621</v>
      </c>
      <c r="V716" s="616" t="s">
        <v>1766</v>
      </c>
      <c r="W716" s="598" t="s">
        <v>963</v>
      </c>
      <c r="X716" s="624">
        <v>22720</v>
      </c>
      <c r="Y716" s="625">
        <f t="shared" ca="1" si="8"/>
        <v>63</v>
      </c>
      <c r="Z716" s="616" t="s">
        <v>1767</v>
      </c>
      <c r="AA716" s="598" t="s">
        <v>1768</v>
      </c>
      <c r="AB716" s="598" t="s">
        <v>996</v>
      </c>
      <c r="AC716" s="598" t="s">
        <v>997</v>
      </c>
      <c r="AD716" s="616" t="s">
        <v>729</v>
      </c>
      <c r="AE716" s="640" t="s">
        <v>729</v>
      </c>
      <c r="AF716" s="616" t="s">
        <v>1769</v>
      </c>
      <c r="AG716" s="598"/>
      <c r="AH716" s="598"/>
      <c r="AI716" s="598" t="s">
        <v>1452</v>
      </c>
      <c r="AJ716" s="598"/>
      <c r="AK716" s="626">
        <v>-4</v>
      </c>
      <c r="AL716" s="626"/>
    </row>
    <row r="717" spans="1:38" ht="18" customHeight="1">
      <c r="A717" s="593"/>
      <c r="B717" s="598">
        <v>700</v>
      </c>
      <c r="C717" s="598" t="s">
        <v>2577</v>
      </c>
      <c r="D717" s="598">
        <f t="shared" si="7"/>
        <v>657</v>
      </c>
      <c r="E717" s="616" t="s">
        <v>1351</v>
      </c>
      <c r="F717" s="616" t="s">
        <v>991</v>
      </c>
      <c r="G717" s="618" t="s">
        <v>1195</v>
      </c>
      <c r="H717" s="618" t="s">
        <v>78</v>
      </c>
      <c r="I717" s="618" t="s">
        <v>986</v>
      </c>
      <c r="J717" s="618" t="s">
        <v>1514</v>
      </c>
      <c r="K717" s="618" t="s">
        <v>959</v>
      </c>
      <c r="L717" s="619"/>
      <c r="M717" s="620"/>
      <c r="N717" s="620"/>
      <c r="O717" s="663" t="s">
        <v>4956</v>
      </c>
      <c r="P717" s="621"/>
      <c r="Q717" s="598"/>
      <c r="R717" s="598"/>
      <c r="S717" s="598"/>
      <c r="T717" s="598" t="s">
        <v>962</v>
      </c>
      <c r="U717" s="663" t="s">
        <v>657</v>
      </c>
      <c r="V717" s="616" t="s">
        <v>2578</v>
      </c>
      <c r="W717" s="598" t="s">
        <v>963</v>
      </c>
      <c r="X717" s="624">
        <v>35402</v>
      </c>
      <c r="Y717" s="625">
        <f t="shared" ca="1" si="8"/>
        <v>29</v>
      </c>
      <c r="Z717" s="616" t="s">
        <v>2579</v>
      </c>
      <c r="AA717" s="764"/>
      <c r="AB717" s="598" t="s">
        <v>996</v>
      </c>
      <c r="AC717" s="598" t="s">
        <v>997</v>
      </c>
      <c r="AD717" s="616" t="s">
        <v>729</v>
      </c>
      <c r="AE717" s="640" t="s">
        <v>729</v>
      </c>
      <c r="AF717" s="616" t="s">
        <v>2580</v>
      </c>
      <c r="AG717" s="598"/>
      <c r="AH717" s="598"/>
      <c r="AI717" s="598" t="s">
        <v>1452</v>
      </c>
      <c r="AJ717" s="598"/>
      <c r="AK717" s="715">
        <v>0</v>
      </c>
      <c r="AL717" s="626"/>
    </row>
    <row r="718" spans="1:38" ht="18" customHeight="1">
      <c r="A718" s="593"/>
      <c r="B718" s="598">
        <v>701</v>
      </c>
      <c r="C718" s="598" t="s">
        <v>2581</v>
      </c>
      <c r="D718" s="598">
        <f t="shared" si="7"/>
        <v>658</v>
      </c>
      <c r="E718" s="616" t="s">
        <v>1351</v>
      </c>
      <c r="F718" s="616" t="s">
        <v>991</v>
      </c>
      <c r="G718" s="618" t="s">
        <v>1195</v>
      </c>
      <c r="H718" s="618" t="s">
        <v>78</v>
      </c>
      <c r="I718" s="618" t="s">
        <v>986</v>
      </c>
      <c r="J718" s="618" t="s">
        <v>1514</v>
      </c>
      <c r="K718" s="618" t="s">
        <v>959</v>
      </c>
      <c r="L718" s="619"/>
      <c r="M718" s="620"/>
      <c r="N718" s="620"/>
      <c r="O718" s="663" t="s">
        <v>4956</v>
      </c>
      <c r="P718" s="621"/>
      <c r="Q718" s="598"/>
      <c r="R718" s="598"/>
      <c r="S718" s="598"/>
      <c r="T718" s="598" t="s">
        <v>962</v>
      </c>
      <c r="U718" s="663" t="s">
        <v>676</v>
      </c>
      <c r="V718" s="616" t="s">
        <v>2582</v>
      </c>
      <c r="W718" s="598" t="s">
        <v>963</v>
      </c>
      <c r="X718" s="624">
        <v>35555</v>
      </c>
      <c r="Y718" s="625">
        <f t="shared" ca="1" si="8"/>
        <v>28</v>
      </c>
      <c r="Z718" s="616" t="s">
        <v>2583</v>
      </c>
      <c r="AA718" s="598" t="s">
        <v>2584</v>
      </c>
      <c r="AB718" s="598" t="s">
        <v>996</v>
      </c>
      <c r="AC718" s="644" t="s">
        <v>997</v>
      </c>
      <c r="AD718" s="616" t="s">
        <v>729</v>
      </c>
      <c r="AE718" s="640" t="s">
        <v>729</v>
      </c>
      <c r="AF718" s="616" t="s">
        <v>2580</v>
      </c>
      <c r="AG718" s="598"/>
      <c r="AH718" s="598"/>
      <c r="AI718" s="598" t="s">
        <v>1452</v>
      </c>
      <c r="AJ718" s="598"/>
      <c r="AK718" s="715">
        <v>0</v>
      </c>
      <c r="AL718" s="626"/>
    </row>
    <row r="719" spans="1:38" ht="18" customHeight="1">
      <c r="A719" s="593"/>
      <c r="B719" s="598">
        <v>702</v>
      </c>
      <c r="C719" s="598" t="s">
        <v>1746</v>
      </c>
      <c r="D719" s="598">
        <f t="shared" si="7"/>
        <v>659</v>
      </c>
      <c r="E719" s="616" t="s">
        <v>1351</v>
      </c>
      <c r="F719" s="616" t="s">
        <v>991</v>
      </c>
      <c r="G719" s="618" t="s">
        <v>1195</v>
      </c>
      <c r="H719" s="618" t="s">
        <v>78</v>
      </c>
      <c r="I719" s="618" t="s">
        <v>986</v>
      </c>
      <c r="J719" s="618" t="s">
        <v>1514</v>
      </c>
      <c r="K719" s="618" t="s">
        <v>959</v>
      </c>
      <c r="L719" s="619"/>
      <c r="M719" s="620"/>
      <c r="N719" s="620"/>
      <c r="O719" s="663" t="s">
        <v>4956</v>
      </c>
      <c r="P719" s="621"/>
      <c r="Q719" s="598"/>
      <c r="R719" s="598"/>
      <c r="S719" s="598"/>
      <c r="T719" s="598" t="s">
        <v>1090</v>
      </c>
      <c r="U719" s="663" t="s">
        <v>707</v>
      </c>
      <c r="V719" s="616" t="s">
        <v>1747</v>
      </c>
      <c r="W719" s="598" t="s">
        <v>963</v>
      </c>
      <c r="X719" s="624">
        <v>18218</v>
      </c>
      <c r="Y719" s="625">
        <f t="shared" ca="1" si="8"/>
        <v>76</v>
      </c>
      <c r="Z719" s="616" t="s">
        <v>1748</v>
      </c>
      <c r="AA719" s="598" t="s">
        <v>1749</v>
      </c>
      <c r="AB719" s="598" t="s">
        <v>996</v>
      </c>
      <c r="AC719" s="644" t="s">
        <v>997</v>
      </c>
      <c r="AD719" s="616" t="s">
        <v>729</v>
      </c>
      <c r="AE719" s="640" t="s">
        <v>729</v>
      </c>
      <c r="AF719" s="616" t="s">
        <v>1750</v>
      </c>
      <c r="AG719" s="598"/>
      <c r="AH719" s="598"/>
      <c r="AI719" s="598" t="s">
        <v>1107</v>
      </c>
      <c r="AJ719" s="598"/>
      <c r="AK719" s="626">
        <v>-4</v>
      </c>
      <c r="AL719" s="626"/>
    </row>
    <row r="720" spans="1:38" ht="18" customHeight="1">
      <c r="A720" s="593"/>
      <c r="B720" s="598">
        <v>703</v>
      </c>
      <c r="C720" s="598" t="s">
        <v>2739</v>
      </c>
      <c r="D720" s="598">
        <f t="shared" si="7"/>
        <v>660</v>
      </c>
      <c r="E720" s="616" t="s">
        <v>1351</v>
      </c>
      <c r="F720" s="616" t="s">
        <v>991</v>
      </c>
      <c r="G720" s="618" t="s">
        <v>1195</v>
      </c>
      <c r="H720" s="618" t="s">
        <v>78</v>
      </c>
      <c r="I720" s="618" t="s">
        <v>986</v>
      </c>
      <c r="J720" s="618" t="s">
        <v>1514</v>
      </c>
      <c r="K720" s="618" t="s">
        <v>959</v>
      </c>
      <c r="L720" s="619"/>
      <c r="M720" s="620"/>
      <c r="N720" s="620"/>
      <c r="O720" s="663" t="s">
        <v>4956</v>
      </c>
      <c r="P720" s="621"/>
      <c r="Q720" s="598"/>
      <c r="R720" s="598"/>
      <c r="S720" s="598"/>
      <c r="T720" s="598" t="s">
        <v>962</v>
      </c>
      <c r="U720" s="663" t="s">
        <v>2740</v>
      </c>
      <c r="V720" s="616" t="s">
        <v>2741</v>
      </c>
      <c r="W720" s="598" t="s">
        <v>963</v>
      </c>
      <c r="X720" s="624">
        <v>22220</v>
      </c>
      <c r="Y720" s="625">
        <f t="shared" ca="1" si="8"/>
        <v>65</v>
      </c>
      <c r="Z720" s="616" t="s">
        <v>2742</v>
      </c>
      <c r="AA720" s="598" t="s">
        <v>2743</v>
      </c>
      <c r="AB720" s="598" t="s">
        <v>996</v>
      </c>
      <c r="AC720" s="598" t="s">
        <v>997</v>
      </c>
      <c r="AD720" s="616" t="s">
        <v>729</v>
      </c>
      <c r="AE720" s="616" t="s">
        <v>2737</v>
      </c>
      <c r="AF720" s="616" t="s">
        <v>2744</v>
      </c>
      <c r="AG720" s="598"/>
      <c r="AH720" s="598"/>
      <c r="AI720" s="598" t="s">
        <v>1107</v>
      </c>
      <c r="AJ720" s="598"/>
      <c r="AK720" s="626"/>
      <c r="AL720" s="626"/>
    </row>
    <row r="721" spans="1:38" ht="18" customHeight="1">
      <c r="A721" s="593"/>
      <c r="B721" s="598">
        <v>704</v>
      </c>
      <c r="C721" s="598" t="s">
        <v>2732</v>
      </c>
      <c r="D721" s="598">
        <f t="shared" si="7"/>
        <v>661</v>
      </c>
      <c r="E721" s="616" t="s">
        <v>1798</v>
      </c>
      <c r="F721" s="616" t="s">
        <v>991</v>
      </c>
      <c r="G721" s="618" t="s">
        <v>1195</v>
      </c>
      <c r="H721" s="618" t="s">
        <v>78</v>
      </c>
      <c r="I721" s="618" t="s">
        <v>986</v>
      </c>
      <c r="J721" s="618" t="s">
        <v>1514</v>
      </c>
      <c r="K721" s="618" t="s">
        <v>959</v>
      </c>
      <c r="L721" s="619"/>
      <c r="M721" s="620"/>
      <c r="N721" s="620"/>
      <c r="O721" s="663" t="s">
        <v>4956</v>
      </c>
      <c r="P721" s="621"/>
      <c r="Q721" s="598"/>
      <c r="R721" s="598"/>
      <c r="S721" s="598"/>
      <c r="T721" s="598" t="s">
        <v>1090</v>
      </c>
      <c r="U721" s="663" t="s">
        <v>2733</v>
      </c>
      <c r="V721" s="616" t="s">
        <v>2734</v>
      </c>
      <c r="W721" s="598" t="s">
        <v>963</v>
      </c>
      <c r="X721" s="624">
        <v>18796</v>
      </c>
      <c r="Y721" s="625">
        <f t="shared" ca="1" si="8"/>
        <v>74</v>
      </c>
      <c r="Z721" s="616" t="s">
        <v>2735</v>
      </c>
      <c r="AA721" s="598" t="s">
        <v>2736</v>
      </c>
      <c r="AB721" s="598" t="s">
        <v>996</v>
      </c>
      <c r="AC721" s="644" t="s">
        <v>997</v>
      </c>
      <c r="AD721" s="616" t="s">
        <v>1041</v>
      </c>
      <c r="AE721" s="616" t="s">
        <v>2737</v>
      </c>
      <c r="AF721" s="616" t="s">
        <v>2738</v>
      </c>
      <c r="AG721" s="598"/>
      <c r="AH721" s="598"/>
      <c r="AI721" s="598" t="s">
        <v>1318</v>
      </c>
      <c r="AJ721" s="598"/>
      <c r="AK721" s="626"/>
      <c r="AL721" s="626"/>
    </row>
    <row r="722" spans="1:38" ht="18" customHeight="1">
      <c r="A722" s="593"/>
      <c r="B722" s="598">
        <v>705</v>
      </c>
      <c r="C722" s="598" t="s">
        <v>1523</v>
      </c>
      <c r="D722" s="598">
        <f t="shared" si="7"/>
        <v>662</v>
      </c>
      <c r="E722" s="616" t="s">
        <v>1233</v>
      </c>
      <c r="F722" s="616" t="s">
        <v>991</v>
      </c>
      <c r="G722" s="618" t="s">
        <v>1195</v>
      </c>
      <c r="H722" s="618" t="s">
        <v>78</v>
      </c>
      <c r="I722" s="618" t="s">
        <v>986</v>
      </c>
      <c r="J722" s="618" t="s">
        <v>1514</v>
      </c>
      <c r="K722" s="618" t="s">
        <v>959</v>
      </c>
      <c r="L722" s="619"/>
      <c r="M722" s="620"/>
      <c r="N722" s="620"/>
      <c r="O722" s="663" t="s">
        <v>4956</v>
      </c>
      <c r="P722" s="621"/>
      <c r="Q722" s="598"/>
      <c r="R722" s="598"/>
      <c r="S722" s="598"/>
      <c r="T722" s="598" t="s">
        <v>962</v>
      </c>
      <c r="U722" s="663" t="s">
        <v>1524</v>
      </c>
      <c r="V722" s="616" t="s">
        <v>1525</v>
      </c>
      <c r="W722" s="598" t="s">
        <v>963</v>
      </c>
      <c r="X722" s="624">
        <v>21313</v>
      </c>
      <c r="Y722" s="625">
        <f t="shared" ca="1" si="8"/>
        <v>67</v>
      </c>
      <c r="Z722" s="616" t="s">
        <v>1526</v>
      </c>
      <c r="AA722" s="598" t="s">
        <v>1527</v>
      </c>
      <c r="AB722" s="598" t="s">
        <v>996</v>
      </c>
      <c r="AC722" s="644" t="s">
        <v>997</v>
      </c>
      <c r="AD722" s="616" t="s">
        <v>729</v>
      </c>
      <c r="AE722" s="616" t="s">
        <v>729</v>
      </c>
      <c r="AF722" s="616" t="s">
        <v>1323</v>
      </c>
      <c r="AG722" s="598"/>
      <c r="AH722" s="598"/>
      <c r="AI722" s="598" t="s">
        <v>1318</v>
      </c>
      <c r="AJ722" s="598"/>
      <c r="AK722" s="626">
        <v>-6</v>
      </c>
      <c r="AL722" s="626"/>
    </row>
    <row r="723" spans="1:38" ht="18" customHeight="1">
      <c r="A723" s="593"/>
      <c r="B723" s="598">
        <v>706</v>
      </c>
      <c r="C723" s="598" t="s">
        <v>4958</v>
      </c>
      <c r="D723" s="598">
        <f t="shared" si="7"/>
        <v>663</v>
      </c>
      <c r="E723" s="616" t="s">
        <v>1351</v>
      </c>
      <c r="F723" s="616" t="s">
        <v>991</v>
      </c>
      <c r="G723" s="618" t="s">
        <v>1195</v>
      </c>
      <c r="H723" s="618" t="s">
        <v>78</v>
      </c>
      <c r="I723" s="618" t="s">
        <v>986</v>
      </c>
      <c r="J723" s="618" t="s">
        <v>1514</v>
      </c>
      <c r="K723" s="618" t="s">
        <v>959</v>
      </c>
      <c r="L723" s="619"/>
      <c r="M723" s="620"/>
      <c r="N723" s="620"/>
      <c r="O723" s="673" t="s">
        <v>4956</v>
      </c>
      <c r="P723" s="621"/>
      <c r="Q723" s="598"/>
      <c r="R723" s="598"/>
      <c r="S723" s="598"/>
      <c r="T723" s="598" t="s">
        <v>962</v>
      </c>
      <c r="U723" s="673" t="s">
        <v>4959</v>
      </c>
      <c r="V723" s="616" t="s">
        <v>4960</v>
      </c>
      <c r="W723" s="598" t="s">
        <v>963</v>
      </c>
      <c r="X723" s="624">
        <v>26711</v>
      </c>
      <c r="Y723" s="625">
        <f t="shared" ca="1" si="8"/>
        <v>52</v>
      </c>
      <c r="Z723" s="616" t="s">
        <v>4961</v>
      </c>
      <c r="AA723" s="652"/>
      <c r="AB723" s="598" t="s">
        <v>996</v>
      </c>
      <c r="AC723" s="598" t="s">
        <v>1018</v>
      </c>
      <c r="AD723" s="616" t="s">
        <v>729</v>
      </c>
      <c r="AE723" s="616" t="s">
        <v>729</v>
      </c>
      <c r="AF723" s="616" t="s">
        <v>4962</v>
      </c>
      <c r="AG723" s="598"/>
      <c r="AH723" s="598" t="s">
        <v>1019</v>
      </c>
      <c r="AI723" s="598" t="s">
        <v>1452</v>
      </c>
      <c r="AJ723" s="598"/>
      <c r="AK723" s="715">
        <v>-1</v>
      </c>
      <c r="AL723" s="626"/>
    </row>
    <row r="724" spans="1:38" ht="18" customHeight="1">
      <c r="A724" s="593"/>
      <c r="B724" s="598">
        <v>707</v>
      </c>
      <c r="C724" s="598" t="s">
        <v>1658</v>
      </c>
      <c r="D724" s="598">
        <f t="shared" si="7"/>
        <v>663</v>
      </c>
      <c r="E724" s="616"/>
      <c r="F724" s="616" t="s">
        <v>4963</v>
      </c>
      <c r="G724" s="618" t="s">
        <v>1195</v>
      </c>
      <c r="H724" s="618" t="s">
        <v>87</v>
      </c>
      <c r="I724" s="618" t="s">
        <v>1043</v>
      </c>
      <c r="J724" s="618" t="s">
        <v>1658</v>
      </c>
      <c r="K724" s="618"/>
      <c r="L724" s="619"/>
      <c r="M724" s="620"/>
      <c r="N724" s="620"/>
      <c r="O724" s="667" t="s">
        <v>4964</v>
      </c>
      <c r="P724" s="621"/>
      <c r="Q724" s="598" t="s">
        <v>55</v>
      </c>
      <c r="R724" s="598" t="s">
        <v>178</v>
      </c>
      <c r="S724" s="598"/>
      <c r="T724" s="598"/>
      <c r="U724" s="667" t="s">
        <v>286</v>
      </c>
      <c r="V724" s="616" t="s">
        <v>4965</v>
      </c>
      <c r="W724" s="598" t="s">
        <v>950</v>
      </c>
      <c r="X724" s="624">
        <v>29090</v>
      </c>
      <c r="Y724" s="625">
        <f t="shared" ca="1" si="8"/>
        <v>46</v>
      </c>
      <c r="Z724" s="616" t="s">
        <v>1661</v>
      </c>
      <c r="AA724" s="598" t="s">
        <v>1662</v>
      </c>
      <c r="AB724" s="598" t="s">
        <v>966</v>
      </c>
      <c r="AC724" s="598" t="s">
        <v>953</v>
      </c>
      <c r="AD724" s="616" t="s">
        <v>729</v>
      </c>
      <c r="AE724" s="616" t="s">
        <v>1239</v>
      </c>
      <c r="AF724" s="616" t="s">
        <v>1258</v>
      </c>
      <c r="AG724" s="598" t="s">
        <v>955</v>
      </c>
      <c r="AH724" s="598"/>
      <c r="AI724" s="598"/>
      <c r="AJ724" s="598"/>
      <c r="AK724" s="626"/>
      <c r="AL724" s="626"/>
    </row>
    <row r="725" spans="1:38" ht="18" customHeight="1">
      <c r="A725" s="593"/>
      <c r="B725" s="598">
        <v>708</v>
      </c>
      <c r="C725" s="598" t="s">
        <v>1663</v>
      </c>
      <c r="D725" s="598">
        <f t="shared" si="7"/>
        <v>664</v>
      </c>
      <c r="E725" s="616" t="s">
        <v>1233</v>
      </c>
      <c r="F725" s="616" t="s">
        <v>4963</v>
      </c>
      <c r="G725" s="618" t="s">
        <v>1195</v>
      </c>
      <c r="H725" s="618" t="s">
        <v>87</v>
      </c>
      <c r="I725" s="618" t="s">
        <v>1202</v>
      </c>
      <c r="J725" s="618" t="s">
        <v>1658</v>
      </c>
      <c r="K725" s="618"/>
      <c r="L725" s="619"/>
      <c r="M725" s="620"/>
      <c r="N725" s="620"/>
      <c r="O725" s="663" t="s">
        <v>4964</v>
      </c>
      <c r="P725" s="621" t="s">
        <v>319</v>
      </c>
      <c r="Q725" s="598"/>
      <c r="R725" s="598"/>
      <c r="S725" s="598"/>
      <c r="T725" s="598" t="s">
        <v>1015</v>
      </c>
      <c r="U725" s="663" t="s">
        <v>622</v>
      </c>
      <c r="V725" s="616" t="s">
        <v>1664</v>
      </c>
      <c r="W725" s="598" t="s">
        <v>950</v>
      </c>
      <c r="X725" s="624">
        <v>24600</v>
      </c>
      <c r="Y725" s="625">
        <f t="shared" ca="1" si="8"/>
        <v>58</v>
      </c>
      <c r="Z725" s="616" t="s">
        <v>1665</v>
      </c>
      <c r="AA725" s="598" t="s">
        <v>1666</v>
      </c>
      <c r="AB725" s="598" t="s">
        <v>996</v>
      </c>
      <c r="AC725" s="644" t="s">
        <v>997</v>
      </c>
      <c r="AD725" s="616" t="s">
        <v>729</v>
      </c>
      <c r="AE725" s="616" t="s">
        <v>729</v>
      </c>
      <c r="AF725" s="616" t="s">
        <v>1323</v>
      </c>
      <c r="AG725" s="598"/>
      <c r="AH725" s="598"/>
      <c r="AI725" s="647" t="s">
        <v>1513</v>
      </c>
      <c r="AJ725" s="598"/>
      <c r="AK725" s="626">
        <v>-6</v>
      </c>
      <c r="AL725" s="626"/>
    </row>
    <row r="726" spans="1:38" ht="18" customHeight="1">
      <c r="A726" s="593"/>
      <c r="B726" s="598">
        <v>709</v>
      </c>
      <c r="C726" s="598" t="s">
        <v>2391</v>
      </c>
      <c r="D726" s="598">
        <f t="shared" si="7"/>
        <v>665</v>
      </c>
      <c r="E726" s="616" t="s">
        <v>1351</v>
      </c>
      <c r="F726" s="616" t="s">
        <v>4963</v>
      </c>
      <c r="G726" s="618" t="s">
        <v>1195</v>
      </c>
      <c r="H726" s="618" t="s">
        <v>87</v>
      </c>
      <c r="I726" s="618" t="s">
        <v>1195</v>
      </c>
      <c r="J726" s="618" t="s">
        <v>1658</v>
      </c>
      <c r="K726" s="618"/>
      <c r="L726" s="619"/>
      <c r="M726" s="620"/>
      <c r="N726" s="620"/>
      <c r="O726" s="663" t="s">
        <v>4964</v>
      </c>
      <c r="P726" s="621" t="s">
        <v>319</v>
      </c>
      <c r="Q726" s="598"/>
      <c r="R726" s="598"/>
      <c r="S726" s="598"/>
      <c r="T726" s="598" t="s">
        <v>1015</v>
      </c>
      <c r="U726" s="663" t="s">
        <v>641</v>
      </c>
      <c r="V726" s="616" t="s">
        <v>2392</v>
      </c>
      <c r="W726" s="598" t="s">
        <v>950</v>
      </c>
      <c r="X726" s="624">
        <v>26817</v>
      </c>
      <c r="Y726" s="625">
        <f t="shared" ca="1" si="8"/>
        <v>52</v>
      </c>
      <c r="Z726" s="616" t="s">
        <v>2393</v>
      </c>
      <c r="AA726" s="652"/>
      <c r="AB726" s="598" t="s">
        <v>996</v>
      </c>
      <c r="AC726" s="598" t="s">
        <v>1018</v>
      </c>
      <c r="AD726" s="616" t="s">
        <v>729</v>
      </c>
      <c r="AE726" s="616" t="s">
        <v>729</v>
      </c>
      <c r="AF726" s="616" t="s">
        <v>2142</v>
      </c>
      <c r="AG726" s="598"/>
      <c r="AH726" s="598"/>
      <c r="AI726" s="647" t="s">
        <v>1513</v>
      </c>
      <c r="AJ726" s="598"/>
      <c r="AK726" s="626">
        <v>-6</v>
      </c>
      <c r="AL726" s="626"/>
    </row>
    <row r="727" spans="1:38" ht="18" customHeight="1">
      <c r="A727" s="593"/>
      <c r="B727" s="598">
        <v>710</v>
      </c>
      <c r="C727" s="598" t="s">
        <v>1992</v>
      </c>
      <c r="D727" s="598">
        <f t="shared" si="7"/>
        <v>666</v>
      </c>
      <c r="E727" s="616" t="s">
        <v>1351</v>
      </c>
      <c r="F727" s="616" t="s">
        <v>4963</v>
      </c>
      <c r="G727" s="618" t="s">
        <v>1195</v>
      </c>
      <c r="H727" s="618" t="s">
        <v>87</v>
      </c>
      <c r="I727" s="618" t="s">
        <v>1195</v>
      </c>
      <c r="J727" s="618" t="s">
        <v>1658</v>
      </c>
      <c r="K727" s="618"/>
      <c r="L727" s="619"/>
      <c r="M727" s="620"/>
      <c r="N727" s="620"/>
      <c r="O727" s="663" t="s">
        <v>4964</v>
      </c>
      <c r="P727" s="621" t="s">
        <v>319</v>
      </c>
      <c r="Q727" s="598"/>
      <c r="R727" s="598"/>
      <c r="S727" s="598"/>
      <c r="T727" s="598" t="s">
        <v>1015</v>
      </c>
      <c r="U727" s="663" t="s">
        <v>658</v>
      </c>
      <c r="V727" s="616" t="s">
        <v>2262</v>
      </c>
      <c r="W727" s="598" t="s">
        <v>950</v>
      </c>
      <c r="X727" s="624">
        <v>27630</v>
      </c>
      <c r="Y727" s="625">
        <f t="shared" ca="1" si="8"/>
        <v>50</v>
      </c>
      <c r="Z727" s="616" t="s">
        <v>2263</v>
      </c>
      <c r="AA727" s="598" t="s">
        <v>2264</v>
      </c>
      <c r="AB727" s="598" t="s">
        <v>996</v>
      </c>
      <c r="AC727" s="644" t="s">
        <v>997</v>
      </c>
      <c r="AD727" s="616" t="s">
        <v>729</v>
      </c>
      <c r="AE727" s="616" t="s">
        <v>729</v>
      </c>
      <c r="AF727" s="616" t="s">
        <v>2265</v>
      </c>
      <c r="AG727" s="598"/>
      <c r="AH727" s="598"/>
      <c r="AI727" s="647" t="s">
        <v>1513</v>
      </c>
      <c r="AJ727" s="598"/>
      <c r="AK727" s="626">
        <v>-6</v>
      </c>
      <c r="AL727" s="626"/>
    </row>
    <row r="728" spans="1:38" ht="18" customHeight="1">
      <c r="A728" s="593"/>
      <c r="B728" s="598">
        <v>711</v>
      </c>
      <c r="C728" s="598" t="s">
        <v>1667</v>
      </c>
      <c r="D728" s="598">
        <f t="shared" si="7"/>
        <v>667</v>
      </c>
      <c r="E728" s="616" t="s">
        <v>1233</v>
      </c>
      <c r="F728" s="616" t="s">
        <v>4963</v>
      </c>
      <c r="G728" s="618" t="s">
        <v>1195</v>
      </c>
      <c r="H728" s="618" t="s">
        <v>87</v>
      </c>
      <c r="I728" s="618" t="s">
        <v>1195</v>
      </c>
      <c r="J728" s="618" t="s">
        <v>1658</v>
      </c>
      <c r="K728" s="618"/>
      <c r="L728" s="619"/>
      <c r="M728" s="620"/>
      <c r="N728" s="620"/>
      <c r="O728" s="663" t="s">
        <v>4964</v>
      </c>
      <c r="P728" s="621" t="s">
        <v>319</v>
      </c>
      <c r="Q728" s="598"/>
      <c r="R728" s="598"/>
      <c r="S728" s="598"/>
      <c r="T728" s="598" t="s">
        <v>1015</v>
      </c>
      <c r="U728" s="663" t="s">
        <v>677</v>
      </c>
      <c r="V728" s="616" t="s">
        <v>1668</v>
      </c>
      <c r="W728" s="598" t="s">
        <v>950</v>
      </c>
      <c r="X728" s="624">
        <v>29536</v>
      </c>
      <c r="Y728" s="625">
        <f t="shared" ca="1" si="8"/>
        <v>45</v>
      </c>
      <c r="Z728" s="616" t="s">
        <v>1669</v>
      </c>
      <c r="AA728" s="598"/>
      <c r="AB728" s="598" t="s">
        <v>996</v>
      </c>
      <c r="AC728" s="598" t="s">
        <v>1018</v>
      </c>
      <c r="AD728" s="616" t="s">
        <v>1670</v>
      </c>
      <c r="AE728" s="616" t="s">
        <v>1670</v>
      </c>
      <c r="AF728" s="616" t="s">
        <v>1671</v>
      </c>
      <c r="AG728" s="598"/>
      <c r="AH728" s="598"/>
      <c r="AI728" s="647" t="s">
        <v>1513</v>
      </c>
      <c r="AJ728" s="598"/>
      <c r="AK728" s="626"/>
      <c r="AL728" s="626"/>
    </row>
    <row r="729" spans="1:38" ht="18" customHeight="1">
      <c r="A729" s="593"/>
      <c r="B729" s="598">
        <v>712</v>
      </c>
      <c r="C729" s="598" t="s">
        <v>1672</v>
      </c>
      <c r="D729" s="598">
        <f t="shared" si="7"/>
        <v>668</v>
      </c>
      <c r="E729" s="616" t="s">
        <v>1233</v>
      </c>
      <c r="F729" s="616" t="s">
        <v>4963</v>
      </c>
      <c r="G729" s="618" t="s">
        <v>1195</v>
      </c>
      <c r="H729" s="618" t="s">
        <v>87</v>
      </c>
      <c r="I729" s="618" t="s">
        <v>1195</v>
      </c>
      <c r="J729" s="618" t="s">
        <v>1658</v>
      </c>
      <c r="K729" s="618"/>
      <c r="L729" s="619"/>
      <c r="M729" s="620"/>
      <c r="N729" s="620"/>
      <c r="O729" s="673" t="s">
        <v>4964</v>
      </c>
      <c r="P729" s="621" t="s">
        <v>319</v>
      </c>
      <c r="Q729" s="598"/>
      <c r="R729" s="598"/>
      <c r="S729" s="598"/>
      <c r="T729" s="598" t="s">
        <v>1015</v>
      </c>
      <c r="U729" s="673" t="s">
        <v>693</v>
      </c>
      <c r="V729" s="616" t="s">
        <v>1673</v>
      </c>
      <c r="W729" s="598" t="s">
        <v>950</v>
      </c>
      <c r="X729" s="624">
        <v>31881</v>
      </c>
      <c r="Y729" s="625">
        <f t="shared" ca="1" si="8"/>
        <v>38</v>
      </c>
      <c r="Z729" s="616" t="s">
        <v>1674</v>
      </c>
      <c r="AA729" s="598" t="s">
        <v>1675</v>
      </c>
      <c r="AB729" s="598" t="s">
        <v>996</v>
      </c>
      <c r="AC729" s="644" t="s">
        <v>997</v>
      </c>
      <c r="AD729" s="616" t="s">
        <v>1670</v>
      </c>
      <c r="AE729" s="616" t="s">
        <v>729</v>
      </c>
      <c r="AF729" s="616" t="s">
        <v>1323</v>
      </c>
      <c r="AG729" s="598"/>
      <c r="AH729" s="598"/>
      <c r="AI729" s="647" t="s">
        <v>1513</v>
      </c>
      <c r="AJ729" s="598"/>
      <c r="AK729" s="626">
        <v>-6</v>
      </c>
      <c r="AL729" s="626"/>
    </row>
    <row r="730" spans="1:38" ht="18" customHeight="1">
      <c r="A730" s="593"/>
      <c r="B730" s="598">
        <v>713</v>
      </c>
      <c r="C730" s="598" t="s">
        <v>2168</v>
      </c>
      <c r="D730" s="598">
        <f t="shared" si="7"/>
        <v>668</v>
      </c>
      <c r="E730" s="616"/>
      <c r="F730" s="616" t="s">
        <v>4963</v>
      </c>
      <c r="G730" s="618" t="s">
        <v>1195</v>
      </c>
      <c r="H730" s="618" t="s">
        <v>87</v>
      </c>
      <c r="I730" s="618" t="s">
        <v>1195</v>
      </c>
      <c r="J730" s="618" t="s">
        <v>2168</v>
      </c>
      <c r="K730" s="618"/>
      <c r="L730" s="619"/>
      <c r="M730" s="620"/>
      <c r="N730" s="620"/>
      <c r="O730" s="667" t="s">
        <v>4966</v>
      </c>
      <c r="P730" s="621"/>
      <c r="Q730" s="598" t="s">
        <v>55</v>
      </c>
      <c r="R730" s="598" t="s">
        <v>178</v>
      </c>
      <c r="S730" s="598"/>
      <c r="T730" s="598"/>
      <c r="U730" s="667" t="s">
        <v>605</v>
      </c>
      <c r="V730" s="616" t="s">
        <v>2169</v>
      </c>
      <c r="W730" s="598" t="s">
        <v>950</v>
      </c>
      <c r="X730" s="624">
        <v>21524</v>
      </c>
      <c r="Y730" s="625">
        <f t="shared" ca="1" si="8"/>
        <v>67</v>
      </c>
      <c r="Z730" s="616" t="s">
        <v>2170</v>
      </c>
      <c r="AA730" s="598" t="s">
        <v>4967</v>
      </c>
      <c r="AB730" s="598" t="s">
        <v>966</v>
      </c>
      <c r="AC730" s="598" t="s">
        <v>953</v>
      </c>
      <c r="AD730" s="616"/>
      <c r="AE730" s="616"/>
      <c r="AF730" s="616"/>
      <c r="AG730" s="598" t="s">
        <v>955</v>
      </c>
      <c r="AH730" s="598"/>
      <c r="AI730" s="598"/>
      <c r="AJ730" s="598"/>
      <c r="AK730" s="626"/>
      <c r="AL730" s="626"/>
    </row>
    <row r="731" spans="1:38" ht="18" customHeight="1">
      <c r="A731" s="593"/>
      <c r="B731" s="598">
        <v>714</v>
      </c>
      <c r="C731" s="598" t="s">
        <v>2536</v>
      </c>
      <c r="D731" s="598">
        <f t="shared" si="7"/>
        <v>669</v>
      </c>
      <c r="E731" s="616" t="s">
        <v>1351</v>
      </c>
      <c r="F731" s="616" t="s">
        <v>4963</v>
      </c>
      <c r="G731" s="618" t="s">
        <v>1195</v>
      </c>
      <c r="H731" s="618" t="s">
        <v>87</v>
      </c>
      <c r="I731" s="618" t="s">
        <v>1195</v>
      </c>
      <c r="J731" s="618" t="s">
        <v>2168</v>
      </c>
      <c r="K731" s="618"/>
      <c r="L731" s="619"/>
      <c r="M731" s="620"/>
      <c r="N731" s="620"/>
      <c r="O731" s="663" t="s">
        <v>4966</v>
      </c>
      <c r="P731" s="621" t="s">
        <v>319</v>
      </c>
      <c r="Q731" s="598"/>
      <c r="R731" s="598"/>
      <c r="S731" s="598"/>
      <c r="T731" s="598" t="s">
        <v>1015</v>
      </c>
      <c r="U731" s="663" t="s">
        <v>623</v>
      </c>
      <c r="V731" s="616" t="s">
        <v>2537</v>
      </c>
      <c r="W731" s="598" t="s">
        <v>950</v>
      </c>
      <c r="X731" s="624">
        <v>22993</v>
      </c>
      <c r="Y731" s="625">
        <f t="shared" ca="1" si="8"/>
        <v>63</v>
      </c>
      <c r="Z731" s="616" t="s">
        <v>2538</v>
      </c>
      <c r="AA731" s="598" t="s">
        <v>2539</v>
      </c>
      <c r="AB731" s="598" t="s">
        <v>996</v>
      </c>
      <c r="AC731" s="644" t="s">
        <v>997</v>
      </c>
      <c r="AD731" s="616" t="s">
        <v>729</v>
      </c>
      <c r="AE731" s="616" t="s">
        <v>729</v>
      </c>
      <c r="AF731" s="616" t="s">
        <v>2463</v>
      </c>
      <c r="AG731" s="598"/>
      <c r="AH731" s="598"/>
      <c r="AI731" s="647" t="s">
        <v>1513</v>
      </c>
      <c r="AJ731" s="598"/>
      <c r="AK731" s="715">
        <v>-2</v>
      </c>
      <c r="AL731" s="626"/>
    </row>
    <row r="732" spans="1:38" ht="18" customHeight="1">
      <c r="A732" s="593"/>
      <c r="B732" s="598">
        <v>715</v>
      </c>
      <c r="C732" s="598" t="s">
        <v>2181</v>
      </c>
      <c r="D732" s="598">
        <f t="shared" si="7"/>
        <v>670</v>
      </c>
      <c r="E732" s="616" t="s">
        <v>1351</v>
      </c>
      <c r="F732" s="616" t="s">
        <v>4963</v>
      </c>
      <c r="G732" s="618" t="s">
        <v>1195</v>
      </c>
      <c r="H732" s="618" t="s">
        <v>87</v>
      </c>
      <c r="I732" s="618" t="s">
        <v>1195</v>
      </c>
      <c r="J732" s="618" t="s">
        <v>2168</v>
      </c>
      <c r="K732" s="618"/>
      <c r="L732" s="619"/>
      <c r="M732" s="620"/>
      <c r="N732" s="620"/>
      <c r="O732" s="663" t="s">
        <v>4966</v>
      </c>
      <c r="P732" s="621" t="s">
        <v>319</v>
      </c>
      <c r="Q732" s="598"/>
      <c r="R732" s="598"/>
      <c r="S732" s="598"/>
      <c r="T732" s="598" t="s">
        <v>1015</v>
      </c>
      <c r="U732" s="663" t="s">
        <v>642</v>
      </c>
      <c r="V732" s="616" t="s">
        <v>2182</v>
      </c>
      <c r="W732" s="598" t="s">
        <v>950</v>
      </c>
      <c r="X732" s="624">
        <v>24691</v>
      </c>
      <c r="Y732" s="625">
        <f t="shared" ca="1" si="8"/>
        <v>58</v>
      </c>
      <c r="Z732" s="616" t="s">
        <v>2183</v>
      </c>
      <c r="AA732" s="598" t="s">
        <v>2184</v>
      </c>
      <c r="AB732" s="598" t="s">
        <v>996</v>
      </c>
      <c r="AC732" s="644" t="s">
        <v>997</v>
      </c>
      <c r="AD732" s="616" t="s">
        <v>729</v>
      </c>
      <c r="AE732" s="616" t="s">
        <v>729</v>
      </c>
      <c r="AF732" s="616" t="s">
        <v>2185</v>
      </c>
      <c r="AG732" s="598"/>
      <c r="AH732" s="598"/>
      <c r="AI732" s="647" t="s">
        <v>1513</v>
      </c>
      <c r="AJ732" s="598"/>
      <c r="AK732" s="626">
        <v>-4</v>
      </c>
      <c r="AL732" s="626"/>
    </row>
    <row r="733" spans="1:38" ht="18" customHeight="1">
      <c r="A733" s="593"/>
      <c r="B733" s="598">
        <v>716</v>
      </c>
      <c r="C733" s="598" t="s">
        <v>2173</v>
      </c>
      <c r="D733" s="598">
        <f t="shared" si="7"/>
        <v>671</v>
      </c>
      <c r="E733" s="616" t="s">
        <v>1351</v>
      </c>
      <c r="F733" s="616" t="s">
        <v>4963</v>
      </c>
      <c r="G733" s="618" t="s">
        <v>1195</v>
      </c>
      <c r="H733" s="618" t="s">
        <v>87</v>
      </c>
      <c r="I733" s="618" t="s">
        <v>1195</v>
      </c>
      <c r="J733" s="618" t="s">
        <v>2168</v>
      </c>
      <c r="K733" s="618"/>
      <c r="L733" s="619"/>
      <c r="M733" s="620"/>
      <c r="N733" s="620"/>
      <c r="O733" s="663" t="s">
        <v>4966</v>
      </c>
      <c r="P733" s="621" t="s">
        <v>319</v>
      </c>
      <c r="Q733" s="598"/>
      <c r="R733" s="598"/>
      <c r="S733" s="598"/>
      <c r="T733" s="598" t="s">
        <v>1015</v>
      </c>
      <c r="U733" s="663" t="s">
        <v>659</v>
      </c>
      <c r="V733" s="616" t="s">
        <v>2174</v>
      </c>
      <c r="W733" s="598" t="s">
        <v>950</v>
      </c>
      <c r="X733" s="624">
        <v>24929</v>
      </c>
      <c r="Y733" s="625">
        <f t="shared" ca="1" si="8"/>
        <v>57</v>
      </c>
      <c r="Z733" s="616" t="s">
        <v>2175</v>
      </c>
      <c r="AA733" s="598" t="s">
        <v>2176</v>
      </c>
      <c r="AB733" s="598" t="s">
        <v>996</v>
      </c>
      <c r="AC733" s="644" t="s">
        <v>997</v>
      </c>
      <c r="AD733" s="616" t="s">
        <v>729</v>
      </c>
      <c r="AE733" s="616" t="s">
        <v>729</v>
      </c>
      <c r="AF733" s="616" t="s">
        <v>1760</v>
      </c>
      <c r="AG733" s="598"/>
      <c r="AH733" s="598"/>
      <c r="AI733" s="647" t="s">
        <v>1513</v>
      </c>
      <c r="AJ733" s="598"/>
      <c r="AK733" s="626">
        <v>-4</v>
      </c>
      <c r="AL733" s="626"/>
    </row>
    <row r="734" spans="1:38" ht="18" customHeight="1">
      <c r="A734" s="593"/>
      <c r="B734" s="598">
        <v>717</v>
      </c>
      <c r="C734" s="598" t="s">
        <v>2540</v>
      </c>
      <c r="D734" s="598">
        <f t="shared" si="7"/>
        <v>672</v>
      </c>
      <c r="E734" s="616" t="s">
        <v>1351</v>
      </c>
      <c r="F734" s="616" t="s">
        <v>4963</v>
      </c>
      <c r="G734" s="618" t="s">
        <v>1195</v>
      </c>
      <c r="H734" s="618" t="s">
        <v>87</v>
      </c>
      <c r="I734" s="618" t="s">
        <v>2168</v>
      </c>
      <c r="J734" s="618" t="s">
        <v>2168</v>
      </c>
      <c r="K734" s="618"/>
      <c r="L734" s="619"/>
      <c r="M734" s="620"/>
      <c r="N734" s="620"/>
      <c r="O734" s="663" t="s">
        <v>4966</v>
      </c>
      <c r="P734" s="621" t="s">
        <v>319</v>
      </c>
      <c r="Q734" s="598"/>
      <c r="R734" s="598"/>
      <c r="S734" s="598"/>
      <c r="T734" s="598" t="s">
        <v>1015</v>
      </c>
      <c r="U734" s="663" t="s">
        <v>678</v>
      </c>
      <c r="V734" s="616" t="s">
        <v>2541</v>
      </c>
      <c r="W734" s="598" t="s">
        <v>950</v>
      </c>
      <c r="X734" s="624">
        <v>26306</v>
      </c>
      <c r="Y734" s="625">
        <f t="shared" ca="1" si="8"/>
        <v>54</v>
      </c>
      <c r="Z734" s="616" t="s">
        <v>2542</v>
      </c>
      <c r="AA734" s="598" t="s">
        <v>2543</v>
      </c>
      <c r="AB734" s="598" t="s">
        <v>996</v>
      </c>
      <c r="AC734" s="644" t="s">
        <v>997</v>
      </c>
      <c r="AD734" s="616" t="s">
        <v>729</v>
      </c>
      <c r="AE734" s="616" t="s">
        <v>729</v>
      </c>
      <c r="AF734" s="616" t="s">
        <v>2544</v>
      </c>
      <c r="AG734" s="598"/>
      <c r="AH734" s="598"/>
      <c r="AI734" s="647" t="s">
        <v>1513</v>
      </c>
      <c r="AJ734" s="598"/>
      <c r="AK734" s="715">
        <v>-1</v>
      </c>
      <c r="AL734" s="626"/>
    </row>
    <row r="735" spans="1:38" ht="18" customHeight="1">
      <c r="A735" s="593"/>
      <c r="B735" s="598">
        <v>718</v>
      </c>
      <c r="C735" s="598" t="s">
        <v>2545</v>
      </c>
      <c r="D735" s="598">
        <f t="shared" si="7"/>
        <v>673</v>
      </c>
      <c r="E735" s="616" t="s">
        <v>1351</v>
      </c>
      <c r="F735" s="616" t="s">
        <v>4963</v>
      </c>
      <c r="G735" s="618" t="s">
        <v>1195</v>
      </c>
      <c r="H735" s="618" t="s">
        <v>87</v>
      </c>
      <c r="I735" s="618" t="s">
        <v>2168</v>
      </c>
      <c r="J735" s="618" t="s">
        <v>2168</v>
      </c>
      <c r="K735" s="618"/>
      <c r="L735" s="619"/>
      <c r="M735" s="620"/>
      <c r="N735" s="620"/>
      <c r="O735" s="673" t="s">
        <v>4966</v>
      </c>
      <c r="P735" s="621" t="s">
        <v>319</v>
      </c>
      <c r="Q735" s="598"/>
      <c r="R735" s="598"/>
      <c r="S735" s="598"/>
      <c r="T735" s="598" t="s">
        <v>1015</v>
      </c>
      <c r="U735" s="673" t="s">
        <v>694</v>
      </c>
      <c r="V735" s="616" t="s">
        <v>2546</v>
      </c>
      <c r="W735" s="598" t="s">
        <v>950</v>
      </c>
      <c r="X735" s="624">
        <v>28381</v>
      </c>
      <c r="Y735" s="625">
        <f t="shared" ca="1" si="8"/>
        <v>48</v>
      </c>
      <c r="Z735" s="616" t="s">
        <v>2547</v>
      </c>
      <c r="AA735" s="598" t="s">
        <v>2548</v>
      </c>
      <c r="AB735" s="598" t="s">
        <v>996</v>
      </c>
      <c r="AC735" s="644" t="s">
        <v>997</v>
      </c>
      <c r="AD735" s="616" t="s">
        <v>729</v>
      </c>
      <c r="AE735" s="616" t="s">
        <v>729</v>
      </c>
      <c r="AF735" s="616" t="s">
        <v>2549</v>
      </c>
      <c r="AG735" s="598"/>
      <c r="AH735" s="598"/>
      <c r="AI735" s="647" t="s">
        <v>1513</v>
      </c>
      <c r="AJ735" s="598"/>
      <c r="AK735" s="715">
        <v>-2</v>
      </c>
      <c r="AL735" s="626"/>
    </row>
    <row r="736" spans="1:38" ht="18" customHeight="1">
      <c r="A736" s="593"/>
      <c r="B736" s="598">
        <v>719</v>
      </c>
      <c r="C736" s="598" t="s">
        <v>2926</v>
      </c>
      <c r="D736" s="598">
        <f t="shared" si="7"/>
        <v>673</v>
      </c>
      <c r="E736" s="616"/>
      <c r="F736" s="616" t="s">
        <v>4963</v>
      </c>
      <c r="G736" s="618" t="s">
        <v>1195</v>
      </c>
      <c r="H736" s="618" t="s">
        <v>87</v>
      </c>
      <c r="I736" s="618" t="s">
        <v>2926</v>
      </c>
      <c r="J736" s="618" t="s">
        <v>2926</v>
      </c>
      <c r="K736" s="618"/>
      <c r="L736" s="619"/>
      <c r="M736" s="620"/>
      <c r="N736" s="620"/>
      <c r="O736" s="667" t="s">
        <v>4968</v>
      </c>
      <c r="P736" s="621"/>
      <c r="Q736" s="598"/>
      <c r="R736" s="598" t="s">
        <v>178</v>
      </c>
      <c r="S736" s="598"/>
      <c r="T736" s="598"/>
      <c r="U736" s="667" t="s">
        <v>190</v>
      </c>
      <c r="V736" s="616" t="s">
        <v>2928</v>
      </c>
      <c r="W736" s="598" t="s">
        <v>950</v>
      </c>
      <c r="X736" s="624">
        <v>25699</v>
      </c>
      <c r="Y736" s="625">
        <f t="shared" ca="1" si="8"/>
        <v>55</v>
      </c>
      <c r="Z736" s="616" t="s">
        <v>2929</v>
      </c>
      <c r="AA736" s="598"/>
      <c r="AB736" s="598" t="s">
        <v>966</v>
      </c>
      <c r="AC736" s="598" t="s">
        <v>953</v>
      </c>
      <c r="AD736" s="616" t="s">
        <v>1041</v>
      </c>
      <c r="AE736" s="616" t="s">
        <v>1041</v>
      </c>
      <c r="AF736" s="616" t="s">
        <v>2784</v>
      </c>
      <c r="AG736" s="598" t="s">
        <v>955</v>
      </c>
      <c r="AH736" s="598"/>
      <c r="AI736" s="598"/>
      <c r="AJ736" s="598"/>
      <c r="AK736" s="626"/>
      <c r="AL736" s="626"/>
    </row>
    <row r="737" spans="1:38" ht="18" customHeight="1">
      <c r="A737" s="593"/>
      <c r="B737" s="598">
        <v>720</v>
      </c>
      <c r="C737" s="598" t="s">
        <v>2950</v>
      </c>
      <c r="D737" s="598">
        <f t="shared" si="7"/>
        <v>674</v>
      </c>
      <c r="E737" s="616" t="s">
        <v>1798</v>
      </c>
      <c r="F737" s="616" t="s">
        <v>4963</v>
      </c>
      <c r="G737" s="618" t="s">
        <v>1195</v>
      </c>
      <c r="H737" s="618" t="s">
        <v>87</v>
      </c>
      <c r="I737" s="618" t="s">
        <v>2926</v>
      </c>
      <c r="J737" s="618" t="s">
        <v>2926</v>
      </c>
      <c r="K737" s="618"/>
      <c r="L737" s="619"/>
      <c r="M737" s="620"/>
      <c r="N737" s="620"/>
      <c r="O737" s="663" t="s">
        <v>4968</v>
      </c>
      <c r="P737" s="621" t="s">
        <v>319</v>
      </c>
      <c r="Q737" s="598"/>
      <c r="R737" s="598"/>
      <c r="S737" s="598"/>
      <c r="T737" s="598" t="s">
        <v>1015</v>
      </c>
      <c r="U737" s="663" t="s">
        <v>2951</v>
      </c>
      <c r="V737" s="616" t="s">
        <v>2952</v>
      </c>
      <c r="W737" s="598" t="s">
        <v>950</v>
      </c>
      <c r="X737" s="624">
        <v>20919</v>
      </c>
      <c r="Y737" s="625">
        <f t="shared" ca="1" si="8"/>
        <v>68</v>
      </c>
      <c r="Z737" s="616" t="s">
        <v>2953</v>
      </c>
      <c r="AA737" s="598" t="s">
        <v>2954</v>
      </c>
      <c r="AB737" s="598" t="s">
        <v>996</v>
      </c>
      <c r="AC737" s="644" t="s">
        <v>997</v>
      </c>
      <c r="AD737" s="616" t="s">
        <v>1041</v>
      </c>
      <c r="AE737" s="616" t="s">
        <v>1250</v>
      </c>
      <c r="AF737" s="616" t="s">
        <v>1684</v>
      </c>
      <c r="AG737" s="598"/>
      <c r="AH737" s="598"/>
      <c r="AI737" s="647" t="s">
        <v>1513</v>
      </c>
      <c r="AJ737" s="598"/>
      <c r="AK737" s="626"/>
      <c r="AL737" s="626"/>
    </row>
    <row r="738" spans="1:38" ht="18" customHeight="1">
      <c r="A738" s="593"/>
      <c r="B738" s="598">
        <v>721</v>
      </c>
      <c r="C738" s="598" t="s">
        <v>2955</v>
      </c>
      <c r="D738" s="598">
        <f t="shared" si="7"/>
        <v>675</v>
      </c>
      <c r="E738" s="616" t="s">
        <v>1798</v>
      </c>
      <c r="F738" s="616" t="s">
        <v>4963</v>
      </c>
      <c r="G738" s="618" t="s">
        <v>1195</v>
      </c>
      <c r="H738" s="618" t="s">
        <v>87</v>
      </c>
      <c r="I738" s="618" t="s">
        <v>2926</v>
      </c>
      <c r="J738" s="618" t="s">
        <v>2926</v>
      </c>
      <c r="K738" s="618"/>
      <c r="L738" s="619"/>
      <c r="M738" s="620"/>
      <c r="N738" s="620"/>
      <c r="O738" s="663" t="s">
        <v>4968</v>
      </c>
      <c r="P738" s="621" t="s">
        <v>319</v>
      </c>
      <c r="Q738" s="598"/>
      <c r="R738" s="598"/>
      <c r="S738" s="598"/>
      <c r="T738" s="598" t="s">
        <v>1015</v>
      </c>
      <c r="U738" s="663" t="s">
        <v>643</v>
      </c>
      <c r="V738" s="616" t="s">
        <v>2956</v>
      </c>
      <c r="W738" s="598" t="s">
        <v>950</v>
      </c>
      <c r="X738" s="624">
        <v>22040</v>
      </c>
      <c r="Y738" s="625">
        <f t="shared" ca="1" si="8"/>
        <v>65</v>
      </c>
      <c r="Z738" s="616" t="s">
        <v>2957</v>
      </c>
      <c r="AA738" s="598" t="s">
        <v>2958</v>
      </c>
      <c r="AB738" s="598" t="s">
        <v>996</v>
      </c>
      <c r="AC738" s="644" t="s">
        <v>997</v>
      </c>
      <c r="AD738" s="616" t="s">
        <v>1041</v>
      </c>
      <c r="AE738" s="616" t="s">
        <v>1041</v>
      </c>
      <c r="AF738" s="616" t="s">
        <v>2761</v>
      </c>
      <c r="AG738" s="598"/>
      <c r="AH738" s="598"/>
      <c r="AI738" s="647" t="s">
        <v>1513</v>
      </c>
      <c r="AJ738" s="598"/>
      <c r="AK738" s="626"/>
      <c r="AL738" s="626"/>
    </row>
    <row r="739" spans="1:38" ht="18" customHeight="1">
      <c r="A739" s="593"/>
      <c r="B739" s="598">
        <v>722</v>
      </c>
      <c r="C739" s="598" t="s">
        <v>2959</v>
      </c>
      <c r="D739" s="598">
        <f t="shared" si="7"/>
        <v>676</v>
      </c>
      <c r="E739" s="616" t="s">
        <v>1798</v>
      </c>
      <c r="F739" s="616" t="s">
        <v>4963</v>
      </c>
      <c r="G739" s="618" t="s">
        <v>1195</v>
      </c>
      <c r="H739" s="618" t="s">
        <v>87</v>
      </c>
      <c r="I739" s="618" t="s">
        <v>2926</v>
      </c>
      <c r="J739" s="618" t="s">
        <v>2926</v>
      </c>
      <c r="K739" s="618"/>
      <c r="L739" s="619"/>
      <c r="M739" s="620"/>
      <c r="N739" s="620"/>
      <c r="O739" s="663" t="s">
        <v>4968</v>
      </c>
      <c r="P739" s="621" t="s">
        <v>319</v>
      </c>
      <c r="Q739" s="598"/>
      <c r="R739" s="598"/>
      <c r="S739" s="598"/>
      <c r="T739" s="598" t="s">
        <v>1015</v>
      </c>
      <c r="U739" s="663" t="s">
        <v>4969</v>
      </c>
      <c r="V739" s="616" t="s">
        <v>2960</v>
      </c>
      <c r="W739" s="598" t="s">
        <v>950</v>
      </c>
      <c r="X739" s="624">
        <v>26478</v>
      </c>
      <c r="Y739" s="625">
        <f t="shared" ca="1" si="8"/>
        <v>53</v>
      </c>
      <c r="Z739" s="616" t="s">
        <v>2961</v>
      </c>
      <c r="AA739" s="598" t="s">
        <v>2962</v>
      </c>
      <c r="AB739" s="598" t="s">
        <v>996</v>
      </c>
      <c r="AC739" s="644" t="s">
        <v>997</v>
      </c>
      <c r="AD739" s="616" t="s">
        <v>1041</v>
      </c>
      <c r="AE739" s="616" t="s">
        <v>1041</v>
      </c>
      <c r="AF739" s="616" t="s">
        <v>2761</v>
      </c>
      <c r="AG739" s="598"/>
      <c r="AH739" s="598"/>
      <c r="AI739" s="647" t="s">
        <v>1513</v>
      </c>
      <c r="AJ739" s="598"/>
      <c r="AK739" s="626"/>
      <c r="AL739" s="626"/>
    </row>
    <row r="740" spans="1:38" ht="18" customHeight="1">
      <c r="A740" s="593"/>
      <c r="B740" s="598">
        <v>723</v>
      </c>
      <c r="C740" s="598" t="s">
        <v>2963</v>
      </c>
      <c r="D740" s="598">
        <f t="shared" si="7"/>
        <v>677</v>
      </c>
      <c r="E740" s="616" t="s">
        <v>1798</v>
      </c>
      <c r="F740" s="616" t="s">
        <v>4963</v>
      </c>
      <c r="G740" s="618" t="s">
        <v>1195</v>
      </c>
      <c r="H740" s="618" t="s">
        <v>87</v>
      </c>
      <c r="I740" s="618" t="s">
        <v>2926</v>
      </c>
      <c r="J740" s="618" t="s">
        <v>2926</v>
      </c>
      <c r="K740" s="618"/>
      <c r="L740" s="619"/>
      <c r="M740" s="620"/>
      <c r="N740" s="620"/>
      <c r="O740" s="663" t="s">
        <v>4968</v>
      </c>
      <c r="P740" s="621" t="s">
        <v>319</v>
      </c>
      <c r="Q740" s="598"/>
      <c r="R740" s="598"/>
      <c r="S740" s="598"/>
      <c r="T740" s="598" t="s">
        <v>1015</v>
      </c>
      <c r="U740" s="663" t="s">
        <v>679</v>
      </c>
      <c r="V740" s="616" t="s">
        <v>2964</v>
      </c>
      <c r="W740" s="598" t="s">
        <v>950</v>
      </c>
      <c r="X740" s="624">
        <v>27186</v>
      </c>
      <c r="Y740" s="625">
        <f t="shared" ca="1" si="8"/>
        <v>51</v>
      </c>
      <c r="Z740" s="616" t="s">
        <v>2965</v>
      </c>
      <c r="AA740" s="598" t="s">
        <v>2966</v>
      </c>
      <c r="AB740" s="598" t="s">
        <v>996</v>
      </c>
      <c r="AC740" s="644" t="s">
        <v>997</v>
      </c>
      <c r="AD740" s="616" t="s">
        <v>1041</v>
      </c>
      <c r="AE740" s="616" t="s">
        <v>1041</v>
      </c>
      <c r="AF740" s="616" t="s">
        <v>1473</v>
      </c>
      <c r="AG740" s="598"/>
      <c r="AH740" s="598"/>
      <c r="AI740" s="647" t="s">
        <v>1513</v>
      </c>
      <c r="AJ740" s="598"/>
      <c r="AK740" s="626"/>
      <c r="AL740" s="626"/>
    </row>
    <row r="741" spans="1:38" ht="18" customHeight="1">
      <c r="A741" s="593"/>
      <c r="B741" s="598">
        <v>724</v>
      </c>
      <c r="C741" s="598" t="s">
        <v>2967</v>
      </c>
      <c r="D741" s="598">
        <f t="shared" si="7"/>
        <v>678</v>
      </c>
      <c r="E741" s="616" t="s">
        <v>1798</v>
      </c>
      <c r="F741" s="616" t="s">
        <v>4963</v>
      </c>
      <c r="G741" s="618" t="s">
        <v>1195</v>
      </c>
      <c r="H741" s="618" t="s">
        <v>87</v>
      </c>
      <c r="I741" s="618" t="s">
        <v>2926</v>
      </c>
      <c r="J741" s="618" t="s">
        <v>2926</v>
      </c>
      <c r="K741" s="618"/>
      <c r="L741" s="619"/>
      <c r="M741" s="620"/>
      <c r="N741" s="620"/>
      <c r="O741" s="673" t="s">
        <v>4968</v>
      </c>
      <c r="P741" s="621" t="s">
        <v>319</v>
      </c>
      <c r="Q741" s="598"/>
      <c r="R741" s="598"/>
      <c r="S741" s="598"/>
      <c r="T741" s="598" t="s">
        <v>1015</v>
      </c>
      <c r="U741" s="673" t="s">
        <v>695</v>
      </c>
      <c r="V741" s="616" t="s">
        <v>2968</v>
      </c>
      <c r="W741" s="598" t="s">
        <v>950</v>
      </c>
      <c r="X741" s="624">
        <v>28887</v>
      </c>
      <c r="Y741" s="625">
        <f t="shared" ca="1" si="8"/>
        <v>46</v>
      </c>
      <c r="Z741" s="616" t="s">
        <v>2969</v>
      </c>
      <c r="AA741" s="598" t="s">
        <v>2970</v>
      </c>
      <c r="AB741" s="598" t="s">
        <v>996</v>
      </c>
      <c r="AC741" s="644" t="s">
        <v>997</v>
      </c>
      <c r="AD741" s="616" t="s">
        <v>1041</v>
      </c>
      <c r="AE741" s="616" t="s">
        <v>1041</v>
      </c>
      <c r="AF741" s="616" t="s">
        <v>2774</v>
      </c>
      <c r="AG741" s="598"/>
      <c r="AH741" s="598"/>
      <c r="AI741" s="647" t="s">
        <v>1513</v>
      </c>
      <c r="AJ741" s="598"/>
      <c r="AK741" s="626"/>
      <c r="AL741" s="626"/>
    </row>
    <row r="742" spans="1:38" ht="18" customHeight="1">
      <c r="A742" s="593"/>
      <c r="B742" s="598">
        <v>725</v>
      </c>
      <c r="C742" s="598" t="s">
        <v>3811</v>
      </c>
      <c r="D742" s="598">
        <f t="shared" si="7"/>
        <v>678</v>
      </c>
      <c r="E742" s="616"/>
      <c r="F742" s="616" t="s">
        <v>4963</v>
      </c>
      <c r="G742" s="618" t="s">
        <v>1195</v>
      </c>
      <c r="H742" s="618" t="s">
        <v>87</v>
      </c>
      <c r="I742" s="618" t="s">
        <v>3811</v>
      </c>
      <c r="J742" s="618" t="s">
        <v>3811</v>
      </c>
      <c r="K742" s="618"/>
      <c r="L742" s="619"/>
      <c r="M742" s="620"/>
      <c r="N742" s="620"/>
      <c r="O742" s="667" t="s">
        <v>4970</v>
      </c>
      <c r="P742" s="621"/>
      <c r="Q742" s="598" t="s">
        <v>173</v>
      </c>
      <c r="R742" s="598" t="s">
        <v>514</v>
      </c>
      <c r="S742" s="598" t="s">
        <v>55</v>
      </c>
      <c r="T742" s="598"/>
      <c r="U742" s="667" t="s">
        <v>512</v>
      </c>
      <c r="V742" s="616" t="s">
        <v>4173</v>
      </c>
      <c r="W742" s="598" t="s">
        <v>950</v>
      </c>
      <c r="X742" s="624">
        <v>22147</v>
      </c>
      <c r="Y742" s="625">
        <f t="shared" ca="1" si="8"/>
        <v>65</v>
      </c>
      <c r="Z742" s="616" t="s">
        <v>4174</v>
      </c>
      <c r="AA742" s="598" t="s">
        <v>4175</v>
      </c>
      <c r="AB742" s="598" t="s">
        <v>996</v>
      </c>
      <c r="AC742" s="598" t="s">
        <v>953</v>
      </c>
      <c r="AD742" s="616" t="s">
        <v>246</v>
      </c>
      <c r="AE742" s="616" t="s">
        <v>246</v>
      </c>
      <c r="AF742" s="616" t="s">
        <v>3815</v>
      </c>
      <c r="AG742" s="598" t="s">
        <v>955</v>
      </c>
      <c r="AH742" s="598"/>
      <c r="AI742" s="598"/>
      <c r="AJ742" s="598"/>
      <c r="AK742" s="626"/>
      <c r="AL742" s="626"/>
    </row>
    <row r="743" spans="1:38" ht="18" customHeight="1">
      <c r="A743" s="593"/>
      <c r="B743" s="598">
        <v>726</v>
      </c>
      <c r="C743" s="598" t="s">
        <v>4123</v>
      </c>
      <c r="D743" s="598">
        <f t="shared" si="7"/>
        <v>679</v>
      </c>
      <c r="E743" s="616" t="s">
        <v>3808</v>
      </c>
      <c r="F743" s="616" t="s">
        <v>4963</v>
      </c>
      <c r="G743" s="618" t="s">
        <v>1195</v>
      </c>
      <c r="H743" s="618" t="s">
        <v>87</v>
      </c>
      <c r="I743" s="618" t="s">
        <v>3811</v>
      </c>
      <c r="J743" s="618" t="s">
        <v>3811</v>
      </c>
      <c r="K743" s="618"/>
      <c r="L743" s="619"/>
      <c r="M743" s="620"/>
      <c r="N743" s="620"/>
      <c r="O743" s="663" t="s">
        <v>4970</v>
      </c>
      <c r="P743" s="621" t="s">
        <v>319</v>
      </c>
      <c r="Q743" s="598"/>
      <c r="R743" s="598"/>
      <c r="S743" s="598"/>
      <c r="T743" s="598" t="s">
        <v>1015</v>
      </c>
      <c r="U743" s="663" t="s">
        <v>625</v>
      </c>
      <c r="V743" s="616" t="s">
        <v>4124</v>
      </c>
      <c r="W743" s="598" t="s">
        <v>950</v>
      </c>
      <c r="X743" s="624">
        <v>20956</v>
      </c>
      <c r="Y743" s="625">
        <f t="shared" ca="1" si="8"/>
        <v>68</v>
      </c>
      <c r="Z743" s="616" t="s">
        <v>4125</v>
      </c>
      <c r="AA743" s="598" t="s">
        <v>4126</v>
      </c>
      <c r="AB743" s="598" t="s">
        <v>996</v>
      </c>
      <c r="AC743" s="644" t="s">
        <v>997</v>
      </c>
      <c r="AD743" s="616" t="s">
        <v>246</v>
      </c>
      <c r="AE743" s="616" t="s">
        <v>246</v>
      </c>
      <c r="AF743" s="616" t="s">
        <v>3815</v>
      </c>
      <c r="AG743" s="598"/>
      <c r="AH743" s="598"/>
      <c r="AI743" s="647" t="s">
        <v>4127</v>
      </c>
      <c r="AJ743" s="598"/>
      <c r="AK743" s="626">
        <v>-3</v>
      </c>
      <c r="AL743" s="626"/>
    </row>
    <row r="744" spans="1:38" ht="18" customHeight="1">
      <c r="A744" s="593"/>
      <c r="B744" s="598">
        <v>727</v>
      </c>
      <c r="C744" s="598" t="s">
        <v>4418</v>
      </c>
      <c r="D744" s="598">
        <f t="shared" si="7"/>
        <v>680</v>
      </c>
      <c r="E744" s="616" t="s">
        <v>3862</v>
      </c>
      <c r="F744" s="616" t="s">
        <v>4963</v>
      </c>
      <c r="G744" s="618" t="s">
        <v>1195</v>
      </c>
      <c r="H744" s="618" t="s">
        <v>87</v>
      </c>
      <c r="I744" s="618" t="s">
        <v>3811</v>
      </c>
      <c r="J744" s="618" t="s">
        <v>3811</v>
      </c>
      <c r="K744" s="618"/>
      <c r="L744" s="619"/>
      <c r="M744" s="620"/>
      <c r="N744" s="620"/>
      <c r="O744" s="663" t="s">
        <v>4970</v>
      </c>
      <c r="P744" s="621" t="s">
        <v>319</v>
      </c>
      <c r="Q744" s="598"/>
      <c r="R744" s="598"/>
      <c r="S744" s="598"/>
      <c r="T744" s="598" t="s">
        <v>1015</v>
      </c>
      <c r="U744" s="663" t="s">
        <v>644</v>
      </c>
      <c r="V744" s="616" t="s">
        <v>4419</v>
      </c>
      <c r="W744" s="598" t="s">
        <v>950</v>
      </c>
      <c r="X744" s="624">
        <v>23295</v>
      </c>
      <c r="Y744" s="625">
        <f t="shared" ca="1" si="8"/>
        <v>62</v>
      </c>
      <c r="Z744" s="616" t="s">
        <v>4420</v>
      </c>
      <c r="AA744" s="598" t="s">
        <v>4421</v>
      </c>
      <c r="AB744" s="598" t="s">
        <v>996</v>
      </c>
      <c r="AC744" s="644" t="s">
        <v>997</v>
      </c>
      <c r="AD744" s="616" t="s">
        <v>246</v>
      </c>
      <c r="AE744" s="616" t="s">
        <v>246</v>
      </c>
      <c r="AF744" s="616" t="s">
        <v>4393</v>
      </c>
      <c r="AG744" s="598"/>
      <c r="AH744" s="598"/>
      <c r="AI744" s="647" t="s">
        <v>1513</v>
      </c>
      <c r="AJ744" s="598"/>
      <c r="AK744" s="626"/>
      <c r="AL744" s="626"/>
    </row>
    <row r="745" spans="1:38" ht="18" customHeight="1">
      <c r="A745" s="593"/>
      <c r="B745" s="598">
        <v>728</v>
      </c>
      <c r="C745" s="598" t="s">
        <v>4422</v>
      </c>
      <c r="D745" s="598">
        <f t="shared" si="7"/>
        <v>681</v>
      </c>
      <c r="E745" s="616" t="s">
        <v>3862</v>
      </c>
      <c r="F745" s="616" t="s">
        <v>4963</v>
      </c>
      <c r="G745" s="618" t="s">
        <v>1195</v>
      </c>
      <c r="H745" s="618" t="s">
        <v>87</v>
      </c>
      <c r="I745" s="618" t="s">
        <v>3811</v>
      </c>
      <c r="J745" s="618" t="s">
        <v>3811</v>
      </c>
      <c r="K745" s="618"/>
      <c r="L745" s="619"/>
      <c r="M745" s="620"/>
      <c r="N745" s="620"/>
      <c r="O745" s="663" t="s">
        <v>4970</v>
      </c>
      <c r="P745" s="621" t="s">
        <v>319</v>
      </c>
      <c r="Q745" s="598"/>
      <c r="R745" s="598"/>
      <c r="S745" s="598"/>
      <c r="T745" s="598" t="s">
        <v>1015</v>
      </c>
      <c r="U745" s="663" t="s">
        <v>661</v>
      </c>
      <c r="V745" s="616" t="s">
        <v>4423</v>
      </c>
      <c r="W745" s="598" t="s">
        <v>950</v>
      </c>
      <c r="X745" s="624">
        <v>23392</v>
      </c>
      <c r="Y745" s="625">
        <f t="shared" ca="1" si="8"/>
        <v>62</v>
      </c>
      <c r="Z745" s="616" t="s">
        <v>4424</v>
      </c>
      <c r="AA745" s="598" t="s">
        <v>4425</v>
      </c>
      <c r="AB745" s="598" t="s">
        <v>996</v>
      </c>
      <c r="AC745" s="598" t="s">
        <v>1018</v>
      </c>
      <c r="AD745" s="616" t="s">
        <v>246</v>
      </c>
      <c r="AE745" s="616" t="s">
        <v>246</v>
      </c>
      <c r="AF745" s="616" t="s">
        <v>3824</v>
      </c>
      <c r="AG745" s="598"/>
      <c r="AH745" s="598"/>
      <c r="AI745" s="647" t="s">
        <v>1513</v>
      </c>
      <c r="AJ745" s="598"/>
      <c r="AK745" s="626"/>
      <c r="AL745" s="626"/>
    </row>
    <row r="746" spans="1:38" ht="18" customHeight="1">
      <c r="A746" s="593"/>
      <c r="B746" s="598">
        <v>729</v>
      </c>
      <c r="C746" s="598" t="s">
        <v>4060</v>
      </c>
      <c r="D746" s="598">
        <f t="shared" si="7"/>
        <v>682</v>
      </c>
      <c r="E746" s="616" t="s">
        <v>3862</v>
      </c>
      <c r="F746" s="616" t="s">
        <v>4963</v>
      </c>
      <c r="G746" s="618" t="s">
        <v>1195</v>
      </c>
      <c r="H746" s="618" t="s">
        <v>87</v>
      </c>
      <c r="I746" s="618" t="s">
        <v>3811</v>
      </c>
      <c r="J746" s="618" t="s">
        <v>3811</v>
      </c>
      <c r="K746" s="618"/>
      <c r="L746" s="619"/>
      <c r="M746" s="620"/>
      <c r="N746" s="620"/>
      <c r="O746" s="663" t="s">
        <v>4970</v>
      </c>
      <c r="P746" s="621" t="s">
        <v>319</v>
      </c>
      <c r="Q746" s="598"/>
      <c r="R746" s="598"/>
      <c r="S746" s="598"/>
      <c r="T746" s="598" t="s">
        <v>1015</v>
      </c>
      <c r="U746" s="663" t="s">
        <v>680</v>
      </c>
      <c r="V746" s="616" t="s">
        <v>4061</v>
      </c>
      <c r="W746" s="598" t="s">
        <v>950</v>
      </c>
      <c r="X746" s="624">
        <v>23701</v>
      </c>
      <c r="Y746" s="625">
        <f t="shared" ca="1" si="8"/>
        <v>61</v>
      </c>
      <c r="Z746" s="616" t="s">
        <v>4062</v>
      </c>
      <c r="AA746" s="598" t="s">
        <v>4063</v>
      </c>
      <c r="AB746" s="598" t="s">
        <v>996</v>
      </c>
      <c r="AC746" s="644" t="s">
        <v>997</v>
      </c>
      <c r="AD746" s="616" t="s">
        <v>246</v>
      </c>
      <c r="AE746" s="616" t="s">
        <v>246</v>
      </c>
      <c r="AF746" s="616" t="s">
        <v>4064</v>
      </c>
      <c r="AG746" s="598"/>
      <c r="AH746" s="598"/>
      <c r="AI746" s="647" t="s">
        <v>1513</v>
      </c>
      <c r="AJ746" s="598"/>
      <c r="AK746" s="626">
        <v>-3</v>
      </c>
      <c r="AL746" s="626"/>
    </row>
    <row r="747" spans="1:38" ht="18" customHeight="1">
      <c r="A747" s="593"/>
      <c r="B747" s="598">
        <v>730</v>
      </c>
      <c r="C747" s="598" t="s">
        <v>3743</v>
      </c>
      <c r="D747" s="598">
        <f t="shared" si="7"/>
        <v>683</v>
      </c>
      <c r="E747" s="616" t="s">
        <v>1810</v>
      </c>
      <c r="F747" s="616" t="s">
        <v>4963</v>
      </c>
      <c r="G747" s="618" t="s">
        <v>1195</v>
      </c>
      <c r="H747" s="618" t="s">
        <v>87</v>
      </c>
      <c r="I747" s="618" t="s">
        <v>3811</v>
      </c>
      <c r="J747" s="618" t="s">
        <v>3811</v>
      </c>
      <c r="K747" s="618"/>
      <c r="L747" s="619"/>
      <c r="M747" s="620"/>
      <c r="N747" s="620"/>
      <c r="O747" s="673" t="s">
        <v>4970</v>
      </c>
      <c r="P747" s="621" t="s">
        <v>319</v>
      </c>
      <c r="Q747" s="598"/>
      <c r="R747" s="598"/>
      <c r="S747" s="598"/>
      <c r="T747" s="598" t="s">
        <v>1015</v>
      </c>
      <c r="U747" s="664" t="s">
        <v>696</v>
      </c>
      <c r="V747" s="616" t="s">
        <v>3744</v>
      </c>
      <c r="W747" s="598" t="s">
        <v>950</v>
      </c>
      <c r="X747" s="624">
        <v>24508</v>
      </c>
      <c r="Y747" s="625">
        <f t="shared" ca="1" si="8"/>
        <v>58</v>
      </c>
      <c r="Z747" s="616" t="s">
        <v>3745</v>
      </c>
      <c r="AA747" s="598"/>
      <c r="AB747" s="598" t="s">
        <v>996</v>
      </c>
      <c r="AC747" s="598" t="s">
        <v>1018</v>
      </c>
      <c r="AD747" s="616" t="s">
        <v>1078</v>
      </c>
      <c r="AE747" s="616" t="s">
        <v>1078</v>
      </c>
      <c r="AF747" s="616" t="s">
        <v>3746</v>
      </c>
      <c r="AG747" s="598"/>
      <c r="AH747" s="598"/>
      <c r="AI747" s="647" t="s">
        <v>1513</v>
      </c>
      <c r="AJ747" s="598"/>
      <c r="AK747" s="626"/>
      <c r="AL747" s="626"/>
    </row>
    <row r="748" spans="1:38" ht="18" customHeight="1">
      <c r="A748" s="593"/>
      <c r="B748" s="598">
        <v>731</v>
      </c>
      <c r="C748" s="598" t="s">
        <v>1991</v>
      </c>
      <c r="D748" s="598">
        <f t="shared" si="7"/>
        <v>683</v>
      </c>
      <c r="E748" s="616"/>
      <c r="F748" s="616" t="s">
        <v>4971</v>
      </c>
      <c r="G748" s="618" t="s">
        <v>1195</v>
      </c>
      <c r="H748" s="618" t="s">
        <v>87</v>
      </c>
      <c r="I748" s="618" t="s">
        <v>1195</v>
      </c>
      <c r="J748" s="618" t="s">
        <v>1991</v>
      </c>
      <c r="K748" s="618"/>
      <c r="L748" s="619"/>
      <c r="M748" s="620"/>
      <c r="N748" s="620"/>
      <c r="O748" s="667" t="s">
        <v>4972</v>
      </c>
      <c r="P748" s="621"/>
      <c r="Q748" s="598" t="s">
        <v>55</v>
      </c>
      <c r="R748" s="598" t="s">
        <v>178</v>
      </c>
      <c r="S748" s="598"/>
      <c r="T748" s="623"/>
      <c r="U748" s="667" t="s">
        <v>289</v>
      </c>
      <c r="V748" s="674" t="s">
        <v>1993</v>
      </c>
      <c r="W748" s="598" t="s">
        <v>950</v>
      </c>
      <c r="X748" s="624">
        <v>28944</v>
      </c>
      <c r="Y748" s="625">
        <f t="shared" ca="1" si="8"/>
        <v>46</v>
      </c>
      <c r="Z748" s="616" t="s">
        <v>1994</v>
      </c>
      <c r="AA748" s="598" t="s">
        <v>4909</v>
      </c>
      <c r="AB748" s="598" t="s">
        <v>966</v>
      </c>
      <c r="AC748" s="598" t="s">
        <v>953</v>
      </c>
      <c r="AD748" s="616" t="s">
        <v>246</v>
      </c>
      <c r="AE748" s="616" t="s">
        <v>246</v>
      </c>
      <c r="AF748" s="616" t="s">
        <v>4586</v>
      </c>
      <c r="AG748" s="598" t="s">
        <v>955</v>
      </c>
      <c r="AH748" s="598"/>
      <c r="AI748" s="598"/>
      <c r="AJ748" s="598"/>
      <c r="AK748" s="626"/>
      <c r="AL748" s="626"/>
    </row>
    <row r="749" spans="1:38" ht="18" customHeight="1">
      <c r="A749" s="593"/>
      <c r="B749" s="598">
        <v>732</v>
      </c>
      <c r="C749" s="598" t="s">
        <v>2143</v>
      </c>
      <c r="D749" s="598">
        <f t="shared" si="7"/>
        <v>684</v>
      </c>
      <c r="E749" s="616" t="s">
        <v>1351</v>
      </c>
      <c r="F749" s="616" t="s">
        <v>4971</v>
      </c>
      <c r="G749" s="618" t="s">
        <v>1195</v>
      </c>
      <c r="H749" s="618" t="s">
        <v>87</v>
      </c>
      <c r="I749" s="618" t="s">
        <v>1195</v>
      </c>
      <c r="J749" s="618" t="s">
        <v>1991</v>
      </c>
      <c r="K749" s="618"/>
      <c r="L749" s="619"/>
      <c r="M749" s="620"/>
      <c r="N749" s="620"/>
      <c r="O749" s="663" t="s">
        <v>4972</v>
      </c>
      <c r="P749" s="621" t="s">
        <v>319</v>
      </c>
      <c r="Q749" s="598"/>
      <c r="R749" s="598"/>
      <c r="S749" s="598"/>
      <c r="T749" s="623" t="s">
        <v>1015</v>
      </c>
      <c r="U749" s="574" t="s">
        <v>626</v>
      </c>
      <c r="V749" s="674" t="s">
        <v>2144</v>
      </c>
      <c r="W749" s="598" t="s">
        <v>950</v>
      </c>
      <c r="X749" s="624">
        <v>28386</v>
      </c>
      <c r="Y749" s="625">
        <f t="shared" ca="1" si="8"/>
        <v>48</v>
      </c>
      <c r="Z749" s="616" t="s">
        <v>2145</v>
      </c>
      <c r="AA749" s="598" t="s">
        <v>2146</v>
      </c>
      <c r="AB749" s="598" t="s">
        <v>996</v>
      </c>
      <c r="AC749" s="644" t="s">
        <v>997</v>
      </c>
      <c r="AD749" s="616" t="s">
        <v>2147</v>
      </c>
      <c r="AE749" s="616" t="s">
        <v>2147</v>
      </c>
      <c r="AF749" s="616" t="s">
        <v>2148</v>
      </c>
      <c r="AG749" s="598"/>
      <c r="AH749" s="598"/>
      <c r="AI749" s="683" t="s">
        <v>1566</v>
      </c>
      <c r="AJ749" s="598"/>
      <c r="AK749" s="626"/>
      <c r="AL749" s="626"/>
    </row>
    <row r="750" spans="1:38" ht="18" customHeight="1">
      <c r="A750" s="593"/>
      <c r="B750" s="598">
        <v>733</v>
      </c>
      <c r="C750" s="598" t="s">
        <v>2339</v>
      </c>
      <c r="D750" s="598">
        <f t="shared" si="7"/>
        <v>685</v>
      </c>
      <c r="E750" s="616" t="s">
        <v>1351</v>
      </c>
      <c r="F750" s="616" t="s">
        <v>4971</v>
      </c>
      <c r="G750" s="618" t="s">
        <v>1195</v>
      </c>
      <c r="H750" s="618" t="s">
        <v>87</v>
      </c>
      <c r="I750" s="618" t="s">
        <v>1195</v>
      </c>
      <c r="J750" s="618" t="s">
        <v>1991</v>
      </c>
      <c r="K750" s="618"/>
      <c r="L750" s="619"/>
      <c r="M750" s="620"/>
      <c r="N750" s="620"/>
      <c r="O750" s="663" t="s">
        <v>4972</v>
      </c>
      <c r="P750" s="621" t="s">
        <v>319</v>
      </c>
      <c r="Q750" s="598"/>
      <c r="R750" s="598"/>
      <c r="S750" s="598"/>
      <c r="T750" s="623" t="s">
        <v>1015</v>
      </c>
      <c r="U750" s="574" t="s">
        <v>645</v>
      </c>
      <c r="V750" s="674" t="s">
        <v>2344</v>
      </c>
      <c r="W750" s="598" t="s">
        <v>950</v>
      </c>
      <c r="X750" s="624">
        <v>29120</v>
      </c>
      <c r="Y750" s="625">
        <f t="shared" ca="1" si="8"/>
        <v>46</v>
      </c>
      <c r="Z750" s="616" t="s">
        <v>2345</v>
      </c>
      <c r="AA750" s="598" t="s">
        <v>2346</v>
      </c>
      <c r="AB750" s="598" t="s">
        <v>996</v>
      </c>
      <c r="AC750" s="644" t="s">
        <v>997</v>
      </c>
      <c r="AD750" s="616" t="s">
        <v>1494</v>
      </c>
      <c r="AE750" s="616" t="s">
        <v>1494</v>
      </c>
      <c r="AF750" s="616" t="s">
        <v>1623</v>
      </c>
      <c r="AG750" s="598"/>
      <c r="AH750" s="598"/>
      <c r="AI750" s="683" t="s">
        <v>1566</v>
      </c>
      <c r="AJ750" s="598"/>
      <c r="AK750" s="626"/>
      <c r="AL750" s="626"/>
    </row>
    <row r="751" spans="1:38" ht="18" customHeight="1">
      <c r="A751" s="593"/>
      <c r="B751" s="598">
        <v>734</v>
      </c>
      <c r="C751" s="598" t="s">
        <v>1604</v>
      </c>
      <c r="D751" s="598">
        <f t="shared" si="7"/>
        <v>686</v>
      </c>
      <c r="E751" s="616" t="s">
        <v>1233</v>
      </c>
      <c r="F751" s="616" t="s">
        <v>4971</v>
      </c>
      <c r="G751" s="618" t="s">
        <v>1195</v>
      </c>
      <c r="H751" s="618" t="s">
        <v>87</v>
      </c>
      <c r="I751" s="618" t="s">
        <v>1195</v>
      </c>
      <c r="J751" s="618" t="s">
        <v>1991</v>
      </c>
      <c r="K751" s="618"/>
      <c r="L751" s="619"/>
      <c r="M751" s="620"/>
      <c r="N751" s="620"/>
      <c r="O751" s="663" t="s">
        <v>4972</v>
      </c>
      <c r="P751" s="621" t="s">
        <v>319</v>
      </c>
      <c r="Q751" s="598"/>
      <c r="R751" s="598"/>
      <c r="S751" s="598"/>
      <c r="T751" s="623" t="s">
        <v>1015</v>
      </c>
      <c r="U751" s="574" t="s">
        <v>662</v>
      </c>
      <c r="V751" s="674" t="s">
        <v>1605</v>
      </c>
      <c r="W751" s="598" t="s">
        <v>950</v>
      </c>
      <c r="X751" s="624">
        <v>30879</v>
      </c>
      <c r="Y751" s="625">
        <f t="shared" ca="1" si="8"/>
        <v>41</v>
      </c>
      <c r="Z751" s="765" t="s">
        <v>1606</v>
      </c>
      <c r="AA751" s="598" t="s">
        <v>1607</v>
      </c>
      <c r="AB751" s="598" t="s">
        <v>996</v>
      </c>
      <c r="AC751" s="644" t="s">
        <v>997</v>
      </c>
      <c r="AD751" s="616" t="s">
        <v>729</v>
      </c>
      <c r="AE751" s="616" t="s">
        <v>729</v>
      </c>
      <c r="AF751" s="616" t="s">
        <v>1533</v>
      </c>
      <c r="AG751" s="598"/>
      <c r="AH751" s="598"/>
      <c r="AI751" s="683" t="s">
        <v>1566</v>
      </c>
      <c r="AJ751" s="598"/>
      <c r="AK751" s="626">
        <v>-6</v>
      </c>
      <c r="AL751" s="626"/>
    </row>
    <row r="752" spans="1:38" ht="18" customHeight="1">
      <c r="A752" s="593"/>
      <c r="B752" s="598">
        <v>735</v>
      </c>
      <c r="C752" s="598" t="s">
        <v>1676</v>
      </c>
      <c r="D752" s="598">
        <f t="shared" si="7"/>
        <v>687</v>
      </c>
      <c r="E752" s="616" t="s">
        <v>1233</v>
      </c>
      <c r="F752" s="616" t="s">
        <v>4971</v>
      </c>
      <c r="G752" s="618" t="s">
        <v>1195</v>
      </c>
      <c r="H752" s="618" t="s">
        <v>87</v>
      </c>
      <c r="I752" s="618" t="s">
        <v>1195</v>
      </c>
      <c r="J752" s="618" t="s">
        <v>1991</v>
      </c>
      <c r="K752" s="618"/>
      <c r="L752" s="619"/>
      <c r="M752" s="620"/>
      <c r="N752" s="620"/>
      <c r="O752" s="663" t="s">
        <v>4972</v>
      </c>
      <c r="P752" s="621" t="s">
        <v>319</v>
      </c>
      <c r="Q752" s="598"/>
      <c r="R752" s="598"/>
      <c r="S752" s="598"/>
      <c r="T752" s="623" t="s">
        <v>1015</v>
      </c>
      <c r="U752" s="576" t="s">
        <v>681</v>
      </c>
      <c r="V752" s="766" t="s">
        <v>1677</v>
      </c>
      <c r="W752" s="598" t="s">
        <v>950</v>
      </c>
      <c r="X752" s="624">
        <v>31503</v>
      </c>
      <c r="Y752" s="625">
        <f t="shared" ca="1" si="8"/>
        <v>39</v>
      </c>
      <c r="Z752" s="616" t="s">
        <v>1678</v>
      </c>
      <c r="AA752" s="598" t="s">
        <v>1679</v>
      </c>
      <c r="AB752" s="598" t="s">
        <v>996</v>
      </c>
      <c r="AC752" s="644" t="s">
        <v>997</v>
      </c>
      <c r="AD752" s="616" t="s">
        <v>729</v>
      </c>
      <c r="AE752" s="616" t="s">
        <v>729</v>
      </c>
      <c r="AF752" s="616" t="s">
        <v>1680</v>
      </c>
      <c r="AG752" s="598"/>
      <c r="AH752" s="598"/>
      <c r="AI752" s="683" t="s">
        <v>1566</v>
      </c>
      <c r="AJ752" s="598"/>
      <c r="AK752" s="626">
        <v>-6</v>
      </c>
      <c r="AL752" s="626"/>
    </row>
    <row r="753" spans="1:38" ht="18" customHeight="1">
      <c r="A753" s="593"/>
      <c r="B753" s="598">
        <v>736</v>
      </c>
      <c r="C753" s="598" t="s">
        <v>2154</v>
      </c>
      <c r="D753" s="598">
        <f t="shared" si="7"/>
        <v>688</v>
      </c>
      <c r="E753" s="616" t="s">
        <v>1351</v>
      </c>
      <c r="F753" s="616" t="s">
        <v>4971</v>
      </c>
      <c r="G753" s="618" t="s">
        <v>1195</v>
      </c>
      <c r="H753" s="618" t="s">
        <v>87</v>
      </c>
      <c r="I753" s="618" t="s">
        <v>1195</v>
      </c>
      <c r="J753" s="618" t="s">
        <v>1991</v>
      </c>
      <c r="K753" s="618"/>
      <c r="L753" s="619"/>
      <c r="M753" s="620"/>
      <c r="N753" s="620"/>
      <c r="O753" s="663" t="s">
        <v>4972</v>
      </c>
      <c r="P753" s="621" t="s">
        <v>319</v>
      </c>
      <c r="Q753" s="598"/>
      <c r="R753" s="598"/>
      <c r="S753" s="598"/>
      <c r="T753" s="623" t="s">
        <v>1015</v>
      </c>
      <c r="U753" s="767" t="s">
        <v>897</v>
      </c>
      <c r="V753" s="662" t="s">
        <v>2155</v>
      </c>
      <c r="W753" s="621" t="s">
        <v>950</v>
      </c>
      <c r="X753" s="624">
        <v>32472</v>
      </c>
      <c r="Y753" s="625">
        <f t="shared" ca="1" si="8"/>
        <v>37</v>
      </c>
      <c r="Z753" s="714" t="s">
        <v>2156</v>
      </c>
      <c r="AA753" s="598"/>
      <c r="AB753" s="598" t="s">
        <v>996</v>
      </c>
      <c r="AC753" s="598" t="s">
        <v>1018</v>
      </c>
      <c r="AD753" s="616" t="s">
        <v>729</v>
      </c>
      <c r="AE753" s="616" t="s">
        <v>729</v>
      </c>
      <c r="AF753" s="708" t="s">
        <v>2157</v>
      </c>
      <c r="AG753" s="598"/>
      <c r="AH753" s="598"/>
      <c r="AI753" s="701" t="s">
        <v>1575</v>
      </c>
      <c r="AJ753" s="598"/>
      <c r="AK753" s="626"/>
      <c r="AL753" s="626"/>
    </row>
    <row r="754" spans="1:38" ht="18" customHeight="1">
      <c r="A754" s="593"/>
      <c r="B754" s="598">
        <v>737</v>
      </c>
      <c r="C754" s="598" t="s">
        <v>2149</v>
      </c>
      <c r="D754" s="598">
        <f t="shared" si="7"/>
        <v>689</v>
      </c>
      <c r="E754" s="616" t="s">
        <v>1351</v>
      </c>
      <c r="F754" s="616" t="s">
        <v>4971</v>
      </c>
      <c r="G754" s="618" t="s">
        <v>1195</v>
      </c>
      <c r="H754" s="618" t="s">
        <v>87</v>
      </c>
      <c r="I754" s="618" t="s">
        <v>1195</v>
      </c>
      <c r="J754" s="618" t="s">
        <v>1991</v>
      </c>
      <c r="K754" s="618"/>
      <c r="L754" s="619"/>
      <c r="M754" s="620"/>
      <c r="N754" s="620"/>
      <c r="O754" s="663" t="s">
        <v>4972</v>
      </c>
      <c r="P754" s="621" t="s">
        <v>319</v>
      </c>
      <c r="Q754" s="598"/>
      <c r="R754" s="598"/>
      <c r="S754" s="598"/>
      <c r="T754" s="623" t="s">
        <v>1015</v>
      </c>
      <c r="U754" s="718" t="s">
        <v>2150</v>
      </c>
      <c r="V754" s="708" t="s">
        <v>2151</v>
      </c>
      <c r="W754" s="598" t="s">
        <v>950</v>
      </c>
      <c r="X754" s="624">
        <v>35008</v>
      </c>
      <c r="Y754" s="625">
        <f t="shared" ca="1" si="8"/>
        <v>30</v>
      </c>
      <c r="Z754" s="714" t="s">
        <v>2152</v>
      </c>
      <c r="AA754" s="598"/>
      <c r="AB754" s="598" t="s">
        <v>996</v>
      </c>
      <c r="AC754" s="598" t="s">
        <v>1018</v>
      </c>
      <c r="AD754" s="616" t="s">
        <v>1494</v>
      </c>
      <c r="AE754" s="616" t="s">
        <v>1494</v>
      </c>
      <c r="AF754" s="708" t="s">
        <v>2153</v>
      </c>
      <c r="AG754" s="598"/>
      <c r="AH754" s="598"/>
      <c r="AI754" s="701" t="s">
        <v>1575</v>
      </c>
      <c r="AJ754" s="598"/>
      <c r="AK754" s="626"/>
      <c r="AL754" s="626"/>
    </row>
    <row r="755" spans="1:38" ht="18" customHeight="1">
      <c r="A755" s="593"/>
      <c r="B755" s="598">
        <v>738</v>
      </c>
      <c r="C755" s="598" t="s">
        <v>1270</v>
      </c>
      <c r="D755" s="598">
        <f t="shared" si="7"/>
        <v>689</v>
      </c>
      <c r="E755" s="616"/>
      <c r="F755" s="616" t="s">
        <v>4971</v>
      </c>
      <c r="G755" s="618" t="s">
        <v>1195</v>
      </c>
      <c r="H755" s="618" t="s">
        <v>87</v>
      </c>
      <c r="I755" s="618" t="s">
        <v>1195</v>
      </c>
      <c r="J755" s="618" t="s">
        <v>1270</v>
      </c>
      <c r="K755" s="618"/>
      <c r="L755" s="619"/>
      <c r="M755" s="620"/>
      <c r="N755" s="620"/>
      <c r="O755" s="667" t="s">
        <v>4973</v>
      </c>
      <c r="P755" s="621"/>
      <c r="Q755" s="598" t="s">
        <v>55</v>
      </c>
      <c r="R755" s="598" t="s">
        <v>178</v>
      </c>
      <c r="S755" s="598"/>
      <c r="T755" s="623"/>
      <c r="U755" s="667" t="s">
        <v>609</v>
      </c>
      <c r="V755" s="674" t="s">
        <v>1271</v>
      </c>
      <c r="W755" s="598" t="s">
        <v>950</v>
      </c>
      <c r="X755" s="624">
        <v>23479</v>
      </c>
      <c r="Y755" s="625">
        <f t="shared" ca="1" si="8"/>
        <v>61</v>
      </c>
      <c r="Z755" s="616" t="s">
        <v>1272</v>
      </c>
      <c r="AA755" s="598" t="s">
        <v>1273</v>
      </c>
      <c r="AB755" s="598" t="s">
        <v>966</v>
      </c>
      <c r="AC755" s="598" t="s">
        <v>953</v>
      </c>
      <c r="AD755" s="616" t="s">
        <v>729</v>
      </c>
      <c r="AE755" s="616" t="s">
        <v>1239</v>
      </c>
      <c r="AF755" s="616" t="s">
        <v>1274</v>
      </c>
      <c r="AG755" s="598" t="s">
        <v>955</v>
      </c>
      <c r="AH755" s="598"/>
      <c r="AI755" s="598"/>
      <c r="AJ755" s="598"/>
      <c r="AK755" s="626"/>
      <c r="AL755" s="626"/>
    </row>
    <row r="756" spans="1:38" ht="18" customHeight="1">
      <c r="A756" s="593"/>
      <c r="B756" s="598">
        <v>739</v>
      </c>
      <c r="C756" s="598" t="s">
        <v>2195</v>
      </c>
      <c r="D756" s="598">
        <f t="shared" si="7"/>
        <v>690</v>
      </c>
      <c r="E756" s="616" t="s">
        <v>1351</v>
      </c>
      <c r="F756" s="616" t="s">
        <v>4971</v>
      </c>
      <c r="G756" s="618" t="s">
        <v>1195</v>
      </c>
      <c r="H756" s="618" t="s">
        <v>87</v>
      </c>
      <c r="I756" s="618" t="s">
        <v>1195</v>
      </c>
      <c r="J756" s="618" t="s">
        <v>1270</v>
      </c>
      <c r="K756" s="618"/>
      <c r="L756" s="619"/>
      <c r="M756" s="620"/>
      <c r="N756" s="620"/>
      <c r="O756" s="663" t="s">
        <v>4973</v>
      </c>
      <c r="P756" s="621" t="s">
        <v>319</v>
      </c>
      <c r="Q756" s="598"/>
      <c r="R756" s="598"/>
      <c r="S756" s="598"/>
      <c r="T756" s="623" t="s">
        <v>1015</v>
      </c>
      <c r="U756" s="768" t="s">
        <v>627</v>
      </c>
      <c r="V756" s="674" t="s">
        <v>2196</v>
      </c>
      <c r="W756" s="598" t="s">
        <v>950</v>
      </c>
      <c r="X756" s="624">
        <v>23563</v>
      </c>
      <c r="Y756" s="625">
        <f t="shared" ca="1" si="8"/>
        <v>61</v>
      </c>
      <c r="Z756" s="616" t="s">
        <v>2197</v>
      </c>
      <c r="AA756" s="598" t="s">
        <v>2198</v>
      </c>
      <c r="AB756" s="598" t="s">
        <v>996</v>
      </c>
      <c r="AC756" s="644" t="s">
        <v>997</v>
      </c>
      <c r="AD756" s="616" t="s">
        <v>729</v>
      </c>
      <c r="AE756" s="616" t="s">
        <v>729</v>
      </c>
      <c r="AF756" s="616" t="s">
        <v>1252</v>
      </c>
      <c r="AG756" s="598"/>
      <c r="AH756" s="598"/>
      <c r="AI756" s="683" t="s">
        <v>1566</v>
      </c>
      <c r="AJ756" s="598"/>
      <c r="AK756" s="626">
        <v>-6</v>
      </c>
      <c r="AL756" s="626"/>
    </row>
    <row r="757" spans="1:38" ht="18" customHeight="1">
      <c r="A757" s="593"/>
      <c r="B757" s="598">
        <v>740</v>
      </c>
      <c r="C757" s="598" t="s">
        <v>2186</v>
      </c>
      <c r="D757" s="598">
        <f t="shared" si="7"/>
        <v>691</v>
      </c>
      <c r="E757" s="616" t="s">
        <v>1351</v>
      </c>
      <c r="F757" s="616" t="s">
        <v>4971</v>
      </c>
      <c r="G757" s="618" t="s">
        <v>1195</v>
      </c>
      <c r="H757" s="618" t="s">
        <v>87</v>
      </c>
      <c r="I757" s="618" t="s">
        <v>1195</v>
      </c>
      <c r="J757" s="618" t="s">
        <v>1270</v>
      </c>
      <c r="K757" s="618"/>
      <c r="L757" s="619"/>
      <c r="M757" s="620"/>
      <c r="N757" s="620"/>
      <c r="O757" s="663" t="s">
        <v>4973</v>
      </c>
      <c r="P757" s="621" t="s">
        <v>319</v>
      </c>
      <c r="Q757" s="598"/>
      <c r="R757" s="598"/>
      <c r="S757" s="598"/>
      <c r="T757" s="623" t="s">
        <v>1015</v>
      </c>
      <c r="U757" s="769" t="s">
        <v>646</v>
      </c>
      <c r="V757" s="674" t="s">
        <v>2187</v>
      </c>
      <c r="W757" s="598" t="s">
        <v>950</v>
      </c>
      <c r="X757" s="624">
        <v>25153</v>
      </c>
      <c r="Y757" s="625">
        <f t="shared" ca="1" si="8"/>
        <v>57</v>
      </c>
      <c r="Z757" s="616" t="s">
        <v>2188</v>
      </c>
      <c r="AA757" s="598" t="s">
        <v>2189</v>
      </c>
      <c r="AB757" s="598" t="s">
        <v>996</v>
      </c>
      <c r="AC757" s="644" t="s">
        <v>997</v>
      </c>
      <c r="AD757" s="616" t="s">
        <v>729</v>
      </c>
      <c r="AE757" s="616" t="s">
        <v>729</v>
      </c>
      <c r="AF757" s="616" t="s">
        <v>2190</v>
      </c>
      <c r="AG757" s="598"/>
      <c r="AH757" s="598"/>
      <c r="AI757" s="683" t="s">
        <v>1566</v>
      </c>
      <c r="AJ757" s="598"/>
      <c r="AK757" s="626">
        <v>-4</v>
      </c>
      <c r="AL757" s="626"/>
    </row>
    <row r="758" spans="1:38" ht="18" customHeight="1">
      <c r="A758" s="593"/>
      <c r="B758" s="598">
        <v>741</v>
      </c>
      <c r="C758" s="598" t="s">
        <v>2203</v>
      </c>
      <c r="D758" s="598">
        <f t="shared" si="7"/>
        <v>692</v>
      </c>
      <c r="E758" s="616" t="s">
        <v>1351</v>
      </c>
      <c r="F758" s="616" t="s">
        <v>4971</v>
      </c>
      <c r="G758" s="618" t="s">
        <v>1195</v>
      </c>
      <c r="H758" s="618" t="s">
        <v>87</v>
      </c>
      <c r="I758" s="618" t="s">
        <v>1195</v>
      </c>
      <c r="J758" s="618" t="s">
        <v>1270</v>
      </c>
      <c r="K758" s="618"/>
      <c r="L758" s="619"/>
      <c r="M758" s="620"/>
      <c r="N758" s="620"/>
      <c r="O758" s="663" t="s">
        <v>4973</v>
      </c>
      <c r="P758" s="621" t="s">
        <v>319</v>
      </c>
      <c r="Q758" s="598"/>
      <c r="R758" s="598"/>
      <c r="S758" s="598"/>
      <c r="T758" s="623" t="s">
        <v>1015</v>
      </c>
      <c r="U758" s="768" t="s">
        <v>663</v>
      </c>
      <c r="V758" s="674" t="s">
        <v>2204</v>
      </c>
      <c r="W758" s="598" t="s">
        <v>950</v>
      </c>
      <c r="X758" s="624">
        <v>25850</v>
      </c>
      <c r="Y758" s="625">
        <f t="shared" ca="1" si="8"/>
        <v>55</v>
      </c>
      <c r="Z758" s="616" t="s">
        <v>2205</v>
      </c>
      <c r="AA758" s="598" t="s">
        <v>2206</v>
      </c>
      <c r="AB758" s="598" t="s">
        <v>996</v>
      </c>
      <c r="AC758" s="644" t="s">
        <v>997</v>
      </c>
      <c r="AD758" s="616" t="s">
        <v>729</v>
      </c>
      <c r="AE758" s="616" t="s">
        <v>729</v>
      </c>
      <c r="AF758" s="616" t="s">
        <v>2207</v>
      </c>
      <c r="AG758" s="598"/>
      <c r="AH758" s="598"/>
      <c r="AI758" s="683" t="s">
        <v>1566</v>
      </c>
      <c r="AJ758" s="598"/>
      <c r="AK758" s="626">
        <v>-4</v>
      </c>
      <c r="AL758" s="626"/>
    </row>
    <row r="759" spans="1:38" ht="18" customHeight="1">
      <c r="A759" s="593"/>
      <c r="B759" s="598">
        <v>742</v>
      </c>
      <c r="C759" s="598" t="s">
        <v>2235</v>
      </c>
      <c r="D759" s="598">
        <f t="shared" si="7"/>
        <v>693</v>
      </c>
      <c r="E759" s="616" t="s">
        <v>1351</v>
      </c>
      <c r="F759" s="616" t="s">
        <v>4971</v>
      </c>
      <c r="G759" s="618" t="s">
        <v>1195</v>
      </c>
      <c r="H759" s="618" t="s">
        <v>87</v>
      </c>
      <c r="I759" s="618" t="s">
        <v>1195</v>
      </c>
      <c r="J759" s="618" t="s">
        <v>1270</v>
      </c>
      <c r="K759" s="618"/>
      <c r="L759" s="619"/>
      <c r="M759" s="620"/>
      <c r="N759" s="620"/>
      <c r="O759" s="663" t="s">
        <v>4973</v>
      </c>
      <c r="P759" s="621" t="s">
        <v>319</v>
      </c>
      <c r="Q759" s="598"/>
      <c r="R759" s="598"/>
      <c r="S759" s="598"/>
      <c r="T759" s="623" t="s">
        <v>1015</v>
      </c>
      <c r="U759" s="768" t="s">
        <v>2236</v>
      </c>
      <c r="V759" s="674" t="s">
        <v>2237</v>
      </c>
      <c r="W759" s="598" t="s">
        <v>950</v>
      </c>
      <c r="X759" s="624">
        <v>25908</v>
      </c>
      <c r="Y759" s="625">
        <f t="shared" ca="1" si="8"/>
        <v>55</v>
      </c>
      <c r="Z759" s="616" t="s">
        <v>2238</v>
      </c>
      <c r="AA759" s="598" t="s">
        <v>2239</v>
      </c>
      <c r="AB759" s="598" t="s">
        <v>996</v>
      </c>
      <c r="AC759" s="644" t="s">
        <v>997</v>
      </c>
      <c r="AD759" s="616" t="s">
        <v>729</v>
      </c>
      <c r="AE759" s="616" t="s">
        <v>729</v>
      </c>
      <c r="AF759" s="616" t="s">
        <v>2240</v>
      </c>
      <c r="AG759" s="598"/>
      <c r="AH759" s="598"/>
      <c r="AI759" s="683" t="s">
        <v>1566</v>
      </c>
      <c r="AJ759" s="598"/>
      <c r="AK759" s="626">
        <v>-5</v>
      </c>
      <c r="AL759" s="626"/>
    </row>
    <row r="760" spans="1:38" ht="18" customHeight="1">
      <c r="A760" s="593"/>
      <c r="B760" s="598">
        <v>743</v>
      </c>
      <c r="C760" s="598" t="s">
        <v>2219</v>
      </c>
      <c r="D760" s="598">
        <f t="shared" si="7"/>
        <v>694</v>
      </c>
      <c r="E760" s="616" t="s">
        <v>1351</v>
      </c>
      <c r="F760" s="616" t="s">
        <v>4971</v>
      </c>
      <c r="G760" s="618" t="s">
        <v>1195</v>
      </c>
      <c r="H760" s="618" t="s">
        <v>87</v>
      </c>
      <c r="I760" s="618" t="s">
        <v>1195</v>
      </c>
      <c r="J760" s="618" t="s">
        <v>1270</v>
      </c>
      <c r="K760" s="618"/>
      <c r="L760" s="619"/>
      <c r="M760" s="620"/>
      <c r="N760" s="620"/>
      <c r="O760" s="663" t="s">
        <v>4973</v>
      </c>
      <c r="P760" s="621" t="s">
        <v>319</v>
      </c>
      <c r="Q760" s="598"/>
      <c r="R760" s="598"/>
      <c r="S760" s="598"/>
      <c r="T760" s="623" t="s">
        <v>1015</v>
      </c>
      <c r="U760" s="770" t="s">
        <v>697</v>
      </c>
      <c r="V760" s="674" t="s">
        <v>2221</v>
      </c>
      <c r="W760" s="598" t="s">
        <v>950</v>
      </c>
      <c r="X760" s="624">
        <v>24619</v>
      </c>
      <c r="Y760" s="625">
        <f t="shared" ca="1" si="8"/>
        <v>58</v>
      </c>
      <c r="Z760" s="616" t="s">
        <v>2222</v>
      </c>
      <c r="AA760" s="598" t="s">
        <v>2223</v>
      </c>
      <c r="AB760" s="598" t="s">
        <v>996</v>
      </c>
      <c r="AC760" s="644" t="s">
        <v>997</v>
      </c>
      <c r="AD760" s="616" t="s">
        <v>729</v>
      </c>
      <c r="AE760" s="616" t="s">
        <v>729</v>
      </c>
      <c r="AF760" s="616" t="s">
        <v>1252</v>
      </c>
      <c r="AG760" s="598"/>
      <c r="AH760" s="598"/>
      <c r="AI760" s="683" t="s">
        <v>1513</v>
      </c>
      <c r="AJ760" s="598"/>
      <c r="AK760" s="626"/>
      <c r="AL760" s="626"/>
    </row>
    <row r="761" spans="1:38" ht="18" customHeight="1">
      <c r="A761" s="593"/>
      <c r="B761" s="598">
        <v>744</v>
      </c>
      <c r="C761" s="598" t="s">
        <v>3559</v>
      </c>
      <c r="D761" s="598">
        <f t="shared" si="7"/>
        <v>694</v>
      </c>
      <c r="E761" s="616"/>
      <c r="F761" s="616" t="s">
        <v>4971</v>
      </c>
      <c r="G761" s="618" t="s">
        <v>1195</v>
      </c>
      <c r="H761" s="618" t="s">
        <v>87</v>
      </c>
      <c r="I761" s="618" t="s">
        <v>1195</v>
      </c>
      <c r="J761" s="618" t="s">
        <v>3559</v>
      </c>
      <c r="K761" s="618"/>
      <c r="L761" s="619"/>
      <c r="M761" s="620"/>
      <c r="N761" s="620"/>
      <c r="O761" s="667" t="s">
        <v>4974</v>
      </c>
      <c r="P761" s="621"/>
      <c r="Q761" s="598" t="s">
        <v>55</v>
      </c>
      <c r="R761" s="598" t="s">
        <v>178</v>
      </c>
      <c r="S761" s="598"/>
      <c r="T761" s="623"/>
      <c r="U761" s="667" t="s">
        <v>222</v>
      </c>
      <c r="V761" s="674" t="s">
        <v>3561</v>
      </c>
      <c r="W761" s="598" t="s">
        <v>950</v>
      </c>
      <c r="X761" s="624">
        <v>21600</v>
      </c>
      <c r="Y761" s="625">
        <f t="shared" ca="1" si="8"/>
        <v>66</v>
      </c>
      <c r="Z761" s="616" t="s">
        <v>3562</v>
      </c>
      <c r="AA761" s="598" t="s">
        <v>3563</v>
      </c>
      <c r="AB761" s="598" t="s">
        <v>966</v>
      </c>
      <c r="AC761" s="598" t="s">
        <v>953</v>
      </c>
      <c r="AD761" s="616" t="s">
        <v>973</v>
      </c>
      <c r="AE761" s="616" t="s">
        <v>973</v>
      </c>
      <c r="AF761" s="616" t="s">
        <v>3509</v>
      </c>
      <c r="AG761" s="598" t="s">
        <v>955</v>
      </c>
      <c r="AH761" s="598"/>
      <c r="AI761" s="598"/>
      <c r="AJ761" s="598"/>
      <c r="AK761" s="626"/>
      <c r="AL761" s="626"/>
    </row>
    <row r="762" spans="1:38" ht="18" customHeight="1">
      <c r="A762" s="593"/>
      <c r="B762" s="598">
        <v>745</v>
      </c>
      <c r="C762" s="598" t="s">
        <v>3732</v>
      </c>
      <c r="D762" s="598">
        <f t="shared" si="7"/>
        <v>695</v>
      </c>
      <c r="E762" s="616" t="s">
        <v>1810</v>
      </c>
      <c r="F762" s="616" t="s">
        <v>4971</v>
      </c>
      <c r="G762" s="618" t="s">
        <v>1195</v>
      </c>
      <c r="H762" s="618" t="s">
        <v>87</v>
      </c>
      <c r="I762" s="618" t="s">
        <v>1195</v>
      </c>
      <c r="J762" s="618" t="s">
        <v>3559</v>
      </c>
      <c r="K762" s="618"/>
      <c r="L762" s="619"/>
      <c r="M762" s="620"/>
      <c r="N762" s="620"/>
      <c r="O762" s="664" t="s">
        <v>4974</v>
      </c>
      <c r="P762" s="621" t="s">
        <v>319</v>
      </c>
      <c r="Q762" s="598"/>
      <c r="R762" s="598"/>
      <c r="S762" s="598"/>
      <c r="T762" s="623" t="s">
        <v>1015</v>
      </c>
      <c r="U762" s="576" t="s">
        <v>628</v>
      </c>
      <c r="V762" s="674" t="s">
        <v>3733</v>
      </c>
      <c r="W762" s="598" t="s">
        <v>950</v>
      </c>
      <c r="X762" s="624">
        <v>21629</v>
      </c>
      <c r="Y762" s="625">
        <f t="shared" ca="1" si="8"/>
        <v>66</v>
      </c>
      <c r="Z762" s="616" t="s">
        <v>3734</v>
      </c>
      <c r="AA762" s="598" t="s">
        <v>3735</v>
      </c>
      <c r="AB762" s="598" t="s">
        <v>996</v>
      </c>
      <c r="AC762" s="644" t="s">
        <v>997</v>
      </c>
      <c r="AD762" s="616" t="s">
        <v>973</v>
      </c>
      <c r="AE762" s="616" t="s">
        <v>973</v>
      </c>
      <c r="AF762" s="616" t="s">
        <v>3509</v>
      </c>
      <c r="AG762" s="598"/>
      <c r="AH762" s="598"/>
      <c r="AI762" s="683" t="s">
        <v>1566</v>
      </c>
      <c r="AJ762" s="598"/>
      <c r="AK762" s="626"/>
      <c r="AL762" s="626"/>
    </row>
    <row r="763" spans="1:38" ht="18" customHeight="1">
      <c r="A763" s="593"/>
      <c r="B763" s="598">
        <v>746</v>
      </c>
      <c r="C763" s="598" t="s">
        <v>3751</v>
      </c>
      <c r="D763" s="598">
        <f t="shared" si="7"/>
        <v>696</v>
      </c>
      <c r="E763" s="616" t="s">
        <v>1810</v>
      </c>
      <c r="F763" s="616" t="s">
        <v>4971</v>
      </c>
      <c r="G763" s="618" t="s">
        <v>1195</v>
      </c>
      <c r="H763" s="618" t="s">
        <v>87</v>
      </c>
      <c r="I763" s="618" t="s">
        <v>1195</v>
      </c>
      <c r="J763" s="618" t="s">
        <v>3559</v>
      </c>
      <c r="K763" s="618"/>
      <c r="L763" s="619"/>
      <c r="M763" s="620"/>
      <c r="N763" s="620"/>
      <c r="O763" s="664" t="s">
        <v>4974</v>
      </c>
      <c r="P763" s="621" t="s">
        <v>319</v>
      </c>
      <c r="Q763" s="598"/>
      <c r="R763" s="598"/>
      <c r="S763" s="598"/>
      <c r="T763" s="623" t="s">
        <v>1015</v>
      </c>
      <c r="U763" s="578" t="s">
        <v>647</v>
      </c>
      <c r="V763" s="674" t="s">
        <v>3752</v>
      </c>
      <c r="W763" s="598" t="s">
        <v>950</v>
      </c>
      <c r="X763" s="624">
        <v>22009</v>
      </c>
      <c r="Y763" s="625">
        <f t="shared" ca="1" si="8"/>
        <v>65</v>
      </c>
      <c r="Z763" s="342" t="s">
        <v>3753</v>
      </c>
      <c r="AA763" s="598" t="s">
        <v>3754</v>
      </c>
      <c r="AB763" s="598" t="s">
        <v>996</v>
      </c>
      <c r="AC763" s="644" t="s">
        <v>997</v>
      </c>
      <c r="AD763" s="616" t="s">
        <v>1078</v>
      </c>
      <c r="AE763" s="616" t="s">
        <v>1078</v>
      </c>
      <c r="AF763" s="616" t="s">
        <v>3578</v>
      </c>
      <c r="AG763" s="598"/>
      <c r="AH763" s="598"/>
      <c r="AI763" s="683" t="s">
        <v>1566</v>
      </c>
      <c r="AJ763" s="598"/>
      <c r="AK763" s="626"/>
      <c r="AL763" s="626"/>
    </row>
    <row r="764" spans="1:38" ht="18" customHeight="1">
      <c r="A764" s="593"/>
      <c r="B764" s="598">
        <v>747</v>
      </c>
      <c r="C764" s="598" t="s">
        <v>3747</v>
      </c>
      <c r="D764" s="598">
        <f t="shared" si="7"/>
        <v>697</v>
      </c>
      <c r="E764" s="616" t="s">
        <v>1810</v>
      </c>
      <c r="F764" s="616" t="s">
        <v>4971</v>
      </c>
      <c r="G764" s="618" t="s">
        <v>1195</v>
      </c>
      <c r="H764" s="618" t="s">
        <v>87</v>
      </c>
      <c r="I764" s="618" t="s">
        <v>1195</v>
      </c>
      <c r="J764" s="618" t="s">
        <v>3559</v>
      </c>
      <c r="K764" s="618"/>
      <c r="L764" s="619"/>
      <c r="M764" s="620"/>
      <c r="N764" s="620"/>
      <c r="O764" s="664" t="s">
        <v>4974</v>
      </c>
      <c r="P764" s="621" t="s">
        <v>319</v>
      </c>
      <c r="Q764" s="598"/>
      <c r="R764" s="598"/>
      <c r="S764" s="598"/>
      <c r="T764" s="623" t="s">
        <v>1015</v>
      </c>
      <c r="U764" s="574" t="s">
        <v>664</v>
      </c>
      <c r="V764" s="674" t="s">
        <v>3748</v>
      </c>
      <c r="W764" s="598" t="s">
        <v>950</v>
      </c>
      <c r="X764" s="624">
        <v>22260</v>
      </c>
      <c r="Y764" s="625">
        <f t="shared" ca="1" si="8"/>
        <v>65</v>
      </c>
      <c r="Z764" s="616" t="s">
        <v>3749</v>
      </c>
      <c r="AA764" s="598" t="s">
        <v>3750</v>
      </c>
      <c r="AB764" s="598" t="s">
        <v>996</v>
      </c>
      <c r="AC764" s="644" t="s">
        <v>997</v>
      </c>
      <c r="AD764" s="616" t="s">
        <v>1078</v>
      </c>
      <c r="AE764" s="616" t="s">
        <v>1078</v>
      </c>
      <c r="AF764" s="616" t="s">
        <v>3578</v>
      </c>
      <c r="AG764" s="598"/>
      <c r="AH764" s="598"/>
      <c r="AI764" s="683" t="s">
        <v>1566</v>
      </c>
      <c r="AJ764" s="598"/>
      <c r="AK764" s="626"/>
      <c r="AL764" s="626"/>
    </row>
    <row r="765" spans="1:38" ht="18" customHeight="1">
      <c r="A765" s="593"/>
      <c r="B765" s="598">
        <v>748</v>
      </c>
      <c r="C765" s="598" t="s">
        <v>3736</v>
      </c>
      <c r="D765" s="598">
        <f t="shared" si="7"/>
        <v>698</v>
      </c>
      <c r="E765" s="616" t="s">
        <v>1810</v>
      </c>
      <c r="F765" s="616" t="s">
        <v>4971</v>
      </c>
      <c r="G765" s="618" t="s">
        <v>1195</v>
      </c>
      <c r="H765" s="618" t="s">
        <v>87</v>
      </c>
      <c r="I765" s="618" t="s">
        <v>1195</v>
      </c>
      <c r="J765" s="618" t="s">
        <v>3559</v>
      </c>
      <c r="K765" s="618"/>
      <c r="L765" s="619"/>
      <c r="M765" s="620"/>
      <c r="N765" s="620"/>
      <c r="O765" s="664" t="s">
        <v>4974</v>
      </c>
      <c r="P765" s="621" t="s">
        <v>319</v>
      </c>
      <c r="Q765" s="598"/>
      <c r="R765" s="598"/>
      <c r="S765" s="598"/>
      <c r="T765" s="623" t="s">
        <v>1015</v>
      </c>
      <c r="U765" s="574" t="s">
        <v>683</v>
      </c>
      <c r="V765" s="674" t="s">
        <v>3737</v>
      </c>
      <c r="W765" s="598" t="s">
        <v>950</v>
      </c>
      <c r="X765" s="624">
        <v>22477</v>
      </c>
      <c r="Y765" s="625">
        <f t="shared" ca="1" si="8"/>
        <v>64</v>
      </c>
      <c r="Z765" s="616" t="s">
        <v>3738</v>
      </c>
      <c r="AA765" s="598"/>
      <c r="AB765" s="598" t="s">
        <v>996</v>
      </c>
      <c r="AC765" s="598" t="s">
        <v>1018</v>
      </c>
      <c r="AD765" s="616" t="s">
        <v>973</v>
      </c>
      <c r="AE765" s="616" t="s">
        <v>973</v>
      </c>
      <c r="AF765" s="616" t="s">
        <v>3509</v>
      </c>
      <c r="AG765" s="598"/>
      <c r="AH765" s="598"/>
      <c r="AI765" s="683" t="s">
        <v>1566</v>
      </c>
      <c r="AJ765" s="598"/>
      <c r="AK765" s="626"/>
      <c r="AL765" s="626"/>
    </row>
    <row r="766" spans="1:38" ht="18" customHeight="1">
      <c r="A766" s="593"/>
      <c r="B766" s="598">
        <v>749</v>
      </c>
      <c r="C766" s="598" t="s">
        <v>3739</v>
      </c>
      <c r="D766" s="598">
        <f t="shared" si="7"/>
        <v>699</v>
      </c>
      <c r="E766" s="616" t="s">
        <v>1810</v>
      </c>
      <c r="F766" s="616" t="s">
        <v>4971</v>
      </c>
      <c r="G766" s="618" t="s">
        <v>1195</v>
      </c>
      <c r="H766" s="618" t="s">
        <v>87</v>
      </c>
      <c r="I766" s="618" t="s">
        <v>1195</v>
      </c>
      <c r="J766" s="618" t="s">
        <v>3559</v>
      </c>
      <c r="K766" s="618"/>
      <c r="L766" s="619"/>
      <c r="M766" s="620"/>
      <c r="N766" s="620"/>
      <c r="O766" s="664" t="s">
        <v>4974</v>
      </c>
      <c r="P766" s="621" t="s">
        <v>319</v>
      </c>
      <c r="Q766" s="598"/>
      <c r="R766" s="598"/>
      <c r="S766" s="598"/>
      <c r="T766" s="623" t="s">
        <v>1015</v>
      </c>
      <c r="U766" s="574" t="s">
        <v>698</v>
      </c>
      <c r="V766" s="674" t="s">
        <v>3740</v>
      </c>
      <c r="W766" s="598" t="s">
        <v>950</v>
      </c>
      <c r="X766" s="624">
        <v>22929</v>
      </c>
      <c r="Y766" s="625">
        <f t="shared" ca="1" si="8"/>
        <v>63</v>
      </c>
      <c r="Z766" s="616" t="s">
        <v>3741</v>
      </c>
      <c r="AA766" s="598" t="s">
        <v>3742</v>
      </c>
      <c r="AB766" s="598" t="s">
        <v>996</v>
      </c>
      <c r="AC766" s="644" t="s">
        <v>997</v>
      </c>
      <c r="AD766" s="616" t="s">
        <v>1078</v>
      </c>
      <c r="AE766" s="616" t="s">
        <v>1078</v>
      </c>
      <c r="AF766" s="616" t="s">
        <v>3578</v>
      </c>
      <c r="AG766" s="598"/>
      <c r="AH766" s="598"/>
      <c r="AI766" s="683" t="s">
        <v>1566</v>
      </c>
      <c r="AJ766" s="598"/>
      <c r="AK766" s="626"/>
      <c r="AL766" s="626"/>
    </row>
    <row r="767" spans="1:38" ht="18" customHeight="1">
      <c r="A767" s="593"/>
      <c r="B767" s="598">
        <v>750</v>
      </c>
      <c r="C767" s="598" t="s">
        <v>3727</v>
      </c>
      <c r="D767" s="598">
        <f t="shared" si="7"/>
        <v>700</v>
      </c>
      <c r="E767" s="616" t="s">
        <v>1810</v>
      </c>
      <c r="F767" s="616" t="s">
        <v>4971</v>
      </c>
      <c r="G767" s="618" t="s">
        <v>1195</v>
      </c>
      <c r="H767" s="618" t="s">
        <v>87</v>
      </c>
      <c r="I767" s="618" t="s">
        <v>1195</v>
      </c>
      <c r="J767" s="618" t="s">
        <v>3559</v>
      </c>
      <c r="K767" s="618"/>
      <c r="L767" s="619"/>
      <c r="M767" s="620"/>
      <c r="N767" s="620"/>
      <c r="O767" s="664" t="s">
        <v>4974</v>
      </c>
      <c r="P767" s="621" t="s">
        <v>319</v>
      </c>
      <c r="Q767" s="598"/>
      <c r="R767" s="598"/>
      <c r="S767" s="598"/>
      <c r="T767" s="623" t="s">
        <v>1015</v>
      </c>
      <c r="U767" s="581" t="s">
        <v>708</v>
      </c>
      <c r="V767" s="674" t="s">
        <v>3728</v>
      </c>
      <c r="W767" s="598" t="s">
        <v>950</v>
      </c>
      <c r="X767" s="624">
        <v>23749</v>
      </c>
      <c r="Y767" s="625">
        <f t="shared" ca="1" si="8"/>
        <v>61</v>
      </c>
      <c r="Z767" s="616" t="s">
        <v>3729</v>
      </c>
      <c r="AA767" s="598" t="s">
        <v>3730</v>
      </c>
      <c r="AB767" s="598" t="s">
        <v>996</v>
      </c>
      <c r="AC767" s="644" t="s">
        <v>997</v>
      </c>
      <c r="AD767" s="616" t="s">
        <v>973</v>
      </c>
      <c r="AE767" s="616" t="s">
        <v>973</v>
      </c>
      <c r="AF767" s="616" t="s">
        <v>4975</v>
      </c>
      <c r="AG767" s="598"/>
      <c r="AH767" s="598"/>
      <c r="AI767" s="683" t="s">
        <v>1566</v>
      </c>
      <c r="AJ767" s="598"/>
      <c r="AK767" s="626"/>
      <c r="AL767" s="626"/>
    </row>
    <row r="768" spans="1:38" ht="18" customHeight="1">
      <c r="A768" s="593"/>
      <c r="B768" s="585"/>
      <c r="C768" s="585"/>
      <c r="D768" s="585"/>
      <c r="E768" s="655"/>
      <c r="F768" s="592"/>
      <c r="G768" s="655"/>
      <c r="H768" s="655"/>
      <c r="I768" s="655"/>
      <c r="J768" s="655"/>
      <c r="K768" s="655"/>
      <c r="L768" s="656"/>
      <c r="M768" s="656"/>
      <c r="N768" s="656"/>
      <c r="O768" s="592"/>
      <c r="P768" s="585"/>
      <c r="Q768" s="585"/>
      <c r="R768" s="585"/>
      <c r="S768" s="585"/>
      <c r="T768" s="585"/>
      <c r="U768" s="592"/>
      <c r="V768" s="592"/>
      <c r="W768" s="585"/>
      <c r="X768" s="657"/>
      <c r="Y768" s="658"/>
      <c r="Z768" s="592"/>
      <c r="AA768" s="585"/>
      <c r="AB768" s="585"/>
      <c r="AC768" s="585"/>
      <c r="AD768" s="592"/>
      <c r="AE768" s="592"/>
      <c r="AF768" s="592"/>
      <c r="AG768" s="585"/>
      <c r="AH768" s="585"/>
      <c r="AI768" s="659"/>
      <c r="AJ768" s="585"/>
      <c r="AK768" s="651"/>
      <c r="AL768" s="651"/>
    </row>
    <row r="769" spans="1:38" ht="18" customHeight="1">
      <c r="A769" s="593"/>
      <c r="B769" s="585"/>
      <c r="C769" s="585"/>
      <c r="D769" s="585"/>
      <c r="E769" s="655"/>
      <c r="F769" s="592"/>
      <c r="G769" s="655"/>
      <c r="H769" s="655"/>
      <c r="I769" s="655"/>
      <c r="J769" s="655"/>
      <c r="K769" s="655"/>
      <c r="L769" s="656"/>
      <c r="M769" s="656"/>
      <c r="N769" s="656"/>
      <c r="O769" s="592"/>
      <c r="P769" s="585"/>
      <c r="Q769" s="585"/>
      <c r="R769" s="585"/>
      <c r="S769" s="585"/>
      <c r="T769" s="585"/>
      <c r="U769" s="592"/>
      <c r="V769" s="592"/>
      <c r="W769" s="585"/>
      <c r="X769" s="657"/>
      <c r="Y769" s="658"/>
      <c r="Z769" s="592"/>
      <c r="AA769" s="585"/>
      <c r="AB769" s="585"/>
      <c r="AC769" s="585"/>
      <c r="AD769" s="592"/>
      <c r="AE769" s="592"/>
      <c r="AF769" s="592"/>
      <c r="AG769" s="585"/>
      <c r="AH769" s="585"/>
      <c r="AI769" s="659"/>
      <c r="AJ769" s="585"/>
      <c r="AK769" s="651"/>
      <c r="AL769" s="651"/>
    </row>
    <row r="770" spans="1:38" ht="18" customHeight="1">
      <c r="A770" s="593"/>
      <c r="B770" s="585"/>
      <c r="C770" s="585"/>
      <c r="D770" s="585"/>
      <c r="E770" s="655"/>
      <c r="F770" s="592"/>
      <c r="G770" s="655"/>
      <c r="H770" s="655"/>
      <c r="I770" s="655"/>
      <c r="J770" s="655"/>
      <c r="K770" s="655"/>
      <c r="L770" s="656"/>
      <c r="M770" s="656"/>
      <c r="N770" s="656"/>
      <c r="O770" s="592"/>
      <c r="P770" s="585"/>
      <c r="Q770" s="585"/>
      <c r="R770" s="585"/>
      <c r="S770" s="585"/>
      <c r="T770" s="585"/>
      <c r="U770" s="592"/>
      <c r="V770" s="592"/>
      <c r="W770" s="585"/>
      <c r="X770" s="657"/>
      <c r="Y770" s="658"/>
      <c r="Z770" s="592"/>
      <c r="AA770" s="585"/>
      <c r="AB770" s="585"/>
      <c r="AC770" s="585"/>
      <c r="AD770" s="592"/>
      <c r="AE770" s="592"/>
      <c r="AF770" s="592"/>
      <c r="AG770" s="585"/>
      <c r="AH770" s="585"/>
      <c r="AI770" s="659"/>
      <c r="AJ770" s="585"/>
      <c r="AK770" s="651"/>
      <c r="AL770" s="651"/>
    </row>
    <row r="771" spans="1:38" ht="18" customHeight="1">
      <c r="A771" s="593"/>
      <c r="B771" s="585" t="s">
        <v>3510</v>
      </c>
      <c r="C771" s="585"/>
      <c r="D771" s="585"/>
      <c r="E771" s="655"/>
      <c r="F771" s="592"/>
      <c r="G771" s="655"/>
      <c r="H771" s="655"/>
      <c r="I771" s="655"/>
      <c r="J771" s="655"/>
      <c r="K771" s="655"/>
      <c r="L771" s="656"/>
      <c r="M771" s="656"/>
      <c r="N771" s="656"/>
      <c r="O771" s="592"/>
      <c r="P771" s="585"/>
      <c r="Q771" s="585"/>
      <c r="R771" s="585"/>
      <c r="S771" s="585"/>
      <c r="T771" s="585"/>
      <c r="U771" s="592"/>
      <c r="V771" s="592"/>
      <c r="W771" s="585"/>
      <c r="X771" s="657"/>
      <c r="Y771" s="658"/>
      <c r="Z771" s="592"/>
      <c r="AA771" s="585"/>
      <c r="AB771" s="585"/>
      <c r="AC771" s="585"/>
      <c r="AD771" s="592"/>
      <c r="AE771" s="592"/>
      <c r="AF771" s="592"/>
      <c r="AG771" s="585"/>
      <c r="AH771" s="585"/>
      <c r="AI771" s="659"/>
      <c r="AJ771" s="585"/>
      <c r="AK771" s="651"/>
      <c r="AL771" s="651"/>
    </row>
    <row r="772" spans="1:38" ht="18" customHeight="1">
      <c r="A772" s="593"/>
      <c r="B772" s="585"/>
      <c r="C772" s="585"/>
      <c r="D772" s="585"/>
      <c r="E772" s="655"/>
      <c r="F772" s="592"/>
      <c r="G772" s="655"/>
      <c r="H772" s="655"/>
      <c r="I772" s="655"/>
      <c r="J772" s="655"/>
      <c r="K772" s="655"/>
      <c r="L772" s="656"/>
      <c r="M772" s="656"/>
      <c r="N772" s="656"/>
      <c r="O772" s="592"/>
      <c r="P772" s="585"/>
      <c r="Q772" s="585"/>
      <c r="R772" s="585"/>
      <c r="S772" s="585"/>
      <c r="T772" s="585"/>
      <c r="U772" s="592"/>
      <c r="V772" s="592"/>
      <c r="W772" s="585"/>
      <c r="X772" s="657"/>
      <c r="Y772" s="658"/>
      <c r="Z772" s="592"/>
      <c r="AA772" s="585"/>
      <c r="AB772" s="585"/>
      <c r="AC772" s="585"/>
      <c r="AD772" s="592"/>
      <c r="AE772" s="592"/>
      <c r="AF772" s="592"/>
      <c r="AG772" s="585"/>
      <c r="AH772" s="585"/>
      <c r="AI772" s="659"/>
      <c r="AJ772" s="585"/>
      <c r="AK772" s="651"/>
      <c r="AL772" s="651"/>
    </row>
    <row r="773" spans="1:38" ht="18" customHeight="1">
      <c r="A773" s="593"/>
      <c r="B773" s="585"/>
      <c r="C773" s="585"/>
      <c r="D773" s="585"/>
      <c r="E773" s="655"/>
      <c r="F773" s="592"/>
      <c r="G773" s="655"/>
      <c r="H773" s="655"/>
      <c r="I773" s="655"/>
      <c r="J773" s="655"/>
      <c r="K773" s="655"/>
      <c r="L773" s="656"/>
      <c r="M773" s="656"/>
      <c r="N773" s="656"/>
      <c r="O773" s="592"/>
      <c r="P773" s="585"/>
      <c r="Q773" s="585"/>
      <c r="R773" s="585"/>
      <c r="S773" s="585"/>
      <c r="T773" s="585"/>
      <c r="U773" s="592"/>
      <c r="V773" s="592"/>
      <c r="W773" s="585"/>
      <c r="X773" s="657"/>
      <c r="Y773" s="658"/>
      <c r="Z773" s="592"/>
      <c r="AA773" s="585"/>
      <c r="AB773" s="585"/>
      <c r="AC773" s="585"/>
      <c r="AD773" s="592"/>
      <c r="AE773" s="592"/>
      <c r="AF773" s="592"/>
      <c r="AG773" s="585"/>
      <c r="AH773" s="585"/>
      <c r="AI773" s="659"/>
      <c r="AJ773" s="585"/>
      <c r="AK773" s="651"/>
      <c r="AL773" s="651"/>
    </row>
    <row r="774" spans="1:38" ht="18" customHeight="1">
      <c r="A774" s="593"/>
      <c r="B774" s="585"/>
      <c r="C774" s="585"/>
      <c r="D774" s="585"/>
      <c r="E774" s="655"/>
      <c r="F774" s="655"/>
      <c r="G774" s="655"/>
      <c r="H774" s="655"/>
      <c r="I774" s="655"/>
      <c r="J774" s="655"/>
      <c r="K774" s="655"/>
      <c r="L774" s="656"/>
      <c r="M774" s="656"/>
      <c r="N774" s="656"/>
      <c r="O774" s="592"/>
      <c r="P774" s="585"/>
      <c r="Q774" s="585"/>
      <c r="R774" s="585"/>
      <c r="S774" s="585"/>
      <c r="T774" s="585"/>
      <c r="U774" s="592"/>
      <c r="V774" s="592"/>
      <c r="W774" s="585"/>
      <c r="X774" s="657"/>
      <c r="Y774" s="658"/>
      <c r="Z774" s="592"/>
      <c r="AA774" s="585"/>
      <c r="AB774" s="585"/>
      <c r="AC774" s="585"/>
      <c r="AD774" s="592"/>
      <c r="AE774" s="592"/>
      <c r="AF774" s="592"/>
      <c r="AG774" s="585"/>
      <c r="AH774" s="585"/>
      <c r="AI774" s="659"/>
      <c r="AJ774" s="585"/>
      <c r="AK774" s="651"/>
      <c r="AL774" s="651"/>
    </row>
    <row r="775" spans="1:38" ht="18" customHeight="1">
      <c r="A775" s="593"/>
      <c r="B775" s="585"/>
      <c r="C775" s="585"/>
      <c r="D775" s="585"/>
      <c r="E775" s="655"/>
      <c r="F775" s="655"/>
      <c r="G775" s="655"/>
      <c r="H775" s="655"/>
      <c r="I775" s="655"/>
      <c r="J775" s="655"/>
      <c r="K775" s="655"/>
      <c r="L775" s="656"/>
      <c r="M775" s="656"/>
      <c r="N775" s="656"/>
      <c r="O775" s="592"/>
      <c r="P775" s="585"/>
      <c r="Q775" s="585"/>
      <c r="R775" s="585"/>
      <c r="S775" s="585"/>
      <c r="T775" s="585"/>
      <c r="U775" s="592"/>
      <c r="V775" s="592"/>
      <c r="W775" s="585"/>
      <c r="X775" s="657"/>
      <c r="Y775" s="658"/>
      <c r="Z775" s="592"/>
      <c r="AA775" s="585"/>
      <c r="AB775" s="585"/>
      <c r="AC775" s="585"/>
      <c r="AD775" s="592"/>
      <c r="AE775" s="592"/>
      <c r="AF775" s="592"/>
      <c r="AG775" s="585"/>
      <c r="AH775" s="585"/>
      <c r="AI775" s="659"/>
      <c r="AJ775" s="585"/>
      <c r="AK775" s="651"/>
      <c r="AL775" s="651"/>
    </row>
    <row r="776" spans="1:38" ht="18" customHeight="1">
      <c r="A776" s="593"/>
      <c r="B776" s="585"/>
      <c r="C776" s="585"/>
      <c r="D776" s="585"/>
      <c r="E776" s="655"/>
      <c r="F776" s="655"/>
      <c r="G776" s="655"/>
      <c r="H776" s="655"/>
      <c r="I776" s="655"/>
      <c r="J776" s="655"/>
      <c r="K776" s="655"/>
      <c r="L776" s="656"/>
      <c r="M776" s="656"/>
      <c r="N776" s="656"/>
      <c r="O776" s="592"/>
      <c r="P776" s="585"/>
      <c r="Q776" s="585"/>
      <c r="R776" s="585"/>
      <c r="S776" s="585"/>
      <c r="T776" s="585"/>
      <c r="U776" s="592"/>
      <c r="V776" s="592"/>
      <c r="W776" s="585"/>
      <c r="X776" s="657"/>
      <c r="Y776" s="658"/>
      <c r="Z776" s="592"/>
      <c r="AA776" s="585"/>
      <c r="AB776" s="585"/>
      <c r="AC776" s="585"/>
      <c r="AD776" s="592"/>
      <c r="AE776" s="592"/>
      <c r="AF776" s="592"/>
      <c r="AG776" s="585"/>
      <c r="AH776" s="585"/>
      <c r="AI776" s="659"/>
      <c r="AJ776" s="585"/>
      <c r="AK776" s="651"/>
      <c r="AL776" s="651"/>
    </row>
    <row r="777" spans="1:38" ht="18" customHeight="1">
      <c r="A777" s="593"/>
      <c r="B777" s="585"/>
      <c r="C777" s="585"/>
      <c r="D777" s="585"/>
      <c r="E777" s="655"/>
      <c r="F777" s="592"/>
      <c r="G777" s="655"/>
      <c r="H777" s="655"/>
      <c r="I777" s="655"/>
      <c r="J777" s="655"/>
      <c r="K777" s="655"/>
      <c r="L777" s="656"/>
      <c r="M777" s="656"/>
      <c r="N777" s="656"/>
      <c r="O777" s="592"/>
      <c r="P777" s="585"/>
      <c r="Q777" s="585"/>
      <c r="R777" s="585"/>
      <c r="S777" s="585"/>
      <c r="T777" s="585"/>
      <c r="U777" s="592"/>
      <c r="V777" s="592"/>
      <c r="W777" s="585"/>
      <c r="X777" s="657"/>
      <c r="Y777" s="658"/>
      <c r="Z777" s="592"/>
      <c r="AA777" s="585"/>
      <c r="AB777" s="585"/>
      <c r="AC777" s="585"/>
      <c r="AD777" s="592"/>
      <c r="AE777" s="592"/>
      <c r="AF777" s="592"/>
      <c r="AG777" s="585"/>
      <c r="AH777" s="585"/>
      <c r="AI777" s="659"/>
      <c r="AJ777" s="585"/>
      <c r="AK777" s="651"/>
      <c r="AL777" s="651"/>
    </row>
    <row r="778" spans="1:38" ht="18" customHeight="1">
      <c r="A778" s="593"/>
      <c r="B778" s="585"/>
      <c r="C778" s="585"/>
      <c r="D778" s="585"/>
      <c r="E778" s="655"/>
      <c r="F778" s="592"/>
      <c r="G778" s="655"/>
      <c r="H778" s="655"/>
      <c r="I778" s="655"/>
      <c r="J778" s="655"/>
      <c r="K778" s="655"/>
      <c r="L778" s="656"/>
      <c r="M778" s="656"/>
      <c r="N778" s="656"/>
      <c r="O778" s="592"/>
      <c r="P778" s="585"/>
      <c r="Q778" s="585"/>
      <c r="R778" s="585"/>
      <c r="S778" s="585"/>
      <c r="T778" s="585"/>
      <c r="U778" s="592"/>
      <c r="V778" s="592"/>
      <c r="W778" s="585"/>
      <c r="X778" s="657"/>
      <c r="Y778" s="658"/>
      <c r="Z778" s="592"/>
      <c r="AA778" s="585"/>
      <c r="AB778" s="585"/>
      <c r="AC778" s="585"/>
      <c r="AD778" s="592"/>
      <c r="AE778" s="592"/>
      <c r="AF778" s="592"/>
      <c r="AG778" s="585"/>
      <c r="AH778" s="585"/>
      <c r="AI778" s="659"/>
      <c r="AJ778" s="585"/>
      <c r="AK778" s="651"/>
      <c r="AL778" s="651"/>
    </row>
  </sheetData>
  <autoFilter ref="B20:AL767" xr:uid="{00000000-0009-0000-0000-000005000000}"/>
  <phoneticPr fontId="154" type="noConversion"/>
  <conditionalFormatting sqref="B20:T778 AJ20:AJ309 AH20:AH401 U20:U748 V20:V752 W20:AG778 AI20:AI778 AJ311:AJ778 AH403:AH778 V754:V778 U755 U761 U768:U778">
    <cfRule type="expression" dxfId="123" priority="15">
      <formula>$AG20="중복"</formula>
    </cfRule>
  </conditionalFormatting>
  <conditionalFormatting sqref="C19">
    <cfRule type="expression" dxfId="122" priority="2">
      <formula>$AH19="출결제외"</formula>
    </cfRule>
    <cfRule type="containsText" dxfId="121" priority="3" operator="containsText" text="출결제외">
      <formula>NOT(ISERROR(SEARCH(("출결제외"),(C19))))</formula>
    </cfRule>
  </conditionalFormatting>
  <conditionalFormatting sqref="D22 D24 D26:D27 D29 D31:D32 D34:D36 D38:D42 D44 D46:D53 D55:D58 D60:D767">
    <cfRule type="expression" dxfId="120" priority="4">
      <formula>$AG22="중복"</formula>
    </cfRule>
    <cfRule type="containsText" dxfId="119" priority="5" operator="containsText" text="출결제외">
      <formula>NOT(ISERROR(SEARCH(("출결제외"),(D22))))</formula>
    </cfRule>
    <cfRule type="expression" dxfId="118" priority="6">
      <formula>$AG22="출결제외"</formula>
    </cfRule>
  </conditionalFormatting>
  <conditionalFormatting sqref="E21:E778">
    <cfRule type="containsText" dxfId="117" priority="7" operator="containsText" text="카자흐스탄(악토베)">
      <formula>NOT(ISERROR(SEARCH(("카자흐스탄(악토베)"),(E21))))</formula>
    </cfRule>
    <cfRule type="containsText" dxfId="116" priority="8" operator="containsText" text="우즈베키스탄(타슈켄트)">
      <formula>NOT(ISERROR(SEARCH(("우즈베키스탄(타슈켄트)"),(E21))))</formula>
    </cfRule>
    <cfRule type="containsText" dxfId="115" priority="9" operator="containsText" text="러시아(모스크바)">
      <formula>NOT(ISERROR(SEARCH(("러시아(모스크바)"),(E21))))</formula>
    </cfRule>
    <cfRule type="containsText" dxfId="114" priority="10" operator="containsText" text="카자흐스탄(알마티)">
      <formula>NOT(ISERROR(SEARCH(("카자흐스탄(알마티)"),(E21))))</formula>
    </cfRule>
    <cfRule type="containsText" dxfId="113" priority="11" operator="containsText" text="우크라이나(키이우)">
      <formula>NOT(ISERROR(SEARCH(("우크라이나(키이우)"),(E21))))</formula>
    </cfRule>
    <cfRule type="containsText" dxfId="112" priority="12" operator="containsText" text="크림공화국">
      <formula>NOT(ISERROR(SEARCH(("크림공화국"),(E21))))</formula>
    </cfRule>
    <cfRule type="containsText" dxfId="111" priority="13" operator="containsText" text="해외개척">
      <formula>NOT(ISERROR(SEARCH(("해외개척"),(E21))))</formula>
    </cfRule>
    <cfRule type="containsText" dxfId="110" priority="14" operator="containsText" text="국내성도">
      <formula>NOT(ISERROR(SEARCH(("국내성도"),(E21))))</formula>
    </cfRule>
  </conditionalFormatting>
  <conditionalFormatting sqref="T21:T778">
    <cfRule type="containsText" dxfId="109" priority="17" operator="containsText" text="6유년">
      <formula>NOT(ISERROR(SEARCH(("6유년"),(T21))))</formula>
    </cfRule>
    <cfRule type="containsText" dxfId="108" priority="18" operator="containsText" text="5학생">
      <formula>NOT(ISERROR(SEARCH(("5학생"),(T21))))</formula>
    </cfRule>
    <cfRule type="containsText" dxfId="107" priority="19" operator="containsText" text="4청년">
      <formula>NOT(ISERROR(SEARCH(("4청년"),(T21))))</formula>
    </cfRule>
    <cfRule type="containsText" dxfId="106" priority="20" operator="containsText" text="3부녀">
      <formula>NOT(ISERROR(SEARCH(("3부녀"),(T21))))</formula>
    </cfRule>
    <cfRule type="containsText" dxfId="105" priority="21" operator="containsText" text="2장년">
      <formula>NOT(ISERROR(SEARCH(("2장년"),(T21))))</formula>
    </cfRule>
    <cfRule type="containsText" dxfId="104" priority="22" operator="containsText" text="1자문">
      <formula>NOT(ISERROR(SEARCH(("1자문"),(T21))))</formula>
    </cfRule>
  </conditionalFormatting>
  <conditionalFormatting sqref="AJ20:AJ309 AH20:AH401 U20:U748 V20:V752 B20:T778 W20:AG778 AI20:AI778 AJ311:AJ778 AH403:AH778 V754:V778 U755 U761 U768:U778">
    <cfRule type="expression" dxfId="103" priority="1">
      <formula>$AG20="출결제외"</formula>
    </cfRule>
    <cfRule type="containsText" dxfId="102" priority="16" operator="containsText" text="출결제외">
      <formula>NOT(ISERROR(SEARCH(("출결제외"),(B20))))</formula>
    </cfRule>
  </conditionalFormatting>
  <dataValidations count="1">
    <dataValidation type="list" allowBlank="1" showErrorMessage="1" sqref="E21:E767 T21:T767" xr:uid="{00000000-0002-0000-0500-000000000000}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90"/>
      <c r="G1" s="587"/>
      <c r="H1" s="594"/>
      <c r="I1" s="594"/>
      <c r="J1" s="595"/>
      <c r="K1" s="595"/>
      <c r="L1" s="595"/>
      <c r="M1" s="595"/>
      <c r="N1" s="595"/>
      <c r="O1" s="595"/>
      <c r="Q1" s="587"/>
      <c r="R1" s="587"/>
      <c r="V1" s="587"/>
      <c r="W1" s="771"/>
      <c r="Z1" s="591"/>
      <c r="AA1" s="599"/>
      <c r="AF1" s="587"/>
      <c r="AG1" s="599"/>
      <c r="AH1" s="587"/>
    </row>
    <row r="2" spans="4:34" ht="18" hidden="1" customHeight="1">
      <c r="E2" s="590"/>
      <c r="G2" s="587"/>
      <c r="H2" s="594"/>
      <c r="I2" s="594"/>
      <c r="J2" s="595"/>
      <c r="K2" s="595"/>
      <c r="L2" s="595"/>
      <c r="M2" s="595"/>
      <c r="N2" s="595"/>
      <c r="O2" s="595"/>
      <c r="Q2" s="587"/>
      <c r="R2" s="587"/>
      <c r="V2" s="587"/>
      <c r="W2" s="771"/>
      <c r="Z2" s="591"/>
      <c r="AA2" s="599"/>
      <c r="AF2" s="772" t="s">
        <v>4426</v>
      </c>
      <c r="AG2" s="773"/>
      <c r="AH2" s="587"/>
    </row>
    <row r="3" spans="4:34" ht="18" hidden="1" customHeight="1">
      <c r="E3" s="590"/>
      <c r="G3" s="587"/>
      <c r="H3" s="594"/>
      <c r="I3" s="594"/>
      <c r="J3" s="595"/>
      <c r="K3" s="595"/>
      <c r="L3" s="595"/>
      <c r="M3" s="595"/>
      <c r="N3" s="595"/>
      <c r="O3" s="595"/>
      <c r="Q3" s="587"/>
      <c r="R3" s="587"/>
      <c r="V3" s="587"/>
      <c r="W3" s="771"/>
      <c r="Z3" s="591"/>
      <c r="AA3" s="599"/>
      <c r="AF3" s="774" t="s">
        <v>729</v>
      </c>
      <c r="AG3" s="775" t="s">
        <v>2512</v>
      </c>
      <c r="AH3" s="587"/>
    </row>
    <row r="4" spans="4:34" ht="18" hidden="1" customHeight="1">
      <c r="E4" s="590"/>
      <c r="G4" s="587"/>
      <c r="H4" s="594"/>
      <c r="I4" s="594"/>
      <c r="J4" s="595"/>
      <c r="K4" s="595"/>
      <c r="L4" s="595"/>
      <c r="M4" s="595"/>
      <c r="N4" s="595"/>
      <c r="O4" s="595"/>
      <c r="Q4" s="587"/>
      <c r="R4" s="587"/>
      <c r="V4" s="587"/>
      <c r="W4" s="771"/>
      <c r="Z4" s="591"/>
      <c r="AA4" s="599"/>
      <c r="AF4" s="774"/>
      <c r="AG4" s="775" t="s">
        <v>4427</v>
      </c>
      <c r="AH4" s="587"/>
    </row>
    <row r="5" spans="4:34" ht="18" hidden="1" customHeight="1">
      <c r="E5" s="590"/>
      <c r="G5" s="587"/>
      <c r="H5" s="594"/>
      <c r="I5" s="594"/>
      <c r="J5" s="595"/>
      <c r="K5" s="595"/>
      <c r="L5" s="595"/>
      <c r="M5" s="595"/>
      <c r="N5" s="595"/>
      <c r="O5" s="595"/>
      <c r="Q5" s="587"/>
      <c r="R5" s="587"/>
      <c r="V5" s="587"/>
      <c r="W5" s="771"/>
      <c r="Z5" s="591"/>
      <c r="AA5" s="599"/>
      <c r="AF5" s="774"/>
      <c r="AG5" s="775"/>
      <c r="AH5" s="587"/>
    </row>
    <row r="6" spans="4:34" ht="18" hidden="1" customHeight="1">
      <c r="E6" s="590"/>
      <c r="G6" s="587"/>
      <c r="H6" s="594"/>
      <c r="I6" s="594"/>
      <c r="J6" s="595"/>
      <c r="K6" s="595"/>
      <c r="L6" s="595"/>
      <c r="M6" s="595"/>
      <c r="N6" s="595"/>
      <c r="O6" s="595"/>
      <c r="Q6" s="587"/>
      <c r="R6" s="587"/>
      <c r="V6" s="587"/>
      <c r="W6" s="771"/>
      <c r="Z6" s="591"/>
      <c r="AA6" s="599"/>
      <c r="AF6" s="774"/>
      <c r="AG6" s="775"/>
      <c r="AH6" s="587"/>
    </row>
    <row r="7" spans="4:34" ht="18" hidden="1" customHeight="1">
      <c r="E7" s="590"/>
      <c r="G7" s="587"/>
      <c r="H7" s="594"/>
      <c r="I7" s="594"/>
      <c r="J7" s="595"/>
      <c r="K7" s="595"/>
      <c r="L7" s="595"/>
      <c r="M7" s="595"/>
      <c r="N7" s="595"/>
      <c r="O7" s="595"/>
      <c r="Q7" s="587"/>
      <c r="R7" s="587"/>
      <c r="V7" s="587"/>
      <c r="W7" s="771"/>
      <c r="Z7" s="591"/>
      <c r="AA7" s="599"/>
      <c r="AF7" s="774" t="s">
        <v>246</v>
      </c>
      <c r="AG7" s="775" t="s">
        <v>3824</v>
      </c>
      <c r="AH7" s="587"/>
    </row>
    <row r="8" spans="4:34" ht="18" hidden="1" customHeight="1">
      <c r="E8" s="590"/>
      <c r="G8" s="587"/>
      <c r="H8" s="594"/>
      <c r="I8" s="594"/>
      <c r="J8" s="595"/>
      <c r="K8" s="595"/>
      <c r="L8" s="595"/>
      <c r="M8" s="595"/>
      <c r="N8" s="595"/>
      <c r="O8" s="595"/>
      <c r="Q8" s="587"/>
      <c r="R8" s="587"/>
      <c r="V8" s="587"/>
      <c r="W8" s="771"/>
      <c r="Z8" s="591"/>
      <c r="AA8" s="599"/>
      <c r="AF8" s="774"/>
      <c r="AG8" s="775" t="s">
        <v>4064</v>
      </c>
      <c r="AH8" s="587"/>
    </row>
    <row r="9" spans="4:34" ht="18" hidden="1" customHeight="1">
      <c r="E9" s="590"/>
      <c r="G9" s="587"/>
      <c r="H9" s="594"/>
      <c r="I9" s="594"/>
      <c r="J9" s="595"/>
      <c r="K9" s="595"/>
      <c r="L9" s="595"/>
      <c r="M9" s="595"/>
      <c r="N9" s="595"/>
      <c r="O9" s="595"/>
      <c r="Q9" s="587"/>
      <c r="R9" s="587"/>
      <c r="V9" s="587"/>
      <c r="W9" s="771"/>
      <c r="Z9" s="591"/>
      <c r="AA9" s="599"/>
      <c r="AF9" s="774"/>
      <c r="AG9" s="775"/>
      <c r="AH9" s="587"/>
    </row>
    <row r="10" spans="4:34" ht="18" hidden="1" customHeight="1">
      <c r="E10" s="590"/>
      <c r="G10" s="587"/>
      <c r="H10" s="594"/>
      <c r="I10" s="594"/>
      <c r="J10" s="595"/>
      <c r="K10" s="595"/>
      <c r="L10" s="595"/>
      <c r="M10" s="595"/>
      <c r="N10" s="595"/>
      <c r="O10" s="595"/>
      <c r="Q10" s="587"/>
      <c r="R10" s="587"/>
      <c r="V10" s="587"/>
      <c r="W10" s="771"/>
      <c r="Z10" s="591"/>
      <c r="AA10" s="599"/>
      <c r="AF10" s="774"/>
      <c r="AG10" s="775"/>
      <c r="AH10" s="587"/>
    </row>
    <row r="11" spans="4:34" ht="18" hidden="1" customHeight="1">
      <c r="D11" s="776"/>
      <c r="E11" s="588"/>
      <c r="G11" s="587"/>
      <c r="H11" s="594"/>
      <c r="I11" s="594"/>
      <c r="J11" s="595"/>
      <c r="K11" s="595"/>
      <c r="L11" s="595"/>
      <c r="M11" s="595"/>
      <c r="N11" s="595"/>
      <c r="O11" s="595"/>
      <c r="Q11" s="587"/>
      <c r="R11" s="587"/>
      <c r="V11" s="587"/>
      <c r="W11" s="771"/>
      <c r="Z11" s="591"/>
      <c r="AA11" s="599"/>
      <c r="AF11" s="774" t="s">
        <v>4428</v>
      </c>
      <c r="AG11" s="775" t="s">
        <v>4429</v>
      </c>
      <c r="AH11" s="587"/>
    </row>
    <row r="12" spans="4:34" ht="18" hidden="1" customHeight="1">
      <c r="D12" s="776"/>
      <c r="E12" s="588"/>
      <c r="G12" s="587"/>
      <c r="H12" s="594"/>
      <c r="I12" s="594"/>
      <c r="J12" s="595"/>
      <c r="K12" s="595"/>
      <c r="L12" s="595"/>
      <c r="M12" s="595"/>
      <c r="N12" s="595"/>
      <c r="O12" s="595"/>
      <c r="Q12" s="587"/>
      <c r="R12" s="587"/>
      <c r="V12" s="587"/>
      <c r="W12" s="771"/>
      <c r="Z12" s="591"/>
      <c r="AA12" s="599"/>
      <c r="AF12" s="587"/>
      <c r="AG12" s="599"/>
      <c r="AH12" s="587"/>
    </row>
    <row r="13" spans="4:34" ht="18" hidden="1" customHeight="1">
      <c r="D13" s="776"/>
      <c r="E13" s="588"/>
      <c r="G13" s="587"/>
      <c r="H13" s="594"/>
      <c r="I13" s="594"/>
      <c r="J13" s="595"/>
      <c r="K13" s="595"/>
      <c r="L13" s="595"/>
      <c r="M13" s="595"/>
      <c r="N13" s="595"/>
      <c r="O13" s="595"/>
      <c r="Q13" s="587"/>
      <c r="R13" s="587"/>
      <c r="V13" s="587"/>
      <c r="W13" s="771"/>
      <c r="Z13" s="591"/>
      <c r="AA13" s="599"/>
      <c r="AF13" s="587"/>
      <c r="AG13" s="599"/>
      <c r="AH13" s="587"/>
    </row>
    <row r="14" spans="4:34" ht="18" hidden="1" customHeight="1">
      <c r="D14" s="776"/>
      <c r="E14" s="588"/>
      <c r="G14" s="587"/>
      <c r="H14" s="594"/>
      <c r="I14" s="594"/>
      <c r="J14" s="595"/>
      <c r="K14" s="595"/>
      <c r="L14" s="595"/>
      <c r="M14" s="595"/>
      <c r="N14" s="595"/>
      <c r="O14" s="595"/>
      <c r="Q14" s="587"/>
      <c r="R14" s="587"/>
      <c r="V14" s="587"/>
      <c r="W14" s="771"/>
      <c r="Z14" s="591"/>
      <c r="AA14" s="599"/>
      <c r="AF14" s="587"/>
      <c r="AG14" s="599"/>
      <c r="AH14" s="587"/>
    </row>
    <row r="15" spans="4:34" ht="18" hidden="1" customHeight="1">
      <c r="D15" s="776"/>
      <c r="E15" s="588"/>
      <c r="G15" s="587"/>
      <c r="H15" s="594"/>
      <c r="I15" s="594"/>
      <c r="J15" s="595"/>
      <c r="K15" s="595"/>
      <c r="L15" s="595"/>
      <c r="M15" s="595"/>
      <c r="N15" s="595"/>
      <c r="O15" s="595"/>
      <c r="Q15" s="587"/>
      <c r="R15" s="587"/>
      <c r="V15" s="587"/>
      <c r="W15" s="771"/>
      <c r="Z15" s="591"/>
      <c r="AA15" s="599"/>
      <c r="AF15" s="587"/>
      <c r="AG15" s="599"/>
      <c r="AH15" s="587"/>
    </row>
    <row r="16" spans="4:34" ht="18" customHeight="1">
      <c r="D16" s="776"/>
      <c r="E16" s="588"/>
      <c r="G16" s="587"/>
      <c r="H16" s="594"/>
      <c r="I16" s="594"/>
      <c r="J16" s="595"/>
      <c r="K16" s="595"/>
      <c r="L16" s="595"/>
      <c r="M16" s="595"/>
      <c r="N16" s="595"/>
      <c r="O16" s="595"/>
      <c r="P16" s="588"/>
      <c r="Q16" s="587"/>
      <c r="R16" s="587"/>
      <c r="V16" s="587"/>
      <c r="W16" s="771"/>
      <c r="Z16" s="591"/>
      <c r="AA16" s="599"/>
      <c r="AF16" s="587"/>
      <c r="AG16" s="599"/>
      <c r="AH16" s="587"/>
    </row>
    <row r="17" spans="1:39" ht="18" customHeight="1">
      <c r="D17" s="776"/>
      <c r="E17" s="588"/>
      <c r="G17" s="587"/>
      <c r="H17" s="594"/>
      <c r="I17" s="594"/>
      <c r="J17" s="595"/>
      <c r="K17" s="595"/>
      <c r="L17" s="595"/>
      <c r="M17" s="595"/>
      <c r="N17" s="595"/>
      <c r="O17" s="595"/>
      <c r="Q17" s="587"/>
      <c r="R17" s="587"/>
      <c r="V17" s="587"/>
      <c r="W17" s="771"/>
      <c r="Z17" s="591"/>
      <c r="AA17" s="599"/>
      <c r="AF17" s="587"/>
      <c r="AG17" s="599"/>
      <c r="AH17" s="587"/>
    </row>
    <row r="18" spans="1:39" ht="18" customHeight="1">
      <c r="C18" s="588"/>
      <c r="D18" s="776"/>
      <c r="E18" s="588"/>
      <c r="F18" s="588"/>
      <c r="G18" s="587"/>
      <c r="H18" s="594"/>
      <c r="I18" s="594"/>
      <c r="J18" s="595"/>
      <c r="K18" s="595"/>
      <c r="L18" s="595"/>
      <c r="M18" s="595"/>
      <c r="N18" s="595"/>
      <c r="O18" s="595"/>
      <c r="Q18" s="587"/>
      <c r="R18" s="587"/>
      <c r="V18" s="587"/>
      <c r="W18" s="771"/>
      <c r="Z18" s="591"/>
      <c r="AA18" s="599"/>
      <c r="AF18" s="587"/>
      <c r="AG18" s="599"/>
      <c r="AH18" s="587"/>
    </row>
    <row r="19" spans="1:39" ht="18" customHeight="1">
      <c r="A19" s="585"/>
      <c r="B19" s="585"/>
      <c r="C19" s="585">
        <v>674</v>
      </c>
      <c r="D19" s="777" t="s">
        <v>913</v>
      </c>
      <c r="E19" s="598">
        <f>SUBTOTAL(103,$F$21:F741)</f>
        <v>674</v>
      </c>
      <c r="F19" s="585"/>
      <c r="G19" s="587"/>
      <c r="H19" s="594"/>
      <c r="I19" s="594"/>
      <c r="J19" s="594"/>
      <c r="K19" s="594"/>
      <c r="L19" s="594"/>
      <c r="M19" s="594"/>
      <c r="N19" s="594"/>
      <c r="O19" s="594"/>
      <c r="Q19" s="589"/>
      <c r="R19" s="589"/>
      <c r="S19" s="588"/>
      <c r="T19" s="588"/>
      <c r="U19" s="588"/>
      <c r="V19" s="589"/>
      <c r="W19" s="771"/>
      <c r="X19" s="588"/>
      <c r="Z19" s="591"/>
      <c r="AA19" s="599"/>
      <c r="AF19" s="587"/>
      <c r="AG19" s="599"/>
      <c r="AH19" s="587"/>
    </row>
    <row r="20" spans="1:39" ht="18" customHeight="1">
      <c r="C20" s="600" t="s">
        <v>914</v>
      </c>
      <c r="D20" s="601" t="s">
        <v>912</v>
      </c>
      <c r="E20" s="601" t="s">
        <v>915</v>
      </c>
      <c r="F20" s="601" t="s">
        <v>916</v>
      </c>
      <c r="G20" s="603" t="s">
        <v>917</v>
      </c>
      <c r="H20" s="604" t="s">
        <v>918</v>
      </c>
      <c r="I20" s="605" t="s">
        <v>919</v>
      </c>
      <c r="J20" s="606" t="s">
        <v>173</v>
      </c>
      <c r="K20" s="607" t="s">
        <v>55</v>
      </c>
      <c r="L20" s="608" t="s">
        <v>920</v>
      </c>
      <c r="M20" s="609" t="s">
        <v>921</v>
      </c>
      <c r="N20" s="610" t="s">
        <v>922</v>
      </c>
      <c r="O20" s="611" t="s">
        <v>923</v>
      </c>
      <c r="P20" s="612" t="s">
        <v>924</v>
      </c>
      <c r="Q20" s="601" t="s">
        <v>319</v>
      </c>
      <c r="R20" s="601" t="s">
        <v>925</v>
      </c>
      <c r="S20" s="601" t="s">
        <v>4430</v>
      </c>
      <c r="T20" s="601" t="s">
        <v>4431</v>
      </c>
      <c r="U20" s="601" t="s">
        <v>929</v>
      </c>
      <c r="V20" s="613" t="s">
        <v>930</v>
      </c>
      <c r="W20" s="778" t="s">
        <v>931</v>
      </c>
      <c r="X20" s="601" t="s">
        <v>932</v>
      </c>
      <c r="Y20" s="614" t="s">
        <v>933</v>
      </c>
      <c r="Z20" s="601" t="s">
        <v>934</v>
      </c>
      <c r="AA20" s="613" t="s">
        <v>935</v>
      </c>
      <c r="AB20" s="602" t="s">
        <v>936</v>
      </c>
      <c r="AC20" s="601" t="s">
        <v>937</v>
      </c>
      <c r="AD20" s="601" t="s">
        <v>938</v>
      </c>
      <c r="AE20" s="613" t="s">
        <v>939</v>
      </c>
      <c r="AF20" s="613" t="s">
        <v>940</v>
      </c>
      <c r="AG20" s="613" t="s">
        <v>941</v>
      </c>
      <c r="AH20" s="601" t="s">
        <v>942</v>
      </c>
      <c r="AI20" s="601" t="s">
        <v>943</v>
      </c>
      <c r="AJ20" s="601" t="s">
        <v>944</v>
      </c>
      <c r="AK20" s="615" t="s">
        <v>945</v>
      </c>
      <c r="AL20" s="601" t="s">
        <v>4976</v>
      </c>
      <c r="AM20" s="601" t="s">
        <v>4432</v>
      </c>
    </row>
    <row r="21" spans="1:39" ht="18" customHeight="1">
      <c r="C21" s="598">
        <v>1</v>
      </c>
      <c r="D21" s="598" t="s">
        <v>1000</v>
      </c>
      <c r="E21" s="598">
        <f t="shared" ref="E21:E30" si="0">SUBTOTAL(103,$U$21:U21)</f>
        <v>1</v>
      </c>
      <c r="F21" s="616" t="s">
        <v>957</v>
      </c>
      <c r="G21" s="616" t="s">
        <v>1001</v>
      </c>
      <c r="H21" s="618" t="s">
        <v>1033</v>
      </c>
      <c r="I21" s="618" t="s">
        <v>64</v>
      </c>
      <c r="J21" s="618" t="s">
        <v>956</v>
      </c>
      <c r="K21" s="618" t="s">
        <v>1000</v>
      </c>
      <c r="L21" s="618" t="s">
        <v>959</v>
      </c>
      <c r="M21" s="619" t="s">
        <v>959</v>
      </c>
      <c r="N21" s="620"/>
      <c r="O21" s="620"/>
      <c r="P21" s="663" t="s">
        <v>1044</v>
      </c>
      <c r="Q21" s="621"/>
      <c r="R21" s="598" t="s">
        <v>55</v>
      </c>
      <c r="S21" s="598" t="s">
        <v>55</v>
      </c>
      <c r="T21" s="598"/>
      <c r="U21" s="598" t="s">
        <v>992</v>
      </c>
      <c r="V21" s="664" t="s">
        <v>53</v>
      </c>
      <c r="W21" s="779" t="s">
        <v>1003</v>
      </c>
      <c r="X21" s="598" t="s">
        <v>963</v>
      </c>
      <c r="Y21" s="624">
        <v>32377</v>
      </c>
      <c r="Z21" s="625">
        <f t="shared" ref="Z21:Z33" ca="1" si="1">DATEDIF(Y21,TODAY(),"Y")</f>
        <v>37</v>
      </c>
      <c r="AA21" s="616" t="s">
        <v>1004</v>
      </c>
      <c r="AB21" s="598" t="s">
        <v>1005</v>
      </c>
      <c r="AC21" s="598" t="s">
        <v>1006</v>
      </c>
      <c r="AD21" s="598" t="s">
        <v>953</v>
      </c>
      <c r="AE21" s="616" t="s">
        <v>729</v>
      </c>
      <c r="AF21" s="616" t="s">
        <v>954</v>
      </c>
      <c r="AG21" s="616" t="s">
        <v>974</v>
      </c>
      <c r="AH21" s="598"/>
      <c r="AI21" s="598"/>
      <c r="AJ21" s="598"/>
      <c r="AK21" s="598"/>
      <c r="AL21" s="626"/>
      <c r="AM21" s="626"/>
    </row>
    <row r="22" spans="1:39" ht="18" customHeight="1">
      <c r="C22" s="598">
        <v>2</v>
      </c>
      <c r="D22" s="598" t="s">
        <v>956</v>
      </c>
      <c r="E22" s="598">
        <f t="shared" si="0"/>
        <v>2</v>
      </c>
      <c r="F22" s="616" t="s">
        <v>957</v>
      </c>
      <c r="G22" s="616" t="s">
        <v>958</v>
      </c>
      <c r="H22" s="618" t="s">
        <v>1033</v>
      </c>
      <c r="I22" s="618" t="s">
        <v>64</v>
      </c>
      <c r="J22" s="617" t="s">
        <v>956</v>
      </c>
      <c r="K22" s="618" t="s">
        <v>1000</v>
      </c>
      <c r="L22" s="617" t="s">
        <v>959</v>
      </c>
      <c r="M22" s="619" t="s">
        <v>959</v>
      </c>
      <c r="N22" s="620"/>
      <c r="O22" s="620"/>
      <c r="P22" s="663" t="s">
        <v>1044</v>
      </c>
      <c r="Q22" s="621"/>
      <c r="R22" s="598" t="s">
        <v>173</v>
      </c>
      <c r="S22" s="598" t="s">
        <v>4433</v>
      </c>
      <c r="T22" s="598" t="s">
        <v>55</v>
      </c>
      <c r="U22" s="598" t="s">
        <v>962</v>
      </c>
      <c r="V22" s="665" t="s">
        <v>64</v>
      </c>
      <c r="W22" s="779" t="s">
        <v>4977</v>
      </c>
      <c r="X22" s="598" t="s">
        <v>963</v>
      </c>
      <c r="Y22" s="624">
        <v>32431</v>
      </c>
      <c r="Z22" s="625">
        <f t="shared" ca="1" si="1"/>
        <v>37</v>
      </c>
      <c r="AA22" s="616" t="s">
        <v>964</v>
      </c>
      <c r="AB22" s="598" t="s">
        <v>965</v>
      </c>
      <c r="AC22" s="598" t="s">
        <v>966</v>
      </c>
      <c r="AD22" s="598" t="s">
        <v>953</v>
      </c>
      <c r="AE22" s="616" t="s">
        <v>967</v>
      </c>
      <c r="AF22" s="616" t="s">
        <v>954</v>
      </c>
      <c r="AG22" s="616" t="s">
        <v>968</v>
      </c>
      <c r="AH22" s="598"/>
      <c r="AI22" s="598"/>
      <c r="AJ22" s="598"/>
      <c r="AK22" s="598"/>
      <c r="AL22" s="626"/>
      <c r="AM22" s="626"/>
    </row>
    <row r="23" spans="1:39" ht="18" customHeight="1">
      <c r="C23" s="598">
        <v>3</v>
      </c>
      <c r="D23" s="598" t="s">
        <v>969</v>
      </c>
      <c r="E23" s="598">
        <f t="shared" si="0"/>
        <v>3</v>
      </c>
      <c r="F23" s="616" t="s">
        <v>957</v>
      </c>
      <c r="G23" s="616" t="s">
        <v>958</v>
      </c>
      <c r="H23" s="618" t="s">
        <v>1033</v>
      </c>
      <c r="I23" s="618" t="s">
        <v>64</v>
      </c>
      <c r="J23" s="618" t="s">
        <v>956</v>
      </c>
      <c r="K23" s="618" t="s">
        <v>1000</v>
      </c>
      <c r="L23" s="618" t="s">
        <v>959</v>
      </c>
      <c r="M23" s="619" t="s">
        <v>959</v>
      </c>
      <c r="N23" s="620"/>
      <c r="O23" s="620"/>
      <c r="P23" s="663" t="s">
        <v>1044</v>
      </c>
      <c r="Q23" s="621"/>
      <c r="R23" s="598"/>
      <c r="S23" s="598"/>
      <c r="T23" s="598"/>
      <c r="U23" s="598" t="s">
        <v>962</v>
      </c>
      <c r="V23" s="663" t="s">
        <v>77</v>
      </c>
      <c r="W23" s="779" t="s">
        <v>970</v>
      </c>
      <c r="X23" s="598" t="s">
        <v>963</v>
      </c>
      <c r="Y23" s="624">
        <v>32370</v>
      </c>
      <c r="Z23" s="625">
        <f t="shared" ca="1" si="1"/>
        <v>37</v>
      </c>
      <c r="AA23" s="616" t="s">
        <v>971</v>
      </c>
      <c r="AB23" s="598" t="s">
        <v>972</v>
      </c>
      <c r="AC23" s="598" t="s">
        <v>966</v>
      </c>
      <c r="AD23" s="598" t="s">
        <v>953</v>
      </c>
      <c r="AE23" s="616" t="s">
        <v>973</v>
      </c>
      <c r="AF23" s="616" t="s">
        <v>954</v>
      </c>
      <c r="AG23" s="616" t="s">
        <v>974</v>
      </c>
      <c r="AH23" s="598"/>
      <c r="AI23" s="598"/>
      <c r="AJ23" s="598"/>
      <c r="AK23" s="598"/>
      <c r="AL23" s="626"/>
      <c r="AM23" s="626"/>
    </row>
    <row r="24" spans="1:39" ht="18" customHeight="1">
      <c r="C24" s="598">
        <v>4</v>
      </c>
      <c r="D24" s="598" t="s">
        <v>2655</v>
      </c>
      <c r="E24" s="598">
        <f t="shared" si="0"/>
        <v>4</v>
      </c>
      <c r="F24" s="616" t="s">
        <v>4978</v>
      </c>
      <c r="G24" s="616" t="s">
        <v>958</v>
      </c>
      <c r="H24" s="618" t="s">
        <v>1033</v>
      </c>
      <c r="I24" s="618" t="s">
        <v>64</v>
      </c>
      <c r="J24" s="618" t="s">
        <v>956</v>
      </c>
      <c r="K24" s="618" t="s">
        <v>1000</v>
      </c>
      <c r="L24" s="618" t="s">
        <v>959</v>
      </c>
      <c r="M24" s="619" t="s">
        <v>959</v>
      </c>
      <c r="N24" s="620"/>
      <c r="O24" s="620"/>
      <c r="P24" s="663" t="s">
        <v>1044</v>
      </c>
      <c r="Q24" s="621"/>
      <c r="R24" s="598"/>
      <c r="S24" s="598"/>
      <c r="T24" s="598"/>
      <c r="U24" s="598" t="s">
        <v>962</v>
      </c>
      <c r="V24" s="663" t="s">
        <v>108</v>
      </c>
      <c r="W24" s="779" t="s">
        <v>2656</v>
      </c>
      <c r="X24" s="598" t="s">
        <v>963</v>
      </c>
      <c r="Y24" s="624">
        <v>29900</v>
      </c>
      <c r="Z24" s="625">
        <f t="shared" ca="1" si="1"/>
        <v>44</v>
      </c>
      <c r="AA24" s="616" t="s">
        <v>2657</v>
      </c>
      <c r="AB24" s="666" t="s">
        <v>2658</v>
      </c>
      <c r="AC24" s="598" t="s">
        <v>966</v>
      </c>
      <c r="AD24" s="598" t="s">
        <v>953</v>
      </c>
      <c r="AE24" s="616" t="s">
        <v>1041</v>
      </c>
      <c r="AF24" s="616" t="s">
        <v>2659</v>
      </c>
      <c r="AG24" s="616" t="s">
        <v>2660</v>
      </c>
      <c r="AH24" s="598"/>
      <c r="AI24" s="598"/>
      <c r="AJ24" s="598"/>
      <c r="AK24" s="598"/>
      <c r="AL24" s="626"/>
      <c r="AM24" s="626"/>
    </row>
    <row r="25" spans="1:39" ht="18" customHeight="1">
      <c r="C25" s="598">
        <v>5</v>
      </c>
      <c r="D25" s="598" t="s">
        <v>975</v>
      </c>
      <c r="E25" s="598">
        <f t="shared" si="0"/>
        <v>5</v>
      </c>
      <c r="F25" s="616" t="s">
        <v>957</v>
      </c>
      <c r="G25" s="616" t="s">
        <v>958</v>
      </c>
      <c r="H25" s="618" t="s">
        <v>1033</v>
      </c>
      <c r="I25" s="618" t="s">
        <v>64</v>
      </c>
      <c r="J25" s="618" t="s">
        <v>956</v>
      </c>
      <c r="K25" s="618" t="s">
        <v>1000</v>
      </c>
      <c r="L25" s="618" t="s">
        <v>959</v>
      </c>
      <c r="M25" s="619" t="s">
        <v>959</v>
      </c>
      <c r="N25" s="620"/>
      <c r="O25" s="620"/>
      <c r="P25" s="663" t="s">
        <v>1044</v>
      </c>
      <c r="Q25" s="621"/>
      <c r="R25" s="598"/>
      <c r="S25" s="598"/>
      <c r="T25" s="598"/>
      <c r="U25" s="598" t="s">
        <v>962</v>
      </c>
      <c r="V25" s="663" t="s">
        <v>90</v>
      </c>
      <c r="W25" s="779" t="s">
        <v>976</v>
      </c>
      <c r="X25" s="598" t="s">
        <v>963</v>
      </c>
      <c r="Y25" s="624">
        <v>32279</v>
      </c>
      <c r="Z25" s="625">
        <f t="shared" ca="1" si="1"/>
        <v>37</v>
      </c>
      <c r="AA25" s="616" t="s">
        <v>977</v>
      </c>
      <c r="AB25" s="598" t="s">
        <v>978</v>
      </c>
      <c r="AC25" s="598" t="s">
        <v>966</v>
      </c>
      <c r="AD25" s="598" t="s">
        <v>953</v>
      </c>
      <c r="AE25" s="616" t="s">
        <v>973</v>
      </c>
      <c r="AF25" s="616" t="s">
        <v>954</v>
      </c>
      <c r="AG25" s="616" t="s">
        <v>974</v>
      </c>
      <c r="AH25" s="598"/>
      <c r="AI25" s="598"/>
      <c r="AJ25" s="598"/>
      <c r="AK25" s="598"/>
      <c r="AL25" s="626"/>
      <c r="AM25" s="626"/>
    </row>
    <row r="26" spans="1:39" ht="18" customHeight="1">
      <c r="C26" s="598">
        <v>6</v>
      </c>
      <c r="D26" s="598" t="s">
        <v>979</v>
      </c>
      <c r="E26" s="598">
        <f t="shared" si="0"/>
        <v>6</v>
      </c>
      <c r="F26" s="616" t="s">
        <v>957</v>
      </c>
      <c r="G26" s="616" t="s">
        <v>958</v>
      </c>
      <c r="H26" s="618" t="s">
        <v>1033</v>
      </c>
      <c r="I26" s="618" t="s">
        <v>64</v>
      </c>
      <c r="J26" s="618" t="s">
        <v>956</v>
      </c>
      <c r="K26" s="618" t="s">
        <v>1000</v>
      </c>
      <c r="L26" s="618" t="s">
        <v>959</v>
      </c>
      <c r="M26" s="619" t="s">
        <v>959</v>
      </c>
      <c r="N26" s="620"/>
      <c r="O26" s="620"/>
      <c r="P26" s="663" t="s">
        <v>1044</v>
      </c>
      <c r="Q26" s="621"/>
      <c r="R26" s="598"/>
      <c r="S26" s="598"/>
      <c r="T26" s="598"/>
      <c r="U26" s="598" t="s">
        <v>962</v>
      </c>
      <c r="V26" s="663" t="s">
        <v>99</v>
      </c>
      <c r="W26" s="779" t="s">
        <v>980</v>
      </c>
      <c r="X26" s="598" t="s">
        <v>963</v>
      </c>
      <c r="Y26" s="624">
        <v>31456</v>
      </c>
      <c r="Z26" s="625">
        <f t="shared" ca="1" si="1"/>
        <v>39</v>
      </c>
      <c r="AA26" s="616" t="s">
        <v>981</v>
      </c>
      <c r="AB26" s="598" t="s">
        <v>982</v>
      </c>
      <c r="AC26" s="598" t="s">
        <v>966</v>
      </c>
      <c r="AD26" s="598" t="s">
        <v>953</v>
      </c>
      <c r="AE26" s="616" t="s">
        <v>973</v>
      </c>
      <c r="AF26" s="616" t="s">
        <v>954</v>
      </c>
      <c r="AG26" s="616" t="s">
        <v>974</v>
      </c>
      <c r="AH26" s="598"/>
      <c r="AI26" s="598"/>
      <c r="AJ26" s="598"/>
      <c r="AK26" s="598"/>
      <c r="AL26" s="626"/>
      <c r="AM26" s="626"/>
    </row>
    <row r="27" spans="1:39" ht="18" customHeight="1">
      <c r="C27" s="598">
        <v>7</v>
      </c>
      <c r="D27" s="598" t="s">
        <v>1007</v>
      </c>
      <c r="E27" s="598">
        <f t="shared" si="0"/>
        <v>7</v>
      </c>
      <c r="F27" s="616" t="s">
        <v>957</v>
      </c>
      <c r="G27" s="616" t="s">
        <v>1001</v>
      </c>
      <c r="H27" s="618" t="s">
        <v>1033</v>
      </c>
      <c r="I27" s="618" t="s">
        <v>64</v>
      </c>
      <c r="J27" s="618" t="s">
        <v>956</v>
      </c>
      <c r="K27" s="618" t="s">
        <v>1007</v>
      </c>
      <c r="L27" s="618" t="s">
        <v>986</v>
      </c>
      <c r="M27" s="619" t="s">
        <v>959</v>
      </c>
      <c r="N27" s="620"/>
      <c r="O27" s="620"/>
      <c r="P27" s="667" t="s">
        <v>1074</v>
      </c>
      <c r="Q27" s="621"/>
      <c r="R27" s="598" t="s">
        <v>55</v>
      </c>
      <c r="S27" s="598" t="s">
        <v>55</v>
      </c>
      <c r="T27" s="598"/>
      <c r="U27" s="598" t="s">
        <v>992</v>
      </c>
      <c r="V27" s="667" t="s">
        <v>56</v>
      </c>
      <c r="W27" s="779" t="s">
        <v>1008</v>
      </c>
      <c r="X27" s="598" t="s">
        <v>963</v>
      </c>
      <c r="Y27" s="624">
        <v>32305</v>
      </c>
      <c r="Z27" s="625">
        <f t="shared" ca="1" si="1"/>
        <v>37</v>
      </c>
      <c r="AA27" s="616" t="s">
        <v>1009</v>
      </c>
      <c r="AB27" s="598" t="s">
        <v>1010</v>
      </c>
      <c r="AC27" s="598" t="s">
        <v>1006</v>
      </c>
      <c r="AD27" s="598" t="s">
        <v>953</v>
      </c>
      <c r="AE27" s="616" t="s">
        <v>729</v>
      </c>
      <c r="AF27" s="616" t="s">
        <v>954</v>
      </c>
      <c r="AG27" s="616" t="s">
        <v>968</v>
      </c>
      <c r="AH27" s="598"/>
      <c r="AI27" s="598"/>
      <c r="AJ27" s="598" t="s">
        <v>1011</v>
      </c>
      <c r="AK27" s="598"/>
      <c r="AL27" s="626"/>
      <c r="AM27" s="626"/>
    </row>
    <row r="28" spans="1:39" ht="18" customHeight="1">
      <c r="C28" s="598">
        <v>8</v>
      </c>
      <c r="D28" s="598" t="s">
        <v>986</v>
      </c>
      <c r="E28" s="598">
        <f t="shared" si="0"/>
        <v>8</v>
      </c>
      <c r="F28" s="616" t="s">
        <v>957</v>
      </c>
      <c r="G28" s="616" t="s">
        <v>958</v>
      </c>
      <c r="H28" s="618" t="s">
        <v>1033</v>
      </c>
      <c r="I28" s="618" t="s">
        <v>64</v>
      </c>
      <c r="J28" s="618" t="s">
        <v>956</v>
      </c>
      <c r="K28" s="618" t="s">
        <v>1007</v>
      </c>
      <c r="L28" s="618" t="s">
        <v>986</v>
      </c>
      <c r="M28" s="619" t="s">
        <v>959</v>
      </c>
      <c r="N28" s="620"/>
      <c r="O28" s="620"/>
      <c r="P28" s="663" t="s">
        <v>1074</v>
      </c>
      <c r="Q28" s="621"/>
      <c r="R28" s="598" t="s">
        <v>173</v>
      </c>
      <c r="S28" s="598" t="s">
        <v>514</v>
      </c>
      <c r="T28" s="598" t="s">
        <v>55</v>
      </c>
      <c r="U28" s="598" t="s">
        <v>962</v>
      </c>
      <c r="V28" s="668" t="s">
        <v>78</v>
      </c>
      <c r="W28" s="779" t="s">
        <v>987</v>
      </c>
      <c r="X28" s="598" t="s">
        <v>963</v>
      </c>
      <c r="Y28" s="624">
        <v>33031</v>
      </c>
      <c r="Z28" s="625">
        <f t="shared" ca="1" si="1"/>
        <v>35</v>
      </c>
      <c r="AA28" s="616" t="s">
        <v>988</v>
      </c>
      <c r="AB28" s="598" t="s">
        <v>989</v>
      </c>
      <c r="AC28" s="598" t="s">
        <v>966</v>
      </c>
      <c r="AD28" s="598" t="s">
        <v>953</v>
      </c>
      <c r="AE28" s="616" t="s">
        <v>729</v>
      </c>
      <c r="AF28" s="616" t="s">
        <v>954</v>
      </c>
      <c r="AG28" s="616" t="s">
        <v>974</v>
      </c>
      <c r="AH28" s="598"/>
      <c r="AI28" s="598"/>
      <c r="AJ28" s="598"/>
      <c r="AK28" s="598"/>
      <c r="AL28" s="626"/>
      <c r="AM28" s="626"/>
    </row>
    <row r="29" spans="1:39" ht="18" customHeight="1">
      <c r="C29" s="598">
        <v>9</v>
      </c>
      <c r="D29" s="598" t="s">
        <v>983</v>
      </c>
      <c r="E29" s="598">
        <f t="shared" si="0"/>
        <v>9</v>
      </c>
      <c r="F29" s="616" t="s">
        <v>957</v>
      </c>
      <c r="G29" s="616" t="s">
        <v>958</v>
      </c>
      <c r="H29" s="618" t="s">
        <v>1033</v>
      </c>
      <c r="I29" s="618" t="s">
        <v>64</v>
      </c>
      <c r="J29" s="618" t="s">
        <v>956</v>
      </c>
      <c r="K29" s="618" t="s">
        <v>1007</v>
      </c>
      <c r="L29" s="618" t="s">
        <v>986</v>
      </c>
      <c r="M29" s="619" t="s">
        <v>959</v>
      </c>
      <c r="N29" s="620"/>
      <c r="O29" s="620"/>
      <c r="P29" s="663" t="s">
        <v>1074</v>
      </c>
      <c r="Q29" s="621"/>
      <c r="R29" s="598"/>
      <c r="S29" s="598"/>
      <c r="T29" s="598"/>
      <c r="U29" s="598" t="s">
        <v>962</v>
      </c>
      <c r="V29" s="663" t="s">
        <v>66</v>
      </c>
      <c r="W29" s="779" t="s">
        <v>984</v>
      </c>
      <c r="X29" s="598" t="s">
        <v>963</v>
      </c>
      <c r="Y29" s="624">
        <v>33599</v>
      </c>
      <c r="Z29" s="625">
        <f t="shared" ca="1" si="1"/>
        <v>34</v>
      </c>
      <c r="AA29" s="616" t="s">
        <v>985</v>
      </c>
      <c r="AB29" s="598"/>
      <c r="AC29" s="598" t="s">
        <v>966</v>
      </c>
      <c r="AD29" s="598" t="s">
        <v>953</v>
      </c>
      <c r="AE29" s="616" t="s">
        <v>973</v>
      </c>
      <c r="AF29" s="616" t="s">
        <v>954</v>
      </c>
      <c r="AG29" s="616" t="s">
        <v>974</v>
      </c>
      <c r="AH29" s="598"/>
      <c r="AI29" s="598"/>
      <c r="AJ29" s="598"/>
      <c r="AK29" s="598"/>
      <c r="AL29" s="626"/>
      <c r="AM29" s="626"/>
    </row>
    <row r="30" spans="1:39" ht="18" customHeight="1">
      <c r="C30" s="598">
        <v>10</v>
      </c>
      <c r="D30" s="598" t="s">
        <v>4435</v>
      </c>
      <c r="E30" s="598">
        <f t="shared" si="0"/>
        <v>10</v>
      </c>
      <c r="F30" s="616" t="s">
        <v>957</v>
      </c>
      <c r="G30" s="616" t="s">
        <v>1001</v>
      </c>
      <c r="H30" s="618" t="s">
        <v>1033</v>
      </c>
      <c r="I30" s="618" t="s">
        <v>64</v>
      </c>
      <c r="J30" s="618" t="s">
        <v>956</v>
      </c>
      <c r="K30" s="618" t="s">
        <v>1007</v>
      </c>
      <c r="L30" s="618" t="s">
        <v>986</v>
      </c>
      <c r="M30" s="619" t="s">
        <v>959</v>
      </c>
      <c r="N30" s="620"/>
      <c r="O30" s="620"/>
      <c r="P30" s="663" t="s">
        <v>1074</v>
      </c>
      <c r="Q30" s="621"/>
      <c r="R30" s="598"/>
      <c r="S30" s="598"/>
      <c r="T30" s="598"/>
      <c r="U30" s="598" t="s">
        <v>992</v>
      </c>
      <c r="V30" s="669" t="s">
        <v>91</v>
      </c>
      <c r="W30" s="779" t="s">
        <v>4436</v>
      </c>
      <c r="X30" s="598" t="s">
        <v>963</v>
      </c>
      <c r="Y30" s="624">
        <v>36739</v>
      </c>
      <c r="Z30" s="625">
        <f t="shared" ca="1" si="1"/>
        <v>25</v>
      </c>
      <c r="AA30" s="616" t="s">
        <v>4437</v>
      </c>
      <c r="AB30" s="632"/>
      <c r="AC30" s="598" t="s">
        <v>996</v>
      </c>
      <c r="AD30" s="633" t="s">
        <v>1018</v>
      </c>
      <c r="AE30" s="616" t="s">
        <v>973</v>
      </c>
      <c r="AF30" s="616" t="s">
        <v>954</v>
      </c>
      <c r="AG30" s="616" t="s">
        <v>974</v>
      </c>
      <c r="AH30" s="598"/>
      <c r="AI30" s="598"/>
      <c r="AJ30" s="598" t="s">
        <v>1440</v>
      </c>
      <c r="AK30" s="598"/>
      <c r="AL30" s="626"/>
      <c r="AM30" s="626"/>
    </row>
    <row r="31" spans="1:39" ht="18" customHeight="1">
      <c r="A31" s="174"/>
      <c r="B31" s="174"/>
      <c r="C31" s="598">
        <v>11</v>
      </c>
      <c r="D31" s="598" t="s">
        <v>990</v>
      </c>
      <c r="E31" s="598">
        <f>SUBTOTAL(103,$U$21:U31)</f>
        <v>11</v>
      </c>
      <c r="F31" s="670" t="s">
        <v>957</v>
      </c>
      <c r="G31" s="598" t="s">
        <v>991</v>
      </c>
      <c r="H31" s="618" t="s">
        <v>1033</v>
      </c>
      <c r="I31" s="618" t="s">
        <v>64</v>
      </c>
      <c r="J31" s="618" t="s">
        <v>956</v>
      </c>
      <c r="K31" s="618" t="s">
        <v>1007</v>
      </c>
      <c r="L31" s="618" t="s">
        <v>986</v>
      </c>
      <c r="M31" s="619" t="s">
        <v>959</v>
      </c>
      <c r="N31" s="620"/>
      <c r="O31" s="620"/>
      <c r="P31" s="663" t="s">
        <v>1074</v>
      </c>
      <c r="Q31" s="621"/>
      <c r="R31" s="627"/>
      <c r="S31" s="627"/>
      <c r="T31" s="627"/>
      <c r="U31" s="671" t="s">
        <v>992</v>
      </c>
      <c r="V31" s="672" t="s">
        <v>908</v>
      </c>
      <c r="W31" s="780" t="s">
        <v>993</v>
      </c>
      <c r="X31" s="598" t="s">
        <v>963</v>
      </c>
      <c r="Y31" s="624">
        <v>32741</v>
      </c>
      <c r="Z31" s="625">
        <f t="shared" ca="1" si="1"/>
        <v>36</v>
      </c>
      <c r="AA31" s="598" t="s">
        <v>994</v>
      </c>
      <c r="AB31" s="598" t="s">
        <v>995</v>
      </c>
      <c r="AC31" s="598" t="s">
        <v>996</v>
      </c>
      <c r="AD31" s="598" t="s">
        <v>997</v>
      </c>
      <c r="AE31" s="598" t="s">
        <v>729</v>
      </c>
      <c r="AF31" s="598" t="s">
        <v>954</v>
      </c>
      <c r="AG31" s="598" t="s">
        <v>4979</v>
      </c>
      <c r="AH31" s="627"/>
      <c r="AI31" s="627"/>
      <c r="AJ31" s="629" t="s">
        <v>999</v>
      </c>
      <c r="AK31" s="627"/>
      <c r="AL31" s="627"/>
      <c r="AM31" s="627"/>
    </row>
    <row r="32" spans="1:39" ht="18" customHeight="1">
      <c r="C32" s="598">
        <v>12</v>
      </c>
      <c r="D32" s="598" t="s">
        <v>4438</v>
      </c>
      <c r="E32" s="598">
        <f t="shared" ref="E32:E97" si="2">SUBTOTAL(103,$U$21:U32)</f>
        <v>12</v>
      </c>
      <c r="F32" s="616" t="s">
        <v>957</v>
      </c>
      <c r="G32" s="616" t="s">
        <v>1001</v>
      </c>
      <c r="H32" s="618" t="s">
        <v>1033</v>
      </c>
      <c r="I32" s="618" t="s">
        <v>64</v>
      </c>
      <c r="J32" s="618" t="s">
        <v>956</v>
      </c>
      <c r="K32" s="618" t="s">
        <v>1007</v>
      </c>
      <c r="L32" s="618" t="s">
        <v>986</v>
      </c>
      <c r="M32" s="619" t="s">
        <v>959</v>
      </c>
      <c r="N32" s="620"/>
      <c r="O32" s="620"/>
      <c r="P32" s="663" t="s">
        <v>1074</v>
      </c>
      <c r="Q32" s="621"/>
      <c r="R32" s="598"/>
      <c r="S32" s="598"/>
      <c r="T32" s="598"/>
      <c r="U32" s="598" t="s">
        <v>992</v>
      </c>
      <c r="V32" s="663" t="s">
        <v>4439</v>
      </c>
      <c r="W32" s="779" t="s">
        <v>4440</v>
      </c>
      <c r="X32" s="598" t="s">
        <v>963</v>
      </c>
      <c r="Y32" s="624">
        <v>33538</v>
      </c>
      <c r="Z32" s="625">
        <f t="shared" ca="1" si="1"/>
        <v>34</v>
      </c>
      <c r="AA32" s="616" t="s">
        <v>4441</v>
      </c>
      <c r="AB32" s="632"/>
      <c r="AC32" s="598" t="s">
        <v>996</v>
      </c>
      <c r="AD32" s="633" t="s">
        <v>1018</v>
      </c>
      <c r="AE32" s="616" t="s">
        <v>246</v>
      </c>
      <c r="AF32" s="616" t="s">
        <v>954</v>
      </c>
      <c r="AG32" s="616" t="s">
        <v>4442</v>
      </c>
      <c r="AH32" s="598"/>
      <c r="AI32" s="598" t="s">
        <v>4443</v>
      </c>
      <c r="AJ32" s="598"/>
      <c r="AK32" s="598" t="s">
        <v>1020</v>
      </c>
      <c r="AL32" s="626"/>
      <c r="AM32" s="626"/>
    </row>
    <row r="33" spans="2:39" ht="18" customHeight="1">
      <c r="C33" s="598">
        <v>13</v>
      </c>
      <c r="D33" s="598" t="s">
        <v>4444</v>
      </c>
      <c r="E33" s="598">
        <f t="shared" si="2"/>
        <v>13</v>
      </c>
      <c r="F33" s="616" t="s">
        <v>957</v>
      </c>
      <c r="G33" s="616" t="s">
        <v>1001</v>
      </c>
      <c r="H33" s="618" t="s">
        <v>1033</v>
      </c>
      <c r="I33" s="618" t="s">
        <v>64</v>
      </c>
      <c r="J33" s="618" t="s">
        <v>956</v>
      </c>
      <c r="K33" s="618" t="s">
        <v>1007</v>
      </c>
      <c r="L33" s="618" t="s">
        <v>986</v>
      </c>
      <c r="M33" s="619" t="s">
        <v>959</v>
      </c>
      <c r="N33" s="620"/>
      <c r="O33" s="620"/>
      <c r="P33" s="673" t="s">
        <v>1074</v>
      </c>
      <c r="Q33" s="621"/>
      <c r="R33" s="598"/>
      <c r="S33" s="598"/>
      <c r="T33" s="598"/>
      <c r="U33" s="598" t="s">
        <v>992</v>
      </c>
      <c r="V33" s="673" t="s">
        <v>4445</v>
      </c>
      <c r="W33" s="779" t="s">
        <v>4446</v>
      </c>
      <c r="X33" s="598" t="s">
        <v>963</v>
      </c>
      <c r="Y33" s="624">
        <v>33400</v>
      </c>
      <c r="Z33" s="625">
        <f t="shared" ca="1" si="1"/>
        <v>34</v>
      </c>
      <c r="AA33" s="616" t="s">
        <v>3849</v>
      </c>
      <c r="AB33" s="632"/>
      <c r="AC33" s="598" t="s">
        <v>996</v>
      </c>
      <c r="AD33" s="598" t="s">
        <v>1018</v>
      </c>
      <c r="AE33" s="616" t="s">
        <v>246</v>
      </c>
      <c r="AF33" s="616" t="s">
        <v>246</v>
      </c>
      <c r="AG33" s="616" t="s">
        <v>3815</v>
      </c>
      <c r="AH33" s="598"/>
      <c r="AI33" s="598" t="s">
        <v>1019</v>
      </c>
      <c r="AJ33" s="598" t="s">
        <v>1025</v>
      </c>
      <c r="AK33" s="598" t="s">
        <v>1020</v>
      </c>
      <c r="AL33" s="626"/>
      <c r="AM33" s="626"/>
    </row>
    <row r="34" spans="2:39" ht="18" customHeight="1">
      <c r="C34" s="598">
        <v>14</v>
      </c>
      <c r="D34" s="598" t="s">
        <v>4447</v>
      </c>
      <c r="E34" s="598">
        <f t="shared" si="2"/>
        <v>13</v>
      </c>
      <c r="F34" s="616"/>
      <c r="G34" s="616" t="s">
        <v>1013</v>
      </c>
      <c r="H34" s="618" t="s">
        <v>1033</v>
      </c>
      <c r="I34" s="618" t="s">
        <v>4</v>
      </c>
      <c r="J34" s="618" t="s">
        <v>4448</v>
      </c>
      <c r="K34" s="618" t="s">
        <v>4447</v>
      </c>
      <c r="L34" s="619" t="s">
        <v>959</v>
      </c>
      <c r="M34" s="619" t="s">
        <v>959</v>
      </c>
      <c r="N34" s="620"/>
      <c r="O34" s="620"/>
      <c r="P34" s="669" t="s">
        <v>1044</v>
      </c>
      <c r="Q34" s="621"/>
      <c r="R34" s="598" t="s">
        <v>948</v>
      </c>
      <c r="S34" s="598" t="s">
        <v>3</v>
      </c>
      <c r="T34" s="598" t="s">
        <v>55</v>
      </c>
      <c r="U34" s="598"/>
      <c r="V34" s="664" t="s">
        <v>4</v>
      </c>
      <c r="W34" s="781"/>
      <c r="X34" s="598"/>
      <c r="Y34" s="624"/>
      <c r="Z34" s="625"/>
      <c r="AA34" s="616"/>
      <c r="AB34" s="598"/>
      <c r="AC34" s="598"/>
      <c r="AD34" s="598" t="s">
        <v>953</v>
      </c>
      <c r="AE34" s="616"/>
      <c r="AF34" s="616"/>
      <c r="AG34" s="616"/>
      <c r="AH34" s="598" t="s">
        <v>955</v>
      </c>
      <c r="AI34" s="598"/>
      <c r="AJ34" s="598"/>
      <c r="AK34" s="598"/>
      <c r="AL34" s="626"/>
      <c r="AM34" s="626"/>
    </row>
    <row r="35" spans="2:39" ht="18" customHeight="1">
      <c r="C35" s="598">
        <v>15</v>
      </c>
      <c r="D35" s="598" t="s">
        <v>1026</v>
      </c>
      <c r="E35" s="598">
        <f t="shared" si="2"/>
        <v>14</v>
      </c>
      <c r="F35" s="616" t="s">
        <v>957</v>
      </c>
      <c r="G35" s="616" t="s">
        <v>1013</v>
      </c>
      <c r="H35" s="618" t="s">
        <v>1033</v>
      </c>
      <c r="I35" s="618" t="s">
        <v>4</v>
      </c>
      <c r="J35" s="618" t="s">
        <v>4447</v>
      </c>
      <c r="K35" s="618" t="s">
        <v>4447</v>
      </c>
      <c r="L35" s="619" t="s">
        <v>959</v>
      </c>
      <c r="M35" s="619" t="s">
        <v>959</v>
      </c>
      <c r="N35" s="620"/>
      <c r="O35" s="620"/>
      <c r="P35" s="663" t="s">
        <v>1044</v>
      </c>
      <c r="Q35" s="621"/>
      <c r="R35" s="598"/>
      <c r="S35" s="598"/>
      <c r="T35" s="598"/>
      <c r="U35" s="598" t="s">
        <v>1015</v>
      </c>
      <c r="V35" s="663" t="s">
        <v>67</v>
      </c>
      <c r="W35" s="779" t="s">
        <v>1027</v>
      </c>
      <c r="X35" s="598" t="s">
        <v>950</v>
      </c>
      <c r="Y35" s="624">
        <v>33815</v>
      </c>
      <c r="Z35" s="625">
        <f t="shared" ref="Z35:Z289" ca="1" si="3">DATEDIF(Y35,TODAY(),"Y")</f>
        <v>33</v>
      </c>
      <c r="AA35" s="616" t="s">
        <v>1028</v>
      </c>
      <c r="AB35" s="598"/>
      <c r="AC35" s="598" t="s">
        <v>966</v>
      </c>
      <c r="AD35" s="598" t="s">
        <v>953</v>
      </c>
      <c r="AE35" s="616" t="s">
        <v>973</v>
      </c>
      <c r="AF35" s="616" t="s">
        <v>954</v>
      </c>
      <c r="AG35" s="616" t="s">
        <v>998</v>
      </c>
      <c r="AH35" s="598"/>
      <c r="AI35" s="598"/>
      <c r="AJ35" s="598"/>
      <c r="AK35" s="598"/>
      <c r="AL35" s="626"/>
      <c r="AM35" s="626"/>
    </row>
    <row r="36" spans="2:39" ht="18" customHeight="1">
      <c r="C36" s="598">
        <v>16</v>
      </c>
      <c r="D36" s="598" t="s">
        <v>1012</v>
      </c>
      <c r="E36" s="598">
        <f t="shared" si="2"/>
        <v>15</v>
      </c>
      <c r="F36" s="616" t="s">
        <v>957</v>
      </c>
      <c r="G36" s="616" t="s">
        <v>1013</v>
      </c>
      <c r="H36" s="618" t="s">
        <v>1033</v>
      </c>
      <c r="I36" s="618" t="s">
        <v>4</v>
      </c>
      <c r="J36" s="618" t="s">
        <v>4447</v>
      </c>
      <c r="K36" s="618" t="s">
        <v>4447</v>
      </c>
      <c r="L36" s="619" t="s">
        <v>959</v>
      </c>
      <c r="M36" s="619" t="s">
        <v>959</v>
      </c>
      <c r="N36" s="620"/>
      <c r="O36" s="620"/>
      <c r="P36" s="663" t="s">
        <v>1044</v>
      </c>
      <c r="Q36" s="621"/>
      <c r="R36" s="598"/>
      <c r="S36" s="598"/>
      <c r="T36" s="598"/>
      <c r="U36" s="598" t="s">
        <v>1015</v>
      </c>
      <c r="V36" s="663" t="s">
        <v>904</v>
      </c>
      <c r="W36" s="779" t="s">
        <v>1016</v>
      </c>
      <c r="X36" s="598" t="s">
        <v>950</v>
      </c>
      <c r="Y36" s="624">
        <v>31075</v>
      </c>
      <c r="Z36" s="625">
        <f t="shared" ca="1" si="3"/>
        <v>41</v>
      </c>
      <c r="AA36" s="616" t="s">
        <v>1017</v>
      </c>
      <c r="AB36" s="598"/>
      <c r="AC36" s="598" t="s">
        <v>966</v>
      </c>
      <c r="AD36" s="633" t="s">
        <v>1018</v>
      </c>
      <c r="AE36" s="616" t="s">
        <v>729</v>
      </c>
      <c r="AF36" s="616" t="s">
        <v>954</v>
      </c>
      <c r="AG36" s="616" t="s">
        <v>974</v>
      </c>
      <c r="AH36" s="598"/>
      <c r="AI36" s="598" t="s">
        <v>1019</v>
      </c>
      <c r="AJ36" s="598"/>
      <c r="AK36" s="598" t="s">
        <v>1020</v>
      </c>
      <c r="AL36" s="626"/>
      <c r="AM36" s="626"/>
    </row>
    <row r="37" spans="2:39" ht="18" customHeight="1">
      <c r="C37" s="598">
        <v>17</v>
      </c>
      <c r="D37" s="598" t="s">
        <v>1029</v>
      </c>
      <c r="E37" s="598">
        <f t="shared" si="2"/>
        <v>16</v>
      </c>
      <c r="F37" s="616" t="s">
        <v>957</v>
      </c>
      <c r="G37" s="616" t="s">
        <v>1013</v>
      </c>
      <c r="H37" s="618" t="s">
        <v>1033</v>
      </c>
      <c r="I37" s="618" t="s">
        <v>4</v>
      </c>
      <c r="J37" s="618" t="s">
        <v>4447</v>
      </c>
      <c r="K37" s="618" t="s">
        <v>4447</v>
      </c>
      <c r="L37" s="619" t="s">
        <v>959</v>
      </c>
      <c r="M37" s="619" t="s">
        <v>959</v>
      </c>
      <c r="N37" s="620"/>
      <c r="O37" s="620"/>
      <c r="P37" s="663" t="s">
        <v>1044</v>
      </c>
      <c r="Q37" s="621"/>
      <c r="R37" s="598"/>
      <c r="S37" s="598"/>
      <c r="T37" s="598"/>
      <c r="U37" s="598" t="s">
        <v>1015</v>
      </c>
      <c r="V37" s="663" t="s">
        <v>79</v>
      </c>
      <c r="W37" s="779" t="s">
        <v>1030</v>
      </c>
      <c r="X37" s="598" t="s">
        <v>950</v>
      </c>
      <c r="Y37" s="624">
        <v>32547</v>
      </c>
      <c r="Z37" s="625">
        <f t="shared" ca="1" si="3"/>
        <v>36</v>
      </c>
      <c r="AA37" s="616" t="s">
        <v>1031</v>
      </c>
      <c r="AB37" s="598"/>
      <c r="AC37" s="598" t="s">
        <v>966</v>
      </c>
      <c r="AD37" s="598" t="s">
        <v>953</v>
      </c>
      <c r="AE37" s="616" t="s">
        <v>973</v>
      </c>
      <c r="AF37" s="616" t="s">
        <v>954</v>
      </c>
      <c r="AG37" s="616" t="s">
        <v>968</v>
      </c>
      <c r="AH37" s="598"/>
      <c r="AI37" s="598"/>
      <c r="AJ37" s="598"/>
      <c r="AK37" s="598"/>
      <c r="AL37" s="626"/>
      <c r="AM37" s="626"/>
    </row>
    <row r="38" spans="2:39" ht="18" customHeight="1">
      <c r="C38" s="598">
        <v>18</v>
      </c>
      <c r="D38" s="598" t="s">
        <v>1068</v>
      </c>
      <c r="E38" s="598">
        <f t="shared" si="2"/>
        <v>17</v>
      </c>
      <c r="F38" s="616" t="s">
        <v>957</v>
      </c>
      <c r="G38" s="616" t="s">
        <v>1013</v>
      </c>
      <c r="H38" s="618" t="s">
        <v>1033</v>
      </c>
      <c r="I38" s="618" t="s">
        <v>4</v>
      </c>
      <c r="J38" s="618" t="s">
        <v>4447</v>
      </c>
      <c r="K38" s="618" t="s">
        <v>4447</v>
      </c>
      <c r="L38" s="619" t="s">
        <v>959</v>
      </c>
      <c r="M38" s="619" t="s">
        <v>959</v>
      </c>
      <c r="N38" s="620"/>
      <c r="O38" s="620"/>
      <c r="P38" s="663" t="s">
        <v>1044</v>
      </c>
      <c r="Q38" s="621"/>
      <c r="R38" s="598"/>
      <c r="S38" s="598"/>
      <c r="T38" s="598"/>
      <c r="U38" s="598" t="s">
        <v>1015</v>
      </c>
      <c r="V38" s="663" t="s">
        <v>101</v>
      </c>
      <c r="W38" s="779" t="s">
        <v>1069</v>
      </c>
      <c r="X38" s="598" t="s">
        <v>950</v>
      </c>
      <c r="Y38" s="624">
        <v>31062</v>
      </c>
      <c r="Z38" s="625">
        <f t="shared" ca="1" si="3"/>
        <v>41</v>
      </c>
      <c r="AA38" s="616" t="s">
        <v>1070</v>
      </c>
      <c r="AB38" s="598"/>
      <c r="AC38" s="598" t="s">
        <v>966</v>
      </c>
      <c r="AD38" s="598" t="s">
        <v>953</v>
      </c>
      <c r="AE38" s="616" t="s">
        <v>954</v>
      </c>
      <c r="AF38" s="616" t="s">
        <v>954</v>
      </c>
      <c r="AG38" s="616" t="s">
        <v>974</v>
      </c>
      <c r="AH38" s="598"/>
      <c r="AI38" s="598"/>
      <c r="AJ38" s="598"/>
      <c r="AK38" s="598"/>
      <c r="AL38" s="626"/>
      <c r="AM38" s="626"/>
    </row>
    <row r="39" spans="2:39" ht="18" customHeight="1">
      <c r="C39" s="598">
        <v>19</v>
      </c>
      <c r="D39" s="598" t="s">
        <v>4449</v>
      </c>
      <c r="E39" s="598">
        <f t="shared" si="2"/>
        <v>18</v>
      </c>
      <c r="F39" s="616" t="s">
        <v>957</v>
      </c>
      <c r="G39" s="616" t="s">
        <v>1013</v>
      </c>
      <c r="H39" s="618" t="s">
        <v>1033</v>
      </c>
      <c r="I39" s="618" t="s">
        <v>4</v>
      </c>
      <c r="J39" s="618" t="s">
        <v>4447</v>
      </c>
      <c r="K39" s="618" t="s">
        <v>4447</v>
      </c>
      <c r="L39" s="619" t="s">
        <v>959</v>
      </c>
      <c r="M39" s="619" t="s">
        <v>959</v>
      </c>
      <c r="N39" s="620"/>
      <c r="O39" s="620"/>
      <c r="P39" s="663" t="s">
        <v>1044</v>
      </c>
      <c r="Q39" s="621"/>
      <c r="R39" s="598"/>
      <c r="S39" s="598"/>
      <c r="T39" s="598"/>
      <c r="U39" s="598" t="s">
        <v>1015</v>
      </c>
      <c r="V39" s="664" t="s">
        <v>4450</v>
      </c>
      <c r="W39" s="779" t="s">
        <v>4451</v>
      </c>
      <c r="X39" s="598" t="s">
        <v>950</v>
      </c>
      <c r="Y39" s="624">
        <v>31504</v>
      </c>
      <c r="Z39" s="625">
        <f t="shared" ca="1" si="3"/>
        <v>39</v>
      </c>
      <c r="AA39" s="616" t="s">
        <v>4452</v>
      </c>
      <c r="AB39" s="598"/>
      <c r="AC39" s="598" t="s">
        <v>1006</v>
      </c>
      <c r="AD39" s="633" t="s">
        <v>1018</v>
      </c>
      <c r="AE39" s="616" t="s">
        <v>1041</v>
      </c>
      <c r="AF39" s="616" t="s">
        <v>954</v>
      </c>
      <c r="AG39" s="616" t="s">
        <v>974</v>
      </c>
      <c r="AH39" s="598"/>
      <c r="AI39" s="598" t="s">
        <v>1019</v>
      </c>
      <c r="AJ39" s="598"/>
      <c r="AK39" s="598" t="s">
        <v>1020</v>
      </c>
      <c r="AL39" s="626"/>
      <c r="AM39" s="626"/>
    </row>
    <row r="40" spans="2:39" ht="18" customHeight="1">
      <c r="C40" s="598">
        <v>20</v>
      </c>
      <c r="D40" s="598" t="s">
        <v>1021</v>
      </c>
      <c r="E40" s="598">
        <f t="shared" si="2"/>
        <v>19</v>
      </c>
      <c r="F40" s="616" t="s">
        <v>957</v>
      </c>
      <c r="G40" s="616" t="s">
        <v>1013</v>
      </c>
      <c r="H40" s="618" t="s">
        <v>1033</v>
      </c>
      <c r="I40" s="618" t="s">
        <v>4</v>
      </c>
      <c r="J40" s="618" t="s">
        <v>4447</v>
      </c>
      <c r="K40" s="618" t="s">
        <v>4447</v>
      </c>
      <c r="L40" s="619" t="s">
        <v>959</v>
      </c>
      <c r="M40" s="619" t="s">
        <v>959</v>
      </c>
      <c r="N40" s="620"/>
      <c r="O40" s="620"/>
      <c r="P40" s="663" t="s">
        <v>1044</v>
      </c>
      <c r="Q40" s="621"/>
      <c r="R40" s="598"/>
      <c r="S40" s="598"/>
      <c r="T40" s="598"/>
      <c r="U40" s="598" t="s">
        <v>1015</v>
      </c>
      <c r="V40" s="665" t="s">
        <v>906</v>
      </c>
      <c r="W40" s="779" t="s">
        <v>1022</v>
      </c>
      <c r="X40" s="598" t="s">
        <v>950</v>
      </c>
      <c r="Y40" s="624">
        <v>23079</v>
      </c>
      <c r="Z40" s="625">
        <f t="shared" ca="1" si="3"/>
        <v>62</v>
      </c>
      <c r="AA40" s="616" t="s">
        <v>1023</v>
      </c>
      <c r="AB40" s="598" t="s">
        <v>1024</v>
      </c>
      <c r="AC40" s="598" t="s">
        <v>996</v>
      </c>
      <c r="AD40" s="598" t="s">
        <v>1018</v>
      </c>
      <c r="AE40" s="616" t="s">
        <v>246</v>
      </c>
      <c r="AF40" s="616" t="s">
        <v>954</v>
      </c>
      <c r="AG40" s="616" t="s">
        <v>968</v>
      </c>
      <c r="AH40" s="598"/>
      <c r="AI40" s="598" t="s">
        <v>1019</v>
      </c>
      <c r="AJ40" s="598" t="s">
        <v>1025</v>
      </c>
      <c r="AK40" s="598" t="s">
        <v>1020</v>
      </c>
      <c r="AL40" s="626"/>
      <c r="AM40" s="626"/>
    </row>
    <row r="41" spans="2:39" ht="18" customHeight="1">
      <c r="B41" s="782"/>
      <c r="C41" s="598">
        <v>21</v>
      </c>
      <c r="D41" s="598" t="s">
        <v>4453</v>
      </c>
      <c r="E41" s="598">
        <f t="shared" si="2"/>
        <v>20</v>
      </c>
      <c r="F41" s="616" t="s">
        <v>957</v>
      </c>
      <c r="G41" s="616" t="s">
        <v>1013</v>
      </c>
      <c r="H41" s="618" t="s">
        <v>1033</v>
      </c>
      <c r="I41" s="618" t="s">
        <v>4</v>
      </c>
      <c r="J41" s="618" t="s">
        <v>4447</v>
      </c>
      <c r="K41" s="618" t="s">
        <v>4447</v>
      </c>
      <c r="L41" s="619" t="s">
        <v>959</v>
      </c>
      <c r="M41" s="619" t="s">
        <v>959</v>
      </c>
      <c r="N41" s="620"/>
      <c r="O41" s="620"/>
      <c r="P41" s="663" t="s">
        <v>1044</v>
      </c>
      <c r="Q41" s="621"/>
      <c r="R41" s="598"/>
      <c r="S41" s="598"/>
      <c r="T41" s="598"/>
      <c r="U41" s="598" t="s">
        <v>1090</v>
      </c>
      <c r="V41" s="668" t="s">
        <v>4454</v>
      </c>
      <c r="W41" s="779" t="s">
        <v>4455</v>
      </c>
      <c r="X41" s="598" t="s">
        <v>950</v>
      </c>
      <c r="Y41" s="624">
        <v>19818</v>
      </c>
      <c r="Z41" s="625">
        <f t="shared" ca="1" si="3"/>
        <v>71</v>
      </c>
      <c r="AA41" s="616" t="s">
        <v>4456</v>
      </c>
      <c r="AB41" s="632"/>
      <c r="AC41" s="598" t="s">
        <v>996</v>
      </c>
      <c r="AD41" s="598" t="s">
        <v>1018</v>
      </c>
      <c r="AE41" s="616" t="s">
        <v>973</v>
      </c>
      <c r="AF41" s="616" t="s">
        <v>954</v>
      </c>
      <c r="AG41" s="616" t="s">
        <v>968</v>
      </c>
      <c r="AH41" s="598"/>
      <c r="AI41" s="598" t="s">
        <v>4457</v>
      </c>
      <c r="AJ41" s="598" t="s">
        <v>1125</v>
      </c>
      <c r="AK41" s="598" t="s">
        <v>1020</v>
      </c>
      <c r="AL41" s="626"/>
      <c r="AM41" s="626"/>
    </row>
    <row r="42" spans="2:39" ht="18" customHeight="1">
      <c r="C42" s="598">
        <v>22</v>
      </c>
      <c r="D42" s="598" t="s">
        <v>1032</v>
      </c>
      <c r="E42" s="598">
        <f t="shared" si="2"/>
        <v>21</v>
      </c>
      <c r="F42" s="616" t="s">
        <v>957</v>
      </c>
      <c r="G42" s="616" t="s">
        <v>1013</v>
      </c>
      <c r="H42" s="618" t="s">
        <v>1033</v>
      </c>
      <c r="I42" s="618" t="s">
        <v>4</v>
      </c>
      <c r="J42" s="618" t="s">
        <v>4447</v>
      </c>
      <c r="K42" s="618" t="s">
        <v>4447</v>
      </c>
      <c r="L42" s="619" t="s">
        <v>959</v>
      </c>
      <c r="M42" s="619" t="s">
        <v>959</v>
      </c>
      <c r="N42" s="620"/>
      <c r="O42" s="620"/>
      <c r="P42" s="663" t="s">
        <v>1044</v>
      </c>
      <c r="Q42" s="621"/>
      <c r="R42" s="598"/>
      <c r="S42" s="598"/>
      <c r="T42" s="598"/>
      <c r="U42" s="598" t="s">
        <v>992</v>
      </c>
      <c r="V42" s="669" t="s">
        <v>127</v>
      </c>
      <c r="W42" s="779" t="s">
        <v>1034</v>
      </c>
      <c r="X42" s="598" t="s">
        <v>950</v>
      </c>
      <c r="Y42" s="624">
        <v>33012</v>
      </c>
      <c r="Z42" s="625">
        <f t="shared" ca="1" si="3"/>
        <v>35</v>
      </c>
      <c r="AA42" s="616" t="s">
        <v>1035</v>
      </c>
      <c r="AB42" s="632"/>
      <c r="AC42" s="598" t="s">
        <v>996</v>
      </c>
      <c r="AD42" s="633" t="s">
        <v>1018</v>
      </c>
      <c r="AE42" s="616" t="s">
        <v>246</v>
      </c>
      <c r="AF42" s="616" t="s">
        <v>954</v>
      </c>
      <c r="AG42" s="616"/>
      <c r="AH42" s="598"/>
      <c r="AI42" s="598"/>
      <c r="AJ42" s="598" t="s">
        <v>1025</v>
      </c>
      <c r="AK42" s="598"/>
      <c r="AL42" s="626"/>
      <c r="AM42" s="626"/>
    </row>
    <row r="43" spans="2:39" ht="18" customHeight="1">
      <c r="C43" s="598">
        <v>23</v>
      </c>
      <c r="D43" s="598" t="s">
        <v>1042</v>
      </c>
      <c r="E43" s="598">
        <f t="shared" si="2"/>
        <v>22</v>
      </c>
      <c r="F43" s="616" t="s">
        <v>957</v>
      </c>
      <c r="G43" s="616" t="s">
        <v>1013</v>
      </c>
      <c r="H43" s="618" t="s">
        <v>1033</v>
      </c>
      <c r="I43" s="618" t="s">
        <v>4</v>
      </c>
      <c r="J43" s="618" t="s">
        <v>4447</v>
      </c>
      <c r="K43" s="618" t="s">
        <v>1042</v>
      </c>
      <c r="L43" s="618" t="s">
        <v>1043</v>
      </c>
      <c r="M43" s="619" t="s">
        <v>959</v>
      </c>
      <c r="N43" s="620"/>
      <c r="O43" s="620"/>
      <c r="P43" s="667" t="s">
        <v>1074</v>
      </c>
      <c r="Q43" s="621"/>
      <c r="R43" s="598" t="s">
        <v>55</v>
      </c>
      <c r="S43" s="598" t="s">
        <v>55</v>
      </c>
      <c r="T43" s="598"/>
      <c r="U43" s="598" t="s">
        <v>1015</v>
      </c>
      <c r="V43" s="667" t="s">
        <v>58</v>
      </c>
      <c r="W43" s="779" t="s">
        <v>1045</v>
      </c>
      <c r="X43" s="598" t="s">
        <v>950</v>
      </c>
      <c r="Y43" s="624">
        <v>33312</v>
      </c>
      <c r="Z43" s="625">
        <f t="shared" ca="1" si="3"/>
        <v>34</v>
      </c>
      <c r="AA43" s="616" t="s">
        <v>1046</v>
      </c>
      <c r="AB43" s="598" t="s">
        <v>1047</v>
      </c>
      <c r="AC43" s="598" t="s">
        <v>966</v>
      </c>
      <c r="AD43" s="598" t="s">
        <v>953</v>
      </c>
      <c r="AE43" s="616" t="s">
        <v>973</v>
      </c>
      <c r="AF43" s="616" t="s">
        <v>954</v>
      </c>
      <c r="AG43" s="616" t="s">
        <v>974</v>
      </c>
      <c r="AH43" s="598"/>
      <c r="AI43" s="598"/>
      <c r="AJ43" s="598"/>
      <c r="AK43" s="598"/>
      <c r="AL43" s="626"/>
      <c r="AM43" s="626"/>
    </row>
    <row r="44" spans="2:39" ht="18" customHeight="1">
      <c r="C44" s="598">
        <v>24</v>
      </c>
      <c r="D44" s="598" t="s">
        <v>1043</v>
      </c>
      <c r="E44" s="598">
        <f t="shared" si="2"/>
        <v>23</v>
      </c>
      <c r="F44" s="616" t="s">
        <v>957</v>
      </c>
      <c r="G44" s="616" t="s">
        <v>1013</v>
      </c>
      <c r="H44" s="618" t="s">
        <v>1033</v>
      </c>
      <c r="I44" s="618" t="s">
        <v>4</v>
      </c>
      <c r="J44" s="618" t="s">
        <v>4447</v>
      </c>
      <c r="K44" s="618" t="s">
        <v>1042</v>
      </c>
      <c r="L44" s="618" t="s">
        <v>1043</v>
      </c>
      <c r="M44" s="619" t="s">
        <v>959</v>
      </c>
      <c r="N44" s="620"/>
      <c r="O44" s="620"/>
      <c r="P44" s="663" t="s">
        <v>1074</v>
      </c>
      <c r="Q44" s="621"/>
      <c r="R44" s="598" t="s">
        <v>69</v>
      </c>
      <c r="S44" s="598" t="s">
        <v>69</v>
      </c>
      <c r="T44" s="598"/>
      <c r="U44" s="598" t="s">
        <v>1015</v>
      </c>
      <c r="V44" s="663" t="s">
        <v>68</v>
      </c>
      <c r="W44" s="779" t="s">
        <v>1048</v>
      </c>
      <c r="X44" s="598" t="s">
        <v>950</v>
      </c>
      <c r="Y44" s="624">
        <v>32771</v>
      </c>
      <c r="Z44" s="625">
        <f t="shared" ca="1" si="3"/>
        <v>36</v>
      </c>
      <c r="AA44" s="616" t="s">
        <v>1049</v>
      </c>
      <c r="AB44" s="598" t="s">
        <v>1050</v>
      </c>
      <c r="AC44" s="598" t="s">
        <v>966</v>
      </c>
      <c r="AD44" s="598" t="s">
        <v>953</v>
      </c>
      <c r="AE44" s="616" t="s">
        <v>246</v>
      </c>
      <c r="AF44" s="616" t="s">
        <v>954</v>
      </c>
      <c r="AG44" s="616" t="s">
        <v>974</v>
      </c>
      <c r="AH44" s="598"/>
      <c r="AI44" s="598"/>
      <c r="AJ44" s="598"/>
      <c r="AK44" s="598"/>
      <c r="AL44" s="626"/>
      <c r="AM44" s="626"/>
    </row>
    <row r="45" spans="2:39" ht="18" customHeight="1">
      <c r="C45" s="598">
        <v>25</v>
      </c>
      <c r="D45" s="598" t="s">
        <v>1051</v>
      </c>
      <c r="E45" s="598">
        <f t="shared" si="2"/>
        <v>24</v>
      </c>
      <c r="F45" s="616" t="s">
        <v>957</v>
      </c>
      <c r="G45" s="616" t="s">
        <v>1013</v>
      </c>
      <c r="H45" s="618" t="s">
        <v>1033</v>
      </c>
      <c r="I45" s="618" t="s">
        <v>4</v>
      </c>
      <c r="J45" s="618" t="s">
        <v>4447</v>
      </c>
      <c r="K45" s="618" t="s">
        <v>1042</v>
      </c>
      <c r="L45" s="618" t="s">
        <v>1043</v>
      </c>
      <c r="M45" s="619" t="s">
        <v>959</v>
      </c>
      <c r="N45" s="620"/>
      <c r="O45" s="620"/>
      <c r="P45" s="663" t="s">
        <v>1074</v>
      </c>
      <c r="Q45" s="621"/>
      <c r="R45" s="598" t="s">
        <v>173</v>
      </c>
      <c r="S45" s="598" t="s">
        <v>514</v>
      </c>
      <c r="T45" s="598" t="s">
        <v>55</v>
      </c>
      <c r="U45" s="598" t="s">
        <v>1015</v>
      </c>
      <c r="V45" s="663" t="s">
        <v>80</v>
      </c>
      <c r="W45" s="779" t="s">
        <v>1053</v>
      </c>
      <c r="X45" s="598" t="s">
        <v>950</v>
      </c>
      <c r="Y45" s="624">
        <v>31722</v>
      </c>
      <c r="Z45" s="625">
        <f t="shared" ca="1" si="3"/>
        <v>39</v>
      </c>
      <c r="AA45" s="616" t="s">
        <v>1054</v>
      </c>
      <c r="AB45" s="598" t="s">
        <v>1055</v>
      </c>
      <c r="AC45" s="598" t="s">
        <v>966</v>
      </c>
      <c r="AD45" s="598" t="s">
        <v>953</v>
      </c>
      <c r="AE45" s="616" t="s">
        <v>729</v>
      </c>
      <c r="AF45" s="616" t="s">
        <v>954</v>
      </c>
      <c r="AG45" s="616" t="s">
        <v>968</v>
      </c>
      <c r="AH45" s="598"/>
      <c r="AI45" s="598"/>
      <c r="AJ45" s="598"/>
      <c r="AK45" s="598"/>
      <c r="AL45" s="626"/>
      <c r="AM45" s="626"/>
    </row>
    <row r="46" spans="2:39" ht="18" customHeight="1">
      <c r="C46" s="598">
        <v>26</v>
      </c>
      <c r="D46" s="598" t="s">
        <v>1057</v>
      </c>
      <c r="E46" s="598">
        <f t="shared" si="2"/>
        <v>25</v>
      </c>
      <c r="F46" s="616" t="s">
        <v>957</v>
      </c>
      <c r="G46" s="616" t="s">
        <v>1013</v>
      </c>
      <c r="H46" s="618" t="s">
        <v>1033</v>
      </c>
      <c r="I46" s="618" t="s">
        <v>4</v>
      </c>
      <c r="J46" s="618" t="s">
        <v>4447</v>
      </c>
      <c r="K46" s="618" t="s">
        <v>1042</v>
      </c>
      <c r="L46" s="618" t="s">
        <v>1043</v>
      </c>
      <c r="M46" s="619" t="s">
        <v>959</v>
      </c>
      <c r="N46" s="620"/>
      <c r="O46" s="620"/>
      <c r="P46" s="663" t="s">
        <v>1074</v>
      </c>
      <c r="Q46" s="621"/>
      <c r="R46" s="598"/>
      <c r="S46" s="598"/>
      <c r="T46" s="598"/>
      <c r="U46" s="598" t="s">
        <v>1015</v>
      </c>
      <c r="V46" s="663" t="s">
        <v>92</v>
      </c>
      <c r="W46" s="779" t="s">
        <v>1058</v>
      </c>
      <c r="X46" s="598" t="s">
        <v>950</v>
      </c>
      <c r="Y46" s="624">
        <v>30208</v>
      </c>
      <c r="Z46" s="625">
        <f t="shared" ca="1" si="3"/>
        <v>43</v>
      </c>
      <c r="AA46" s="616" t="s">
        <v>1059</v>
      </c>
      <c r="AB46" s="598"/>
      <c r="AC46" s="598" t="s">
        <v>966</v>
      </c>
      <c r="AD46" s="598" t="s">
        <v>953</v>
      </c>
      <c r="AE46" s="616" t="s">
        <v>246</v>
      </c>
      <c r="AF46" s="616" t="s">
        <v>954</v>
      </c>
      <c r="AG46" s="616" t="s">
        <v>974</v>
      </c>
      <c r="AH46" s="598"/>
      <c r="AI46" s="598"/>
      <c r="AJ46" s="598"/>
      <c r="AK46" s="598"/>
      <c r="AL46" s="626"/>
      <c r="AM46" s="626"/>
    </row>
    <row r="47" spans="2:39" ht="18" customHeight="1">
      <c r="C47" s="598">
        <v>27</v>
      </c>
      <c r="D47" s="598" t="s">
        <v>1060</v>
      </c>
      <c r="E47" s="598">
        <f t="shared" si="2"/>
        <v>26</v>
      </c>
      <c r="F47" s="616" t="s">
        <v>957</v>
      </c>
      <c r="G47" s="616" t="s">
        <v>1013</v>
      </c>
      <c r="H47" s="618" t="s">
        <v>1033</v>
      </c>
      <c r="I47" s="618" t="s">
        <v>4</v>
      </c>
      <c r="J47" s="618" t="s">
        <v>4447</v>
      </c>
      <c r="K47" s="618" t="s">
        <v>1042</v>
      </c>
      <c r="L47" s="618" t="s">
        <v>1043</v>
      </c>
      <c r="M47" s="619" t="s">
        <v>959</v>
      </c>
      <c r="N47" s="620"/>
      <c r="O47" s="620"/>
      <c r="P47" s="663" t="s">
        <v>1074</v>
      </c>
      <c r="Q47" s="621"/>
      <c r="R47" s="598"/>
      <c r="S47" s="598"/>
      <c r="T47" s="598"/>
      <c r="U47" s="598" t="s">
        <v>1015</v>
      </c>
      <c r="V47" s="665" t="s">
        <v>102</v>
      </c>
      <c r="W47" s="779" t="s">
        <v>1061</v>
      </c>
      <c r="X47" s="598" t="s">
        <v>950</v>
      </c>
      <c r="Y47" s="624">
        <v>31249</v>
      </c>
      <c r="Z47" s="625">
        <f t="shared" ca="1" si="3"/>
        <v>40</v>
      </c>
      <c r="AA47" s="616" t="s">
        <v>1062</v>
      </c>
      <c r="AB47" s="598" t="s">
        <v>1063</v>
      </c>
      <c r="AC47" s="598" t="s">
        <v>966</v>
      </c>
      <c r="AD47" s="598" t="s">
        <v>953</v>
      </c>
      <c r="AE47" s="616" t="s">
        <v>973</v>
      </c>
      <c r="AF47" s="616" t="s">
        <v>954</v>
      </c>
      <c r="AG47" s="616" t="s">
        <v>974</v>
      </c>
      <c r="AH47" s="598"/>
      <c r="AI47" s="598"/>
      <c r="AJ47" s="598"/>
      <c r="AK47" s="598"/>
      <c r="AL47" s="626"/>
      <c r="AM47" s="626"/>
    </row>
    <row r="48" spans="2:39" ht="18" customHeight="1">
      <c r="C48" s="598">
        <v>28</v>
      </c>
      <c r="D48" s="598" t="s">
        <v>1064</v>
      </c>
      <c r="E48" s="598">
        <f t="shared" si="2"/>
        <v>27</v>
      </c>
      <c r="F48" s="616" t="s">
        <v>957</v>
      </c>
      <c r="G48" s="616" t="s">
        <v>1013</v>
      </c>
      <c r="H48" s="618" t="s">
        <v>1033</v>
      </c>
      <c r="I48" s="618" t="s">
        <v>4</v>
      </c>
      <c r="J48" s="618" t="s">
        <v>4447</v>
      </c>
      <c r="K48" s="618" t="s">
        <v>1042</v>
      </c>
      <c r="L48" s="618" t="s">
        <v>1043</v>
      </c>
      <c r="M48" s="619" t="s">
        <v>959</v>
      </c>
      <c r="N48" s="620"/>
      <c r="O48" s="620"/>
      <c r="P48" s="663" t="s">
        <v>1074</v>
      </c>
      <c r="Q48" s="621"/>
      <c r="R48" s="598"/>
      <c r="S48" s="598"/>
      <c r="T48" s="598"/>
      <c r="U48" s="598" t="s">
        <v>1015</v>
      </c>
      <c r="V48" s="668" t="s">
        <v>1065</v>
      </c>
      <c r="W48" s="779" t="s">
        <v>1066</v>
      </c>
      <c r="X48" s="598" t="s">
        <v>950</v>
      </c>
      <c r="Y48" s="624">
        <v>31736</v>
      </c>
      <c r="Z48" s="625">
        <f t="shared" ca="1" si="3"/>
        <v>39</v>
      </c>
      <c r="AA48" s="616" t="s">
        <v>1067</v>
      </c>
      <c r="AB48" s="632"/>
      <c r="AC48" s="598" t="s">
        <v>1006</v>
      </c>
      <c r="AD48" s="633" t="s">
        <v>1018</v>
      </c>
      <c r="AE48" s="616" t="s">
        <v>973</v>
      </c>
      <c r="AF48" s="616" t="s">
        <v>954</v>
      </c>
      <c r="AG48" s="616" t="s">
        <v>974</v>
      </c>
      <c r="AH48" s="598"/>
      <c r="AI48" s="598" t="s">
        <v>1019</v>
      </c>
      <c r="AJ48" s="598"/>
      <c r="AK48" s="598" t="s">
        <v>1020</v>
      </c>
      <c r="AL48" s="626"/>
      <c r="AM48" s="626"/>
    </row>
    <row r="49" spans="2:39" ht="18" customHeight="1">
      <c r="C49" s="598">
        <v>29</v>
      </c>
      <c r="D49" s="598" t="s">
        <v>4459</v>
      </c>
      <c r="E49" s="598">
        <f t="shared" si="2"/>
        <v>28</v>
      </c>
      <c r="F49" s="616" t="s">
        <v>957</v>
      </c>
      <c r="G49" s="616" t="s">
        <v>1001</v>
      </c>
      <c r="H49" s="618" t="s">
        <v>1033</v>
      </c>
      <c r="I49" s="618" t="s">
        <v>4</v>
      </c>
      <c r="J49" s="618" t="s">
        <v>4447</v>
      </c>
      <c r="K49" s="618" t="s">
        <v>1042</v>
      </c>
      <c r="L49" s="618" t="s">
        <v>1043</v>
      </c>
      <c r="M49" s="619" t="s">
        <v>959</v>
      </c>
      <c r="N49" s="620"/>
      <c r="O49" s="620"/>
      <c r="P49" s="663" t="s">
        <v>1074</v>
      </c>
      <c r="Q49" s="621"/>
      <c r="R49" s="598"/>
      <c r="S49" s="598"/>
      <c r="T49" s="598"/>
      <c r="U49" s="598" t="s">
        <v>992</v>
      </c>
      <c r="V49" s="669" t="s">
        <v>4460</v>
      </c>
      <c r="W49" s="779" t="s">
        <v>4461</v>
      </c>
      <c r="X49" s="598" t="s">
        <v>950</v>
      </c>
      <c r="Y49" s="624">
        <v>33222</v>
      </c>
      <c r="Z49" s="625">
        <f t="shared" ca="1" si="3"/>
        <v>35</v>
      </c>
      <c r="AA49" s="616" t="s">
        <v>4462</v>
      </c>
      <c r="AB49" s="632"/>
      <c r="AC49" s="598" t="s">
        <v>1006</v>
      </c>
      <c r="AD49" s="633" t="s">
        <v>1018</v>
      </c>
      <c r="AE49" s="616" t="s">
        <v>973</v>
      </c>
      <c r="AF49" s="616" t="s">
        <v>954</v>
      </c>
      <c r="AG49" s="616" t="s">
        <v>974</v>
      </c>
      <c r="AH49" s="598"/>
      <c r="AI49" s="598" t="s">
        <v>4443</v>
      </c>
      <c r="AJ49" s="598"/>
      <c r="AK49" s="598" t="s">
        <v>4463</v>
      </c>
      <c r="AL49" s="626"/>
      <c r="AM49" s="626"/>
    </row>
    <row r="50" spans="2:39" ht="18" customHeight="1">
      <c r="C50" s="598">
        <v>30</v>
      </c>
      <c r="D50" s="598" t="s">
        <v>1071</v>
      </c>
      <c r="E50" s="598">
        <f t="shared" si="2"/>
        <v>29</v>
      </c>
      <c r="F50" s="616" t="s">
        <v>957</v>
      </c>
      <c r="G50" s="616" t="s">
        <v>1013</v>
      </c>
      <c r="H50" s="618" t="s">
        <v>1033</v>
      </c>
      <c r="I50" s="618" t="s">
        <v>4</v>
      </c>
      <c r="J50" s="618" t="s">
        <v>4447</v>
      </c>
      <c r="K50" s="783" t="s">
        <v>1071</v>
      </c>
      <c r="L50" s="619" t="s">
        <v>1072</v>
      </c>
      <c r="M50" s="618" t="s">
        <v>1073</v>
      </c>
      <c r="N50" s="620"/>
      <c r="O50" s="620"/>
      <c r="P50" s="663" t="s">
        <v>1115</v>
      </c>
      <c r="Q50" s="621"/>
      <c r="R50" s="598" t="s">
        <v>69</v>
      </c>
      <c r="S50" s="598" t="s">
        <v>69</v>
      </c>
      <c r="T50" s="598"/>
      <c r="U50" s="598" t="s">
        <v>1015</v>
      </c>
      <c r="V50" s="663" t="s">
        <v>117</v>
      </c>
      <c r="W50" s="779" t="s">
        <v>1075</v>
      </c>
      <c r="X50" s="598" t="s">
        <v>950</v>
      </c>
      <c r="Y50" s="624">
        <v>24988</v>
      </c>
      <c r="Z50" s="625">
        <f t="shared" ca="1" si="3"/>
        <v>57</v>
      </c>
      <c r="AA50" s="616" t="s">
        <v>1076</v>
      </c>
      <c r="AB50" s="598" t="s">
        <v>1077</v>
      </c>
      <c r="AC50" s="598" t="s">
        <v>996</v>
      </c>
      <c r="AD50" s="598" t="s">
        <v>953</v>
      </c>
      <c r="AE50" s="616" t="s">
        <v>1078</v>
      </c>
      <c r="AF50" s="616" t="s">
        <v>954</v>
      </c>
      <c r="AG50" s="616" t="s">
        <v>1079</v>
      </c>
      <c r="AH50" s="598"/>
      <c r="AI50" s="598"/>
      <c r="AJ50" s="598" t="s">
        <v>1011</v>
      </c>
      <c r="AK50" s="598"/>
      <c r="AL50" s="626"/>
      <c r="AM50" s="626"/>
    </row>
    <row r="51" spans="2:39" ht="18" customHeight="1">
      <c r="C51" s="598">
        <v>31</v>
      </c>
      <c r="D51" s="598" t="s">
        <v>1072</v>
      </c>
      <c r="E51" s="598">
        <f t="shared" si="2"/>
        <v>30</v>
      </c>
      <c r="F51" s="616" t="s">
        <v>957</v>
      </c>
      <c r="G51" s="616" t="s">
        <v>1013</v>
      </c>
      <c r="H51" s="618" t="s">
        <v>1033</v>
      </c>
      <c r="I51" s="618" t="s">
        <v>4</v>
      </c>
      <c r="J51" s="618" t="s">
        <v>4447</v>
      </c>
      <c r="K51" s="783" t="s">
        <v>1071</v>
      </c>
      <c r="L51" s="619" t="s">
        <v>1072</v>
      </c>
      <c r="M51" s="618" t="s">
        <v>1073</v>
      </c>
      <c r="N51" s="620"/>
      <c r="O51" s="620"/>
      <c r="P51" s="663" t="s">
        <v>1115</v>
      </c>
      <c r="Q51" s="621"/>
      <c r="R51" s="598" t="s">
        <v>69</v>
      </c>
      <c r="S51" s="598" t="s">
        <v>69</v>
      </c>
      <c r="T51" s="598"/>
      <c r="U51" s="598" t="s">
        <v>1015</v>
      </c>
      <c r="V51" s="663" t="s">
        <v>81</v>
      </c>
      <c r="W51" s="779" t="s">
        <v>1080</v>
      </c>
      <c r="X51" s="598" t="s">
        <v>950</v>
      </c>
      <c r="Y51" s="624">
        <v>30935</v>
      </c>
      <c r="Z51" s="625">
        <f t="shared" ca="1" si="3"/>
        <v>41</v>
      </c>
      <c r="AA51" s="616" t="s">
        <v>1081</v>
      </c>
      <c r="AB51" s="598" t="s">
        <v>1082</v>
      </c>
      <c r="AC51" s="598" t="s">
        <v>966</v>
      </c>
      <c r="AD51" s="598" t="s">
        <v>953</v>
      </c>
      <c r="AE51" s="616" t="s">
        <v>1078</v>
      </c>
      <c r="AF51" s="616" t="s">
        <v>954</v>
      </c>
      <c r="AG51" s="616" t="s">
        <v>974</v>
      </c>
      <c r="AH51" s="598"/>
      <c r="AI51" s="598"/>
      <c r="AJ51" s="598"/>
      <c r="AK51" s="598"/>
      <c r="AL51" s="626"/>
      <c r="AM51" s="626"/>
    </row>
    <row r="52" spans="2:39" ht="18" customHeight="1">
      <c r="C52" s="598">
        <v>32</v>
      </c>
      <c r="D52" s="598" t="s">
        <v>1073</v>
      </c>
      <c r="E52" s="598">
        <f t="shared" si="2"/>
        <v>31</v>
      </c>
      <c r="F52" s="616" t="s">
        <v>957</v>
      </c>
      <c r="G52" s="616" t="s">
        <v>1013</v>
      </c>
      <c r="H52" s="618" t="s">
        <v>1033</v>
      </c>
      <c r="I52" s="618" t="s">
        <v>4</v>
      </c>
      <c r="J52" s="618" t="s">
        <v>4447</v>
      </c>
      <c r="K52" s="783" t="s">
        <v>1071</v>
      </c>
      <c r="L52" s="619" t="s">
        <v>1072</v>
      </c>
      <c r="M52" s="618" t="s">
        <v>1073</v>
      </c>
      <c r="N52" s="620"/>
      <c r="O52" s="620"/>
      <c r="P52" s="663" t="s">
        <v>1115</v>
      </c>
      <c r="Q52" s="621"/>
      <c r="R52" s="598" t="s">
        <v>69</v>
      </c>
      <c r="S52" s="598" t="s">
        <v>69</v>
      </c>
      <c r="T52" s="598"/>
      <c r="U52" s="598" t="s">
        <v>1015</v>
      </c>
      <c r="V52" s="664" t="s">
        <v>70</v>
      </c>
      <c r="W52" s="779" t="s">
        <v>1083</v>
      </c>
      <c r="X52" s="598" t="s">
        <v>950</v>
      </c>
      <c r="Y52" s="624">
        <v>29183</v>
      </c>
      <c r="Z52" s="625">
        <f t="shared" ca="1" si="3"/>
        <v>46</v>
      </c>
      <c r="AA52" s="616" t="s">
        <v>1084</v>
      </c>
      <c r="AB52" s="598" t="s">
        <v>1085</v>
      </c>
      <c r="AC52" s="598" t="s">
        <v>966</v>
      </c>
      <c r="AD52" s="598" t="s">
        <v>953</v>
      </c>
      <c r="AE52" s="616" t="s">
        <v>246</v>
      </c>
      <c r="AF52" s="616" t="s">
        <v>954</v>
      </c>
      <c r="AG52" s="616" t="s">
        <v>974</v>
      </c>
      <c r="AH52" s="598"/>
      <c r="AI52" s="598"/>
      <c r="AJ52" s="598"/>
      <c r="AK52" s="598"/>
      <c r="AL52" s="626"/>
      <c r="AM52" s="626"/>
    </row>
    <row r="53" spans="2:39" ht="18" customHeight="1">
      <c r="C53" s="598">
        <v>33</v>
      </c>
      <c r="D53" s="598" t="s">
        <v>1086</v>
      </c>
      <c r="E53" s="598">
        <f t="shared" si="2"/>
        <v>32</v>
      </c>
      <c r="F53" s="616" t="s">
        <v>957</v>
      </c>
      <c r="G53" s="616" t="s">
        <v>1013</v>
      </c>
      <c r="H53" s="618" t="s">
        <v>1033</v>
      </c>
      <c r="I53" s="618" t="s">
        <v>4</v>
      </c>
      <c r="J53" s="618" t="s">
        <v>4447</v>
      </c>
      <c r="K53" s="783" t="s">
        <v>1071</v>
      </c>
      <c r="L53" s="619" t="s">
        <v>1072</v>
      </c>
      <c r="M53" s="618" t="s">
        <v>1073</v>
      </c>
      <c r="N53" s="620"/>
      <c r="O53" s="620"/>
      <c r="P53" s="663" t="s">
        <v>1115</v>
      </c>
      <c r="Q53" s="621"/>
      <c r="R53" s="598"/>
      <c r="S53" s="598"/>
      <c r="T53" s="598"/>
      <c r="U53" s="598" t="s">
        <v>1015</v>
      </c>
      <c r="V53" s="663" t="s">
        <v>93</v>
      </c>
      <c r="W53" s="779" t="s">
        <v>1087</v>
      </c>
      <c r="X53" s="598" t="s">
        <v>950</v>
      </c>
      <c r="Y53" s="624">
        <v>33662</v>
      </c>
      <c r="Z53" s="625">
        <f t="shared" ca="1" si="3"/>
        <v>33</v>
      </c>
      <c r="AA53" s="616" t="s">
        <v>1088</v>
      </c>
      <c r="AB53" s="632"/>
      <c r="AC53" s="598" t="s">
        <v>966</v>
      </c>
      <c r="AD53" s="598" t="s">
        <v>953</v>
      </c>
      <c r="AE53" s="616" t="s">
        <v>973</v>
      </c>
      <c r="AF53" s="616" t="s">
        <v>954</v>
      </c>
      <c r="AG53" s="616" t="s">
        <v>974</v>
      </c>
      <c r="AH53" s="598"/>
      <c r="AI53" s="598"/>
      <c r="AJ53" s="598"/>
      <c r="AK53" s="598"/>
      <c r="AL53" s="626"/>
      <c r="AM53" s="626"/>
    </row>
    <row r="54" spans="2:39" ht="18" customHeight="1">
      <c r="C54" s="598">
        <v>34</v>
      </c>
      <c r="D54" s="598" t="s">
        <v>1089</v>
      </c>
      <c r="E54" s="598">
        <f t="shared" si="2"/>
        <v>33</v>
      </c>
      <c r="F54" s="616" t="s">
        <v>957</v>
      </c>
      <c r="G54" s="616" t="s">
        <v>1013</v>
      </c>
      <c r="H54" s="618" t="s">
        <v>1033</v>
      </c>
      <c r="I54" s="618" t="s">
        <v>4</v>
      </c>
      <c r="J54" s="618" t="s">
        <v>4447</v>
      </c>
      <c r="K54" s="783" t="s">
        <v>1071</v>
      </c>
      <c r="L54" s="619" t="s">
        <v>1072</v>
      </c>
      <c r="M54" s="618" t="s">
        <v>1073</v>
      </c>
      <c r="N54" s="620"/>
      <c r="O54" s="620"/>
      <c r="P54" s="663" t="s">
        <v>1115</v>
      </c>
      <c r="Q54" s="621"/>
      <c r="R54" s="598"/>
      <c r="S54" s="598"/>
      <c r="T54" s="598"/>
      <c r="U54" s="598" t="s">
        <v>1090</v>
      </c>
      <c r="V54" s="663" t="s">
        <v>103</v>
      </c>
      <c r="W54" s="779" t="s">
        <v>1091</v>
      </c>
      <c r="X54" s="598" t="s">
        <v>950</v>
      </c>
      <c r="Y54" s="624">
        <v>18173</v>
      </c>
      <c r="Z54" s="625">
        <f t="shared" ca="1" si="3"/>
        <v>76</v>
      </c>
      <c r="AA54" s="616" t="s">
        <v>1092</v>
      </c>
      <c r="AB54" s="598" t="s">
        <v>1093</v>
      </c>
      <c r="AC54" s="598" t="s">
        <v>996</v>
      </c>
      <c r="AD54" s="598" t="s">
        <v>953</v>
      </c>
      <c r="AE54" s="616" t="s">
        <v>973</v>
      </c>
      <c r="AF54" s="616" t="s">
        <v>954</v>
      </c>
      <c r="AG54" s="616" t="s">
        <v>968</v>
      </c>
      <c r="AH54" s="598"/>
      <c r="AI54" s="598"/>
      <c r="AJ54" s="598"/>
      <c r="AK54" s="598"/>
      <c r="AL54" s="626"/>
      <c r="AM54" s="626"/>
    </row>
    <row r="55" spans="2:39" ht="18" customHeight="1">
      <c r="C55" s="598">
        <v>35</v>
      </c>
      <c r="D55" s="598" t="s">
        <v>1094</v>
      </c>
      <c r="E55" s="598">
        <f t="shared" si="2"/>
        <v>34</v>
      </c>
      <c r="F55" s="616" t="s">
        <v>957</v>
      </c>
      <c r="G55" s="616" t="s">
        <v>1013</v>
      </c>
      <c r="H55" s="618" t="s">
        <v>1033</v>
      </c>
      <c r="I55" s="618" t="s">
        <v>4</v>
      </c>
      <c r="J55" s="618" t="s">
        <v>4447</v>
      </c>
      <c r="K55" s="783" t="s">
        <v>1071</v>
      </c>
      <c r="L55" s="619" t="s">
        <v>1072</v>
      </c>
      <c r="M55" s="618" t="s">
        <v>1073</v>
      </c>
      <c r="N55" s="620"/>
      <c r="O55" s="620"/>
      <c r="P55" s="663" t="s">
        <v>1115</v>
      </c>
      <c r="Q55" s="621"/>
      <c r="R55" s="598"/>
      <c r="S55" s="598"/>
      <c r="T55" s="598"/>
      <c r="U55" s="598" t="s">
        <v>1015</v>
      </c>
      <c r="V55" s="663" t="s">
        <v>111</v>
      </c>
      <c r="W55" s="779" t="s">
        <v>1095</v>
      </c>
      <c r="X55" s="598" t="s">
        <v>950</v>
      </c>
      <c r="Y55" s="624">
        <v>21465</v>
      </c>
      <c r="Z55" s="625">
        <f t="shared" ca="1" si="3"/>
        <v>67</v>
      </c>
      <c r="AA55" s="616" t="s">
        <v>1096</v>
      </c>
      <c r="AB55" s="598" t="s">
        <v>1097</v>
      </c>
      <c r="AC55" s="598" t="s">
        <v>966</v>
      </c>
      <c r="AD55" s="598" t="s">
        <v>953</v>
      </c>
      <c r="AE55" s="616" t="s">
        <v>729</v>
      </c>
      <c r="AF55" s="616" t="s">
        <v>954</v>
      </c>
      <c r="AG55" s="616" t="s">
        <v>974</v>
      </c>
      <c r="AH55" s="598"/>
      <c r="AI55" s="598"/>
      <c r="AJ55" s="598"/>
      <c r="AK55" s="598"/>
      <c r="AL55" s="626"/>
      <c r="AM55" s="626"/>
    </row>
    <row r="56" spans="2:39" ht="18" customHeight="1">
      <c r="C56" s="598">
        <v>36</v>
      </c>
      <c r="D56" s="598" t="s">
        <v>1098</v>
      </c>
      <c r="E56" s="598">
        <f t="shared" si="2"/>
        <v>35</v>
      </c>
      <c r="F56" s="616" t="s">
        <v>957</v>
      </c>
      <c r="G56" s="616" t="s">
        <v>1013</v>
      </c>
      <c r="H56" s="618" t="s">
        <v>1033</v>
      </c>
      <c r="I56" s="618" t="s">
        <v>4</v>
      </c>
      <c r="J56" s="618" t="s">
        <v>4447</v>
      </c>
      <c r="K56" s="783" t="s">
        <v>1071</v>
      </c>
      <c r="L56" s="619" t="s">
        <v>1072</v>
      </c>
      <c r="M56" s="618" t="s">
        <v>1073</v>
      </c>
      <c r="N56" s="620"/>
      <c r="O56" s="620"/>
      <c r="P56" s="663" t="s">
        <v>1115</v>
      </c>
      <c r="Q56" s="621"/>
      <c r="R56" s="598"/>
      <c r="S56" s="598"/>
      <c r="T56" s="598"/>
      <c r="U56" s="598" t="s">
        <v>1015</v>
      </c>
      <c r="V56" s="663" t="s">
        <v>905</v>
      </c>
      <c r="W56" s="779" t="s">
        <v>1099</v>
      </c>
      <c r="X56" s="598" t="s">
        <v>950</v>
      </c>
      <c r="Y56" s="624">
        <v>25896</v>
      </c>
      <c r="Z56" s="625">
        <f t="shared" ca="1" si="3"/>
        <v>55</v>
      </c>
      <c r="AA56" s="616" t="s">
        <v>1100</v>
      </c>
      <c r="AB56" s="598" t="s">
        <v>1101</v>
      </c>
      <c r="AC56" s="598" t="s">
        <v>996</v>
      </c>
      <c r="AD56" s="598" t="s">
        <v>953</v>
      </c>
      <c r="AE56" s="616" t="s">
        <v>1078</v>
      </c>
      <c r="AF56" s="616" t="s">
        <v>954</v>
      </c>
      <c r="AG56" s="616" t="s">
        <v>998</v>
      </c>
      <c r="AH56" s="598"/>
      <c r="AI56" s="598"/>
      <c r="AJ56" s="598" t="s">
        <v>1011</v>
      </c>
      <c r="AK56" s="598"/>
      <c r="AL56" s="626"/>
      <c r="AM56" s="626"/>
    </row>
    <row r="57" spans="2:39" ht="18" customHeight="1">
      <c r="C57" s="598">
        <v>37</v>
      </c>
      <c r="D57" s="598" t="s">
        <v>1102</v>
      </c>
      <c r="E57" s="598">
        <f t="shared" si="2"/>
        <v>36</v>
      </c>
      <c r="F57" s="616" t="s">
        <v>957</v>
      </c>
      <c r="G57" s="616" t="s">
        <v>1013</v>
      </c>
      <c r="H57" s="618" t="s">
        <v>1033</v>
      </c>
      <c r="I57" s="618" t="s">
        <v>4</v>
      </c>
      <c r="J57" s="618" t="s">
        <v>4447</v>
      </c>
      <c r="K57" s="783" t="s">
        <v>1071</v>
      </c>
      <c r="L57" s="619" t="s">
        <v>1072</v>
      </c>
      <c r="M57" s="618" t="s">
        <v>1073</v>
      </c>
      <c r="N57" s="620"/>
      <c r="O57" s="620"/>
      <c r="P57" s="663" t="s">
        <v>1115</v>
      </c>
      <c r="Q57" s="621" t="s">
        <v>319</v>
      </c>
      <c r="R57" s="598"/>
      <c r="S57" s="598"/>
      <c r="T57" s="598"/>
      <c r="U57" s="598" t="s">
        <v>1015</v>
      </c>
      <c r="V57" s="663" t="s">
        <v>131</v>
      </c>
      <c r="W57" s="779" t="s">
        <v>1103</v>
      </c>
      <c r="X57" s="598" t="s">
        <v>950</v>
      </c>
      <c r="Y57" s="624">
        <v>35278</v>
      </c>
      <c r="Z57" s="625">
        <f t="shared" ca="1" si="3"/>
        <v>29</v>
      </c>
      <c r="AA57" s="616" t="s">
        <v>1104</v>
      </c>
      <c r="AB57" s="598" t="s">
        <v>1105</v>
      </c>
      <c r="AC57" s="598" t="s">
        <v>996</v>
      </c>
      <c r="AD57" s="598" t="s">
        <v>997</v>
      </c>
      <c r="AE57" s="616" t="s">
        <v>729</v>
      </c>
      <c r="AF57" s="616" t="s">
        <v>954</v>
      </c>
      <c r="AG57" s="616" t="s">
        <v>1106</v>
      </c>
      <c r="AH57" s="598"/>
      <c r="AI57" s="598"/>
      <c r="AJ57" s="598" t="s">
        <v>1107</v>
      </c>
      <c r="AK57" s="598"/>
      <c r="AL57" s="626"/>
      <c r="AM57" s="626"/>
    </row>
    <row r="58" spans="2:39" ht="18" customHeight="1">
      <c r="C58" s="598">
        <v>38</v>
      </c>
      <c r="D58" s="598" t="s">
        <v>1111</v>
      </c>
      <c r="E58" s="598">
        <f t="shared" si="2"/>
        <v>37</v>
      </c>
      <c r="F58" s="616" t="s">
        <v>957</v>
      </c>
      <c r="G58" s="616" t="s">
        <v>1013</v>
      </c>
      <c r="H58" s="618" t="s">
        <v>1033</v>
      </c>
      <c r="I58" s="618" t="s">
        <v>4</v>
      </c>
      <c r="J58" s="618" t="s">
        <v>4447</v>
      </c>
      <c r="K58" s="783" t="s">
        <v>1071</v>
      </c>
      <c r="L58" s="619" t="s">
        <v>1072</v>
      </c>
      <c r="M58" s="618" t="s">
        <v>1073</v>
      </c>
      <c r="N58" s="620"/>
      <c r="O58" s="620"/>
      <c r="P58" s="663" t="s">
        <v>1115</v>
      </c>
      <c r="Q58" s="621"/>
      <c r="R58" s="598"/>
      <c r="S58" s="598"/>
      <c r="T58" s="598"/>
      <c r="U58" s="598" t="s">
        <v>1015</v>
      </c>
      <c r="V58" s="663" t="s">
        <v>907</v>
      </c>
      <c r="W58" s="779" t="s">
        <v>1112</v>
      </c>
      <c r="X58" s="598" t="s">
        <v>950</v>
      </c>
      <c r="Y58" s="624">
        <v>22442</v>
      </c>
      <c r="Z58" s="625">
        <f t="shared" ca="1" si="3"/>
        <v>64</v>
      </c>
      <c r="AA58" s="616" t="s">
        <v>1113</v>
      </c>
      <c r="AB58" s="632"/>
      <c r="AC58" s="598" t="s">
        <v>996</v>
      </c>
      <c r="AD58" s="598" t="s">
        <v>1018</v>
      </c>
      <c r="AE58" s="616" t="s">
        <v>729</v>
      </c>
      <c r="AF58" s="616" t="s">
        <v>954</v>
      </c>
      <c r="AG58" s="616" t="s">
        <v>968</v>
      </c>
      <c r="AH58" s="598"/>
      <c r="AI58" s="598" t="s">
        <v>1019</v>
      </c>
      <c r="AJ58" s="598" t="s">
        <v>1114</v>
      </c>
      <c r="AK58" s="598" t="s">
        <v>1020</v>
      </c>
      <c r="AL58" s="626"/>
      <c r="AM58" s="626"/>
    </row>
    <row r="59" spans="2:39" ht="18" customHeight="1">
      <c r="B59" s="782"/>
      <c r="C59" s="598"/>
      <c r="D59" s="598" t="s">
        <v>4447</v>
      </c>
      <c r="E59" s="598">
        <f t="shared" si="2"/>
        <v>37</v>
      </c>
      <c r="F59" s="616"/>
      <c r="G59" s="616" t="s">
        <v>1013</v>
      </c>
      <c r="H59" s="618" t="s">
        <v>1033</v>
      </c>
      <c r="I59" s="618" t="s">
        <v>4</v>
      </c>
      <c r="J59" s="618" t="s">
        <v>4447</v>
      </c>
      <c r="K59" s="618" t="s">
        <v>4447</v>
      </c>
      <c r="L59" s="618" t="s">
        <v>4464</v>
      </c>
      <c r="M59" s="619" t="s">
        <v>959</v>
      </c>
      <c r="N59" s="620"/>
      <c r="O59" s="620"/>
      <c r="P59" s="667" t="s">
        <v>1127</v>
      </c>
      <c r="Q59" s="621"/>
      <c r="R59" s="598" t="s">
        <v>948</v>
      </c>
      <c r="S59" s="598" t="s">
        <v>3</v>
      </c>
      <c r="T59" s="598" t="s">
        <v>55</v>
      </c>
      <c r="U59" s="623"/>
      <c r="V59" s="677" t="s">
        <v>4</v>
      </c>
      <c r="W59" s="781"/>
      <c r="X59" s="598" t="s">
        <v>963</v>
      </c>
      <c r="Y59" s="624">
        <v>31732</v>
      </c>
      <c r="Z59" s="625">
        <f t="shared" ca="1" si="3"/>
        <v>39</v>
      </c>
      <c r="AA59" s="616" t="s">
        <v>4465</v>
      </c>
      <c r="AB59" s="598" t="s">
        <v>4466</v>
      </c>
      <c r="AC59" s="598" t="s">
        <v>60</v>
      </c>
      <c r="AD59" s="598" t="s">
        <v>953</v>
      </c>
      <c r="AE59" s="616"/>
      <c r="AF59" s="616" t="s">
        <v>954</v>
      </c>
      <c r="AG59" s="616" t="s">
        <v>968</v>
      </c>
      <c r="AH59" s="598"/>
      <c r="AI59" s="598"/>
      <c r="AJ59" s="598"/>
      <c r="AK59" s="598"/>
      <c r="AL59" s="626"/>
      <c r="AM59" s="626"/>
    </row>
    <row r="60" spans="2:39" ht="18" customHeight="1">
      <c r="B60" s="782"/>
      <c r="C60" s="598">
        <v>39</v>
      </c>
      <c r="D60" s="598" t="s">
        <v>4464</v>
      </c>
      <c r="E60" s="598">
        <f t="shared" si="2"/>
        <v>38</v>
      </c>
      <c r="F60" s="616" t="s">
        <v>1798</v>
      </c>
      <c r="G60" s="616" t="s">
        <v>1013</v>
      </c>
      <c r="H60" s="618" t="s">
        <v>1033</v>
      </c>
      <c r="I60" s="618" t="s">
        <v>4</v>
      </c>
      <c r="J60" s="618" t="s">
        <v>4447</v>
      </c>
      <c r="K60" s="618" t="s">
        <v>4447</v>
      </c>
      <c r="L60" s="618" t="s">
        <v>4464</v>
      </c>
      <c r="M60" s="619" t="s">
        <v>959</v>
      </c>
      <c r="N60" s="620"/>
      <c r="O60" s="620"/>
      <c r="P60" s="663" t="s">
        <v>1127</v>
      </c>
      <c r="Q60" s="621"/>
      <c r="R60" s="598" t="s">
        <v>1227</v>
      </c>
      <c r="S60" s="598" t="s">
        <v>3</v>
      </c>
      <c r="T60" s="598" t="s">
        <v>69</v>
      </c>
      <c r="U60" s="623" t="s">
        <v>3309</v>
      </c>
      <c r="V60" s="665" t="s">
        <v>71</v>
      </c>
      <c r="W60" s="781" t="s">
        <v>3310</v>
      </c>
      <c r="X60" s="598" t="s">
        <v>963</v>
      </c>
      <c r="Y60" s="624">
        <v>28737</v>
      </c>
      <c r="Z60" s="625">
        <f t="shared" ca="1" si="3"/>
        <v>47</v>
      </c>
      <c r="AA60" s="616" t="s">
        <v>4468</v>
      </c>
      <c r="AB60" s="598" t="s">
        <v>4469</v>
      </c>
      <c r="AC60" s="598" t="s">
        <v>60</v>
      </c>
      <c r="AD60" s="598" t="s">
        <v>953</v>
      </c>
      <c r="AE60" s="616" t="s">
        <v>954</v>
      </c>
      <c r="AF60" s="616" t="s">
        <v>954</v>
      </c>
      <c r="AG60" s="616"/>
      <c r="AH60" s="598"/>
      <c r="AI60" s="598"/>
      <c r="AJ60" s="598"/>
      <c r="AK60" s="598"/>
      <c r="AL60" s="626"/>
      <c r="AM60" s="626"/>
    </row>
    <row r="61" spans="2:39" ht="18" customHeight="1">
      <c r="C61" s="598">
        <v>40</v>
      </c>
      <c r="D61" s="598" t="s">
        <v>3807</v>
      </c>
      <c r="E61" s="598">
        <f t="shared" si="2"/>
        <v>39</v>
      </c>
      <c r="F61" s="616" t="s">
        <v>957</v>
      </c>
      <c r="G61" s="616" t="s">
        <v>1013</v>
      </c>
      <c r="H61" s="618" t="s">
        <v>1033</v>
      </c>
      <c r="I61" s="618" t="s">
        <v>4</v>
      </c>
      <c r="J61" s="618" t="s">
        <v>4447</v>
      </c>
      <c r="K61" s="618" t="s">
        <v>4447</v>
      </c>
      <c r="L61" s="618" t="s">
        <v>4464</v>
      </c>
      <c r="M61" s="619" t="s">
        <v>959</v>
      </c>
      <c r="N61" s="620"/>
      <c r="O61" s="620"/>
      <c r="P61" s="663" t="s">
        <v>1127</v>
      </c>
      <c r="Q61" s="621"/>
      <c r="R61" s="598" t="s">
        <v>55</v>
      </c>
      <c r="S61" s="598" t="s">
        <v>55</v>
      </c>
      <c r="T61" s="598"/>
      <c r="U61" s="623" t="s">
        <v>1090</v>
      </c>
      <c r="V61" s="663" t="s">
        <v>82</v>
      </c>
      <c r="W61" s="781" t="s">
        <v>3813</v>
      </c>
      <c r="X61" s="598" t="s">
        <v>963</v>
      </c>
      <c r="Y61" s="624">
        <v>19202</v>
      </c>
      <c r="Z61" s="625">
        <f t="shared" ca="1" si="3"/>
        <v>73</v>
      </c>
      <c r="AA61" s="616" t="s">
        <v>3814</v>
      </c>
      <c r="AB61" s="598"/>
      <c r="AC61" s="598" t="s">
        <v>966</v>
      </c>
      <c r="AD61" s="598" t="s">
        <v>953</v>
      </c>
      <c r="AE61" s="616" t="s">
        <v>973</v>
      </c>
      <c r="AF61" s="616" t="s">
        <v>954</v>
      </c>
      <c r="AG61" s="616" t="s">
        <v>968</v>
      </c>
      <c r="AH61" s="598"/>
      <c r="AI61" s="598"/>
      <c r="AJ61" s="598"/>
      <c r="AK61" s="598"/>
      <c r="AL61" s="626"/>
      <c r="AM61" s="626"/>
    </row>
    <row r="62" spans="2:39" ht="18" customHeight="1">
      <c r="C62" s="598">
        <v>41</v>
      </c>
      <c r="D62" s="598" t="s">
        <v>3888</v>
      </c>
      <c r="E62" s="598">
        <f t="shared" si="2"/>
        <v>40</v>
      </c>
      <c r="F62" s="616" t="s">
        <v>957</v>
      </c>
      <c r="G62" s="616" t="s">
        <v>1013</v>
      </c>
      <c r="H62" s="618" t="s">
        <v>1033</v>
      </c>
      <c r="I62" s="618" t="s">
        <v>4</v>
      </c>
      <c r="J62" s="618" t="s">
        <v>4447</v>
      </c>
      <c r="K62" s="618" t="s">
        <v>4447</v>
      </c>
      <c r="L62" s="618" t="s">
        <v>4464</v>
      </c>
      <c r="M62" s="619" t="s">
        <v>959</v>
      </c>
      <c r="N62" s="620"/>
      <c r="O62" s="620"/>
      <c r="P62" s="663" t="s">
        <v>1127</v>
      </c>
      <c r="Q62" s="621"/>
      <c r="R62" s="598" t="s">
        <v>69</v>
      </c>
      <c r="S62" s="598" t="s">
        <v>69</v>
      </c>
      <c r="T62" s="598"/>
      <c r="U62" s="623" t="s">
        <v>1090</v>
      </c>
      <c r="V62" s="663" t="s">
        <v>94</v>
      </c>
      <c r="W62" s="781" t="s">
        <v>3895</v>
      </c>
      <c r="X62" s="598" t="s">
        <v>950</v>
      </c>
      <c r="Y62" s="624">
        <v>19466</v>
      </c>
      <c r="Z62" s="625">
        <f t="shared" ca="1" si="3"/>
        <v>72</v>
      </c>
      <c r="AA62" s="616" t="s">
        <v>3896</v>
      </c>
      <c r="AB62" s="598" t="s">
        <v>3897</v>
      </c>
      <c r="AC62" s="598" t="s">
        <v>966</v>
      </c>
      <c r="AD62" s="598" t="s">
        <v>953</v>
      </c>
      <c r="AE62" s="616" t="s">
        <v>973</v>
      </c>
      <c r="AF62" s="616" t="s">
        <v>954</v>
      </c>
      <c r="AG62" s="616" t="s">
        <v>968</v>
      </c>
      <c r="AH62" s="598"/>
      <c r="AI62" s="598"/>
      <c r="AJ62" s="598"/>
      <c r="AK62" s="598"/>
      <c r="AL62" s="626"/>
      <c r="AM62" s="626"/>
    </row>
    <row r="63" spans="2:39" ht="18" customHeight="1">
      <c r="C63" s="598">
        <v>42</v>
      </c>
      <c r="D63" s="598" t="s">
        <v>1122</v>
      </c>
      <c r="E63" s="598">
        <f t="shared" si="2"/>
        <v>41</v>
      </c>
      <c r="F63" s="616" t="s">
        <v>957</v>
      </c>
      <c r="G63" s="616" t="s">
        <v>1013</v>
      </c>
      <c r="H63" s="618" t="s">
        <v>1033</v>
      </c>
      <c r="I63" s="618" t="s">
        <v>4</v>
      </c>
      <c r="J63" s="618" t="s">
        <v>4447</v>
      </c>
      <c r="K63" s="618" t="s">
        <v>4447</v>
      </c>
      <c r="L63" s="618" t="s">
        <v>4464</v>
      </c>
      <c r="M63" s="619" t="s">
        <v>959</v>
      </c>
      <c r="N63" s="620"/>
      <c r="O63" s="620"/>
      <c r="P63" s="663" t="s">
        <v>1127</v>
      </c>
      <c r="Q63" s="621"/>
      <c r="R63" s="598"/>
      <c r="S63" s="598"/>
      <c r="T63" s="598"/>
      <c r="U63" s="623" t="s">
        <v>1090</v>
      </c>
      <c r="V63" s="663" t="s">
        <v>104</v>
      </c>
      <c r="W63" s="781" t="s">
        <v>1123</v>
      </c>
      <c r="X63" s="598" t="s">
        <v>963</v>
      </c>
      <c r="Y63" s="624">
        <v>19784</v>
      </c>
      <c r="Z63" s="625">
        <f t="shared" ca="1" si="3"/>
        <v>71</v>
      </c>
      <c r="AA63" s="616" t="s">
        <v>1124</v>
      </c>
      <c r="AB63" s="598"/>
      <c r="AC63" s="598" t="s">
        <v>996</v>
      </c>
      <c r="AD63" s="598" t="s">
        <v>953</v>
      </c>
      <c r="AE63" s="616" t="s">
        <v>973</v>
      </c>
      <c r="AF63" s="616" t="s">
        <v>954</v>
      </c>
      <c r="AG63" s="616" t="s">
        <v>968</v>
      </c>
      <c r="AH63" s="598"/>
      <c r="AI63" s="598"/>
      <c r="AJ63" s="598" t="s">
        <v>1125</v>
      </c>
      <c r="AK63" s="598"/>
      <c r="AL63" s="626"/>
      <c r="AM63" s="626"/>
    </row>
    <row r="64" spans="2:39" ht="18" customHeight="1">
      <c r="C64" s="598">
        <v>43</v>
      </c>
      <c r="D64" s="598" t="s">
        <v>1036</v>
      </c>
      <c r="E64" s="598">
        <f t="shared" si="2"/>
        <v>42</v>
      </c>
      <c r="F64" s="616" t="s">
        <v>957</v>
      </c>
      <c r="G64" s="616" t="s">
        <v>1013</v>
      </c>
      <c r="H64" s="618" t="s">
        <v>1033</v>
      </c>
      <c r="I64" s="618" t="s">
        <v>4</v>
      </c>
      <c r="J64" s="618" t="s">
        <v>4447</v>
      </c>
      <c r="K64" s="618" t="s">
        <v>4447</v>
      </c>
      <c r="L64" s="618" t="s">
        <v>4464</v>
      </c>
      <c r="M64" s="619" t="s">
        <v>959</v>
      </c>
      <c r="N64" s="620"/>
      <c r="O64" s="620"/>
      <c r="P64" s="663" t="s">
        <v>1127</v>
      </c>
      <c r="Q64" s="621"/>
      <c r="R64" s="598"/>
      <c r="S64" s="598"/>
      <c r="T64" s="598"/>
      <c r="U64" s="623" t="s">
        <v>1015</v>
      </c>
      <c r="V64" s="663" t="s">
        <v>112</v>
      </c>
      <c r="W64" s="781" t="s">
        <v>1039</v>
      </c>
      <c r="X64" s="598" t="s">
        <v>950</v>
      </c>
      <c r="Y64" s="624">
        <v>22276</v>
      </c>
      <c r="Z64" s="625">
        <f t="shared" ca="1" si="3"/>
        <v>65</v>
      </c>
      <c r="AA64" s="616" t="s">
        <v>1040</v>
      </c>
      <c r="AB64" s="598"/>
      <c r="AC64" s="598" t="s">
        <v>996</v>
      </c>
      <c r="AD64" s="598" t="s">
        <v>953</v>
      </c>
      <c r="AE64" s="616" t="s">
        <v>1041</v>
      </c>
      <c r="AF64" s="616" t="s">
        <v>954</v>
      </c>
      <c r="AG64" s="616" t="s">
        <v>974</v>
      </c>
      <c r="AH64" s="598"/>
      <c r="AI64" s="598"/>
      <c r="AJ64" s="598"/>
      <c r="AK64" s="598"/>
      <c r="AL64" s="626"/>
      <c r="AM64" s="626"/>
    </row>
    <row r="65" spans="3:39" ht="18" customHeight="1">
      <c r="C65" s="598">
        <v>44</v>
      </c>
      <c r="D65" s="598" t="s">
        <v>4038</v>
      </c>
      <c r="E65" s="598">
        <f t="shared" si="2"/>
        <v>43</v>
      </c>
      <c r="F65" s="616" t="s">
        <v>3808</v>
      </c>
      <c r="G65" s="616" t="s">
        <v>1013</v>
      </c>
      <c r="H65" s="618" t="s">
        <v>1033</v>
      </c>
      <c r="I65" s="618" t="s">
        <v>4</v>
      </c>
      <c r="J65" s="618" t="s">
        <v>4447</v>
      </c>
      <c r="K65" s="618" t="s">
        <v>4447</v>
      </c>
      <c r="L65" s="618" t="s">
        <v>4464</v>
      </c>
      <c r="M65" s="619" t="s">
        <v>959</v>
      </c>
      <c r="N65" s="620"/>
      <c r="O65" s="620"/>
      <c r="P65" s="663" t="s">
        <v>1127</v>
      </c>
      <c r="Q65" s="621"/>
      <c r="R65" s="598"/>
      <c r="S65" s="598"/>
      <c r="T65" s="598"/>
      <c r="U65" s="623" t="s">
        <v>1015</v>
      </c>
      <c r="V65" s="668" t="s">
        <v>4039</v>
      </c>
      <c r="W65" s="781" t="s">
        <v>4040</v>
      </c>
      <c r="X65" s="598" t="s">
        <v>950</v>
      </c>
      <c r="Y65" s="624">
        <v>33959</v>
      </c>
      <c r="Z65" s="625">
        <f t="shared" ca="1" si="3"/>
        <v>33</v>
      </c>
      <c r="AA65" s="616" t="s">
        <v>4041</v>
      </c>
      <c r="AB65" s="598"/>
      <c r="AC65" s="598" t="s">
        <v>996</v>
      </c>
      <c r="AD65" s="598" t="s">
        <v>1018</v>
      </c>
      <c r="AE65" s="616" t="s">
        <v>246</v>
      </c>
      <c r="AF65" s="616" t="s">
        <v>246</v>
      </c>
      <c r="AG65" s="616" t="s">
        <v>3815</v>
      </c>
      <c r="AH65" s="598"/>
      <c r="AI65" s="598" t="s">
        <v>1019</v>
      </c>
      <c r="AJ65" s="598"/>
      <c r="AK65" s="598" t="s">
        <v>1020</v>
      </c>
      <c r="AL65" s="626"/>
      <c r="AM65" s="626"/>
    </row>
    <row r="66" spans="3:39" ht="19.5" customHeight="1">
      <c r="C66" s="598">
        <v>45</v>
      </c>
      <c r="D66" s="598" t="s">
        <v>4470</v>
      </c>
      <c r="E66" s="598">
        <f t="shared" si="2"/>
        <v>44</v>
      </c>
      <c r="F66" s="616" t="s">
        <v>3808</v>
      </c>
      <c r="G66" s="616" t="s">
        <v>1001</v>
      </c>
      <c r="H66" s="618" t="s">
        <v>1033</v>
      </c>
      <c r="I66" s="618" t="s">
        <v>4</v>
      </c>
      <c r="J66" s="618" t="s">
        <v>4447</v>
      </c>
      <c r="K66" s="618" t="s">
        <v>4447</v>
      </c>
      <c r="L66" s="618" t="s">
        <v>4464</v>
      </c>
      <c r="M66" s="619" t="s">
        <v>959</v>
      </c>
      <c r="N66" s="620"/>
      <c r="O66" s="620"/>
      <c r="P66" s="673" t="s">
        <v>1127</v>
      </c>
      <c r="Q66" s="621"/>
      <c r="R66" s="598"/>
      <c r="S66" s="598"/>
      <c r="T66" s="598"/>
      <c r="U66" s="623" t="s">
        <v>992</v>
      </c>
      <c r="V66" s="676" t="s">
        <v>4471</v>
      </c>
      <c r="W66" s="781" t="s">
        <v>4472</v>
      </c>
      <c r="X66" s="598" t="s">
        <v>963</v>
      </c>
      <c r="Y66" s="624">
        <v>33674</v>
      </c>
      <c r="Z66" s="625">
        <f t="shared" ca="1" si="3"/>
        <v>33</v>
      </c>
      <c r="AA66" s="616" t="s">
        <v>4473</v>
      </c>
      <c r="AB66" s="598"/>
      <c r="AC66" s="598" t="s">
        <v>1006</v>
      </c>
      <c r="AD66" s="598" t="s">
        <v>953</v>
      </c>
      <c r="AE66" s="616" t="s">
        <v>973</v>
      </c>
      <c r="AF66" s="616" t="s">
        <v>246</v>
      </c>
      <c r="AG66" s="616" t="s">
        <v>3815</v>
      </c>
      <c r="AH66" s="598"/>
      <c r="AI66" s="598" t="s">
        <v>1019</v>
      </c>
      <c r="AJ66" s="598"/>
      <c r="AK66" s="598"/>
      <c r="AL66" s="626"/>
      <c r="AM66" s="626"/>
    </row>
    <row r="67" spans="3:39" ht="18" customHeight="1">
      <c r="C67" s="598">
        <v>46</v>
      </c>
      <c r="D67" s="598" t="s">
        <v>1141</v>
      </c>
      <c r="E67" s="598">
        <f t="shared" si="2"/>
        <v>45</v>
      </c>
      <c r="F67" s="616" t="s">
        <v>957</v>
      </c>
      <c r="G67" s="616" t="s">
        <v>1013</v>
      </c>
      <c r="H67" s="618" t="s">
        <v>1033</v>
      </c>
      <c r="I67" s="618" t="s">
        <v>9</v>
      </c>
      <c r="J67" s="618" t="s">
        <v>1033</v>
      </c>
      <c r="K67" s="618" t="s">
        <v>1141</v>
      </c>
      <c r="L67" s="618" t="s">
        <v>1126</v>
      </c>
      <c r="M67" s="619" t="s">
        <v>959</v>
      </c>
      <c r="N67" s="620"/>
      <c r="O67" s="620"/>
      <c r="P67" s="669" t="s">
        <v>1157</v>
      </c>
      <c r="Q67" s="621"/>
      <c r="R67" s="598" t="s">
        <v>55</v>
      </c>
      <c r="S67" s="598" t="s">
        <v>55</v>
      </c>
      <c r="T67" s="598"/>
      <c r="U67" s="598" t="s">
        <v>1015</v>
      </c>
      <c r="V67" s="667" t="s">
        <v>61</v>
      </c>
      <c r="W67" s="779" t="s">
        <v>1158</v>
      </c>
      <c r="X67" s="598" t="s">
        <v>950</v>
      </c>
      <c r="Y67" s="624">
        <v>29276</v>
      </c>
      <c r="Z67" s="625">
        <f t="shared" ca="1" si="3"/>
        <v>45</v>
      </c>
      <c r="AA67" s="616" t="s">
        <v>1159</v>
      </c>
      <c r="AB67" s="598"/>
      <c r="AC67" s="598" t="s">
        <v>966</v>
      </c>
      <c r="AD67" s="598" t="s">
        <v>953</v>
      </c>
      <c r="AE67" s="616" t="s">
        <v>954</v>
      </c>
      <c r="AF67" s="616" t="s">
        <v>954</v>
      </c>
      <c r="AG67" s="616" t="s">
        <v>968</v>
      </c>
      <c r="AH67" s="598"/>
      <c r="AI67" s="598"/>
      <c r="AJ67" s="598"/>
      <c r="AK67" s="598"/>
      <c r="AL67" s="626"/>
      <c r="AM67" s="626"/>
    </row>
    <row r="68" spans="3:39" ht="18" customHeight="1">
      <c r="C68" s="598">
        <v>47</v>
      </c>
      <c r="D68" s="598" t="s">
        <v>1126</v>
      </c>
      <c r="E68" s="598">
        <f t="shared" si="2"/>
        <v>46</v>
      </c>
      <c r="F68" s="616" t="s">
        <v>957</v>
      </c>
      <c r="G68" s="616" t="s">
        <v>1013</v>
      </c>
      <c r="H68" s="618" t="s">
        <v>1033</v>
      </c>
      <c r="I68" s="618" t="s">
        <v>9</v>
      </c>
      <c r="J68" s="618" t="s">
        <v>1033</v>
      </c>
      <c r="K68" s="618" t="s">
        <v>1141</v>
      </c>
      <c r="L68" s="618" t="s">
        <v>1126</v>
      </c>
      <c r="M68" s="619" t="s">
        <v>959</v>
      </c>
      <c r="N68" s="620"/>
      <c r="O68" s="620"/>
      <c r="P68" s="663" t="s">
        <v>1157</v>
      </c>
      <c r="Q68" s="621"/>
      <c r="R68" s="598" t="s">
        <v>69</v>
      </c>
      <c r="S68" s="598" t="s">
        <v>69</v>
      </c>
      <c r="T68" s="598"/>
      <c r="U68" s="598" t="s">
        <v>1015</v>
      </c>
      <c r="V68" s="663" t="s">
        <v>22</v>
      </c>
      <c r="W68" s="779" t="s">
        <v>1128</v>
      </c>
      <c r="X68" s="598" t="s">
        <v>950</v>
      </c>
      <c r="Y68" s="624">
        <v>30920</v>
      </c>
      <c r="Z68" s="625">
        <f t="shared" ca="1" si="3"/>
        <v>41</v>
      </c>
      <c r="AA68" s="616" t="s">
        <v>1129</v>
      </c>
      <c r="AB68" s="598" t="s">
        <v>1130</v>
      </c>
      <c r="AC68" s="598" t="s">
        <v>966</v>
      </c>
      <c r="AD68" s="598" t="s">
        <v>953</v>
      </c>
      <c r="AE68" s="616" t="s">
        <v>954</v>
      </c>
      <c r="AF68" s="616" t="s">
        <v>954</v>
      </c>
      <c r="AG68" s="616" t="s">
        <v>968</v>
      </c>
      <c r="AH68" s="598"/>
      <c r="AI68" s="598"/>
      <c r="AJ68" s="598"/>
      <c r="AK68" s="598"/>
      <c r="AL68" s="626"/>
      <c r="AM68" s="626"/>
    </row>
    <row r="69" spans="3:39" ht="18" customHeight="1">
      <c r="C69" s="598">
        <v>48</v>
      </c>
      <c r="D69" s="598" t="s">
        <v>1131</v>
      </c>
      <c r="E69" s="598">
        <f t="shared" si="2"/>
        <v>47</v>
      </c>
      <c r="F69" s="616" t="s">
        <v>957</v>
      </c>
      <c r="G69" s="616" t="s">
        <v>1013</v>
      </c>
      <c r="H69" s="618" t="s">
        <v>1033</v>
      </c>
      <c r="I69" s="618" t="s">
        <v>9</v>
      </c>
      <c r="J69" s="618" t="s">
        <v>1033</v>
      </c>
      <c r="K69" s="618" t="s">
        <v>1141</v>
      </c>
      <c r="L69" s="618" t="s">
        <v>1126</v>
      </c>
      <c r="M69" s="619" t="s">
        <v>959</v>
      </c>
      <c r="N69" s="620"/>
      <c r="O69" s="620"/>
      <c r="P69" s="663" t="s">
        <v>1157</v>
      </c>
      <c r="Q69" s="621"/>
      <c r="R69" s="598" t="s">
        <v>910</v>
      </c>
      <c r="S69" s="598" t="s">
        <v>1132</v>
      </c>
      <c r="T69" s="598"/>
      <c r="U69" s="598" t="s">
        <v>1015</v>
      </c>
      <c r="V69" s="663" t="s">
        <v>84</v>
      </c>
      <c r="W69" s="779" t="s">
        <v>1133</v>
      </c>
      <c r="X69" s="598" t="s">
        <v>950</v>
      </c>
      <c r="Y69" s="624">
        <v>31700</v>
      </c>
      <c r="Z69" s="625">
        <f t="shared" ca="1" si="3"/>
        <v>39</v>
      </c>
      <c r="AA69" s="616" t="s">
        <v>1134</v>
      </c>
      <c r="AB69" s="598" t="s">
        <v>1135</v>
      </c>
      <c r="AC69" s="598" t="s">
        <v>966</v>
      </c>
      <c r="AD69" s="598" t="s">
        <v>953</v>
      </c>
      <c r="AE69" s="616" t="s">
        <v>973</v>
      </c>
      <c r="AF69" s="616" t="s">
        <v>954</v>
      </c>
      <c r="AG69" s="616" t="s">
        <v>974</v>
      </c>
      <c r="AH69" s="598"/>
      <c r="AI69" s="598"/>
      <c r="AJ69" s="598"/>
      <c r="AK69" s="598"/>
      <c r="AL69" s="626"/>
      <c r="AM69" s="626"/>
    </row>
    <row r="70" spans="3:39" ht="18" customHeight="1">
      <c r="C70" s="598">
        <v>49</v>
      </c>
      <c r="D70" s="598" t="s">
        <v>1136</v>
      </c>
      <c r="E70" s="598">
        <f t="shared" si="2"/>
        <v>48</v>
      </c>
      <c r="F70" s="616" t="s">
        <v>957</v>
      </c>
      <c r="G70" s="616" t="s">
        <v>1013</v>
      </c>
      <c r="H70" s="618" t="s">
        <v>1033</v>
      </c>
      <c r="I70" s="618" t="s">
        <v>9</v>
      </c>
      <c r="J70" s="618" t="s">
        <v>1033</v>
      </c>
      <c r="K70" s="618" t="s">
        <v>1141</v>
      </c>
      <c r="L70" s="618" t="s">
        <v>1126</v>
      </c>
      <c r="M70" s="619" t="s">
        <v>959</v>
      </c>
      <c r="N70" s="620"/>
      <c r="O70" s="620"/>
      <c r="P70" s="663" t="s">
        <v>1157</v>
      </c>
      <c r="Q70" s="621"/>
      <c r="R70" s="598" t="s">
        <v>910</v>
      </c>
      <c r="S70" s="598" t="s">
        <v>18</v>
      </c>
      <c r="T70" s="598"/>
      <c r="U70" s="598" t="s">
        <v>1015</v>
      </c>
      <c r="V70" s="663" t="s">
        <v>19</v>
      </c>
      <c r="W70" s="779"/>
      <c r="X70" s="598" t="s">
        <v>950</v>
      </c>
      <c r="Y70" s="624">
        <v>30683</v>
      </c>
      <c r="Z70" s="625">
        <f t="shared" ca="1" si="3"/>
        <v>42</v>
      </c>
      <c r="AA70" s="616" t="s">
        <v>1138</v>
      </c>
      <c r="AB70" s="598" t="s">
        <v>1139</v>
      </c>
      <c r="AC70" s="598" t="s">
        <v>966</v>
      </c>
      <c r="AD70" s="598" t="s">
        <v>953</v>
      </c>
      <c r="AE70" s="616" t="s">
        <v>954</v>
      </c>
      <c r="AF70" s="616" t="s">
        <v>954</v>
      </c>
      <c r="AG70" s="616" t="s">
        <v>968</v>
      </c>
      <c r="AH70" s="598"/>
      <c r="AI70" s="598"/>
      <c r="AJ70" s="598"/>
      <c r="AK70" s="598"/>
      <c r="AL70" s="626"/>
      <c r="AM70" s="626"/>
    </row>
    <row r="71" spans="3:39" ht="18" customHeight="1">
      <c r="C71" s="598">
        <v>50</v>
      </c>
      <c r="D71" s="598" t="s">
        <v>1140</v>
      </c>
      <c r="E71" s="598">
        <f t="shared" si="2"/>
        <v>49</v>
      </c>
      <c r="F71" s="616" t="s">
        <v>957</v>
      </c>
      <c r="G71" s="616" t="s">
        <v>1013</v>
      </c>
      <c r="H71" s="618" t="s">
        <v>1033</v>
      </c>
      <c r="I71" s="618" t="s">
        <v>9</v>
      </c>
      <c r="J71" s="618" t="s">
        <v>1033</v>
      </c>
      <c r="K71" s="618" t="s">
        <v>1141</v>
      </c>
      <c r="L71" s="618" t="s">
        <v>1126</v>
      </c>
      <c r="M71" s="619" t="s">
        <v>959</v>
      </c>
      <c r="N71" s="620"/>
      <c r="O71" s="620"/>
      <c r="P71" s="663" t="s">
        <v>1157</v>
      </c>
      <c r="Q71" s="621"/>
      <c r="R71" s="598" t="s">
        <v>16</v>
      </c>
      <c r="S71" s="598" t="s">
        <v>16</v>
      </c>
      <c r="T71" s="598" t="s">
        <v>1142</v>
      </c>
      <c r="U71" s="598" t="s">
        <v>1015</v>
      </c>
      <c r="V71" s="663" t="s">
        <v>12</v>
      </c>
      <c r="W71" s="779"/>
      <c r="X71" s="598" t="s">
        <v>950</v>
      </c>
      <c r="Y71" s="624">
        <v>29107</v>
      </c>
      <c r="Z71" s="625">
        <f t="shared" ca="1" si="3"/>
        <v>46</v>
      </c>
      <c r="AA71" s="616" t="s">
        <v>1144</v>
      </c>
      <c r="AB71" s="598" t="s">
        <v>965</v>
      </c>
      <c r="AC71" s="598" t="s">
        <v>966</v>
      </c>
      <c r="AD71" s="598" t="s">
        <v>953</v>
      </c>
      <c r="AE71" s="616" t="s">
        <v>954</v>
      </c>
      <c r="AF71" s="616" t="s">
        <v>954</v>
      </c>
      <c r="AG71" s="616" t="s">
        <v>974</v>
      </c>
      <c r="AH71" s="598"/>
      <c r="AI71" s="598"/>
      <c r="AJ71" s="598"/>
      <c r="AK71" s="598"/>
      <c r="AL71" s="626"/>
      <c r="AM71" s="626"/>
    </row>
    <row r="72" spans="3:39" ht="18" customHeight="1">
      <c r="C72" s="598">
        <v>51</v>
      </c>
      <c r="D72" s="598" t="s">
        <v>1145</v>
      </c>
      <c r="E72" s="598">
        <f t="shared" si="2"/>
        <v>50</v>
      </c>
      <c r="F72" s="616" t="s">
        <v>957</v>
      </c>
      <c r="G72" s="616" t="s">
        <v>1013</v>
      </c>
      <c r="H72" s="618" t="s">
        <v>1033</v>
      </c>
      <c r="I72" s="618" t="s">
        <v>9</v>
      </c>
      <c r="J72" s="618" t="s">
        <v>1033</v>
      </c>
      <c r="K72" s="618" t="s">
        <v>1141</v>
      </c>
      <c r="L72" s="618" t="s">
        <v>1126</v>
      </c>
      <c r="M72" s="619" t="s">
        <v>959</v>
      </c>
      <c r="N72" s="620"/>
      <c r="O72" s="620"/>
      <c r="P72" s="663" t="s">
        <v>1157</v>
      </c>
      <c r="Q72" s="621"/>
      <c r="R72" s="598" t="s">
        <v>16</v>
      </c>
      <c r="S72" s="598" t="s">
        <v>16</v>
      </c>
      <c r="T72" s="598" t="s">
        <v>1142</v>
      </c>
      <c r="U72" s="598" t="s">
        <v>1015</v>
      </c>
      <c r="V72" s="663" t="s">
        <v>15</v>
      </c>
      <c r="W72" s="779"/>
      <c r="X72" s="598" t="s">
        <v>950</v>
      </c>
      <c r="Y72" s="624">
        <v>29445</v>
      </c>
      <c r="Z72" s="625">
        <f t="shared" ca="1" si="3"/>
        <v>45</v>
      </c>
      <c r="AA72" s="616" t="s">
        <v>1147</v>
      </c>
      <c r="AB72" s="598" t="s">
        <v>1148</v>
      </c>
      <c r="AC72" s="598" t="s">
        <v>966</v>
      </c>
      <c r="AD72" s="598" t="s">
        <v>953</v>
      </c>
      <c r="AE72" s="616" t="s">
        <v>954</v>
      </c>
      <c r="AF72" s="616" t="s">
        <v>954</v>
      </c>
      <c r="AG72" s="616" t="s">
        <v>974</v>
      </c>
      <c r="AH72" s="598"/>
      <c r="AI72" s="598"/>
      <c r="AJ72" s="598"/>
      <c r="AK72" s="598"/>
      <c r="AL72" s="626"/>
      <c r="AM72" s="626"/>
    </row>
    <row r="73" spans="3:39" ht="18" customHeight="1">
      <c r="C73" s="598">
        <v>52</v>
      </c>
      <c r="D73" s="598" t="s">
        <v>1150</v>
      </c>
      <c r="E73" s="598">
        <f t="shared" si="2"/>
        <v>51</v>
      </c>
      <c r="F73" s="616" t="s">
        <v>957</v>
      </c>
      <c r="G73" s="616" t="s">
        <v>1013</v>
      </c>
      <c r="H73" s="618" t="s">
        <v>1033</v>
      </c>
      <c r="I73" s="618" t="s">
        <v>9</v>
      </c>
      <c r="J73" s="618" t="s">
        <v>1033</v>
      </c>
      <c r="K73" s="618" t="s">
        <v>1141</v>
      </c>
      <c r="L73" s="618" t="s">
        <v>1126</v>
      </c>
      <c r="M73" s="619" t="s">
        <v>959</v>
      </c>
      <c r="N73" s="620"/>
      <c r="O73" s="620"/>
      <c r="P73" s="663" t="s">
        <v>1157</v>
      </c>
      <c r="Q73" s="621"/>
      <c r="R73" s="598"/>
      <c r="S73" s="598"/>
      <c r="T73" s="598" t="s">
        <v>1151</v>
      </c>
      <c r="U73" s="598" t="s">
        <v>1015</v>
      </c>
      <c r="V73" s="669" t="s">
        <v>119</v>
      </c>
      <c r="W73" s="779"/>
      <c r="X73" s="598" t="s">
        <v>950</v>
      </c>
      <c r="Y73" s="624">
        <v>29529</v>
      </c>
      <c r="Z73" s="625">
        <f t="shared" ca="1" si="3"/>
        <v>45</v>
      </c>
      <c r="AA73" s="616" t="s">
        <v>1154</v>
      </c>
      <c r="AB73" s="598"/>
      <c r="AC73" s="598" t="s">
        <v>966</v>
      </c>
      <c r="AD73" s="598" t="s">
        <v>953</v>
      </c>
      <c r="AE73" s="616" t="s">
        <v>954</v>
      </c>
      <c r="AF73" s="616" t="s">
        <v>954</v>
      </c>
      <c r="AG73" s="616" t="s">
        <v>974</v>
      </c>
      <c r="AH73" s="598"/>
      <c r="AI73" s="598"/>
      <c r="AJ73" s="598"/>
      <c r="AK73" s="598"/>
      <c r="AL73" s="626"/>
      <c r="AM73" s="626"/>
    </row>
    <row r="74" spans="3:39" ht="18" customHeight="1">
      <c r="C74" s="598">
        <v>53</v>
      </c>
      <c r="D74" s="598" t="s">
        <v>4475</v>
      </c>
      <c r="E74" s="598">
        <f t="shared" si="2"/>
        <v>52</v>
      </c>
      <c r="F74" s="616" t="s">
        <v>957</v>
      </c>
      <c r="G74" s="616" t="s">
        <v>1013</v>
      </c>
      <c r="H74" s="618" t="s">
        <v>1033</v>
      </c>
      <c r="I74" s="618" t="s">
        <v>9</v>
      </c>
      <c r="J74" s="618" t="s">
        <v>1033</v>
      </c>
      <c r="K74" s="618" t="s">
        <v>1141</v>
      </c>
      <c r="L74" s="618" t="s">
        <v>4475</v>
      </c>
      <c r="M74" s="619" t="s">
        <v>959</v>
      </c>
      <c r="N74" s="620"/>
      <c r="O74" s="620"/>
      <c r="P74" s="667" t="s">
        <v>4767</v>
      </c>
      <c r="Q74" s="621"/>
      <c r="R74" s="598" t="s">
        <v>69</v>
      </c>
      <c r="S74" s="598" t="s">
        <v>69</v>
      </c>
      <c r="T74" s="598" t="s">
        <v>4476</v>
      </c>
      <c r="U74" s="598" t="s">
        <v>1015</v>
      </c>
      <c r="V74" s="667" t="s">
        <v>72</v>
      </c>
      <c r="W74" s="779"/>
      <c r="X74" s="598" t="s">
        <v>950</v>
      </c>
      <c r="Y74" s="624">
        <v>27958</v>
      </c>
      <c r="Z74" s="625">
        <f t="shared" ca="1" si="3"/>
        <v>49</v>
      </c>
      <c r="AA74" s="616" t="s">
        <v>4478</v>
      </c>
      <c r="AB74" s="598" t="s">
        <v>4479</v>
      </c>
      <c r="AC74" s="598" t="s">
        <v>966</v>
      </c>
      <c r="AD74" s="598" t="s">
        <v>953</v>
      </c>
      <c r="AE74" s="616" t="s">
        <v>954</v>
      </c>
      <c r="AF74" s="616" t="s">
        <v>954</v>
      </c>
      <c r="AG74" s="616" t="s">
        <v>968</v>
      </c>
      <c r="AH74" s="598"/>
      <c r="AI74" s="598"/>
      <c r="AJ74" s="598"/>
      <c r="AK74" s="598"/>
      <c r="AL74" s="626"/>
      <c r="AM74" s="626"/>
    </row>
    <row r="75" spans="3:39" ht="18" customHeight="1">
      <c r="C75" s="598">
        <v>54</v>
      </c>
      <c r="D75" s="598" t="s">
        <v>1160</v>
      </c>
      <c r="E75" s="598">
        <f t="shared" si="2"/>
        <v>53</v>
      </c>
      <c r="F75" s="616" t="s">
        <v>957</v>
      </c>
      <c r="G75" s="616" t="s">
        <v>1013</v>
      </c>
      <c r="H75" s="618" t="s">
        <v>1033</v>
      </c>
      <c r="I75" s="618" t="s">
        <v>9</v>
      </c>
      <c r="J75" s="618" t="s">
        <v>1033</v>
      </c>
      <c r="K75" s="618" t="s">
        <v>1141</v>
      </c>
      <c r="L75" s="618" t="s">
        <v>4475</v>
      </c>
      <c r="M75" s="619" t="s">
        <v>959</v>
      </c>
      <c r="N75" s="620"/>
      <c r="O75" s="620"/>
      <c r="P75" s="663" t="s">
        <v>4767</v>
      </c>
      <c r="Q75" s="621"/>
      <c r="R75" s="598"/>
      <c r="S75" s="598"/>
      <c r="T75" s="598" t="s">
        <v>1161</v>
      </c>
      <c r="U75" s="598" t="s">
        <v>1015</v>
      </c>
      <c r="V75" s="663" t="s">
        <v>85</v>
      </c>
      <c r="W75" s="779"/>
      <c r="X75" s="598" t="s">
        <v>950</v>
      </c>
      <c r="Y75" s="624">
        <v>30623</v>
      </c>
      <c r="Z75" s="625">
        <f t="shared" ca="1" si="3"/>
        <v>42</v>
      </c>
      <c r="AA75" s="616" t="s">
        <v>1163</v>
      </c>
      <c r="AB75" s="598" t="s">
        <v>1164</v>
      </c>
      <c r="AC75" s="598" t="s">
        <v>966</v>
      </c>
      <c r="AD75" s="598" t="s">
        <v>953</v>
      </c>
      <c r="AE75" s="616" t="s">
        <v>954</v>
      </c>
      <c r="AF75" s="616" t="s">
        <v>954</v>
      </c>
      <c r="AG75" s="616" t="s">
        <v>974</v>
      </c>
      <c r="AH75" s="598"/>
      <c r="AI75" s="598"/>
      <c r="AJ75" s="598"/>
      <c r="AK75" s="598"/>
      <c r="AL75" s="626"/>
      <c r="AM75" s="626"/>
    </row>
    <row r="76" spans="3:39" ht="18" customHeight="1">
      <c r="C76" s="598">
        <v>55</v>
      </c>
      <c r="D76" s="598" t="s">
        <v>4980</v>
      </c>
      <c r="E76" s="598">
        <f t="shared" si="2"/>
        <v>54</v>
      </c>
      <c r="F76" s="616" t="s">
        <v>957</v>
      </c>
      <c r="G76" s="616" t="s">
        <v>1013</v>
      </c>
      <c r="H76" s="618" t="s">
        <v>1033</v>
      </c>
      <c r="I76" s="618" t="s">
        <v>9</v>
      </c>
      <c r="J76" s="618" t="s">
        <v>1033</v>
      </c>
      <c r="K76" s="618" t="s">
        <v>1141</v>
      </c>
      <c r="L76" s="618" t="s">
        <v>4475</v>
      </c>
      <c r="M76" s="619" t="s">
        <v>959</v>
      </c>
      <c r="N76" s="620"/>
      <c r="O76" s="620"/>
      <c r="P76" s="663" t="s">
        <v>4767</v>
      </c>
      <c r="Q76" s="621"/>
      <c r="R76" s="598"/>
      <c r="S76" s="598"/>
      <c r="T76" s="598"/>
      <c r="U76" s="598" t="s">
        <v>1090</v>
      </c>
      <c r="V76" s="663" t="s">
        <v>95</v>
      </c>
      <c r="W76" s="779"/>
      <c r="X76" s="598" t="s">
        <v>950</v>
      </c>
      <c r="Y76" s="624">
        <v>19533</v>
      </c>
      <c r="Z76" s="625">
        <f t="shared" ca="1" si="3"/>
        <v>72</v>
      </c>
      <c r="AA76" s="616" t="s">
        <v>4981</v>
      </c>
      <c r="AB76" s="598" t="s">
        <v>4982</v>
      </c>
      <c r="AC76" s="598" t="s">
        <v>966</v>
      </c>
      <c r="AD76" s="598" t="s">
        <v>953</v>
      </c>
      <c r="AE76" s="616" t="s">
        <v>954</v>
      </c>
      <c r="AF76" s="616" t="s">
        <v>954</v>
      </c>
      <c r="AG76" s="616" t="s">
        <v>968</v>
      </c>
      <c r="AH76" s="598"/>
      <c r="AI76" s="598"/>
      <c r="AJ76" s="598"/>
      <c r="AK76" s="598"/>
      <c r="AL76" s="626"/>
      <c r="AM76" s="626"/>
    </row>
    <row r="77" spans="3:39" ht="18" customHeight="1">
      <c r="C77" s="598">
        <v>56</v>
      </c>
      <c r="D77" s="598" t="s">
        <v>1165</v>
      </c>
      <c r="E77" s="598">
        <f t="shared" si="2"/>
        <v>55</v>
      </c>
      <c r="F77" s="616" t="s">
        <v>957</v>
      </c>
      <c r="G77" s="616" t="s">
        <v>1013</v>
      </c>
      <c r="H77" s="618" t="s">
        <v>1033</v>
      </c>
      <c r="I77" s="618" t="s">
        <v>9</v>
      </c>
      <c r="J77" s="618" t="s">
        <v>1033</v>
      </c>
      <c r="K77" s="618" t="s">
        <v>1141</v>
      </c>
      <c r="L77" s="618" t="s">
        <v>4475</v>
      </c>
      <c r="M77" s="619" t="s">
        <v>959</v>
      </c>
      <c r="N77" s="620"/>
      <c r="O77" s="620"/>
      <c r="P77" s="663" t="s">
        <v>4767</v>
      </c>
      <c r="Q77" s="621"/>
      <c r="R77" s="598"/>
      <c r="S77" s="598"/>
      <c r="T77" s="598"/>
      <c r="U77" s="598" t="s">
        <v>1015</v>
      </c>
      <c r="V77" s="663" t="s">
        <v>105</v>
      </c>
      <c r="W77" s="779"/>
      <c r="X77" s="598" t="s">
        <v>950</v>
      </c>
      <c r="Y77" s="624">
        <v>26302</v>
      </c>
      <c r="Z77" s="625">
        <f t="shared" ca="1" si="3"/>
        <v>54</v>
      </c>
      <c r="AA77" s="616" t="s">
        <v>1168</v>
      </c>
      <c r="AB77" s="598" t="s">
        <v>1169</v>
      </c>
      <c r="AC77" s="598" t="s">
        <v>966</v>
      </c>
      <c r="AD77" s="598" t="s">
        <v>953</v>
      </c>
      <c r="AE77" s="616" t="s">
        <v>954</v>
      </c>
      <c r="AF77" s="616" t="s">
        <v>954</v>
      </c>
      <c r="AG77" s="616" t="s">
        <v>968</v>
      </c>
      <c r="AH77" s="598"/>
      <c r="AI77" s="598"/>
      <c r="AJ77" s="598"/>
      <c r="AK77" s="598"/>
      <c r="AL77" s="626"/>
      <c r="AM77" s="626"/>
    </row>
    <row r="78" spans="3:39" ht="18" customHeight="1">
      <c r="C78" s="598">
        <v>57</v>
      </c>
      <c r="D78" s="598" t="s">
        <v>1170</v>
      </c>
      <c r="E78" s="598">
        <f t="shared" si="2"/>
        <v>56</v>
      </c>
      <c r="F78" s="616" t="s">
        <v>957</v>
      </c>
      <c r="G78" s="616" t="s">
        <v>1013</v>
      </c>
      <c r="H78" s="618" t="s">
        <v>1033</v>
      </c>
      <c r="I78" s="618" t="s">
        <v>9</v>
      </c>
      <c r="J78" s="618" t="s">
        <v>1033</v>
      </c>
      <c r="K78" s="618" t="s">
        <v>1141</v>
      </c>
      <c r="L78" s="618" t="s">
        <v>4475</v>
      </c>
      <c r="M78" s="619" t="s">
        <v>959</v>
      </c>
      <c r="N78" s="620"/>
      <c r="O78" s="620"/>
      <c r="P78" s="663" t="s">
        <v>4767</v>
      </c>
      <c r="Q78" s="621"/>
      <c r="R78" s="598"/>
      <c r="S78" s="598"/>
      <c r="T78" s="598"/>
      <c r="U78" s="598" t="s">
        <v>1015</v>
      </c>
      <c r="V78" s="663" t="s">
        <v>113</v>
      </c>
      <c r="W78" s="779"/>
      <c r="X78" s="598" t="s">
        <v>950</v>
      </c>
      <c r="Y78" s="624">
        <v>29493</v>
      </c>
      <c r="Z78" s="625">
        <f t="shared" ca="1" si="3"/>
        <v>45</v>
      </c>
      <c r="AA78" s="616" t="s">
        <v>1172</v>
      </c>
      <c r="AB78" s="598" t="s">
        <v>1173</v>
      </c>
      <c r="AC78" s="598" t="s">
        <v>966</v>
      </c>
      <c r="AD78" s="598" t="s">
        <v>953</v>
      </c>
      <c r="AE78" s="616" t="s">
        <v>954</v>
      </c>
      <c r="AF78" s="616" t="s">
        <v>954</v>
      </c>
      <c r="AG78" s="616" t="s">
        <v>968</v>
      </c>
      <c r="AH78" s="598"/>
      <c r="AI78" s="598"/>
      <c r="AJ78" s="598"/>
      <c r="AK78" s="598"/>
      <c r="AL78" s="626"/>
      <c r="AM78" s="626"/>
    </row>
    <row r="79" spans="3:39" ht="18" customHeight="1">
      <c r="C79" s="598">
        <v>58</v>
      </c>
      <c r="D79" s="598" t="s">
        <v>1174</v>
      </c>
      <c r="E79" s="598">
        <f t="shared" si="2"/>
        <v>57</v>
      </c>
      <c r="F79" s="616" t="s">
        <v>957</v>
      </c>
      <c r="G79" s="616" t="s">
        <v>1013</v>
      </c>
      <c r="H79" s="618" t="s">
        <v>1033</v>
      </c>
      <c r="I79" s="618" t="s">
        <v>9</v>
      </c>
      <c r="J79" s="618" t="s">
        <v>1033</v>
      </c>
      <c r="K79" s="618" t="s">
        <v>1141</v>
      </c>
      <c r="L79" s="618" t="s">
        <v>4475</v>
      </c>
      <c r="M79" s="619" t="s">
        <v>959</v>
      </c>
      <c r="N79" s="620"/>
      <c r="O79" s="620"/>
      <c r="P79" s="663" t="s">
        <v>4767</v>
      </c>
      <c r="Q79" s="621"/>
      <c r="R79" s="598"/>
      <c r="S79" s="598"/>
      <c r="T79" s="598"/>
      <c r="U79" s="598" t="s">
        <v>1015</v>
      </c>
      <c r="V79" s="663" t="s">
        <v>120</v>
      </c>
      <c r="W79" s="779"/>
      <c r="X79" s="598" t="s">
        <v>950</v>
      </c>
      <c r="Y79" s="624">
        <v>28181</v>
      </c>
      <c r="Z79" s="625">
        <f t="shared" ca="1" si="3"/>
        <v>48</v>
      </c>
      <c r="AA79" s="616" t="s">
        <v>1176</v>
      </c>
      <c r="AB79" s="598" t="s">
        <v>1177</v>
      </c>
      <c r="AC79" s="598" t="s">
        <v>966</v>
      </c>
      <c r="AD79" s="598" t="s">
        <v>953</v>
      </c>
      <c r="AE79" s="616" t="s">
        <v>954</v>
      </c>
      <c r="AF79" s="616" t="s">
        <v>954</v>
      </c>
      <c r="AG79" s="616" t="s">
        <v>968</v>
      </c>
      <c r="AH79" s="598"/>
      <c r="AI79" s="598"/>
      <c r="AJ79" s="598"/>
      <c r="AK79" s="598"/>
      <c r="AL79" s="626"/>
      <c r="AM79" s="626"/>
    </row>
    <row r="80" spans="3:39" ht="18" customHeight="1">
      <c r="C80" s="598">
        <v>59</v>
      </c>
      <c r="D80" s="598" t="s">
        <v>1156</v>
      </c>
      <c r="E80" s="598">
        <f t="shared" si="2"/>
        <v>58</v>
      </c>
      <c r="F80" s="616" t="s">
        <v>957</v>
      </c>
      <c r="G80" s="616" t="s">
        <v>1013</v>
      </c>
      <c r="H80" s="618" t="s">
        <v>1033</v>
      </c>
      <c r="I80" s="618" t="s">
        <v>9</v>
      </c>
      <c r="J80" s="618" t="s">
        <v>1033</v>
      </c>
      <c r="K80" s="618" t="s">
        <v>1141</v>
      </c>
      <c r="L80" s="618" t="s">
        <v>4475</v>
      </c>
      <c r="M80" s="619" t="s">
        <v>959</v>
      </c>
      <c r="N80" s="620"/>
      <c r="O80" s="620"/>
      <c r="P80" s="663" t="s">
        <v>4767</v>
      </c>
      <c r="Q80" s="621"/>
      <c r="R80" s="598"/>
      <c r="S80" s="598"/>
      <c r="T80" s="598"/>
      <c r="U80" s="598" t="s">
        <v>1015</v>
      </c>
      <c r="V80" s="663" t="s">
        <v>125</v>
      </c>
      <c r="W80" s="779"/>
      <c r="X80" s="598" t="s">
        <v>950</v>
      </c>
      <c r="Y80" s="624">
        <v>30002</v>
      </c>
      <c r="Z80" s="625">
        <f t="shared" ca="1" si="3"/>
        <v>43</v>
      </c>
      <c r="AA80" s="616" t="s">
        <v>1179</v>
      </c>
      <c r="AB80" s="598" t="s">
        <v>1180</v>
      </c>
      <c r="AC80" s="598" t="s">
        <v>966</v>
      </c>
      <c r="AD80" s="598" t="s">
        <v>953</v>
      </c>
      <c r="AE80" s="616" t="s">
        <v>954</v>
      </c>
      <c r="AF80" s="616" t="s">
        <v>954</v>
      </c>
      <c r="AG80" s="616" t="s">
        <v>968</v>
      </c>
      <c r="AH80" s="598"/>
      <c r="AI80" s="598"/>
      <c r="AJ80" s="598"/>
      <c r="AK80" s="598"/>
      <c r="AL80" s="626"/>
      <c r="AM80" s="626"/>
    </row>
    <row r="81" spans="1:39" ht="18" customHeight="1">
      <c r="C81" s="598">
        <v>60</v>
      </c>
      <c r="D81" s="598" t="s">
        <v>4480</v>
      </c>
      <c r="E81" s="598">
        <f t="shared" si="2"/>
        <v>59</v>
      </c>
      <c r="F81" s="616" t="s">
        <v>957</v>
      </c>
      <c r="G81" s="616" t="s">
        <v>1013</v>
      </c>
      <c r="H81" s="618" t="s">
        <v>1033</v>
      </c>
      <c r="I81" s="618" t="s">
        <v>9</v>
      </c>
      <c r="J81" s="618" t="s">
        <v>1033</v>
      </c>
      <c r="K81" s="618" t="s">
        <v>1141</v>
      </c>
      <c r="L81" s="618" t="s">
        <v>4475</v>
      </c>
      <c r="M81" s="619" t="s">
        <v>959</v>
      </c>
      <c r="N81" s="620"/>
      <c r="O81" s="620"/>
      <c r="P81" s="663" t="s">
        <v>4767</v>
      </c>
      <c r="Q81" s="621"/>
      <c r="R81" s="598"/>
      <c r="S81" s="598"/>
      <c r="T81" s="598"/>
      <c r="U81" s="598" t="s">
        <v>1015</v>
      </c>
      <c r="V81" s="669" t="s">
        <v>129</v>
      </c>
      <c r="W81" s="779"/>
      <c r="X81" s="598" t="s">
        <v>950</v>
      </c>
      <c r="Y81" s="624">
        <v>30562</v>
      </c>
      <c r="Z81" s="625">
        <f t="shared" ca="1" si="3"/>
        <v>42</v>
      </c>
      <c r="AA81" s="616" t="s">
        <v>4482</v>
      </c>
      <c r="AB81" s="598"/>
      <c r="AC81" s="598" t="s">
        <v>966</v>
      </c>
      <c r="AD81" s="598" t="s">
        <v>953</v>
      </c>
      <c r="AE81" s="616" t="s">
        <v>954</v>
      </c>
      <c r="AF81" s="616" t="s">
        <v>954</v>
      </c>
      <c r="AG81" s="616"/>
      <c r="AH81" s="598"/>
      <c r="AI81" s="598"/>
      <c r="AJ81" s="598"/>
      <c r="AK81" s="598"/>
      <c r="AL81" s="626"/>
      <c r="AM81" s="626"/>
    </row>
    <row r="82" spans="1:39" ht="18" customHeight="1">
      <c r="C82" s="598">
        <v>61</v>
      </c>
      <c r="D82" s="598" t="s">
        <v>1037</v>
      </c>
      <c r="E82" s="598">
        <f t="shared" si="2"/>
        <v>60</v>
      </c>
      <c r="F82" s="616" t="s">
        <v>957</v>
      </c>
      <c r="G82" s="616" t="s">
        <v>1013</v>
      </c>
      <c r="H82" s="618" t="s">
        <v>1033</v>
      </c>
      <c r="I82" s="618" t="s">
        <v>4983</v>
      </c>
      <c r="J82" s="618" t="s">
        <v>4448</v>
      </c>
      <c r="K82" s="618" t="s">
        <v>1037</v>
      </c>
      <c r="L82" s="618" t="s">
        <v>1038</v>
      </c>
      <c r="M82" s="619" t="s">
        <v>959</v>
      </c>
      <c r="N82" s="620"/>
      <c r="O82" s="620"/>
      <c r="P82" s="667" t="s">
        <v>1515</v>
      </c>
      <c r="Q82" s="621"/>
      <c r="R82" s="598" t="s">
        <v>55</v>
      </c>
      <c r="S82" s="598" t="s">
        <v>55</v>
      </c>
      <c r="T82" s="598"/>
      <c r="U82" s="598" t="s">
        <v>1015</v>
      </c>
      <c r="V82" s="667" t="s">
        <v>62</v>
      </c>
      <c r="W82" s="779" t="s">
        <v>1116</v>
      </c>
      <c r="X82" s="598" t="s">
        <v>950</v>
      </c>
      <c r="Y82" s="624">
        <v>20944</v>
      </c>
      <c r="Z82" s="625">
        <f t="shared" ca="1" si="3"/>
        <v>68</v>
      </c>
      <c r="AA82" s="616" t="s">
        <v>1117</v>
      </c>
      <c r="AB82" s="598" t="s">
        <v>1118</v>
      </c>
      <c r="AC82" s="598" t="s">
        <v>966</v>
      </c>
      <c r="AD82" s="598" t="s">
        <v>953</v>
      </c>
      <c r="AE82" s="616" t="s">
        <v>973</v>
      </c>
      <c r="AF82" s="616" t="s">
        <v>954</v>
      </c>
      <c r="AG82" s="616" t="s">
        <v>974</v>
      </c>
      <c r="AH82" s="598"/>
      <c r="AI82" s="598"/>
      <c r="AJ82" s="598"/>
      <c r="AK82" s="598"/>
      <c r="AL82" s="626"/>
      <c r="AM82" s="626"/>
    </row>
    <row r="83" spans="1:39" ht="18" customHeight="1">
      <c r="C83" s="598">
        <v>62</v>
      </c>
      <c r="D83" s="598" t="s">
        <v>1038</v>
      </c>
      <c r="E83" s="598">
        <f t="shared" si="2"/>
        <v>61</v>
      </c>
      <c r="F83" s="616" t="s">
        <v>957</v>
      </c>
      <c r="G83" s="616" t="s">
        <v>1013</v>
      </c>
      <c r="H83" s="618" t="s">
        <v>1033</v>
      </c>
      <c r="I83" s="618" t="s">
        <v>4983</v>
      </c>
      <c r="J83" s="618" t="s">
        <v>4448</v>
      </c>
      <c r="K83" s="618" t="s">
        <v>1037</v>
      </c>
      <c r="L83" s="618" t="s">
        <v>1038</v>
      </c>
      <c r="M83" s="619" t="s">
        <v>959</v>
      </c>
      <c r="N83" s="620"/>
      <c r="O83" s="620"/>
      <c r="P83" s="663" t="s">
        <v>1515</v>
      </c>
      <c r="Q83" s="621" t="s">
        <v>319</v>
      </c>
      <c r="R83" s="598" t="s">
        <v>69</v>
      </c>
      <c r="S83" s="598" t="s">
        <v>69</v>
      </c>
      <c r="T83" s="598"/>
      <c r="U83" s="598" t="s">
        <v>1015</v>
      </c>
      <c r="V83" s="663" t="s">
        <v>73</v>
      </c>
      <c r="W83" s="779" t="s">
        <v>1119</v>
      </c>
      <c r="X83" s="598" t="s">
        <v>950</v>
      </c>
      <c r="Y83" s="624">
        <v>23254</v>
      </c>
      <c r="Z83" s="625">
        <f t="shared" ca="1" si="3"/>
        <v>62</v>
      </c>
      <c r="AA83" s="616" t="s">
        <v>1120</v>
      </c>
      <c r="AB83" s="598"/>
      <c r="AC83" s="598" t="s">
        <v>996</v>
      </c>
      <c r="AD83" s="598" t="s">
        <v>997</v>
      </c>
      <c r="AE83" s="616" t="s">
        <v>973</v>
      </c>
      <c r="AF83" s="616" t="s">
        <v>954</v>
      </c>
      <c r="AG83" s="616"/>
      <c r="AH83" s="598"/>
      <c r="AI83" s="598"/>
      <c r="AJ83" s="634" t="s">
        <v>999</v>
      </c>
      <c r="AK83" s="598" t="s">
        <v>1121</v>
      </c>
      <c r="AL83" s="626"/>
      <c r="AM83" s="626"/>
    </row>
    <row r="84" spans="1:39" ht="18" customHeight="1">
      <c r="C84" s="598">
        <v>63</v>
      </c>
      <c r="D84" s="598" t="s">
        <v>2513</v>
      </c>
      <c r="E84" s="598">
        <f t="shared" si="2"/>
        <v>62</v>
      </c>
      <c r="F84" s="616" t="s">
        <v>4978</v>
      </c>
      <c r="G84" s="616" t="s">
        <v>1013</v>
      </c>
      <c r="H84" s="618" t="s">
        <v>1033</v>
      </c>
      <c r="I84" s="618" t="s">
        <v>4983</v>
      </c>
      <c r="J84" s="618" t="s">
        <v>4448</v>
      </c>
      <c r="K84" s="618" t="s">
        <v>1037</v>
      </c>
      <c r="L84" s="618" t="s">
        <v>1038</v>
      </c>
      <c r="M84" s="619" t="s">
        <v>959</v>
      </c>
      <c r="N84" s="620"/>
      <c r="O84" s="620"/>
      <c r="P84" s="663" t="s">
        <v>1515</v>
      </c>
      <c r="Q84" s="621" t="s">
        <v>319</v>
      </c>
      <c r="R84" s="598"/>
      <c r="S84" s="598"/>
      <c r="T84" s="598"/>
      <c r="U84" s="598" t="s">
        <v>1015</v>
      </c>
      <c r="V84" s="663" t="s">
        <v>86</v>
      </c>
      <c r="W84" s="779" t="s">
        <v>2514</v>
      </c>
      <c r="X84" s="598" t="s">
        <v>950</v>
      </c>
      <c r="Y84" s="624">
        <v>22122</v>
      </c>
      <c r="Z84" s="625">
        <f t="shared" ca="1" si="3"/>
        <v>65</v>
      </c>
      <c r="AA84" s="616" t="s">
        <v>1806</v>
      </c>
      <c r="AB84" s="598"/>
      <c r="AC84" s="598" t="s">
        <v>996</v>
      </c>
      <c r="AD84" s="598" t="s">
        <v>997</v>
      </c>
      <c r="AE84" s="616" t="s">
        <v>729</v>
      </c>
      <c r="AF84" s="640" t="s">
        <v>729</v>
      </c>
      <c r="AG84" s="616" t="s">
        <v>2512</v>
      </c>
      <c r="AH84" s="598"/>
      <c r="AI84" s="598"/>
      <c r="AJ84" s="634" t="s">
        <v>1359</v>
      </c>
      <c r="AK84" s="598"/>
      <c r="AL84" s="626"/>
      <c r="AM84" s="626"/>
    </row>
    <row r="85" spans="1:39" ht="18" customHeight="1">
      <c r="C85" s="598">
        <v>64</v>
      </c>
      <c r="D85" s="598" t="s">
        <v>2515</v>
      </c>
      <c r="E85" s="598">
        <f t="shared" si="2"/>
        <v>63</v>
      </c>
      <c r="F85" s="616" t="s">
        <v>4978</v>
      </c>
      <c r="G85" s="616" t="s">
        <v>1013</v>
      </c>
      <c r="H85" s="618" t="s">
        <v>1033</v>
      </c>
      <c r="I85" s="618" t="s">
        <v>4983</v>
      </c>
      <c r="J85" s="618" t="s">
        <v>4448</v>
      </c>
      <c r="K85" s="618" t="s">
        <v>1037</v>
      </c>
      <c r="L85" s="618" t="s">
        <v>1038</v>
      </c>
      <c r="M85" s="619" t="s">
        <v>959</v>
      </c>
      <c r="N85" s="620"/>
      <c r="O85" s="620"/>
      <c r="P85" s="663" t="s">
        <v>1515</v>
      </c>
      <c r="Q85" s="621" t="s">
        <v>319</v>
      </c>
      <c r="R85" s="598"/>
      <c r="S85" s="598"/>
      <c r="T85" s="598"/>
      <c r="U85" s="598" t="s">
        <v>1015</v>
      </c>
      <c r="V85" s="663" t="s">
        <v>96</v>
      </c>
      <c r="W85" s="779" t="s">
        <v>2516</v>
      </c>
      <c r="X85" s="598" t="s">
        <v>950</v>
      </c>
      <c r="Y85" s="624">
        <v>23214</v>
      </c>
      <c r="Z85" s="625">
        <f t="shared" ca="1" si="3"/>
        <v>62</v>
      </c>
      <c r="AA85" s="616" t="s">
        <v>2517</v>
      </c>
      <c r="AB85" s="598"/>
      <c r="AC85" s="598" t="s">
        <v>996</v>
      </c>
      <c r="AD85" s="598" t="s">
        <v>997</v>
      </c>
      <c r="AE85" s="616" t="s">
        <v>729</v>
      </c>
      <c r="AF85" s="640" t="s">
        <v>729</v>
      </c>
      <c r="AG85" s="616" t="s">
        <v>2512</v>
      </c>
      <c r="AH85" s="598"/>
      <c r="AI85" s="598"/>
      <c r="AJ85" s="634" t="s">
        <v>1359</v>
      </c>
      <c r="AK85" s="598"/>
      <c r="AL85" s="626"/>
      <c r="AM85" s="626"/>
    </row>
    <row r="86" spans="1:39" ht="18" customHeight="1">
      <c r="C86" s="598">
        <v>65</v>
      </c>
      <c r="D86" s="598" t="s">
        <v>2518</v>
      </c>
      <c r="E86" s="598">
        <f t="shared" si="2"/>
        <v>64</v>
      </c>
      <c r="F86" s="616" t="s">
        <v>4978</v>
      </c>
      <c r="G86" s="616" t="s">
        <v>1013</v>
      </c>
      <c r="H86" s="618" t="s">
        <v>1033</v>
      </c>
      <c r="I86" s="618" t="s">
        <v>4983</v>
      </c>
      <c r="J86" s="618" t="s">
        <v>4448</v>
      </c>
      <c r="K86" s="618" t="s">
        <v>1037</v>
      </c>
      <c r="L86" s="618" t="s">
        <v>1038</v>
      </c>
      <c r="M86" s="619" t="s">
        <v>959</v>
      </c>
      <c r="N86" s="620"/>
      <c r="O86" s="620"/>
      <c r="P86" s="673" t="s">
        <v>1515</v>
      </c>
      <c r="Q86" s="621" t="s">
        <v>319</v>
      </c>
      <c r="R86" s="598"/>
      <c r="S86" s="598"/>
      <c r="T86" s="598"/>
      <c r="U86" s="598" t="s">
        <v>1015</v>
      </c>
      <c r="V86" s="673" t="s">
        <v>106</v>
      </c>
      <c r="W86" s="779" t="s">
        <v>2519</v>
      </c>
      <c r="X86" s="598" t="s">
        <v>950</v>
      </c>
      <c r="Y86" s="624">
        <v>24232</v>
      </c>
      <c r="Z86" s="625">
        <f t="shared" ca="1" si="3"/>
        <v>59</v>
      </c>
      <c r="AA86" s="616" t="s">
        <v>2520</v>
      </c>
      <c r="AB86" s="598"/>
      <c r="AC86" s="598" t="s">
        <v>996</v>
      </c>
      <c r="AD86" s="598" t="s">
        <v>1018</v>
      </c>
      <c r="AE86" s="616" t="s">
        <v>729</v>
      </c>
      <c r="AF86" s="640" t="s">
        <v>729</v>
      </c>
      <c r="AG86" s="616" t="s">
        <v>2463</v>
      </c>
      <c r="AH86" s="598"/>
      <c r="AI86" s="598"/>
      <c r="AJ86" s="634" t="s">
        <v>1359</v>
      </c>
      <c r="AK86" s="598"/>
      <c r="AL86" s="626"/>
      <c r="AM86" s="626"/>
    </row>
    <row r="87" spans="1:39" ht="18" customHeight="1">
      <c r="C87" s="598">
        <v>66</v>
      </c>
      <c r="D87" s="598" t="s">
        <v>1033</v>
      </c>
      <c r="E87" s="598">
        <f t="shared" si="2"/>
        <v>65</v>
      </c>
      <c r="F87" s="616" t="s">
        <v>957</v>
      </c>
      <c r="G87" s="616" t="s">
        <v>1001</v>
      </c>
      <c r="H87" s="618" t="s">
        <v>1033</v>
      </c>
      <c r="I87" s="618" t="s">
        <v>9</v>
      </c>
      <c r="J87" s="618" t="s">
        <v>1033</v>
      </c>
      <c r="K87" s="618" t="s">
        <v>1033</v>
      </c>
      <c r="L87" s="619" t="s">
        <v>959</v>
      </c>
      <c r="M87" s="619" t="s">
        <v>959</v>
      </c>
      <c r="N87" s="620"/>
      <c r="O87" s="620"/>
      <c r="P87" s="667" t="s">
        <v>1044</v>
      </c>
      <c r="Q87" s="621"/>
      <c r="R87" s="598" t="s">
        <v>948</v>
      </c>
      <c r="S87" s="598" t="s">
        <v>10</v>
      </c>
      <c r="T87" s="598" t="s">
        <v>55</v>
      </c>
      <c r="U87" s="598" t="s">
        <v>992</v>
      </c>
      <c r="V87" s="667" t="s">
        <v>9</v>
      </c>
      <c r="W87" s="779" t="s">
        <v>1184</v>
      </c>
      <c r="X87" s="598" t="s">
        <v>950</v>
      </c>
      <c r="Y87" s="624">
        <v>31799</v>
      </c>
      <c r="Z87" s="625">
        <f t="shared" ca="1" si="3"/>
        <v>39</v>
      </c>
      <c r="AA87" s="616" t="s">
        <v>1185</v>
      </c>
      <c r="AB87" s="598" t="s">
        <v>1186</v>
      </c>
      <c r="AC87" s="598" t="s">
        <v>1006</v>
      </c>
      <c r="AD87" s="598" t="s">
        <v>953</v>
      </c>
      <c r="AE87" s="616" t="s">
        <v>954</v>
      </c>
      <c r="AF87" s="616" t="s">
        <v>954</v>
      </c>
      <c r="AG87" s="616" t="s">
        <v>974</v>
      </c>
      <c r="AH87" s="598"/>
      <c r="AI87" s="598"/>
      <c r="AJ87" s="598"/>
      <c r="AK87" s="598"/>
      <c r="AL87" s="626"/>
      <c r="AM87" s="626"/>
    </row>
    <row r="88" spans="1:39" ht="18" customHeight="1">
      <c r="C88" s="598">
        <v>67</v>
      </c>
      <c r="D88" s="598" t="s">
        <v>1187</v>
      </c>
      <c r="E88" s="598">
        <f t="shared" si="2"/>
        <v>66</v>
      </c>
      <c r="F88" s="616" t="s">
        <v>957</v>
      </c>
      <c r="G88" s="616" t="s">
        <v>1001</v>
      </c>
      <c r="H88" s="618" t="s">
        <v>1033</v>
      </c>
      <c r="I88" s="618" t="s">
        <v>9</v>
      </c>
      <c r="J88" s="618" t="s">
        <v>1033</v>
      </c>
      <c r="K88" s="618" t="s">
        <v>1033</v>
      </c>
      <c r="L88" s="619" t="s">
        <v>959</v>
      </c>
      <c r="M88" s="619" t="s">
        <v>959</v>
      </c>
      <c r="N88" s="620"/>
      <c r="O88" s="620"/>
      <c r="P88" s="663" t="s">
        <v>1044</v>
      </c>
      <c r="Q88" s="621"/>
      <c r="R88" s="598"/>
      <c r="S88" s="598"/>
      <c r="T88" s="598"/>
      <c r="U88" s="598" t="s">
        <v>992</v>
      </c>
      <c r="V88" s="663" t="s">
        <v>74</v>
      </c>
      <c r="W88" s="779" t="s">
        <v>1188</v>
      </c>
      <c r="X88" s="598" t="s">
        <v>950</v>
      </c>
      <c r="Y88" s="624">
        <v>33947</v>
      </c>
      <c r="Z88" s="625">
        <f t="shared" ca="1" si="3"/>
        <v>33</v>
      </c>
      <c r="AA88" s="616" t="s">
        <v>1189</v>
      </c>
      <c r="AB88" s="598" t="s">
        <v>1190</v>
      </c>
      <c r="AC88" s="598" t="s">
        <v>1006</v>
      </c>
      <c r="AD88" s="598" t="s">
        <v>953</v>
      </c>
      <c r="AE88" s="616" t="s">
        <v>973</v>
      </c>
      <c r="AF88" s="616" t="s">
        <v>954</v>
      </c>
      <c r="AG88" s="616" t="s">
        <v>968</v>
      </c>
      <c r="AH88" s="598"/>
      <c r="AI88" s="598"/>
      <c r="AJ88" s="598"/>
      <c r="AK88" s="598"/>
      <c r="AL88" s="626"/>
      <c r="AM88" s="626"/>
    </row>
    <row r="89" spans="1:39" ht="18" customHeight="1">
      <c r="C89" s="598">
        <v>68</v>
      </c>
      <c r="D89" s="598" t="s">
        <v>1191</v>
      </c>
      <c r="E89" s="598">
        <f t="shared" si="2"/>
        <v>67</v>
      </c>
      <c r="F89" s="616" t="s">
        <v>957</v>
      </c>
      <c r="G89" s="616" t="s">
        <v>1001</v>
      </c>
      <c r="H89" s="618" t="s">
        <v>1033</v>
      </c>
      <c r="I89" s="618" t="s">
        <v>9</v>
      </c>
      <c r="J89" s="618" t="s">
        <v>1033</v>
      </c>
      <c r="K89" s="618" t="s">
        <v>1033</v>
      </c>
      <c r="L89" s="619" t="s">
        <v>959</v>
      </c>
      <c r="M89" s="619" t="s">
        <v>959</v>
      </c>
      <c r="N89" s="620"/>
      <c r="O89" s="620"/>
      <c r="P89" s="663" t="s">
        <v>1044</v>
      </c>
      <c r="Q89" s="621"/>
      <c r="R89" s="598"/>
      <c r="S89" s="598"/>
      <c r="T89" s="598"/>
      <c r="U89" s="598" t="s">
        <v>992</v>
      </c>
      <c r="V89" s="663" t="s">
        <v>97</v>
      </c>
      <c r="W89" s="779" t="s">
        <v>1192</v>
      </c>
      <c r="X89" s="598" t="s">
        <v>950</v>
      </c>
      <c r="Y89" s="624">
        <v>33488</v>
      </c>
      <c r="Z89" s="625">
        <f t="shared" ca="1" si="3"/>
        <v>34</v>
      </c>
      <c r="AA89" s="616" t="s">
        <v>1193</v>
      </c>
      <c r="AB89" s="598" t="s">
        <v>1194</v>
      </c>
      <c r="AC89" s="598" t="s">
        <v>1006</v>
      </c>
      <c r="AD89" s="598" t="s">
        <v>953</v>
      </c>
      <c r="AE89" s="616" t="s">
        <v>973</v>
      </c>
      <c r="AF89" s="616" t="s">
        <v>954</v>
      </c>
      <c r="AG89" s="616" t="s">
        <v>968</v>
      </c>
      <c r="AH89" s="598"/>
      <c r="AI89" s="598"/>
      <c r="AJ89" s="598"/>
      <c r="AK89" s="598"/>
      <c r="AL89" s="626"/>
      <c r="AM89" s="626"/>
    </row>
    <row r="90" spans="1:39" ht="18" customHeight="1">
      <c r="C90" s="598">
        <v>69</v>
      </c>
      <c r="D90" s="598" t="s">
        <v>1195</v>
      </c>
      <c r="E90" s="598">
        <f t="shared" si="2"/>
        <v>68</v>
      </c>
      <c r="F90" s="616" t="s">
        <v>957</v>
      </c>
      <c r="G90" s="616" t="s">
        <v>1001</v>
      </c>
      <c r="H90" s="618" t="s">
        <v>1033</v>
      </c>
      <c r="I90" s="618" t="s">
        <v>9</v>
      </c>
      <c r="J90" s="618" t="s">
        <v>1033</v>
      </c>
      <c r="K90" s="618" t="s">
        <v>1033</v>
      </c>
      <c r="L90" s="619" t="s">
        <v>959</v>
      </c>
      <c r="M90" s="619" t="s">
        <v>959</v>
      </c>
      <c r="N90" s="620"/>
      <c r="O90" s="620"/>
      <c r="P90" s="663" t="s">
        <v>1044</v>
      </c>
      <c r="Q90" s="621"/>
      <c r="R90" s="598" t="s">
        <v>173</v>
      </c>
      <c r="S90" s="598" t="s">
        <v>514</v>
      </c>
      <c r="T90" s="598"/>
      <c r="U90" s="598" t="s">
        <v>992</v>
      </c>
      <c r="V90" s="663" t="s">
        <v>87</v>
      </c>
      <c r="W90" s="779" t="s">
        <v>1196</v>
      </c>
      <c r="X90" s="598" t="s">
        <v>950</v>
      </c>
      <c r="Y90" s="624">
        <v>34403</v>
      </c>
      <c r="Z90" s="625">
        <f t="shared" ca="1" si="3"/>
        <v>31</v>
      </c>
      <c r="AA90" s="616" t="s">
        <v>1197</v>
      </c>
      <c r="AB90" s="598" t="s">
        <v>1198</v>
      </c>
      <c r="AC90" s="598" t="s">
        <v>1006</v>
      </c>
      <c r="AD90" s="598" t="s">
        <v>953</v>
      </c>
      <c r="AE90" s="616" t="s">
        <v>729</v>
      </c>
      <c r="AF90" s="616" t="s">
        <v>954</v>
      </c>
      <c r="AG90" s="616" t="s">
        <v>974</v>
      </c>
      <c r="AH90" s="598"/>
      <c r="AI90" s="598"/>
      <c r="AJ90" s="598"/>
      <c r="AK90" s="598"/>
      <c r="AL90" s="626"/>
      <c r="AM90" s="626"/>
    </row>
    <row r="91" spans="1:39" ht="18" customHeight="1">
      <c r="C91" s="598">
        <v>70</v>
      </c>
      <c r="D91" s="598" t="s">
        <v>1199</v>
      </c>
      <c r="E91" s="598">
        <f t="shared" si="2"/>
        <v>69</v>
      </c>
      <c r="F91" s="616" t="s">
        <v>957</v>
      </c>
      <c r="G91" s="616" t="s">
        <v>1001</v>
      </c>
      <c r="H91" s="618" t="s">
        <v>1033</v>
      </c>
      <c r="I91" s="618" t="s">
        <v>9</v>
      </c>
      <c r="J91" s="618" t="s">
        <v>1033</v>
      </c>
      <c r="K91" s="618" t="s">
        <v>1033</v>
      </c>
      <c r="L91" s="619" t="s">
        <v>959</v>
      </c>
      <c r="M91" s="619" t="s">
        <v>959</v>
      </c>
      <c r="N91" s="620"/>
      <c r="O91" s="620"/>
      <c r="P91" s="663" t="s">
        <v>1044</v>
      </c>
      <c r="Q91" s="621"/>
      <c r="R91" s="598" t="s">
        <v>910</v>
      </c>
      <c r="S91" s="598" t="s">
        <v>4483</v>
      </c>
      <c r="T91" s="598" t="s">
        <v>1151</v>
      </c>
      <c r="U91" s="598" t="s">
        <v>992</v>
      </c>
      <c r="V91" s="664" t="s">
        <v>36</v>
      </c>
      <c r="W91" s="779"/>
      <c r="X91" s="598" t="s">
        <v>963</v>
      </c>
      <c r="Y91" s="624">
        <v>33643</v>
      </c>
      <c r="Z91" s="625">
        <f t="shared" ca="1" si="3"/>
        <v>33</v>
      </c>
      <c r="AA91" s="616" t="s">
        <v>1154</v>
      </c>
      <c r="AB91" s="598"/>
      <c r="AC91" s="598" t="s">
        <v>1006</v>
      </c>
      <c r="AD91" s="598" t="s">
        <v>953</v>
      </c>
      <c r="AE91" s="616" t="s">
        <v>954</v>
      </c>
      <c r="AF91" s="616" t="s">
        <v>954</v>
      </c>
      <c r="AG91" s="616" t="s">
        <v>974</v>
      </c>
      <c r="AH91" s="598"/>
      <c r="AI91" s="598"/>
      <c r="AJ91" s="598"/>
      <c r="AK91" s="598"/>
      <c r="AL91" s="626"/>
      <c r="AM91" s="626"/>
    </row>
    <row r="92" spans="1:39" ht="18" customHeight="1">
      <c r="A92" s="966" t="s">
        <v>4484</v>
      </c>
      <c r="B92" s="935"/>
      <c r="C92" s="598">
        <v>71</v>
      </c>
      <c r="D92" s="598" t="s">
        <v>4485</v>
      </c>
      <c r="E92" s="598">
        <f t="shared" si="2"/>
        <v>70</v>
      </c>
      <c r="F92" s="616"/>
      <c r="G92" s="616" t="s">
        <v>1001</v>
      </c>
      <c r="H92" s="618" t="s">
        <v>4486</v>
      </c>
      <c r="I92" s="618" t="s">
        <v>9</v>
      </c>
      <c r="J92" s="618" t="s">
        <v>4486</v>
      </c>
      <c r="K92" s="618" t="s">
        <v>4486</v>
      </c>
      <c r="L92" s="619" t="s">
        <v>959</v>
      </c>
      <c r="M92" s="619" t="s">
        <v>959</v>
      </c>
      <c r="N92" s="620"/>
      <c r="O92" s="620"/>
      <c r="P92" s="663" t="s">
        <v>1044</v>
      </c>
      <c r="Q92" s="621"/>
      <c r="R92" s="598"/>
      <c r="S92" s="598"/>
      <c r="T92" s="598"/>
      <c r="U92" s="598" t="s">
        <v>992</v>
      </c>
      <c r="V92" s="664" t="s">
        <v>121</v>
      </c>
      <c r="W92" s="779"/>
      <c r="X92" s="598" t="s">
        <v>963</v>
      </c>
      <c r="Y92" s="624">
        <v>34445</v>
      </c>
      <c r="Z92" s="625">
        <f t="shared" ca="1" si="3"/>
        <v>31</v>
      </c>
      <c r="AA92" s="616"/>
      <c r="AB92" s="598" t="s">
        <v>4487</v>
      </c>
      <c r="AC92" s="598" t="s">
        <v>1006</v>
      </c>
      <c r="AD92" s="598" t="s">
        <v>953</v>
      </c>
      <c r="AE92" s="616" t="s">
        <v>954</v>
      </c>
      <c r="AF92" s="616" t="s">
        <v>973</v>
      </c>
      <c r="AG92" s="616" t="s">
        <v>4488</v>
      </c>
      <c r="AH92" s="598"/>
      <c r="AI92" s="598"/>
      <c r="AJ92" s="598"/>
      <c r="AK92" s="598"/>
      <c r="AL92" s="626"/>
      <c r="AM92" s="626"/>
    </row>
    <row r="93" spans="1:39" ht="18" customHeight="1">
      <c r="C93" s="598">
        <v>72</v>
      </c>
      <c r="D93" s="598" t="s">
        <v>1202</v>
      </c>
      <c r="E93" s="598">
        <f t="shared" si="2"/>
        <v>70</v>
      </c>
      <c r="F93" s="616"/>
      <c r="G93" s="616" t="s">
        <v>1001</v>
      </c>
      <c r="H93" s="618" t="s">
        <v>1033</v>
      </c>
      <c r="I93" s="618" t="s">
        <v>9</v>
      </c>
      <c r="J93" s="618" t="s">
        <v>1033</v>
      </c>
      <c r="K93" s="618" t="s">
        <v>1033</v>
      </c>
      <c r="L93" s="619" t="s">
        <v>959</v>
      </c>
      <c r="M93" s="619" t="s">
        <v>959</v>
      </c>
      <c r="N93" s="620"/>
      <c r="O93" s="620"/>
      <c r="P93" s="673" t="s">
        <v>1044</v>
      </c>
      <c r="Q93" s="621"/>
      <c r="R93" s="598" t="s">
        <v>55</v>
      </c>
      <c r="S93" s="598" t="s">
        <v>173</v>
      </c>
      <c r="T93" s="598" t="s">
        <v>55</v>
      </c>
      <c r="U93" s="598"/>
      <c r="V93" s="673" t="s">
        <v>30</v>
      </c>
      <c r="W93" s="779" t="s">
        <v>1203</v>
      </c>
      <c r="X93" s="598" t="s">
        <v>950</v>
      </c>
      <c r="Y93" s="624">
        <v>33065</v>
      </c>
      <c r="Z93" s="625">
        <f t="shared" ca="1" si="3"/>
        <v>35</v>
      </c>
      <c r="AA93" s="616" t="s">
        <v>1204</v>
      </c>
      <c r="AB93" s="598" t="s">
        <v>1205</v>
      </c>
      <c r="AC93" s="598" t="s">
        <v>1006</v>
      </c>
      <c r="AD93" s="598" t="s">
        <v>953</v>
      </c>
      <c r="AE93" s="616" t="s">
        <v>729</v>
      </c>
      <c r="AF93" s="616" t="s">
        <v>954</v>
      </c>
      <c r="AG93" s="616" t="s">
        <v>974</v>
      </c>
      <c r="AH93" s="598" t="s">
        <v>955</v>
      </c>
      <c r="AI93" s="598"/>
      <c r="AJ93" s="598"/>
      <c r="AK93" s="598"/>
      <c r="AL93" s="626"/>
      <c r="AM93" s="626"/>
    </row>
    <row r="94" spans="1:39" ht="18" customHeight="1">
      <c r="C94" s="598">
        <v>73</v>
      </c>
      <c r="D94" s="598" t="s">
        <v>1206</v>
      </c>
      <c r="E94" s="598">
        <f t="shared" si="2"/>
        <v>71</v>
      </c>
      <c r="F94" s="616" t="s">
        <v>957</v>
      </c>
      <c r="G94" s="616" t="s">
        <v>1001</v>
      </c>
      <c r="H94" s="618" t="s">
        <v>1033</v>
      </c>
      <c r="I94" s="618" t="s">
        <v>9</v>
      </c>
      <c r="J94" s="618" t="s">
        <v>1033</v>
      </c>
      <c r="K94" s="618" t="s">
        <v>1206</v>
      </c>
      <c r="L94" s="618" t="s">
        <v>1207</v>
      </c>
      <c r="M94" s="619" t="s">
        <v>959</v>
      </c>
      <c r="N94" s="620"/>
      <c r="O94" s="620"/>
      <c r="P94" s="667" t="s">
        <v>1074</v>
      </c>
      <c r="Q94" s="621"/>
      <c r="R94" s="598" t="s">
        <v>948</v>
      </c>
      <c r="S94" s="598" t="s">
        <v>6</v>
      </c>
      <c r="T94" s="598" t="s">
        <v>55</v>
      </c>
      <c r="U94" s="598" t="s">
        <v>992</v>
      </c>
      <c r="V94" s="667" t="s">
        <v>7</v>
      </c>
      <c r="W94" s="779" t="s">
        <v>1210</v>
      </c>
      <c r="X94" s="598" t="s">
        <v>950</v>
      </c>
      <c r="Y94" s="624">
        <v>31978</v>
      </c>
      <c r="Z94" s="625">
        <f t="shared" ca="1" si="3"/>
        <v>38</v>
      </c>
      <c r="AA94" s="616" t="s">
        <v>1211</v>
      </c>
      <c r="AB94" s="598" t="s">
        <v>1212</v>
      </c>
      <c r="AC94" s="598" t="s">
        <v>1006</v>
      </c>
      <c r="AD94" s="598" t="s">
        <v>953</v>
      </c>
      <c r="AE94" s="616" t="s">
        <v>954</v>
      </c>
      <c r="AF94" s="616" t="s">
        <v>954</v>
      </c>
      <c r="AG94" s="616" t="s">
        <v>974</v>
      </c>
      <c r="AH94" s="598"/>
      <c r="AI94" s="598"/>
      <c r="AJ94" s="598"/>
      <c r="AK94" s="598"/>
      <c r="AL94" s="626"/>
      <c r="AM94" s="626"/>
    </row>
    <row r="95" spans="1:39" ht="18" customHeight="1">
      <c r="C95" s="598">
        <v>74</v>
      </c>
      <c r="D95" s="598" t="s">
        <v>1207</v>
      </c>
      <c r="E95" s="598">
        <f t="shared" si="2"/>
        <v>72</v>
      </c>
      <c r="F95" s="616" t="s">
        <v>957</v>
      </c>
      <c r="G95" s="616" t="s">
        <v>1001</v>
      </c>
      <c r="H95" s="618" t="s">
        <v>1033</v>
      </c>
      <c r="I95" s="618" t="s">
        <v>9</v>
      </c>
      <c r="J95" s="618" t="s">
        <v>1033</v>
      </c>
      <c r="K95" s="618" t="s">
        <v>1206</v>
      </c>
      <c r="L95" s="618" t="s">
        <v>1207</v>
      </c>
      <c r="M95" s="619" t="s">
        <v>959</v>
      </c>
      <c r="N95" s="620"/>
      <c r="O95" s="620"/>
      <c r="P95" s="663" t="s">
        <v>1074</v>
      </c>
      <c r="Q95" s="621"/>
      <c r="R95" s="598" t="s">
        <v>69</v>
      </c>
      <c r="S95" s="598" t="s">
        <v>69</v>
      </c>
      <c r="T95" s="598"/>
      <c r="U95" s="598" t="s">
        <v>992</v>
      </c>
      <c r="V95" s="663" t="s">
        <v>75</v>
      </c>
      <c r="W95" s="779" t="s">
        <v>1213</v>
      </c>
      <c r="X95" s="598" t="s">
        <v>950</v>
      </c>
      <c r="Y95" s="624">
        <v>32578</v>
      </c>
      <c r="Z95" s="625">
        <f t="shared" ca="1" si="3"/>
        <v>36</v>
      </c>
      <c r="AA95" s="616" t="s">
        <v>1214</v>
      </c>
      <c r="AB95" s="598"/>
      <c r="AC95" s="598" t="s">
        <v>1006</v>
      </c>
      <c r="AD95" s="598" t="s">
        <v>953</v>
      </c>
      <c r="AE95" s="616" t="s">
        <v>729</v>
      </c>
      <c r="AF95" s="616" t="s">
        <v>954</v>
      </c>
      <c r="AG95" s="616" t="s">
        <v>974</v>
      </c>
      <c r="AH95" s="598"/>
      <c r="AI95" s="598"/>
      <c r="AJ95" s="598"/>
      <c r="AK95" s="598"/>
      <c r="AL95" s="626"/>
      <c r="AM95" s="626"/>
    </row>
    <row r="96" spans="1:39" ht="18" customHeight="1">
      <c r="C96" s="598">
        <v>75</v>
      </c>
      <c r="D96" s="598" t="s">
        <v>1215</v>
      </c>
      <c r="E96" s="598">
        <f t="shared" si="2"/>
        <v>73</v>
      </c>
      <c r="F96" s="616" t="s">
        <v>957</v>
      </c>
      <c r="G96" s="616" t="s">
        <v>1001</v>
      </c>
      <c r="H96" s="618" t="s">
        <v>1033</v>
      </c>
      <c r="I96" s="618" t="s">
        <v>9</v>
      </c>
      <c r="J96" s="618" t="s">
        <v>1033</v>
      </c>
      <c r="K96" s="618" t="s">
        <v>1033</v>
      </c>
      <c r="L96" s="619" t="s">
        <v>959</v>
      </c>
      <c r="M96" s="619" t="s">
        <v>959</v>
      </c>
      <c r="N96" s="620"/>
      <c r="O96" s="620"/>
      <c r="P96" s="663" t="s">
        <v>1044</v>
      </c>
      <c r="Q96" s="621"/>
      <c r="R96" s="598"/>
      <c r="S96" s="598"/>
      <c r="T96" s="598" t="s">
        <v>1216</v>
      </c>
      <c r="U96" s="598" t="s">
        <v>992</v>
      </c>
      <c r="V96" s="663" t="s">
        <v>88</v>
      </c>
      <c r="W96" s="779"/>
      <c r="X96" s="598" t="s">
        <v>950</v>
      </c>
      <c r="Y96" s="624">
        <v>34867</v>
      </c>
      <c r="Z96" s="625">
        <f t="shared" ca="1" si="3"/>
        <v>30</v>
      </c>
      <c r="AA96" s="616" t="s">
        <v>1218</v>
      </c>
      <c r="AB96" s="598" t="s">
        <v>1219</v>
      </c>
      <c r="AC96" s="598" t="s">
        <v>1006</v>
      </c>
      <c r="AD96" s="598" t="s">
        <v>953</v>
      </c>
      <c r="AE96" s="616" t="s">
        <v>1220</v>
      </c>
      <c r="AF96" s="616" t="s">
        <v>954</v>
      </c>
      <c r="AG96" s="616" t="s">
        <v>974</v>
      </c>
      <c r="AH96" s="598"/>
      <c r="AI96" s="598"/>
      <c r="AJ96" s="598"/>
      <c r="AK96" s="598"/>
      <c r="AL96" s="626"/>
      <c r="AM96" s="626"/>
    </row>
    <row r="97" spans="1:39" ht="18" customHeight="1">
      <c r="C97" s="598">
        <v>76</v>
      </c>
      <c r="D97" s="598" t="s">
        <v>1221</v>
      </c>
      <c r="E97" s="598">
        <f t="shared" si="2"/>
        <v>74</v>
      </c>
      <c r="F97" s="616" t="s">
        <v>957</v>
      </c>
      <c r="G97" s="616" t="s">
        <v>1001</v>
      </c>
      <c r="H97" s="618" t="s">
        <v>1033</v>
      </c>
      <c r="I97" s="618" t="s">
        <v>9</v>
      </c>
      <c r="J97" s="618" t="s">
        <v>1033</v>
      </c>
      <c r="K97" s="618" t="s">
        <v>1206</v>
      </c>
      <c r="L97" s="618" t="s">
        <v>1207</v>
      </c>
      <c r="M97" s="619" t="s">
        <v>959</v>
      </c>
      <c r="N97" s="620"/>
      <c r="O97" s="620"/>
      <c r="P97" s="663" t="s">
        <v>1074</v>
      </c>
      <c r="Q97" s="621"/>
      <c r="R97" s="598" t="s">
        <v>910</v>
      </c>
      <c r="S97" s="598"/>
      <c r="T97" s="598" t="s">
        <v>1151</v>
      </c>
      <c r="U97" s="598" t="s">
        <v>992</v>
      </c>
      <c r="V97" s="663" t="s">
        <v>20</v>
      </c>
      <c r="W97" s="779"/>
      <c r="X97" s="598" t="s">
        <v>963</v>
      </c>
      <c r="Y97" s="624">
        <v>33136</v>
      </c>
      <c r="Z97" s="625">
        <f t="shared" ca="1" si="3"/>
        <v>35</v>
      </c>
      <c r="AA97" s="616" t="s">
        <v>1223</v>
      </c>
      <c r="AB97" s="598" t="s">
        <v>1224</v>
      </c>
      <c r="AC97" s="598" t="s">
        <v>1006</v>
      </c>
      <c r="AD97" s="598" t="s">
        <v>953</v>
      </c>
      <c r="AE97" s="616" t="s">
        <v>954</v>
      </c>
      <c r="AF97" s="616" t="s">
        <v>954</v>
      </c>
      <c r="AG97" s="616" t="s">
        <v>968</v>
      </c>
      <c r="AH97" s="598"/>
      <c r="AI97" s="598"/>
      <c r="AJ97" s="598"/>
      <c r="AK97" s="598"/>
      <c r="AL97" s="626"/>
      <c r="AM97" s="626"/>
    </row>
    <row r="98" spans="1:39" ht="18" customHeight="1">
      <c r="A98" s="967"/>
      <c r="B98" s="935"/>
      <c r="C98" s="598">
        <v>77</v>
      </c>
      <c r="D98" s="598" t="s">
        <v>4984</v>
      </c>
      <c r="E98" s="598">
        <f>SUBTOTAL(103,$U$21:U98)</f>
        <v>75</v>
      </c>
      <c r="F98" s="670" t="s">
        <v>957</v>
      </c>
      <c r="G98" s="598" t="s">
        <v>1001</v>
      </c>
      <c r="H98" s="618" t="s">
        <v>1033</v>
      </c>
      <c r="I98" s="618" t="s">
        <v>9</v>
      </c>
      <c r="J98" s="618" t="s">
        <v>1033</v>
      </c>
      <c r="K98" s="618" t="s">
        <v>1206</v>
      </c>
      <c r="L98" s="618" t="s">
        <v>1207</v>
      </c>
      <c r="M98" s="618" t="s">
        <v>959</v>
      </c>
      <c r="N98" s="636"/>
      <c r="O98" s="636"/>
      <c r="P98" s="672" t="s">
        <v>1074</v>
      </c>
      <c r="Q98" s="637"/>
      <c r="R98" s="627"/>
      <c r="S98" s="627"/>
      <c r="T98" s="598" t="s">
        <v>1151</v>
      </c>
      <c r="U98" s="671" t="s">
        <v>992</v>
      </c>
      <c r="V98" s="672" t="s">
        <v>107</v>
      </c>
      <c r="W98" s="627"/>
      <c r="X98" s="598" t="s">
        <v>950</v>
      </c>
      <c r="Y98" s="624">
        <v>36359</v>
      </c>
      <c r="Z98" s="625">
        <f t="shared" ca="1" si="3"/>
        <v>26</v>
      </c>
      <c r="AA98" s="598" t="s">
        <v>4985</v>
      </c>
      <c r="AB98" s="598" t="s">
        <v>4986</v>
      </c>
      <c r="AC98" s="598" t="s">
        <v>1006</v>
      </c>
      <c r="AD98" s="598" t="s">
        <v>953</v>
      </c>
      <c r="AE98" s="598" t="s">
        <v>954</v>
      </c>
      <c r="AF98" s="598" t="s">
        <v>954</v>
      </c>
      <c r="AG98" s="598" t="s">
        <v>974</v>
      </c>
      <c r="AH98" s="627"/>
      <c r="AI98" s="627"/>
      <c r="AJ98" s="627"/>
      <c r="AK98" s="598" t="s">
        <v>4987</v>
      </c>
      <c r="AL98" s="627"/>
      <c r="AM98" s="627"/>
    </row>
    <row r="99" spans="1:39" ht="18" customHeight="1">
      <c r="C99" s="598">
        <v>78</v>
      </c>
      <c r="D99" s="598" t="s">
        <v>1225</v>
      </c>
      <c r="E99" s="598">
        <f t="shared" ref="E99:E254" si="4">SUBTOTAL(103,$U$21:U99)</f>
        <v>76</v>
      </c>
      <c r="F99" s="616" t="s">
        <v>957</v>
      </c>
      <c r="G99" s="616" t="s">
        <v>1001</v>
      </c>
      <c r="H99" s="618" t="s">
        <v>1033</v>
      </c>
      <c r="I99" s="618" t="s">
        <v>9</v>
      </c>
      <c r="J99" s="618" t="s">
        <v>1033</v>
      </c>
      <c r="K99" s="618" t="s">
        <v>1206</v>
      </c>
      <c r="L99" s="618" t="s">
        <v>1207</v>
      </c>
      <c r="M99" s="619" t="s">
        <v>959</v>
      </c>
      <c r="N99" s="620"/>
      <c r="O99" s="620"/>
      <c r="P99" s="663" t="s">
        <v>1074</v>
      </c>
      <c r="Q99" s="621"/>
      <c r="R99" s="598" t="s">
        <v>173</v>
      </c>
      <c r="S99" s="598" t="s">
        <v>1228</v>
      </c>
      <c r="T99" s="598" t="s">
        <v>55</v>
      </c>
      <c r="U99" s="598" t="s">
        <v>992</v>
      </c>
      <c r="V99" s="669" t="s">
        <v>114</v>
      </c>
      <c r="W99" s="779" t="s">
        <v>1229</v>
      </c>
      <c r="X99" s="598" t="s">
        <v>950</v>
      </c>
      <c r="Y99" s="624">
        <v>34746</v>
      </c>
      <c r="Z99" s="625">
        <f t="shared" ca="1" si="3"/>
        <v>30</v>
      </c>
      <c r="AA99" s="616" t="s">
        <v>1230</v>
      </c>
      <c r="AB99" s="598" t="s">
        <v>1231</v>
      </c>
      <c r="AC99" s="598" t="s">
        <v>1006</v>
      </c>
      <c r="AD99" s="598" t="s">
        <v>953</v>
      </c>
      <c r="AE99" s="616" t="s">
        <v>1041</v>
      </c>
      <c r="AF99" s="616" t="s">
        <v>954</v>
      </c>
      <c r="AG99" s="616" t="s">
        <v>974</v>
      </c>
      <c r="AH99" s="598"/>
      <c r="AI99" s="598"/>
      <c r="AJ99" s="598"/>
      <c r="AK99" s="598"/>
      <c r="AL99" s="626"/>
      <c r="AM99" s="626"/>
    </row>
    <row r="100" spans="1:39" ht="18" customHeight="1">
      <c r="C100" s="598">
        <v>79</v>
      </c>
      <c r="D100" s="598" t="s">
        <v>4489</v>
      </c>
      <c r="E100" s="598">
        <f t="shared" si="4"/>
        <v>77</v>
      </c>
      <c r="F100" s="616" t="s">
        <v>957</v>
      </c>
      <c r="G100" s="616" t="s">
        <v>1001</v>
      </c>
      <c r="H100" s="618" t="s">
        <v>1033</v>
      </c>
      <c r="I100" s="618" t="s">
        <v>9</v>
      </c>
      <c r="J100" s="618" t="s">
        <v>1033</v>
      </c>
      <c r="K100" s="618" t="s">
        <v>1206</v>
      </c>
      <c r="L100" s="618" t="s">
        <v>1207</v>
      </c>
      <c r="M100" s="619" t="s">
        <v>959</v>
      </c>
      <c r="N100" s="620"/>
      <c r="O100" s="620"/>
      <c r="P100" s="663" t="s">
        <v>1074</v>
      </c>
      <c r="Q100" s="621"/>
      <c r="R100" s="598"/>
      <c r="S100" s="598"/>
      <c r="T100" s="598"/>
      <c r="U100" s="598" t="s">
        <v>992</v>
      </c>
      <c r="V100" s="668" t="s">
        <v>4490</v>
      </c>
      <c r="W100" s="779" t="s">
        <v>4491</v>
      </c>
      <c r="X100" s="598" t="s">
        <v>950</v>
      </c>
      <c r="Y100" s="624">
        <v>32025</v>
      </c>
      <c r="Z100" s="625">
        <f t="shared" ca="1" si="3"/>
        <v>38</v>
      </c>
      <c r="AA100" s="616" t="s">
        <v>4492</v>
      </c>
      <c r="AB100" s="632"/>
      <c r="AC100" s="598" t="s">
        <v>1006</v>
      </c>
      <c r="AD100" s="633" t="s">
        <v>1018</v>
      </c>
      <c r="AE100" s="616" t="s">
        <v>973</v>
      </c>
      <c r="AF100" s="616" t="s">
        <v>954</v>
      </c>
      <c r="AG100" s="616" t="s">
        <v>974</v>
      </c>
      <c r="AH100" s="598"/>
      <c r="AI100" s="598" t="s">
        <v>4443</v>
      </c>
      <c r="AJ100" s="598"/>
      <c r="AK100" s="598" t="s">
        <v>1020</v>
      </c>
      <c r="AL100" s="626"/>
      <c r="AM100" s="626"/>
    </row>
    <row r="101" spans="1:39" ht="18" customHeight="1">
      <c r="C101" s="598">
        <v>80</v>
      </c>
      <c r="D101" s="598" t="s">
        <v>4493</v>
      </c>
      <c r="E101" s="598">
        <f t="shared" si="4"/>
        <v>78</v>
      </c>
      <c r="F101" s="616" t="s">
        <v>957</v>
      </c>
      <c r="G101" s="616" t="s">
        <v>1001</v>
      </c>
      <c r="H101" s="618" t="s">
        <v>1033</v>
      </c>
      <c r="I101" s="618" t="s">
        <v>9</v>
      </c>
      <c r="J101" s="618" t="s">
        <v>1033</v>
      </c>
      <c r="K101" s="618" t="s">
        <v>1206</v>
      </c>
      <c r="L101" s="618" t="s">
        <v>1207</v>
      </c>
      <c r="M101" s="619" t="s">
        <v>959</v>
      </c>
      <c r="N101" s="620"/>
      <c r="O101" s="620"/>
      <c r="P101" s="663" t="s">
        <v>1074</v>
      </c>
      <c r="Q101" s="621"/>
      <c r="R101" s="598"/>
      <c r="S101" s="598"/>
      <c r="T101" s="598"/>
      <c r="U101" s="598" t="s">
        <v>992</v>
      </c>
      <c r="V101" s="663" t="s">
        <v>122</v>
      </c>
      <c r="W101" s="779" t="s">
        <v>4494</v>
      </c>
      <c r="X101" s="598" t="s">
        <v>950</v>
      </c>
      <c r="Y101" s="624">
        <v>37287</v>
      </c>
      <c r="Z101" s="625">
        <f t="shared" ca="1" si="3"/>
        <v>24</v>
      </c>
      <c r="AA101" s="616" t="s">
        <v>4495</v>
      </c>
      <c r="AB101" s="632"/>
      <c r="AC101" s="598" t="s">
        <v>1006</v>
      </c>
      <c r="AD101" s="598" t="s">
        <v>953</v>
      </c>
      <c r="AE101" s="616" t="s">
        <v>246</v>
      </c>
      <c r="AF101" s="616" t="s">
        <v>954</v>
      </c>
      <c r="AG101" s="616" t="s">
        <v>974</v>
      </c>
      <c r="AH101" s="598"/>
      <c r="AI101" s="598"/>
      <c r="AJ101" s="598"/>
      <c r="AK101" s="598"/>
      <c r="AL101" s="626"/>
      <c r="AM101" s="626"/>
    </row>
    <row r="102" spans="1:39" ht="18" customHeight="1">
      <c r="C102" s="598">
        <v>81</v>
      </c>
      <c r="D102" s="598" t="s">
        <v>1232</v>
      </c>
      <c r="E102" s="598">
        <f t="shared" si="4"/>
        <v>79</v>
      </c>
      <c r="F102" s="616" t="s">
        <v>1233</v>
      </c>
      <c r="G102" s="616" t="s">
        <v>1234</v>
      </c>
      <c r="H102" s="618" t="s">
        <v>1232</v>
      </c>
      <c r="I102" s="618" t="s">
        <v>172</v>
      </c>
      <c r="J102" s="618" t="s">
        <v>1232</v>
      </c>
      <c r="K102" s="618" t="s">
        <v>1232</v>
      </c>
      <c r="L102" s="618" t="s">
        <v>1514</v>
      </c>
      <c r="M102" s="619" t="s">
        <v>959</v>
      </c>
      <c r="N102" s="620"/>
      <c r="O102" s="620"/>
      <c r="P102" s="667" t="s">
        <v>1044</v>
      </c>
      <c r="Q102" s="621"/>
      <c r="R102" s="598" t="s">
        <v>1227</v>
      </c>
      <c r="S102" s="598" t="s">
        <v>173</v>
      </c>
      <c r="T102" s="598" t="s">
        <v>55</v>
      </c>
      <c r="U102" s="598" t="s">
        <v>1090</v>
      </c>
      <c r="V102" s="667" t="s">
        <v>172</v>
      </c>
      <c r="W102" s="779" t="s">
        <v>1236</v>
      </c>
      <c r="X102" s="598" t="s">
        <v>950</v>
      </c>
      <c r="Y102" s="624">
        <v>18512</v>
      </c>
      <c r="Z102" s="625">
        <f t="shared" ca="1" si="3"/>
        <v>75</v>
      </c>
      <c r="AA102" s="616" t="s">
        <v>1237</v>
      </c>
      <c r="AB102" s="598" t="s">
        <v>1238</v>
      </c>
      <c r="AC102" s="598" t="s">
        <v>966</v>
      </c>
      <c r="AD102" s="598" t="s">
        <v>953</v>
      </c>
      <c r="AE102" s="616" t="s">
        <v>729</v>
      </c>
      <c r="AF102" s="616" t="s">
        <v>1239</v>
      </c>
      <c r="AG102" s="616" t="s">
        <v>1240</v>
      </c>
      <c r="AH102" s="598"/>
      <c r="AI102" s="598"/>
      <c r="AJ102" s="598"/>
      <c r="AK102" s="598"/>
      <c r="AL102" s="626"/>
      <c r="AM102" s="626"/>
    </row>
    <row r="103" spans="1:39" ht="18" customHeight="1">
      <c r="C103" s="598">
        <v>82</v>
      </c>
      <c r="D103" s="598" t="s">
        <v>1514</v>
      </c>
      <c r="E103" s="598">
        <f t="shared" si="4"/>
        <v>80</v>
      </c>
      <c r="F103" s="616" t="s">
        <v>1233</v>
      </c>
      <c r="G103" s="616" t="s">
        <v>1234</v>
      </c>
      <c r="H103" s="618" t="s">
        <v>1232</v>
      </c>
      <c r="I103" s="618" t="s">
        <v>172</v>
      </c>
      <c r="J103" s="618" t="s">
        <v>1232</v>
      </c>
      <c r="K103" s="618" t="s">
        <v>1232</v>
      </c>
      <c r="L103" s="618" t="s">
        <v>1514</v>
      </c>
      <c r="M103" s="619" t="s">
        <v>959</v>
      </c>
      <c r="N103" s="620"/>
      <c r="O103" s="620"/>
      <c r="P103" s="663" t="s">
        <v>1044</v>
      </c>
      <c r="Q103" s="621"/>
      <c r="R103" s="598" t="s">
        <v>55</v>
      </c>
      <c r="S103" s="598" t="s">
        <v>178</v>
      </c>
      <c r="T103" s="598" t="s">
        <v>69</v>
      </c>
      <c r="U103" s="598" t="s">
        <v>1090</v>
      </c>
      <c r="V103" s="663" t="s">
        <v>191</v>
      </c>
      <c r="W103" s="779" t="s">
        <v>1516</v>
      </c>
      <c r="X103" s="598" t="s">
        <v>963</v>
      </c>
      <c r="Y103" s="624">
        <v>19232</v>
      </c>
      <c r="Z103" s="625">
        <f t="shared" ca="1" si="3"/>
        <v>73</v>
      </c>
      <c r="AA103" s="616" t="s">
        <v>1517</v>
      </c>
      <c r="AB103" s="598" t="s">
        <v>1518</v>
      </c>
      <c r="AC103" s="598" t="s">
        <v>966</v>
      </c>
      <c r="AD103" s="598" t="s">
        <v>953</v>
      </c>
      <c r="AE103" s="616" t="s">
        <v>729</v>
      </c>
      <c r="AF103" s="616" t="s">
        <v>1239</v>
      </c>
      <c r="AG103" s="616" t="s">
        <v>1240</v>
      </c>
      <c r="AH103" s="598"/>
      <c r="AI103" s="598"/>
      <c r="AJ103" s="598"/>
      <c r="AK103" s="598"/>
      <c r="AL103" s="626"/>
      <c r="AM103" s="626"/>
    </row>
    <row r="104" spans="1:39" ht="18" customHeight="1">
      <c r="C104" s="598">
        <v>83</v>
      </c>
      <c r="D104" s="598" t="s">
        <v>1550</v>
      </c>
      <c r="E104" s="598">
        <f t="shared" si="4"/>
        <v>81</v>
      </c>
      <c r="F104" s="616" t="s">
        <v>1233</v>
      </c>
      <c r="G104" s="616" t="s">
        <v>1234</v>
      </c>
      <c r="H104" s="618" t="s">
        <v>1232</v>
      </c>
      <c r="I104" s="618" t="s">
        <v>172</v>
      </c>
      <c r="J104" s="618" t="s">
        <v>1232</v>
      </c>
      <c r="K104" s="618" t="s">
        <v>1232</v>
      </c>
      <c r="L104" s="618" t="s">
        <v>1514</v>
      </c>
      <c r="M104" s="619" t="s">
        <v>959</v>
      </c>
      <c r="N104" s="620"/>
      <c r="O104" s="620"/>
      <c r="P104" s="663" t="s">
        <v>1044</v>
      </c>
      <c r="Q104" s="621"/>
      <c r="R104" s="598" t="s">
        <v>55</v>
      </c>
      <c r="S104" s="598" t="s">
        <v>178</v>
      </c>
      <c r="T104" s="598"/>
      <c r="U104" s="598" t="s">
        <v>1090</v>
      </c>
      <c r="V104" s="663" t="s">
        <v>181</v>
      </c>
      <c r="W104" s="779" t="s">
        <v>1553</v>
      </c>
      <c r="X104" s="598" t="s">
        <v>950</v>
      </c>
      <c r="Y104" s="624">
        <v>19598</v>
      </c>
      <c r="Z104" s="625">
        <f t="shared" ca="1" si="3"/>
        <v>72</v>
      </c>
      <c r="AA104" s="616" t="s">
        <v>1554</v>
      </c>
      <c r="AB104" s="598" t="s">
        <v>1555</v>
      </c>
      <c r="AC104" s="598" t="s">
        <v>966</v>
      </c>
      <c r="AD104" s="598" t="s">
        <v>953</v>
      </c>
      <c r="AE104" s="616" t="s">
        <v>729</v>
      </c>
      <c r="AF104" s="616" t="s">
        <v>1239</v>
      </c>
      <c r="AG104" s="616" t="s">
        <v>1258</v>
      </c>
      <c r="AH104" s="598"/>
      <c r="AI104" s="598"/>
      <c r="AJ104" s="598"/>
      <c r="AK104" s="598"/>
      <c r="AL104" s="626"/>
      <c r="AM104" s="626"/>
    </row>
    <row r="105" spans="1:39" ht="18" customHeight="1">
      <c r="C105" s="598">
        <v>84</v>
      </c>
      <c r="D105" s="598" t="s">
        <v>1528</v>
      </c>
      <c r="E105" s="598">
        <f t="shared" si="4"/>
        <v>82</v>
      </c>
      <c r="F105" s="616" t="s">
        <v>1233</v>
      </c>
      <c r="G105" s="616" t="s">
        <v>1234</v>
      </c>
      <c r="H105" s="618" t="s">
        <v>1232</v>
      </c>
      <c r="I105" s="618" t="s">
        <v>172</v>
      </c>
      <c r="J105" s="618" t="s">
        <v>1232</v>
      </c>
      <c r="K105" s="618" t="s">
        <v>1232</v>
      </c>
      <c r="L105" s="618" t="s">
        <v>1514</v>
      </c>
      <c r="M105" s="619" t="s">
        <v>959</v>
      </c>
      <c r="N105" s="620"/>
      <c r="O105" s="620"/>
      <c r="P105" s="663" t="s">
        <v>1044</v>
      </c>
      <c r="Q105" s="621"/>
      <c r="R105" s="598" t="s">
        <v>55</v>
      </c>
      <c r="S105" s="598" t="s">
        <v>178</v>
      </c>
      <c r="T105" s="598"/>
      <c r="U105" s="598" t="s">
        <v>962</v>
      </c>
      <c r="V105" s="663" t="s">
        <v>179</v>
      </c>
      <c r="W105" s="779" t="s">
        <v>1530</v>
      </c>
      <c r="X105" s="598" t="s">
        <v>963</v>
      </c>
      <c r="Y105" s="624">
        <v>31834</v>
      </c>
      <c r="Z105" s="625">
        <f t="shared" ca="1" si="3"/>
        <v>38</v>
      </c>
      <c r="AA105" s="616" t="s">
        <v>1531</v>
      </c>
      <c r="AB105" s="598" t="s">
        <v>1532</v>
      </c>
      <c r="AC105" s="598" t="s">
        <v>966</v>
      </c>
      <c r="AD105" s="598" t="s">
        <v>953</v>
      </c>
      <c r="AE105" s="616" t="s">
        <v>729</v>
      </c>
      <c r="AF105" s="616" t="s">
        <v>1239</v>
      </c>
      <c r="AG105" s="616" t="s">
        <v>1533</v>
      </c>
      <c r="AH105" s="598"/>
      <c r="AI105" s="598"/>
      <c r="AJ105" s="598"/>
      <c r="AK105" s="598"/>
      <c r="AL105" s="626"/>
      <c r="AM105" s="626"/>
    </row>
    <row r="106" spans="1:39" ht="18" customHeight="1">
      <c r="C106" s="598">
        <v>85</v>
      </c>
      <c r="D106" s="598" t="s">
        <v>1241</v>
      </c>
      <c r="E106" s="598">
        <f t="shared" si="4"/>
        <v>83</v>
      </c>
      <c r="F106" s="616" t="s">
        <v>1233</v>
      </c>
      <c r="G106" s="616" t="s">
        <v>1234</v>
      </c>
      <c r="H106" s="618" t="s">
        <v>1232</v>
      </c>
      <c r="I106" s="618" t="s">
        <v>172</v>
      </c>
      <c r="J106" s="618" t="s">
        <v>1232</v>
      </c>
      <c r="K106" s="618" t="s">
        <v>1232</v>
      </c>
      <c r="L106" s="618" t="s">
        <v>1514</v>
      </c>
      <c r="M106" s="619" t="s">
        <v>959</v>
      </c>
      <c r="N106" s="620"/>
      <c r="O106" s="620"/>
      <c r="P106" s="663" t="s">
        <v>1044</v>
      </c>
      <c r="Q106" s="621"/>
      <c r="R106" s="598" t="s">
        <v>173</v>
      </c>
      <c r="S106" s="598" t="s">
        <v>514</v>
      </c>
      <c r="T106" s="598"/>
      <c r="U106" s="598" t="s">
        <v>1090</v>
      </c>
      <c r="V106" s="663" t="s">
        <v>254</v>
      </c>
      <c r="W106" s="779" t="s">
        <v>1242</v>
      </c>
      <c r="X106" s="598" t="s">
        <v>950</v>
      </c>
      <c r="Y106" s="624">
        <v>20283</v>
      </c>
      <c r="Z106" s="625">
        <f t="shared" ca="1" si="3"/>
        <v>70</v>
      </c>
      <c r="AA106" s="616" t="s">
        <v>1243</v>
      </c>
      <c r="AB106" s="598" t="s">
        <v>1244</v>
      </c>
      <c r="AC106" s="598" t="s">
        <v>966</v>
      </c>
      <c r="AD106" s="598" t="s">
        <v>953</v>
      </c>
      <c r="AE106" s="616" t="s">
        <v>729</v>
      </c>
      <c r="AF106" s="616" t="s">
        <v>1239</v>
      </c>
      <c r="AG106" s="616" t="s">
        <v>1240</v>
      </c>
      <c r="AH106" s="598"/>
      <c r="AI106" s="598"/>
      <c r="AJ106" s="598"/>
      <c r="AK106" s="598"/>
      <c r="AL106" s="626"/>
      <c r="AM106" s="626"/>
    </row>
    <row r="107" spans="1:39" ht="18" customHeight="1">
      <c r="C107" s="598">
        <v>86</v>
      </c>
      <c r="D107" s="598" t="s">
        <v>1506</v>
      </c>
      <c r="E107" s="598">
        <f t="shared" si="4"/>
        <v>84</v>
      </c>
      <c r="F107" s="616" t="s">
        <v>1233</v>
      </c>
      <c r="G107" s="616" t="s">
        <v>1234</v>
      </c>
      <c r="H107" s="618" t="s">
        <v>1232</v>
      </c>
      <c r="I107" s="618" t="s">
        <v>172</v>
      </c>
      <c r="J107" s="618" t="s">
        <v>1232</v>
      </c>
      <c r="K107" s="618" t="s">
        <v>1232</v>
      </c>
      <c r="L107" s="618" t="s">
        <v>1514</v>
      </c>
      <c r="M107" s="619" t="s">
        <v>959</v>
      </c>
      <c r="N107" s="620"/>
      <c r="O107" s="620"/>
      <c r="P107" s="663" t="s">
        <v>1044</v>
      </c>
      <c r="Q107" s="621"/>
      <c r="R107" s="598" t="s">
        <v>173</v>
      </c>
      <c r="S107" s="598" t="s">
        <v>514</v>
      </c>
      <c r="T107" s="598"/>
      <c r="U107" s="598" t="s">
        <v>1015</v>
      </c>
      <c r="V107" s="663" t="s">
        <v>271</v>
      </c>
      <c r="W107" s="779" t="s">
        <v>1597</v>
      </c>
      <c r="X107" s="598" t="s">
        <v>950</v>
      </c>
      <c r="Y107" s="624">
        <v>29437</v>
      </c>
      <c r="Z107" s="625">
        <f t="shared" ca="1" si="3"/>
        <v>45</v>
      </c>
      <c r="AA107" s="616" t="s">
        <v>1598</v>
      </c>
      <c r="AB107" s="598" t="s">
        <v>1599</v>
      </c>
      <c r="AC107" s="598" t="s">
        <v>966</v>
      </c>
      <c r="AD107" s="598" t="s">
        <v>953</v>
      </c>
      <c r="AE107" s="616" t="s">
        <v>729</v>
      </c>
      <c r="AF107" s="616" t="s">
        <v>1239</v>
      </c>
      <c r="AG107" s="616" t="s">
        <v>1258</v>
      </c>
      <c r="AH107" s="598"/>
      <c r="AI107" s="598"/>
      <c r="AJ107" s="598"/>
      <c r="AK107" s="598"/>
      <c r="AL107" s="626"/>
      <c r="AM107" s="626"/>
    </row>
    <row r="108" spans="1:39" ht="18" customHeight="1">
      <c r="C108" s="598">
        <v>87</v>
      </c>
      <c r="D108" s="598" t="s">
        <v>1658</v>
      </c>
      <c r="E108" s="598">
        <f t="shared" si="4"/>
        <v>85</v>
      </c>
      <c r="F108" s="616" t="s">
        <v>1233</v>
      </c>
      <c r="G108" s="616" t="s">
        <v>1234</v>
      </c>
      <c r="H108" s="618" t="s">
        <v>1232</v>
      </c>
      <c r="I108" s="618" t="s">
        <v>172</v>
      </c>
      <c r="J108" s="618" t="s">
        <v>1232</v>
      </c>
      <c r="K108" s="618" t="s">
        <v>1232</v>
      </c>
      <c r="L108" s="618" t="s">
        <v>1514</v>
      </c>
      <c r="M108" s="619" t="s">
        <v>959</v>
      </c>
      <c r="N108" s="620"/>
      <c r="O108" s="620"/>
      <c r="P108" s="663" t="s">
        <v>1044</v>
      </c>
      <c r="Q108" s="621"/>
      <c r="R108" s="598" t="s">
        <v>55</v>
      </c>
      <c r="S108" s="598" t="s">
        <v>178</v>
      </c>
      <c r="T108" s="598"/>
      <c r="U108" s="598" t="s">
        <v>1015</v>
      </c>
      <c r="V108" s="663" t="s">
        <v>286</v>
      </c>
      <c r="W108" s="779" t="s">
        <v>1660</v>
      </c>
      <c r="X108" s="598" t="s">
        <v>950</v>
      </c>
      <c r="Y108" s="624">
        <v>29090</v>
      </c>
      <c r="Z108" s="625">
        <f t="shared" ca="1" si="3"/>
        <v>46</v>
      </c>
      <c r="AA108" s="616" t="s">
        <v>1661</v>
      </c>
      <c r="AB108" s="598" t="s">
        <v>1662</v>
      </c>
      <c r="AC108" s="598" t="s">
        <v>966</v>
      </c>
      <c r="AD108" s="598" t="s">
        <v>953</v>
      </c>
      <c r="AE108" s="616" t="s">
        <v>729</v>
      </c>
      <c r="AF108" s="616" t="s">
        <v>1239</v>
      </c>
      <c r="AG108" s="616" t="s">
        <v>1258</v>
      </c>
      <c r="AH108" s="598"/>
      <c r="AI108" s="598"/>
      <c r="AJ108" s="598"/>
      <c r="AK108" s="598"/>
      <c r="AL108" s="626"/>
      <c r="AM108" s="626"/>
    </row>
    <row r="109" spans="1:39" ht="18" customHeight="1">
      <c r="C109" s="598">
        <v>88</v>
      </c>
      <c r="D109" s="598" t="s">
        <v>1260</v>
      </c>
      <c r="E109" s="598">
        <f t="shared" si="4"/>
        <v>86</v>
      </c>
      <c r="F109" s="616" t="s">
        <v>1233</v>
      </c>
      <c r="G109" s="616" t="s">
        <v>1234</v>
      </c>
      <c r="H109" s="618" t="s">
        <v>1232</v>
      </c>
      <c r="I109" s="618" t="s">
        <v>172</v>
      </c>
      <c r="J109" s="618" t="s">
        <v>1232</v>
      </c>
      <c r="K109" s="618" t="s">
        <v>1232</v>
      </c>
      <c r="L109" s="618" t="s">
        <v>1514</v>
      </c>
      <c r="M109" s="619" t="s">
        <v>959</v>
      </c>
      <c r="N109" s="620"/>
      <c r="O109" s="620"/>
      <c r="P109" s="663" t="s">
        <v>1044</v>
      </c>
      <c r="Q109" s="621"/>
      <c r="R109" s="598" t="s">
        <v>55</v>
      </c>
      <c r="S109" s="598" t="s">
        <v>178</v>
      </c>
      <c r="T109" s="598"/>
      <c r="U109" s="598" t="s">
        <v>1015</v>
      </c>
      <c r="V109" s="663" t="s">
        <v>297</v>
      </c>
      <c r="W109" s="779" t="s">
        <v>1261</v>
      </c>
      <c r="X109" s="598" t="s">
        <v>950</v>
      </c>
      <c r="Y109" s="624">
        <v>24204</v>
      </c>
      <c r="Z109" s="625">
        <f t="shared" ca="1" si="3"/>
        <v>59</v>
      </c>
      <c r="AA109" s="616" t="s">
        <v>1262</v>
      </c>
      <c r="AB109" s="598" t="s">
        <v>1263</v>
      </c>
      <c r="AC109" s="598" t="s">
        <v>966</v>
      </c>
      <c r="AD109" s="598" t="s">
        <v>953</v>
      </c>
      <c r="AE109" s="616" t="s">
        <v>729</v>
      </c>
      <c r="AF109" s="616" t="s">
        <v>1239</v>
      </c>
      <c r="AG109" s="616" t="s">
        <v>1240</v>
      </c>
      <c r="AH109" s="598"/>
      <c r="AI109" s="598"/>
      <c r="AJ109" s="598"/>
      <c r="AK109" s="598"/>
      <c r="AL109" s="626"/>
      <c r="AM109" s="626"/>
    </row>
    <row r="110" spans="1:39" ht="18" customHeight="1">
      <c r="C110" s="598">
        <v>89</v>
      </c>
      <c r="D110" s="598" t="s">
        <v>1360</v>
      </c>
      <c r="E110" s="598">
        <f t="shared" si="4"/>
        <v>87</v>
      </c>
      <c r="F110" s="616" t="s">
        <v>1233</v>
      </c>
      <c r="G110" s="616" t="s">
        <v>1234</v>
      </c>
      <c r="H110" s="618" t="s">
        <v>1232</v>
      </c>
      <c r="I110" s="618" t="s">
        <v>172</v>
      </c>
      <c r="J110" s="618" t="s">
        <v>1232</v>
      </c>
      <c r="K110" s="618" t="s">
        <v>1232</v>
      </c>
      <c r="L110" s="618" t="s">
        <v>1514</v>
      </c>
      <c r="M110" s="619" t="s">
        <v>959</v>
      </c>
      <c r="N110" s="620"/>
      <c r="O110" s="620"/>
      <c r="P110" s="673" t="s">
        <v>1044</v>
      </c>
      <c r="Q110" s="621"/>
      <c r="R110" s="598" t="s">
        <v>55</v>
      </c>
      <c r="S110" s="598" t="s">
        <v>178</v>
      </c>
      <c r="T110" s="598"/>
      <c r="U110" s="598" t="s">
        <v>1015</v>
      </c>
      <c r="V110" s="673" t="s">
        <v>305</v>
      </c>
      <c r="W110" s="779" t="s">
        <v>1362</v>
      </c>
      <c r="X110" s="598" t="s">
        <v>950</v>
      </c>
      <c r="Y110" s="624">
        <v>25307</v>
      </c>
      <c r="Z110" s="625">
        <f t="shared" ca="1" si="3"/>
        <v>56</v>
      </c>
      <c r="AA110" s="616" t="s">
        <v>1363</v>
      </c>
      <c r="AB110" s="598" t="s">
        <v>1364</v>
      </c>
      <c r="AC110" s="598" t="s">
        <v>966</v>
      </c>
      <c r="AD110" s="598" t="s">
        <v>953</v>
      </c>
      <c r="AE110" s="616" t="s">
        <v>729</v>
      </c>
      <c r="AF110" s="616" t="s">
        <v>1239</v>
      </c>
      <c r="AG110" s="616" t="s">
        <v>1240</v>
      </c>
      <c r="AH110" s="598"/>
      <c r="AI110" s="598"/>
      <c r="AJ110" s="598"/>
      <c r="AK110" s="598"/>
      <c r="AL110" s="626"/>
      <c r="AM110" s="626"/>
    </row>
    <row r="111" spans="1:39" ht="18" customHeight="1">
      <c r="C111" s="598">
        <v>90</v>
      </c>
      <c r="D111" s="598" t="s">
        <v>1276</v>
      </c>
      <c r="E111" s="598">
        <f t="shared" si="4"/>
        <v>88</v>
      </c>
      <c r="F111" s="616" t="s">
        <v>1233</v>
      </c>
      <c r="G111" s="616" t="s">
        <v>1234</v>
      </c>
      <c r="H111" s="618" t="s">
        <v>1232</v>
      </c>
      <c r="I111" s="618" t="s">
        <v>172</v>
      </c>
      <c r="J111" s="618" t="s">
        <v>1232</v>
      </c>
      <c r="K111" s="618" t="s">
        <v>1276</v>
      </c>
      <c r="L111" s="618" t="s">
        <v>1278</v>
      </c>
      <c r="M111" s="619"/>
      <c r="N111" s="620"/>
      <c r="O111" s="620"/>
      <c r="P111" s="667" t="s">
        <v>1074</v>
      </c>
      <c r="Q111" s="621"/>
      <c r="R111" s="598" t="s">
        <v>55</v>
      </c>
      <c r="S111" s="598" t="s">
        <v>55</v>
      </c>
      <c r="T111" s="598"/>
      <c r="U111" s="598" t="s">
        <v>1090</v>
      </c>
      <c r="V111" s="667" t="s">
        <v>174</v>
      </c>
      <c r="W111" s="779" t="s">
        <v>1279</v>
      </c>
      <c r="X111" s="598" t="s">
        <v>950</v>
      </c>
      <c r="Y111" s="624">
        <v>18745</v>
      </c>
      <c r="Z111" s="625">
        <f t="shared" ca="1" si="3"/>
        <v>74</v>
      </c>
      <c r="AA111" s="616" t="s">
        <v>1280</v>
      </c>
      <c r="AB111" s="598" t="s">
        <v>1281</v>
      </c>
      <c r="AC111" s="598" t="s">
        <v>966</v>
      </c>
      <c r="AD111" s="598" t="s">
        <v>953</v>
      </c>
      <c r="AE111" s="616" t="s">
        <v>729</v>
      </c>
      <c r="AF111" s="616" t="s">
        <v>1239</v>
      </c>
      <c r="AG111" s="616" t="s">
        <v>1240</v>
      </c>
      <c r="AH111" s="598"/>
      <c r="AI111" s="598"/>
      <c r="AJ111" s="598"/>
      <c r="AK111" s="598"/>
      <c r="AL111" s="626"/>
      <c r="AM111" s="626"/>
    </row>
    <row r="112" spans="1:39" ht="18" customHeight="1">
      <c r="C112" s="598">
        <v>91</v>
      </c>
      <c r="D112" s="598" t="s">
        <v>1278</v>
      </c>
      <c r="E112" s="598">
        <f t="shared" si="4"/>
        <v>89</v>
      </c>
      <c r="F112" s="616" t="s">
        <v>1233</v>
      </c>
      <c r="G112" s="616" t="s">
        <v>1234</v>
      </c>
      <c r="H112" s="618" t="s">
        <v>1232</v>
      </c>
      <c r="I112" s="618" t="s">
        <v>172</v>
      </c>
      <c r="J112" s="618" t="s">
        <v>1232</v>
      </c>
      <c r="K112" s="618" t="s">
        <v>1276</v>
      </c>
      <c r="L112" s="618" t="s">
        <v>1278</v>
      </c>
      <c r="M112" s="619"/>
      <c r="N112" s="620"/>
      <c r="O112" s="620"/>
      <c r="P112" s="663" t="s">
        <v>1074</v>
      </c>
      <c r="Q112" s="621"/>
      <c r="R112" s="598" t="s">
        <v>69</v>
      </c>
      <c r="S112" s="598" t="s">
        <v>69</v>
      </c>
      <c r="T112" s="598"/>
      <c r="U112" s="598" t="s">
        <v>1090</v>
      </c>
      <c r="V112" s="663" t="s">
        <v>193</v>
      </c>
      <c r="W112" s="779" t="s">
        <v>1282</v>
      </c>
      <c r="X112" s="598" t="s">
        <v>950</v>
      </c>
      <c r="Y112" s="624">
        <v>18004</v>
      </c>
      <c r="Z112" s="625">
        <f t="shared" ca="1" si="3"/>
        <v>76</v>
      </c>
      <c r="AA112" s="616" t="s">
        <v>1283</v>
      </c>
      <c r="AB112" s="598" t="s">
        <v>1284</v>
      </c>
      <c r="AC112" s="598" t="s">
        <v>966</v>
      </c>
      <c r="AD112" s="598" t="s">
        <v>953</v>
      </c>
      <c r="AE112" s="616" t="s">
        <v>729</v>
      </c>
      <c r="AF112" s="616" t="s">
        <v>1239</v>
      </c>
      <c r="AG112" s="616" t="s">
        <v>1258</v>
      </c>
      <c r="AH112" s="598"/>
      <c r="AI112" s="598"/>
      <c r="AJ112" s="598"/>
      <c r="AK112" s="598"/>
      <c r="AL112" s="626"/>
      <c r="AM112" s="626"/>
    </row>
    <row r="113" spans="3:39" ht="18" customHeight="1">
      <c r="C113" s="598">
        <v>92</v>
      </c>
      <c r="D113" s="598" t="s">
        <v>1291</v>
      </c>
      <c r="E113" s="598">
        <f t="shared" si="4"/>
        <v>90</v>
      </c>
      <c r="F113" s="616" t="s">
        <v>1233</v>
      </c>
      <c r="G113" s="616" t="s">
        <v>1234</v>
      </c>
      <c r="H113" s="618" t="s">
        <v>1232</v>
      </c>
      <c r="I113" s="618" t="s">
        <v>172</v>
      </c>
      <c r="J113" s="618" t="s">
        <v>1232</v>
      </c>
      <c r="K113" s="618" t="s">
        <v>1276</v>
      </c>
      <c r="L113" s="618" t="s">
        <v>1278</v>
      </c>
      <c r="M113" s="619"/>
      <c r="N113" s="620"/>
      <c r="O113" s="620"/>
      <c r="P113" s="663" t="s">
        <v>1074</v>
      </c>
      <c r="Q113" s="621"/>
      <c r="R113" s="598"/>
      <c r="S113" s="598"/>
      <c r="T113" s="598"/>
      <c r="U113" s="598" t="s">
        <v>1090</v>
      </c>
      <c r="V113" s="663" t="s">
        <v>212</v>
      </c>
      <c r="W113" s="779" t="s">
        <v>1292</v>
      </c>
      <c r="X113" s="598" t="s">
        <v>950</v>
      </c>
      <c r="Y113" s="624">
        <v>19128</v>
      </c>
      <c r="Z113" s="625">
        <f t="shared" ca="1" si="3"/>
        <v>73</v>
      </c>
      <c r="AA113" s="616" t="s">
        <v>1293</v>
      </c>
      <c r="AB113" s="598" t="s">
        <v>1294</v>
      </c>
      <c r="AC113" s="598" t="s">
        <v>966</v>
      </c>
      <c r="AD113" s="598" t="s">
        <v>953</v>
      </c>
      <c r="AE113" s="616" t="s">
        <v>729</v>
      </c>
      <c r="AF113" s="616" t="s">
        <v>1239</v>
      </c>
      <c r="AG113" s="616" t="s">
        <v>1258</v>
      </c>
      <c r="AH113" s="598"/>
      <c r="AI113" s="598"/>
      <c r="AJ113" s="598"/>
      <c r="AK113" s="598"/>
      <c r="AL113" s="626"/>
      <c r="AM113" s="626"/>
    </row>
    <row r="114" spans="3:39" ht="18" customHeight="1">
      <c r="C114" s="598">
        <v>93</v>
      </c>
      <c r="D114" s="598" t="s">
        <v>1299</v>
      </c>
      <c r="E114" s="598">
        <f t="shared" si="4"/>
        <v>91</v>
      </c>
      <c r="F114" s="616" t="s">
        <v>1233</v>
      </c>
      <c r="G114" s="616" t="s">
        <v>1234</v>
      </c>
      <c r="H114" s="618" t="s">
        <v>1232</v>
      </c>
      <c r="I114" s="618" t="s">
        <v>172</v>
      </c>
      <c r="J114" s="618" t="s">
        <v>1232</v>
      </c>
      <c r="K114" s="618" t="s">
        <v>1276</v>
      </c>
      <c r="L114" s="618" t="s">
        <v>1278</v>
      </c>
      <c r="M114" s="619"/>
      <c r="N114" s="620"/>
      <c r="O114" s="620"/>
      <c r="P114" s="663" t="s">
        <v>1074</v>
      </c>
      <c r="Q114" s="621"/>
      <c r="R114" s="598"/>
      <c r="S114" s="598"/>
      <c r="T114" s="598"/>
      <c r="U114" s="598" t="s">
        <v>1090</v>
      </c>
      <c r="V114" s="663" t="s">
        <v>234</v>
      </c>
      <c r="W114" s="779" t="s">
        <v>1300</v>
      </c>
      <c r="X114" s="598" t="s">
        <v>950</v>
      </c>
      <c r="Y114" s="624">
        <v>18579</v>
      </c>
      <c r="Z114" s="625">
        <f t="shared" ca="1" si="3"/>
        <v>75</v>
      </c>
      <c r="AA114" s="616" t="s">
        <v>1301</v>
      </c>
      <c r="AB114" s="598" t="s">
        <v>1302</v>
      </c>
      <c r="AC114" s="598" t="s">
        <v>966</v>
      </c>
      <c r="AD114" s="598" t="s">
        <v>953</v>
      </c>
      <c r="AE114" s="616" t="s">
        <v>729</v>
      </c>
      <c r="AF114" s="616" t="s">
        <v>1239</v>
      </c>
      <c r="AG114" s="616" t="s">
        <v>1258</v>
      </c>
      <c r="AH114" s="598"/>
      <c r="AI114" s="598"/>
      <c r="AJ114" s="598"/>
      <c r="AK114" s="598"/>
      <c r="AL114" s="626"/>
      <c r="AM114" s="626"/>
    </row>
    <row r="115" spans="3:39" ht="18" customHeight="1">
      <c r="C115" s="598">
        <v>94</v>
      </c>
      <c r="D115" s="598" t="s">
        <v>4496</v>
      </c>
      <c r="E115" s="598">
        <f t="shared" si="4"/>
        <v>92</v>
      </c>
      <c r="F115" s="616" t="s">
        <v>1233</v>
      </c>
      <c r="G115" s="616" t="s">
        <v>1234</v>
      </c>
      <c r="H115" s="618" t="s">
        <v>1232</v>
      </c>
      <c r="I115" s="618" t="s">
        <v>172</v>
      </c>
      <c r="J115" s="618" t="s">
        <v>1232</v>
      </c>
      <c r="K115" s="618" t="s">
        <v>1276</v>
      </c>
      <c r="L115" s="618" t="s">
        <v>1278</v>
      </c>
      <c r="M115" s="619"/>
      <c r="N115" s="620"/>
      <c r="O115" s="620"/>
      <c r="P115" s="663" t="s">
        <v>1074</v>
      </c>
      <c r="Q115" s="621"/>
      <c r="R115" s="598"/>
      <c r="S115" s="598"/>
      <c r="T115" s="598"/>
      <c r="U115" s="598" t="s">
        <v>1015</v>
      </c>
      <c r="V115" s="663" t="s">
        <v>255</v>
      </c>
      <c r="W115" s="779" t="s">
        <v>4497</v>
      </c>
      <c r="X115" s="598" t="s">
        <v>950</v>
      </c>
      <c r="Y115" s="624">
        <v>20739</v>
      </c>
      <c r="Z115" s="625">
        <f t="shared" ca="1" si="3"/>
        <v>69</v>
      </c>
      <c r="AA115" s="616" t="s">
        <v>4498</v>
      </c>
      <c r="AB115" s="598" t="s">
        <v>4499</v>
      </c>
      <c r="AC115" s="598" t="s">
        <v>966</v>
      </c>
      <c r="AD115" s="598" t="s">
        <v>953</v>
      </c>
      <c r="AE115" s="616" t="s">
        <v>729</v>
      </c>
      <c r="AF115" s="616" t="s">
        <v>1239</v>
      </c>
      <c r="AG115" s="616" t="s">
        <v>1258</v>
      </c>
      <c r="AH115" s="598"/>
      <c r="AI115" s="598"/>
      <c r="AJ115" s="598"/>
      <c r="AK115" s="598"/>
      <c r="AL115" s="626"/>
      <c r="AM115" s="626"/>
    </row>
    <row r="116" spans="3:39" ht="18" customHeight="1">
      <c r="C116" s="598">
        <v>95</v>
      </c>
      <c r="D116" s="598" t="s">
        <v>1556</v>
      </c>
      <c r="E116" s="598">
        <f t="shared" si="4"/>
        <v>93</v>
      </c>
      <c r="F116" s="616" t="s">
        <v>4978</v>
      </c>
      <c r="G116" s="616" t="s">
        <v>1234</v>
      </c>
      <c r="H116" s="618" t="s">
        <v>1232</v>
      </c>
      <c r="I116" s="618" t="s">
        <v>172</v>
      </c>
      <c r="J116" s="618" t="s">
        <v>1232</v>
      </c>
      <c r="K116" s="618" t="s">
        <v>1276</v>
      </c>
      <c r="L116" s="618" t="s">
        <v>1278</v>
      </c>
      <c r="M116" s="619"/>
      <c r="N116" s="620"/>
      <c r="O116" s="620"/>
      <c r="P116" s="663" t="s">
        <v>1074</v>
      </c>
      <c r="Q116" s="621"/>
      <c r="R116" s="598"/>
      <c r="S116" s="598"/>
      <c r="T116" s="598"/>
      <c r="U116" s="598" t="s">
        <v>1090</v>
      </c>
      <c r="V116" s="663" t="s">
        <v>1557</v>
      </c>
      <c r="W116" s="779" t="s">
        <v>1558</v>
      </c>
      <c r="X116" s="598" t="s">
        <v>950</v>
      </c>
      <c r="Y116" s="624">
        <v>17513</v>
      </c>
      <c r="Z116" s="625">
        <f t="shared" ca="1" si="3"/>
        <v>78</v>
      </c>
      <c r="AA116" s="616" t="s">
        <v>1559</v>
      </c>
      <c r="AB116" s="598" t="s">
        <v>1560</v>
      </c>
      <c r="AC116" s="598" t="s">
        <v>996</v>
      </c>
      <c r="AD116" s="598" t="s">
        <v>1018</v>
      </c>
      <c r="AE116" s="616" t="s">
        <v>729</v>
      </c>
      <c r="AF116" s="616" t="s">
        <v>729</v>
      </c>
      <c r="AG116" s="616" t="s">
        <v>1561</v>
      </c>
      <c r="AH116" s="598"/>
      <c r="AI116" s="598"/>
      <c r="AJ116" s="647" t="s">
        <v>1513</v>
      </c>
      <c r="AK116" s="598" t="s">
        <v>4653</v>
      </c>
      <c r="AL116" s="626"/>
      <c r="AM116" s="626"/>
    </row>
    <row r="117" spans="3:39" ht="18" customHeight="1">
      <c r="C117" s="598">
        <v>96</v>
      </c>
      <c r="D117" s="598" t="s">
        <v>1567</v>
      </c>
      <c r="E117" s="598">
        <f t="shared" si="4"/>
        <v>94</v>
      </c>
      <c r="F117" s="616" t="s">
        <v>4978</v>
      </c>
      <c r="G117" s="616" t="s">
        <v>1234</v>
      </c>
      <c r="H117" s="618" t="s">
        <v>1232</v>
      </c>
      <c r="I117" s="618" t="s">
        <v>172</v>
      </c>
      <c r="J117" s="618" t="s">
        <v>1232</v>
      </c>
      <c r="K117" s="618" t="s">
        <v>1276</v>
      </c>
      <c r="L117" s="618" t="s">
        <v>1278</v>
      </c>
      <c r="M117" s="619"/>
      <c r="N117" s="620"/>
      <c r="O117" s="620"/>
      <c r="P117" s="673" t="s">
        <v>1074</v>
      </c>
      <c r="Q117" s="621"/>
      <c r="R117" s="598"/>
      <c r="S117" s="598"/>
      <c r="T117" s="598"/>
      <c r="U117" s="598" t="s">
        <v>1015</v>
      </c>
      <c r="V117" s="673" t="s">
        <v>287</v>
      </c>
      <c r="W117" s="779" t="s">
        <v>1568</v>
      </c>
      <c r="X117" s="598" t="s">
        <v>950</v>
      </c>
      <c r="Y117" s="624">
        <v>21846</v>
      </c>
      <c r="Z117" s="625">
        <f t="shared" ca="1" si="3"/>
        <v>66</v>
      </c>
      <c r="AA117" s="616" t="s">
        <v>1569</v>
      </c>
      <c r="AB117" s="598" t="s">
        <v>1570</v>
      </c>
      <c r="AC117" s="598" t="s">
        <v>996</v>
      </c>
      <c r="AD117" s="598" t="s">
        <v>1018</v>
      </c>
      <c r="AE117" s="616" t="s">
        <v>729</v>
      </c>
      <c r="AF117" s="616" t="s">
        <v>729</v>
      </c>
      <c r="AG117" s="616" t="s">
        <v>1323</v>
      </c>
      <c r="AH117" s="598"/>
      <c r="AI117" s="598"/>
      <c r="AJ117" s="647" t="s">
        <v>1513</v>
      </c>
      <c r="AK117" s="598"/>
      <c r="AL117" s="626"/>
      <c r="AM117" s="626"/>
    </row>
    <row r="118" spans="3:39" ht="18" customHeight="1">
      <c r="C118" s="598">
        <v>97</v>
      </c>
      <c r="D118" s="598" t="s">
        <v>1478</v>
      </c>
      <c r="E118" s="598">
        <f t="shared" si="4"/>
        <v>95</v>
      </c>
      <c r="F118" s="616" t="s">
        <v>1233</v>
      </c>
      <c r="G118" s="616" t="s">
        <v>1234</v>
      </c>
      <c r="H118" s="618" t="s">
        <v>1232</v>
      </c>
      <c r="I118" s="618" t="s">
        <v>172</v>
      </c>
      <c r="J118" s="618" t="s">
        <v>1232</v>
      </c>
      <c r="K118" s="618" t="s">
        <v>1478</v>
      </c>
      <c r="L118" s="618" t="s">
        <v>1507</v>
      </c>
      <c r="M118" s="619"/>
      <c r="N118" s="620"/>
      <c r="O118" s="620"/>
      <c r="P118" s="667" t="s">
        <v>1115</v>
      </c>
      <c r="Q118" s="621"/>
      <c r="R118" s="598" t="s">
        <v>55</v>
      </c>
      <c r="S118" s="598" t="s">
        <v>55</v>
      </c>
      <c r="T118" s="598"/>
      <c r="U118" s="598" t="s">
        <v>962</v>
      </c>
      <c r="V118" s="667" t="s">
        <v>175</v>
      </c>
      <c r="W118" s="779" t="s">
        <v>1481</v>
      </c>
      <c r="X118" s="598" t="s">
        <v>963</v>
      </c>
      <c r="Y118" s="624">
        <v>27259</v>
      </c>
      <c r="Z118" s="625">
        <f t="shared" ca="1" si="3"/>
        <v>51</v>
      </c>
      <c r="AA118" s="616" t="s">
        <v>1482</v>
      </c>
      <c r="AB118" s="598" t="s">
        <v>1483</v>
      </c>
      <c r="AC118" s="598" t="s">
        <v>966</v>
      </c>
      <c r="AD118" s="598" t="s">
        <v>953</v>
      </c>
      <c r="AE118" s="616" t="s">
        <v>729</v>
      </c>
      <c r="AF118" s="616" t="s">
        <v>1239</v>
      </c>
      <c r="AG118" s="616" t="s">
        <v>1258</v>
      </c>
      <c r="AH118" s="598"/>
      <c r="AI118" s="598"/>
      <c r="AJ118" s="598"/>
      <c r="AK118" s="598"/>
      <c r="AL118" s="626"/>
      <c r="AM118" s="626"/>
    </row>
    <row r="119" spans="3:39" ht="18" customHeight="1">
      <c r="C119" s="598">
        <v>98</v>
      </c>
      <c r="D119" s="598" t="s">
        <v>1507</v>
      </c>
      <c r="E119" s="598">
        <f t="shared" si="4"/>
        <v>96</v>
      </c>
      <c r="F119" s="616" t="s">
        <v>1233</v>
      </c>
      <c r="G119" s="616" t="s">
        <v>1234</v>
      </c>
      <c r="H119" s="618" t="s">
        <v>1232</v>
      </c>
      <c r="I119" s="618" t="s">
        <v>172</v>
      </c>
      <c r="J119" s="618" t="s">
        <v>1232</v>
      </c>
      <c r="K119" s="618" t="s">
        <v>1478</v>
      </c>
      <c r="L119" s="618" t="s">
        <v>1507</v>
      </c>
      <c r="M119" s="619"/>
      <c r="N119" s="620"/>
      <c r="O119" s="620"/>
      <c r="P119" s="663" t="s">
        <v>1115</v>
      </c>
      <c r="Q119" s="621"/>
      <c r="R119" s="598" t="s">
        <v>69</v>
      </c>
      <c r="S119" s="598" t="s">
        <v>69</v>
      </c>
      <c r="T119" s="598"/>
      <c r="U119" s="598" t="s">
        <v>992</v>
      </c>
      <c r="V119" s="663" t="s">
        <v>194</v>
      </c>
      <c r="W119" s="779" t="s">
        <v>1640</v>
      </c>
      <c r="X119" s="598" t="s">
        <v>963</v>
      </c>
      <c r="Y119" s="624">
        <v>34694</v>
      </c>
      <c r="Z119" s="625">
        <f t="shared" ca="1" si="3"/>
        <v>31</v>
      </c>
      <c r="AA119" s="616" t="s">
        <v>1641</v>
      </c>
      <c r="AB119" s="598" t="s">
        <v>1642</v>
      </c>
      <c r="AC119" s="598" t="s">
        <v>1006</v>
      </c>
      <c r="AD119" s="598" t="s">
        <v>953</v>
      </c>
      <c r="AE119" s="616" t="s">
        <v>1041</v>
      </c>
      <c r="AF119" s="616" t="s">
        <v>1239</v>
      </c>
      <c r="AG119" s="616" t="s">
        <v>1258</v>
      </c>
      <c r="AH119" s="598"/>
      <c r="AI119" s="598"/>
      <c r="AJ119" s="598"/>
      <c r="AK119" s="598"/>
      <c r="AL119" s="626"/>
      <c r="AM119" s="626"/>
    </row>
    <row r="120" spans="3:39" ht="18" customHeight="1">
      <c r="C120" s="598">
        <v>99</v>
      </c>
      <c r="D120" s="598" t="s">
        <v>1519</v>
      </c>
      <c r="E120" s="598">
        <f t="shared" si="4"/>
        <v>97</v>
      </c>
      <c r="F120" s="616" t="s">
        <v>1233</v>
      </c>
      <c r="G120" s="616" t="s">
        <v>1234</v>
      </c>
      <c r="H120" s="618" t="s">
        <v>1232</v>
      </c>
      <c r="I120" s="618" t="s">
        <v>172</v>
      </c>
      <c r="J120" s="618" t="s">
        <v>1232</v>
      </c>
      <c r="K120" s="618" t="s">
        <v>1478</v>
      </c>
      <c r="L120" s="618" t="s">
        <v>1507</v>
      </c>
      <c r="M120" s="619"/>
      <c r="N120" s="620"/>
      <c r="O120" s="620"/>
      <c r="P120" s="663" t="s">
        <v>1115</v>
      </c>
      <c r="Q120" s="621"/>
      <c r="R120" s="598"/>
      <c r="S120" s="598"/>
      <c r="T120" s="598"/>
      <c r="U120" s="598" t="s">
        <v>1090</v>
      </c>
      <c r="V120" s="663" t="s">
        <v>213</v>
      </c>
      <c r="W120" s="779" t="s">
        <v>1520</v>
      </c>
      <c r="X120" s="598" t="s">
        <v>963</v>
      </c>
      <c r="Y120" s="624">
        <v>19028</v>
      </c>
      <c r="Z120" s="625">
        <f t="shared" ca="1" si="3"/>
        <v>73</v>
      </c>
      <c r="AA120" s="616" t="s">
        <v>1521</v>
      </c>
      <c r="AB120" s="598" t="s">
        <v>1522</v>
      </c>
      <c r="AC120" s="598" t="s">
        <v>966</v>
      </c>
      <c r="AD120" s="598" t="s">
        <v>953</v>
      </c>
      <c r="AE120" s="616" t="s">
        <v>729</v>
      </c>
      <c r="AF120" s="616" t="s">
        <v>1239</v>
      </c>
      <c r="AG120" s="616" t="s">
        <v>1240</v>
      </c>
      <c r="AH120" s="598"/>
      <c r="AI120" s="598"/>
      <c r="AJ120" s="598"/>
      <c r="AK120" s="598"/>
      <c r="AL120" s="626"/>
      <c r="AM120" s="626"/>
    </row>
    <row r="121" spans="3:39" ht="18" customHeight="1">
      <c r="C121" s="598">
        <v>100</v>
      </c>
      <c r="D121" s="598" t="s">
        <v>1496</v>
      </c>
      <c r="E121" s="598">
        <f t="shared" si="4"/>
        <v>98</v>
      </c>
      <c r="F121" s="616" t="s">
        <v>1233</v>
      </c>
      <c r="G121" s="616" t="s">
        <v>1234</v>
      </c>
      <c r="H121" s="618" t="s">
        <v>1232</v>
      </c>
      <c r="I121" s="618" t="s">
        <v>172</v>
      </c>
      <c r="J121" s="618" t="s">
        <v>1232</v>
      </c>
      <c r="K121" s="618" t="s">
        <v>1478</v>
      </c>
      <c r="L121" s="618" t="s">
        <v>1507</v>
      </c>
      <c r="M121" s="619"/>
      <c r="N121" s="620"/>
      <c r="O121" s="620"/>
      <c r="P121" s="663" t="s">
        <v>1115</v>
      </c>
      <c r="Q121" s="621"/>
      <c r="R121" s="598"/>
      <c r="S121" s="598"/>
      <c r="T121" s="598"/>
      <c r="U121" s="598" t="s">
        <v>962</v>
      </c>
      <c r="V121" s="663" t="s">
        <v>235</v>
      </c>
      <c r="W121" s="779" t="s">
        <v>1497</v>
      </c>
      <c r="X121" s="598" t="s">
        <v>963</v>
      </c>
      <c r="Y121" s="624">
        <v>28966</v>
      </c>
      <c r="Z121" s="625">
        <f t="shared" ca="1" si="3"/>
        <v>46</v>
      </c>
      <c r="AA121" s="616" t="s">
        <v>1498</v>
      </c>
      <c r="AB121" s="598" t="s">
        <v>1499</v>
      </c>
      <c r="AC121" s="598" t="s">
        <v>996</v>
      </c>
      <c r="AD121" s="598" t="s">
        <v>953</v>
      </c>
      <c r="AE121" s="616" t="s">
        <v>1041</v>
      </c>
      <c r="AF121" s="616" t="s">
        <v>1239</v>
      </c>
      <c r="AG121" s="616" t="s">
        <v>1258</v>
      </c>
      <c r="AH121" s="598"/>
      <c r="AI121" s="598"/>
      <c r="AJ121" s="598"/>
      <c r="AK121" s="598"/>
      <c r="AL121" s="626"/>
      <c r="AM121" s="626"/>
    </row>
    <row r="122" spans="3:39" ht="18" customHeight="1">
      <c r="C122" s="598">
        <v>101</v>
      </c>
      <c r="D122" s="598" t="s">
        <v>1484</v>
      </c>
      <c r="E122" s="598">
        <f t="shared" si="4"/>
        <v>99</v>
      </c>
      <c r="F122" s="616" t="s">
        <v>1233</v>
      </c>
      <c r="G122" s="616" t="s">
        <v>1234</v>
      </c>
      <c r="H122" s="618" t="s">
        <v>1232</v>
      </c>
      <c r="I122" s="618" t="s">
        <v>172</v>
      </c>
      <c r="J122" s="618" t="s">
        <v>1232</v>
      </c>
      <c r="K122" s="618" t="s">
        <v>1478</v>
      </c>
      <c r="L122" s="618" t="s">
        <v>1507</v>
      </c>
      <c r="M122" s="619"/>
      <c r="N122" s="620"/>
      <c r="O122" s="620"/>
      <c r="P122" s="663" t="s">
        <v>1115</v>
      </c>
      <c r="Q122" s="621"/>
      <c r="R122" s="598"/>
      <c r="S122" s="598"/>
      <c r="T122" s="598"/>
      <c r="U122" s="598" t="s">
        <v>962</v>
      </c>
      <c r="V122" s="663" t="s">
        <v>256</v>
      </c>
      <c r="W122" s="779" t="s">
        <v>1485</v>
      </c>
      <c r="X122" s="598" t="s">
        <v>963</v>
      </c>
      <c r="Y122" s="624">
        <v>30074</v>
      </c>
      <c r="Z122" s="625">
        <f t="shared" ca="1" si="3"/>
        <v>43</v>
      </c>
      <c r="AA122" s="616" t="s">
        <v>1486</v>
      </c>
      <c r="AB122" s="598" t="s">
        <v>1487</v>
      </c>
      <c r="AC122" s="598" t="s">
        <v>966</v>
      </c>
      <c r="AD122" s="598" t="s">
        <v>953</v>
      </c>
      <c r="AE122" s="616" t="s">
        <v>729</v>
      </c>
      <c r="AF122" s="616" t="s">
        <v>1239</v>
      </c>
      <c r="AG122" s="616" t="s">
        <v>1488</v>
      </c>
      <c r="AH122" s="598"/>
      <c r="AI122" s="598"/>
      <c r="AJ122" s="598" t="s">
        <v>1025</v>
      </c>
      <c r="AK122" s="598"/>
      <c r="AL122" s="626"/>
      <c r="AM122" s="626"/>
    </row>
    <row r="123" spans="3:39" ht="18" customHeight="1">
      <c r="C123" s="598">
        <v>102</v>
      </c>
      <c r="D123" s="598" t="s">
        <v>1489</v>
      </c>
      <c r="E123" s="598">
        <f t="shared" si="4"/>
        <v>100</v>
      </c>
      <c r="F123" s="616" t="s">
        <v>1233</v>
      </c>
      <c r="G123" s="616" t="s">
        <v>1234</v>
      </c>
      <c r="H123" s="618" t="s">
        <v>1232</v>
      </c>
      <c r="I123" s="618" t="s">
        <v>172</v>
      </c>
      <c r="J123" s="618" t="s">
        <v>1232</v>
      </c>
      <c r="K123" s="618" t="s">
        <v>1478</v>
      </c>
      <c r="L123" s="618" t="s">
        <v>1507</v>
      </c>
      <c r="M123" s="619"/>
      <c r="N123" s="620"/>
      <c r="O123" s="620"/>
      <c r="P123" s="673" t="s">
        <v>1115</v>
      </c>
      <c r="Q123" s="621"/>
      <c r="R123" s="598"/>
      <c r="S123" s="598"/>
      <c r="T123" s="598"/>
      <c r="U123" s="598" t="s">
        <v>962</v>
      </c>
      <c r="V123" s="673" t="s">
        <v>1490</v>
      </c>
      <c r="W123" s="779" t="s">
        <v>1491</v>
      </c>
      <c r="X123" s="598" t="s">
        <v>963</v>
      </c>
      <c r="Y123" s="624">
        <v>33779</v>
      </c>
      <c r="Z123" s="625">
        <f t="shared" ca="1" si="3"/>
        <v>33</v>
      </c>
      <c r="AA123" s="616" t="s">
        <v>1492</v>
      </c>
      <c r="AB123" s="598" t="s">
        <v>1493</v>
      </c>
      <c r="AC123" s="598" t="s">
        <v>996</v>
      </c>
      <c r="AD123" s="598" t="s">
        <v>997</v>
      </c>
      <c r="AE123" s="616" t="s">
        <v>1494</v>
      </c>
      <c r="AF123" s="616" t="s">
        <v>1494</v>
      </c>
      <c r="AG123" s="616" t="s">
        <v>1495</v>
      </c>
      <c r="AH123" s="598"/>
      <c r="AI123" s="598"/>
      <c r="AJ123" s="598" t="s">
        <v>1025</v>
      </c>
      <c r="AK123" s="598"/>
      <c r="AL123" s="626"/>
      <c r="AM123" s="626"/>
    </row>
    <row r="124" spans="3:39" ht="18" customHeight="1">
      <c r="C124" s="598">
        <v>103</v>
      </c>
      <c r="D124" s="598" t="s">
        <v>1303</v>
      </c>
      <c r="E124" s="598">
        <f t="shared" si="4"/>
        <v>101</v>
      </c>
      <c r="F124" s="616" t="s">
        <v>1233</v>
      </c>
      <c r="G124" s="616" t="s">
        <v>1234</v>
      </c>
      <c r="H124" s="618" t="s">
        <v>1232</v>
      </c>
      <c r="I124" s="618" t="s">
        <v>172</v>
      </c>
      <c r="J124" s="618" t="s">
        <v>1232</v>
      </c>
      <c r="K124" s="618" t="s">
        <v>1303</v>
      </c>
      <c r="L124" s="618" t="s">
        <v>2981</v>
      </c>
      <c r="M124" s="679" t="s">
        <v>2972</v>
      </c>
      <c r="N124" s="620"/>
      <c r="O124" s="620"/>
      <c r="P124" s="667" t="s">
        <v>1127</v>
      </c>
      <c r="Q124" s="621"/>
      <c r="R124" s="598" t="s">
        <v>55</v>
      </c>
      <c r="S124" s="598" t="s">
        <v>55</v>
      </c>
      <c r="T124" s="598"/>
      <c r="U124" s="598" t="s">
        <v>1015</v>
      </c>
      <c r="V124" s="667" t="s">
        <v>176</v>
      </c>
      <c r="W124" s="779" t="s">
        <v>1305</v>
      </c>
      <c r="X124" s="598" t="s">
        <v>950</v>
      </c>
      <c r="Y124" s="624">
        <v>21384</v>
      </c>
      <c r="Z124" s="625">
        <f t="shared" ca="1" si="3"/>
        <v>67</v>
      </c>
      <c r="AA124" s="616" t="s">
        <v>1306</v>
      </c>
      <c r="AB124" s="598" t="s">
        <v>1307</v>
      </c>
      <c r="AC124" s="598" t="s">
        <v>966</v>
      </c>
      <c r="AD124" s="598" t="s">
        <v>953</v>
      </c>
      <c r="AE124" s="616" t="s">
        <v>729</v>
      </c>
      <c r="AF124" s="616" t="s">
        <v>1239</v>
      </c>
      <c r="AG124" s="616" t="s">
        <v>1258</v>
      </c>
      <c r="AH124" s="598"/>
      <c r="AI124" s="598"/>
      <c r="AJ124" s="598"/>
      <c r="AK124" s="598"/>
      <c r="AL124" s="626"/>
      <c r="AM124" s="626"/>
    </row>
    <row r="125" spans="3:39" ht="18" customHeight="1">
      <c r="C125" s="598">
        <v>104</v>
      </c>
      <c r="D125" s="598" t="s">
        <v>2981</v>
      </c>
      <c r="E125" s="598">
        <f t="shared" si="4"/>
        <v>102</v>
      </c>
      <c r="F125" s="616" t="s">
        <v>1233</v>
      </c>
      <c r="G125" s="616" t="s">
        <v>1234</v>
      </c>
      <c r="H125" s="618" t="s">
        <v>1232</v>
      </c>
      <c r="I125" s="618" t="s">
        <v>172</v>
      </c>
      <c r="J125" s="618" t="s">
        <v>1232</v>
      </c>
      <c r="K125" s="618" t="s">
        <v>1303</v>
      </c>
      <c r="L125" s="618" t="s">
        <v>2981</v>
      </c>
      <c r="M125" s="679" t="s">
        <v>2972</v>
      </c>
      <c r="N125" s="620"/>
      <c r="O125" s="620"/>
      <c r="P125" s="663" t="s">
        <v>1127</v>
      </c>
      <c r="Q125" s="621"/>
      <c r="R125" s="598" t="s">
        <v>69</v>
      </c>
      <c r="S125" s="598" t="s">
        <v>562</v>
      </c>
      <c r="T125" s="598"/>
      <c r="U125" s="598" t="s">
        <v>1015</v>
      </c>
      <c r="V125" s="663" t="s">
        <v>195</v>
      </c>
      <c r="W125" s="779" t="s">
        <v>2982</v>
      </c>
      <c r="X125" s="598" t="s">
        <v>950</v>
      </c>
      <c r="Y125" s="624">
        <v>28476</v>
      </c>
      <c r="Z125" s="625">
        <f t="shared" ca="1" si="3"/>
        <v>48</v>
      </c>
      <c r="AA125" s="616" t="s">
        <v>2983</v>
      </c>
      <c r="AB125" s="598" t="s">
        <v>2984</v>
      </c>
      <c r="AC125" s="598" t="s">
        <v>966</v>
      </c>
      <c r="AD125" s="598" t="s">
        <v>953</v>
      </c>
      <c r="AE125" s="616" t="s">
        <v>1041</v>
      </c>
      <c r="AF125" s="616" t="s">
        <v>2985</v>
      </c>
      <c r="AG125" s="616" t="s">
        <v>2986</v>
      </c>
      <c r="AH125" s="598"/>
      <c r="AI125" s="598"/>
      <c r="AJ125" s="598"/>
      <c r="AK125" s="598"/>
      <c r="AL125" s="626"/>
      <c r="AM125" s="626"/>
    </row>
    <row r="126" spans="3:39" ht="18" customHeight="1">
      <c r="C126" s="598">
        <v>105</v>
      </c>
      <c r="D126" s="598" t="s">
        <v>1295</v>
      </c>
      <c r="E126" s="598">
        <f t="shared" si="4"/>
        <v>103</v>
      </c>
      <c r="F126" s="616" t="s">
        <v>1233</v>
      </c>
      <c r="G126" s="616" t="s">
        <v>1234</v>
      </c>
      <c r="H126" s="618" t="s">
        <v>1232</v>
      </c>
      <c r="I126" s="618" t="s">
        <v>172</v>
      </c>
      <c r="J126" s="618" t="s">
        <v>1232</v>
      </c>
      <c r="K126" s="618" t="s">
        <v>1303</v>
      </c>
      <c r="L126" s="618" t="s">
        <v>2981</v>
      </c>
      <c r="M126" s="679" t="s">
        <v>2972</v>
      </c>
      <c r="N126" s="620"/>
      <c r="O126" s="620"/>
      <c r="P126" s="663" t="s">
        <v>1127</v>
      </c>
      <c r="Q126" s="621"/>
      <c r="R126" s="598"/>
      <c r="S126" s="598"/>
      <c r="T126" s="598"/>
      <c r="U126" s="598" t="s">
        <v>1090</v>
      </c>
      <c r="V126" s="663" t="s">
        <v>214</v>
      </c>
      <c r="W126" s="779" t="s">
        <v>1296</v>
      </c>
      <c r="X126" s="598" t="s">
        <v>950</v>
      </c>
      <c r="Y126" s="624">
        <v>18355</v>
      </c>
      <c r="Z126" s="625">
        <f t="shared" ca="1" si="3"/>
        <v>75</v>
      </c>
      <c r="AA126" s="616" t="s">
        <v>1297</v>
      </c>
      <c r="AB126" s="598" t="s">
        <v>1298</v>
      </c>
      <c r="AC126" s="598" t="s">
        <v>966</v>
      </c>
      <c r="AD126" s="598" t="s">
        <v>953</v>
      </c>
      <c r="AE126" s="616" t="s">
        <v>729</v>
      </c>
      <c r="AF126" s="616" t="s">
        <v>1239</v>
      </c>
      <c r="AG126" s="616" t="s">
        <v>1258</v>
      </c>
      <c r="AH126" s="598"/>
      <c r="AI126" s="598"/>
      <c r="AJ126" s="598"/>
      <c r="AK126" s="598"/>
      <c r="AL126" s="626"/>
      <c r="AM126" s="626"/>
    </row>
    <row r="127" spans="3:39" ht="18" customHeight="1">
      <c r="C127" s="598">
        <v>106</v>
      </c>
      <c r="D127" s="598" t="s">
        <v>2972</v>
      </c>
      <c r="E127" s="598">
        <f t="shared" si="4"/>
        <v>104</v>
      </c>
      <c r="F127" s="616" t="s">
        <v>1233</v>
      </c>
      <c r="G127" s="616" t="s">
        <v>1234</v>
      </c>
      <c r="H127" s="618" t="s">
        <v>1232</v>
      </c>
      <c r="I127" s="618" t="s">
        <v>172</v>
      </c>
      <c r="J127" s="618" t="s">
        <v>1232</v>
      </c>
      <c r="K127" s="618" t="s">
        <v>1303</v>
      </c>
      <c r="L127" s="618" t="s">
        <v>2981</v>
      </c>
      <c r="M127" s="679" t="s">
        <v>2972</v>
      </c>
      <c r="N127" s="620"/>
      <c r="O127" s="620"/>
      <c r="P127" s="663" t="s">
        <v>1127</v>
      </c>
      <c r="Q127" s="621"/>
      <c r="R127" s="598" t="s">
        <v>69</v>
      </c>
      <c r="S127" s="598" t="s">
        <v>69</v>
      </c>
      <c r="T127" s="598"/>
      <c r="U127" s="598" t="s">
        <v>1015</v>
      </c>
      <c r="V127" s="663" t="s">
        <v>236</v>
      </c>
      <c r="W127" s="779" t="s">
        <v>2976</v>
      </c>
      <c r="X127" s="598" t="s">
        <v>950</v>
      </c>
      <c r="Y127" s="624">
        <v>28476</v>
      </c>
      <c r="Z127" s="625">
        <f t="shared" ca="1" si="3"/>
        <v>48</v>
      </c>
      <c r="AA127" s="616" t="s">
        <v>2977</v>
      </c>
      <c r="AB127" s="598" t="s">
        <v>2978</v>
      </c>
      <c r="AC127" s="598" t="s">
        <v>966</v>
      </c>
      <c r="AD127" s="598" t="s">
        <v>953</v>
      </c>
      <c r="AE127" s="616" t="s">
        <v>1041</v>
      </c>
      <c r="AF127" s="616" t="s">
        <v>2979</v>
      </c>
      <c r="AG127" s="616" t="s">
        <v>2980</v>
      </c>
      <c r="AH127" s="598"/>
      <c r="AI127" s="598"/>
      <c r="AJ127" s="598"/>
      <c r="AK127" s="598"/>
      <c r="AL127" s="626"/>
      <c r="AM127" s="626"/>
    </row>
    <row r="128" spans="3:39" ht="18" customHeight="1">
      <c r="C128" s="598">
        <v>107</v>
      </c>
      <c r="D128" s="598" t="s">
        <v>4500</v>
      </c>
      <c r="E128" s="598">
        <f t="shared" si="4"/>
        <v>105</v>
      </c>
      <c r="F128" s="616" t="s">
        <v>1233</v>
      </c>
      <c r="G128" s="616" t="s">
        <v>1234</v>
      </c>
      <c r="H128" s="618" t="s">
        <v>1232</v>
      </c>
      <c r="I128" s="618" t="s">
        <v>172</v>
      </c>
      <c r="J128" s="618" t="s">
        <v>1232</v>
      </c>
      <c r="K128" s="618" t="s">
        <v>1303</v>
      </c>
      <c r="L128" s="618" t="s">
        <v>2981</v>
      </c>
      <c r="M128" s="679" t="s">
        <v>2972</v>
      </c>
      <c r="N128" s="620"/>
      <c r="O128" s="620"/>
      <c r="P128" s="673" t="s">
        <v>1127</v>
      </c>
      <c r="Q128" s="621"/>
      <c r="R128" s="598"/>
      <c r="S128" s="598"/>
      <c r="T128" s="598"/>
      <c r="U128" s="598" t="s">
        <v>992</v>
      </c>
      <c r="V128" s="673" t="s">
        <v>4501</v>
      </c>
      <c r="W128" s="779" t="s">
        <v>4502</v>
      </c>
      <c r="X128" s="598" t="s">
        <v>950</v>
      </c>
      <c r="Y128" s="624">
        <v>32287</v>
      </c>
      <c r="Z128" s="625">
        <f t="shared" ca="1" si="3"/>
        <v>37</v>
      </c>
      <c r="AA128" s="616" t="s">
        <v>4503</v>
      </c>
      <c r="AB128" s="652"/>
      <c r="AC128" s="598" t="s">
        <v>996</v>
      </c>
      <c r="AD128" s="598" t="s">
        <v>1018</v>
      </c>
      <c r="AE128" s="616" t="s">
        <v>1041</v>
      </c>
      <c r="AF128" s="616" t="s">
        <v>1041</v>
      </c>
      <c r="AG128" s="616" t="s">
        <v>2672</v>
      </c>
      <c r="AH128" s="598"/>
      <c r="AI128" s="598" t="s">
        <v>4504</v>
      </c>
      <c r="AJ128" s="598"/>
      <c r="AK128" s="680" t="s">
        <v>4505</v>
      </c>
      <c r="AL128" s="626"/>
      <c r="AM128" s="626"/>
    </row>
    <row r="129" spans="3:39" ht="18" customHeight="1">
      <c r="C129" s="598">
        <v>108</v>
      </c>
      <c r="D129" s="598" t="s">
        <v>1232</v>
      </c>
      <c r="E129" s="598">
        <f t="shared" si="4"/>
        <v>105</v>
      </c>
      <c r="F129" s="616"/>
      <c r="G129" s="616" t="s">
        <v>1234</v>
      </c>
      <c r="H129" s="618" t="s">
        <v>1232</v>
      </c>
      <c r="I129" s="618" t="s">
        <v>172</v>
      </c>
      <c r="J129" s="618" t="s">
        <v>1232</v>
      </c>
      <c r="K129" s="618"/>
      <c r="L129" s="618"/>
      <c r="M129" s="619"/>
      <c r="N129" s="620"/>
      <c r="O129" s="620"/>
      <c r="P129" s="667" t="s">
        <v>1157</v>
      </c>
      <c r="Q129" s="621" t="s">
        <v>4507</v>
      </c>
      <c r="R129" s="598" t="s">
        <v>55</v>
      </c>
      <c r="S129" s="598" t="s">
        <v>173</v>
      </c>
      <c r="T129" s="598" t="s">
        <v>55</v>
      </c>
      <c r="U129" s="598"/>
      <c r="V129" s="667" t="s">
        <v>172</v>
      </c>
      <c r="W129" s="779" t="s">
        <v>1236</v>
      </c>
      <c r="X129" s="598" t="s">
        <v>950</v>
      </c>
      <c r="Y129" s="624">
        <v>18512</v>
      </c>
      <c r="Z129" s="625">
        <f t="shared" ca="1" si="3"/>
        <v>75</v>
      </c>
      <c r="AA129" s="616" t="s">
        <v>1237</v>
      </c>
      <c r="AB129" s="598"/>
      <c r="AC129" s="598" t="s">
        <v>966</v>
      </c>
      <c r="AD129" s="598" t="s">
        <v>953</v>
      </c>
      <c r="AE129" s="616" t="s">
        <v>729</v>
      </c>
      <c r="AF129" s="616" t="s">
        <v>1239</v>
      </c>
      <c r="AG129" s="616" t="s">
        <v>1240</v>
      </c>
      <c r="AH129" s="598" t="s">
        <v>955</v>
      </c>
      <c r="AI129" s="598"/>
      <c r="AJ129" s="598"/>
      <c r="AK129" s="598"/>
      <c r="AL129" s="626"/>
      <c r="AM129" s="626"/>
    </row>
    <row r="130" spans="3:39" ht="18" customHeight="1">
      <c r="C130" s="598">
        <v>109</v>
      </c>
      <c r="D130" s="598" t="s">
        <v>4508</v>
      </c>
      <c r="E130" s="598">
        <f t="shared" si="4"/>
        <v>106</v>
      </c>
      <c r="F130" s="616" t="s">
        <v>1351</v>
      </c>
      <c r="G130" s="616" t="s">
        <v>1234</v>
      </c>
      <c r="H130" s="618" t="s">
        <v>1232</v>
      </c>
      <c r="I130" s="618" t="s">
        <v>172</v>
      </c>
      <c r="J130" s="618" t="s">
        <v>1232</v>
      </c>
      <c r="K130" s="618" t="s">
        <v>1232</v>
      </c>
      <c r="L130" s="618" t="s">
        <v>959</v>
      </c>
      <c r="M130" s="619"/>
      <c r="N130" s="620"/>
      <c r="O130" s="620"/>
      <c r="P130" s="663" t="s">
        <v>1157</v>
      </c>
      <c r="Q130" s="621" t="s">
        <v>319</v>
      </c>
      <c r="R130" s="598"/>
      <c r="S130" s="598"/>
      <c r="T130" s="598"/>
      <c r="U130" s="598" t="s">
        <v>1015</v>
      </c>
      <c r="V130" s="663" t="s">
        <v>196</v>
      </c>
      <c r="W130" s="779" t="s">
        <v>4509</v>
      </c>
      <c r="X130" s="598" t="s">
        <v>950</v>
      </c>
      <c r="Y130" s="624">
        <v>22348</v>
      </c>
      <c r="Z130" s="625">
        <f t="shared" ca="1" si="3"/>
        <v>64</v>
      </c>
      <c r="AA130" s="616" t="s">
        <v>4510</v>
      </c>
      <c r="AB130" s="652"/>
      <c r="AC130" s="598" t="s">
        <v>996</v>
      </c>
      <c r="AD130" s="598" t="s">
        <v>1018</v>
      </c>
      <c r="AE130" s="616" t="s">
        <v>729</v>
      </c>
      <c r="AF130" s="616" t="s">
        <v>729</v>
      </c>
      <c r="AG130" s="616" t="s">
        <v>1252</v>
      </c>
      <c r="AH130" s="598"/>
      <c r="AI130" s="598"/>
      <c r="AJ130" s="598" t="s">
        <v>1107</v>
      </c>
      <c r="AK130" s="598"/>
      <c r="AL130" s="626"/>
      <c r="AM130" s="626"/>
    </row>
    <row r="131" spans="3:39" ht="18" customHeight="1">
      <c r="C131" s="598">
        <v>110</v>
      </c>
      <c r="D131" s="598" t="s">
        <v>4511</v>
      </c>
      <c r="E131" s="598">
        <f t="shared" si="4"/>
        <v>107</v>
      </c>
      <c r="F131" s="616" t="s">
        <v>1351</v>
      </c>
      <c r="G131" s="616" t="s">
        <v>1234</v>
      </c>
      <c r="H131" s="618" t="s">
        <v>1232</v>
      </c>
      <c r="I131" s="618" t="s">
        <v>172</v>
      </c>
      <c r="J131" s="618" t="s">
        <v>1232</v>
      </c>
      <c r="K131" s="618" t="s">
        <v>1232</v>
      </c>
      <c r="L131" s="618" t="s">
        <v>959</v>
      </c>
      <c r="M131" s="619"/>
      <c r="N131" s="620"/>
      <c r="O131" s="620"/>
      <c r="P131" s="663" t="s">
        <v>1157</v>
      </c>
      <c r="Q131" s="621" t="s">
        <v>319</v>
      </c>
      <c r="R131" s="598"/>
      <c r="S131" s="598"/>
      <c r="T131" s="598"/>
      <c r="U131" s="598" t="s">
        <v>1015</v>
      </c>
      <c r="V131" s="663" t="s">
        <v>4512</v>
      </c>
      <c r="W131" s="779" t="s">
        <v>4513</v>
      </c>
      <c r="X131" s="598" t="s">
        <v>950</v>
      </c>
      <c r="Y131" s="624">
        <v>25612</v>
      </c>
      <c r="Z131" s="625">
        <f t="shared" ca="1" si="3"/>
        <v>55</v>
      </c>
      <c r="AA131" s="616" t="s">
        <v>4514</v>
      </c>
      <c r="AB131" s="652"/>
      <c r="AC131" s="598" t="s">
        <v>996</v>
      </c>
      <c r="AD131" s="598" t="s">
        <v>1018</v>
      </c>
      <c r="AE131" s="616" t="s">
        <v>729</v>
      </c>
      <c r="AF131" s="616" t="s">
        <v>729</v>
      </c>
      <c r="AG131" s="616" t="s">
        <v>1252</v>
      </c>
      <c r="AH131" s="598"/>
      <c r="AI131" s="598"/>
      <c r="AJ131" s="598" t="s">
        <v>1107</v>
      </c>
      <c r="AK131" s="598"/>
      <c r="AL131" s="626"/>
      <c r="AM131" s="626"/>
    </row>
    <row r="132" spans="3:39" ht="18" customHeight="1">
      <c r="C132" s="598">
        <v>111</v>
      </c>
      <c r="D132" s="598" t="s">
        <v>2838</v>
      </c>
      <c r="E132" s="598">
        <f t="shared" si="4"/>
        <v>108</v>
      </c>
      <c r="F132" s="616" t="s">
        <v>1798</v>
      </c>
      <c r="G132" s="616" t="s">
        <v>1234</v>
      </c>
      <c r="H132" s="618" t="s">
        <v>1232</v>
      </c>
      <c r="I132" s="618" t="s">
        <v>172</v>
      </c>
      <c r="J132" s="618" t="s">
        <v>1232</v>
      </c>
      <c r="K132" s="618" t="s">
        <v>1232</v>
      </c>
      <c r="L132" s="618" t="s">
        <v>959</v>
      </c>
      <c r="M132" s="619"/>
      <c r="N132" s="620"/>
      <c r="O132" s="620"/>
      <c r="P132" s="673" t="s">
        <v>1157</v>
      </c>
      <c r="Q132" s="621" t="s">
        <v>319</v>
      </c>
      <c r="R132" s="598"/>
      <c r="S132" s="598"/>
      <c r="T132" s="598"/>
      <c r="U132" s="598" t="s">
        <v>1015</v>
      </c>
      <c r="V132" s="673" t="s">
        <v>215</v>
      </c>
      <c r="W132" s="779" t="s">
        <v>2839</v>
      </c>
      <c r="X132" s="598" t="s">
        <v>950</v>
      </c>
      <c r="Y132" s="624">
        <v>27696</v>
      </c>
      <c r="Z132" s="625">
        <f t="shared" ca="1" si="3"/>
        <v>50</v>
      </c>
      <c r="AA132" s="616" t="s">
        <v>2840</v>
      </c>
      <c r="AB132" s="598" t="s">
        <v>2841</v>
      </c>
      <c r="AC132" s="598" t="s">
        <v>996</v>
      </c>
      <c r="AD132" s="598" t="s">
        <v>997</v>
      </c>
      <c r="AE132" s="616" t="s">
        <v>1041</v>
      </c>
      <c r="AF132" s="616" t="s">
        <v>2069</v>
      </c>
      <c r="AG132" s="616" t="s">
        <v>2842</v>
      </c>
      <c r="AH132" s="598"/>
      <c r="AI132" s="598"/>
      <c r="AJ132" s="598" t="s">
        <v>1107</v>
      </c>
      <c r="AK132" s="598"/>
      <c r="AL132" s="626"/>
      <c r="AM132" s="626"/>
    </row>
    <row r="133" spans="3:39" ht="18" customHeight="1">
      <c r="C133" s="598">
        <v>112</v>
      </c>
      <c r="D133" s="598" t="s">
        <v>1506</v>
      </c>
      <c r="E133" s="598">
        <f t="shared" si="4"/>
        <v>108</v>
      </c>
      <c r="F133" s="616"/>
      <c r="G133" s="616" t="s">
        <v>4515</v>
      </c>
      <c r="H133" s="618" t="s">
        <v>1232</v>
      </c>
      <c r="I133" s="618" t="s">
        <v>271</v>
      </c>
      <c r="J133" s="618" t="s">
        <v>1506</v>
      </c>
      <c r="K133" s="618" t="s">
        <v>1506</v>
      </c>
      <c r="L133" s="618" t="s">
        <v>1454</v>
      </c>
      <c r="M133" s="619" t="s">
        <v>1464</v>
      </c>
      <c r="N133" s="620"/>
      <c r="O133" s="620"/>
      <c r="P133" s="667" t="s">
        <v>1044</v>
      </c>
      <c r="Q133" s="621"/>
      <c r="R133" s="598" t="s">
        <v>173</v>
      </c>
      <c r="S133" s="598" t="s">
        <v>514</v>
      </c>
      <c r="T133" s="598" t="s">
        <v>55</v>
      </c>
      <c r="U133" s="598"/>
      <c r="V133" s="667" t="s">
        <v>271</v>
      </c>
      <c r="W133" s="779" t="s">
        <v>1597</v>
      </c>
      <c r="X133" s="598" t="s">
        <v>950</v>
      </c>
      <c r="Y133" s="624">
        <v>29437</v>
      </c>
      <c r="Z133" s="625">
        <f t="shared" ca="1" si="3"/>
        <v>45</v>
      </c>
      <c r="AA133" s="616" t="s">
        <v>1598</v>
      </c>
      <c r="AB133" s="598"/>
      <c r="AC133" s="598" t="s">
        <v>966</v>
      </c>
      <c r="AD133" s="598" t="s">
        <v>953</v>
      </c>
      <c r="AE133" s="616" t="s">
        <v>729</v>
      </c>
      <c r="AF133" s="616" t="s">
        <v>1239</v>
      </c>
      <c r="AG133" s="616" t="s">
        <v>1258</v>
      </c>
      <c r="AH133" s="598" t="s">
        <v>955</v>
      </c>
      <c r="AI133" s="598"/>
      <c r="AJ133" s="598"/>
      <c r="AK133" s="598"/>
      <c r="AL133" s="626"/>
      <c r="AM133" s="626"/>
    </row>
    <row r="134" spans="3:39" ht="18" customHeight="1">
      <c r="C134" s="598">
        <v>113</v>
      </c>
      <c r="D134" s="598" t="s">
        <v>1454</v>
      </c>
      <c r="E134" s="598">
        <f t="shared" si="4"/>
        <v>109</v>
      </c>
      <c r="F134" s="616" t="s">
        <v>1233</v>
      </c>
      <c r="G134" s="616" t="s">
        <v>4515</v>
      </c>
      <c r="H134" s="618" t="s">
        <v>1232</v>
      </c>
      <c r="I134" s="618" t="s">
        <v>271</v>
      </c>
      <c r="J134" s="618" t="s">
        <v>1506</v>
      </c>
      <c r="K134" s="618" t="s">
        <v>1506</v>
      </c>
      <c r="L134" s="618" t="s">
        <v>1454</v>
      </c>
      <c r="M134" s="619" t="s">
        <v>1464</v>
      </c>
      <c r="N134" s="620"/>
      <c r="O134" s="620"/>
      <c r="P134" s="663" t="s">
        <v>1044</v>
      </c>
      <c r="Q134" s="621"/>
      <c r="R134" s="598" t="s">
        <v>69</v>
      </c>
      <c r="S134" s="598" t="s">
        <v>562</v>
      </c>
      <c r="T134" s="598"/>
      <c r="U134" s="598" t="s">
        <v>992</v>
      </c>
      <c r="V134" s="663" t="s">
        <v>358</v>
      </c>
      <c r="W134" s="779" t="s">
        <v>1460</v>
      </c>
      <c r="X134" s="598" t="s">
        <v>950</v>
      </c>
      <c r="Y134" s="624">
        <v>33229</v>
      </c>
      <c r="Z134" s="625">
        <f t="shared" ca="1" si="3"/>
        <v>35</v>
      </c>
      <c r="AA134" s="616" t="s">
        <v>1461</v>
      </c>
      <c r="AB134" s="598" t="s">
        <v>1462</v>
      </c>
      <c r="AC134" s="598" t="s">
        <v>996</v>
      </c>
      <c r="AD134" s="598" t="s">
        <v>997</v>
      </c>
      <c r="AE134" s="616" t="s">
        <v>729</v>
      </c>
      <c r="AF134" s="616" t="s">
        <v>1239</v>
      </c>
      <c r="AG134" s="616" t="s">
        <v>1463</v>
      </c>
      <c r="AH134" s="598"/>
      <c r="AI134" s="598"/>
      <c r="AJ134" s="598" t="s">
        <v>1025</v>
      </c>
      <c r="AK134" s="598"/>
      <c r="AL134" s="626"/>
      <c r="AM134" s="626"/>
    </row>
    <row r="135" spans="3:39" ht="18" customHeight="1">
      <c r="C135" s="598">
        <v>114</v>
      </c>
      <c r="D135" s="598" t="s">
        <v>1464</v>
      </c>
      <c r="E135" s="598">
        <f t="shared" si="4"/>
        <v>110</v>
      </c>
      <c r="F135" s="616" t="s">
        <v>1233</v>
      </c>
      <c r="G135" s="616" t="s">
        <v>4515</v>
      </c>
      <c r="H135" s="618" t="s">
        <v>1232</v>
      </c>
      <c r="I135" s="618" t="s">
        <v>271</v>
      </c>
      <c r="J135" s="618" t="s">
        <v>1506</v>
      </c>
      <c r="K135" s="618" t="s">
        <v>4988</v>
      </c>
      <c r="L135" s="618" t="s">
        <v>1454</v>
      </c>
      <c r="M135" s="619" t="s">
        <v>1464</v>
      </c>
      <c r="N135" s="620"/>
      <c r="O135" s="620"/>
      <c r="P135" s="663" t="s">
        <v>1044</v>
      </c>
      <c r="Q135" s="621"/>
      <c r="R135" s="598" t="s">
        <v>69</v>
      </c>
      <c r="S135" s="598" t="s">
        <v>562</v>
      </c>
      <c r="T135" s="598"/>
      <c r="U135" s="598" t="s">
        <v>1015</v>
      </c>
      <c r="V135" s="663" t="s">
        <v>1465</v>
      </c>
      <c r="W135" s="779" t="s">
        <v>1466</v>
      </c>
      <c r="X135" s="598" t="s">
        <v>950</v>
      </c>
      <c r="Y135" s="624">
        <v>34252</v>
      </c>
      <c r="Z135" s="625">
        <f t="shared" ca="1" si="3"/>
        <v>32</v>
      </c>
      <c r="AA135" s="616" t="s">
        <v>1467</v>
      </c>
      <c r="AB135" s="598" t="s">
        <v>1468</v>
      </c>
      <c r="AC135" s="598" t="s">
        <v>996</v>
      </c>
      <c r="AD135" s="598" t="s">
        <v>997</v>
      </c>
      <c r="AE135" s="616" t="s">
        <v>729</v>
      </c>
      <c r="AF135" s="616" t="s">
        <v>729</v>
      </c>
      <c r="AG135" s="616" t="s">
        <v>1323</v>
      </c>
      <c r="AH135" s="598"/>
      <c r="AI135" s="598"/>
      <c r="AJ135" s="598" t="s">
        <v>1025</v>
      </c>
      <c r="AK135" s="598"/>
      <c r="AL135" s="626"/>
      <c r="AM135" s="626"/>
    </row>
    <row r="136" spans="3:39" ht="18" customHeight="1">
      <c r="C136" s="598">
        <v>115</v>
      </c>
      <c r="D136" s="598" t="s">
        <v>4516</v>
      </c>
      <c r="E136" s="598">
        <f t="shared" si="4"/>
        <v>111</v>
      </c>
      <c r="F136" s="616" t="s">
        <v>1233</v>
      </c>
      <c r="G136" s="616" t="s">
        <v>4515</v>
      </c>
      <c r="H136" s="618" t="s">
        <v>1232</v>
      </c>
      <c r="I136" s="618" t="s">
        <v>271</v>
      </c>
      <c r="J136" s="618" t="s">
        <v>1506</v>
      </c>
      <c r="K136" s="618" t="s">
        <v>1506</v>
      </c>
      <c r="L136" s="618" t="s">
        <v>1454</v>
      </c>
      <c r="M136" s="619" t="s">
        <v>1464</v>
      </c>
      <c r="N136" s="620"/>
      <c r="O136" s="620"/>
      <c r="P136" s="663" t="s">
        <v>1044</v>
      </c>
      <c r="Q136" s="621"/>
      <c r="R136" s="598"/>
      <c r="S136" s="598"/>
      <c r="T136" s="598"/>
      <c r="U136" s="598" t="s">
        <v>1015</v>
      </c>
      <c r="V136" s="663" t="s">
        <v>372</v>
      </c>
      <c r="W136" s="779" t="s">
        <v>4517</v>
      </c>
      <c r="X136" s="598" t="s">
        <v>950</v>
      </c>
      <c r="Y136" s="624">
        <v>30747</v>
      </c>
      <c r="Z136" s="625">
        <f t="shared" ca="1" si="3"/>
        <v>41</v>
      </c>
      <c r="AA136" s="616" t="s">
        <v>4518</v>
      </c>
      <c r="AB136" s="598" t="s">
        <v>4519</v>
      </c>
      <c r="AC136" s="598" t="s">
        <v>996</v>
      </c>
      <c r="AD136" s="598" t="s">
        <v>997</v>
      </c>
      <c r="AE136" s="616" t="s">
        <v>729</v>
      </c>
      <c r="AF136" s="616" t="s">
        <v>729</v>
      </c>
      <c r="AG136" s="616" t="s">
        <v>1252</v>
      </c>
      <c r="AH136" s="598"/>
      <c r="AI136" s="598"/>
      <c r="AJ136" s="598" t="s">
        <v>1025</v>
      </c>
      <c r="AK136" s="598"/>
      <c r="AL136" s="626"/>
      <c r="AM136" s="626"/>
    </row>
    <row r="137" spans="3:39" ht="18" customHeight="1">
      <c r="C137" s="598">
        <v>116</v>
      </c>
      <c r="D137" s="598" t="s">
        <v>1619</v>
      </c>
      <c r="E137" s="598">
        <f t="shared" si="4"/>
        <v>112</v>
      </c>
      <c r="F137" s="616" t="s">
        <v>1233</v>
      </c>
      <c r="G137" s="616" t="s">
        <v>4515</v>
      </c>
      <c r="H137" s="618" t="s">
        <v>1232</v>
      </c>
      <c r="I137" s="618" t="s">
        <v>271</v>
      </c>
      <c r="J137" s="618" t="s">
        <v>1506</v>
      </c>
      <c r="K137" s="618" t="s">
        <v>1506</v>
      </c>
      <c r="L137" s="618" t="s">
        <v>1454</v>
      </c>
      <c r="M137" s="619" t="s">
        <v>1464</v>
      </c>
      <c r="N137" s="620"/>
      <c r="O137" s="620"/>
      <c r="P137" s="663" t="s">
        <v>1044</v>
      </c>
      <c r="Q137" s="621"/>
      <c r="R137" s="598"/>
      <c r="S137" s="598"/>
      <c r="T137" s="598"/>
      <c r="U137" s="598" t="s">
        <v>992</v>
      </c>
      <c r="V137" s="663" t="s">
        <v>385</v>
      </c>
      <c r="W137" s="779" t="s">
        <v>1620</v>
      </c>
      <c r="X137" s="598" t="s">
        <v>950</v>
      </c>
      <c r="Y137" s="624">
        <v>31903</v>
      </c>
      <c r="Z137" s="625">
        <f t="shared" ca="1" si="3"/>
        <v>38</v>
      </c>
      <c r="AA137" s="616" t="s">
        <v>1621</v>
      </c>
      <c r="AB137" s="598" t="s">
        <v>1622</v>
      </c>
      <c r="AC137" s="598" t="s">
        <v>996</v>
      </c>
      <c r="AD137" s="598" t="s">
        <v>997</v>
      </c>
      <c r="AE137" s="616" t="s">
        <v>1494</v>
      </c>
      <c r="AF137" s="616" t="s">
        <v>1494</v>
      </c>
      <c r="AG137" s="616" t="s">
        <v>1623</v>
      </c>
      <c r="AH137" s="598"/>
      <c r="AI137" s="598"/>
      <c r="AJ137" s="598" t="s">
        <v>1025</v>
      </c>
      <c r="AK137" s="598"/>
      <c r="AL137" s="626"/>
      <c r="AM137" s="626"/>
    </row>
    <row r="138" spans="3:39" ht="18" customHeight="1">
      <c r="C138" s="598">
        <v>117</v>
      </c>
      <c r="D138" s="598" t="s">
        <v>1624</v>
      </c>
      <c r="E138" s="598">
        <f t="shared" si="4"/>
        <v>113</v>
      </c>
      <c r="F138" s="616" t="s">
        <v>1233</v>
      </c>
      <c r="G138" s="616" t="s">
        <v>4515</v>
      </c>
      <c r="H138" s="618" t="s">
        <v>1232</v>
      </c>
      <c r="I138" s="618" t="s">
        <v>271</v>
      </c>
      <c r="J138" s="618" t="s">
        <v>1506</v>
      </c>
      <c r="K138" s="618" t="s">
        <v>1506</v>
      </c>
      <c r="L138" s="618" t="s">
        <v>1454</v>
      </c>
      <c r="M138" s="619" t="s">
        <v>1464</v>
      </c>
      <c r="N138" s="620"/>
      <c r="O138" s="620"/>
      <c r="P138" s="663" t="s">
        <v>1044</v>
      </c>
      <c r="Q138" s="621"/>
      <c r="R138" s="598"/>
      <c r="S138" s="598"/>
      <c r="T138" s="598"/>
      <c r="U138" s="598" t="s">
        <v>992</v>
      </c>
      <c r="V138" s="663" t="s">
        <v>398</v>
      </c>
      <c r="W138" s="779" t="s">
        <v>1625</v>
      </c>
      <c r="X138" s="598" t="s">
        <v>950</v>
      </c>
      <c r="Y138" s="624">
        <v>31903</v>
      </c>
      <c r="Z138" s="625">
        <f t="shared" ca="1" si="3"/>
        <v>38</v>
      </c>
      <c r="AA138" s="616" t="s">
        <v>1626</v>
      </c>
      <c r="AB138" s="598" t="s">
        <v>1627</v>
      </c>
      <c r="AC138" s="598" t="s">
        <v>1006</v>
      </c>
      <c r="AD138" s="598" t="s">
        <v>953</v>
      </c>
      <c r="AE138" s="616" t="s">
        <v>1494</v>
      </c>
      <c r="AF138" s="616" t="s">
        <v>1494</v>
      </c>
      <c r="AG138" s="616" t="s">
        <v>1623</v>
      </c>
      <c r="AH138" s="598"/>
      <c r="AI138" s="598"/>
      <c r="AJ138" s="598" t="s">
        <v>1025</v>
      </c>
      <c r="AK138" s="598"/>
      <c r="AL138" s="626"/>
      <c r="AM138" s="626"/>
    </row>
    <row r="139" spans="3:39" ht="18" customHeight="1">
      <c r="C139" s="598">
        <v>118</v>
      </c>
      <c r="D139" s="598" t="s">
        <v>4520</v>
      </c>
      <c r="E139" s="598">
        <f t="shared" si="4"/>
        <v>114</v>
      </c>
      <c r="F139" s="616" t="s">
        <v>1233</v>
      </c>
      <c r="G139" s="616" t="s">
        <v>4515</v>
      </c>
      <c r="H139" s="618" t="s">
        <v>1232</v>
      </c>
      <c r="I139" s="618" t="s">
        <v>271</v>
      </c>
      <c r="J139" s="618" t="s">
        <v>1506</v>
      </c>
      <c r="K139" s="618" t="s">
        <v>1506</v>
      </c>
      <c r="L139" s="618" t="s">
        <v>1454</v>
      </c>
      <c r="M139" s="619" t="s">
        <v>1464</v>
      </c>
      <c r="N139" s="620"/>
      <c r="O139" s="620"/>
      <c r="P139" s="663" t="s">
        <v>1044</v>
      </c>
      <c r="Q139" s="621"/>
      <c r="R139" s="598"/>
      <c r="S139" s="598"/>
      <c r="T139" s="598"/>
      <c r="U139" s="598" t="s">
        <v>992</v>
      </c>
      <c r="V139" s="663" t="s">
        <v>410</v>
      </c>
      <c r="W139" s="779" t="s">
        <v>4521</v>
      </c>
      <c r="X139" s="598" t="s">
        <v>950</v>
      </c>
      <c r="Y139" s="624">
        <v>38235</v>
      </c>
      <c r="Z139" s="625">
        <f t="shared" ca="1" si="3"/>
        <v>21</v>
      </c>
      <c r="AA139" s="616" t="s">
        <v>4522</v>
      </c>
      <c r="AB139" s="598" t="s">
        <v>4523</v>
      </c>
      <c r="AC139" s="598" t="s">
        <v>996</v>
      </c>
      <c r="AD139" s="598" t="s">
        <v>1018</v>
      </c>
      <c r="AE139" s="616" t="s">
        <v>1041</v>
      </c>
      <c r="AF139" s="616" t="s">
        <v>729</v>
      </c>
      <c r="AG139" s="616" t="s">
        <v>4524</v>
      </c>
      <c r="AH139" s="598"/>
      <c r="AI139" s="598"/>
      <c r="AJ139" s="598" t="s">
        <v>1025</v>
      </c>
      <c r="AK139" s="598"/>
      <c r="AL139" s="626"/>
      <c r="AM139" s="626"/>
    </row>
    <row r="140" spans="3:39" ht="18" customHeight="1">
      <c r="C140" s="598">
        <v>119</v>
      </c>
      <c r="D140" s="598" t="s">
        <v>1469</v>
      </c>
      <c r="E140" s="598">
        <f t="shared" si="4"/>
        <v>115</v>
      </c>
      <c r="F140" s="616" t="s">
        <v>4978</v>
      </c>
      <c r="G140" s="616" t="s">
        <v>4515</v>
      </c>
      <c r="H140" s="618" t="s">
        <v>1232</v>
      </c>
      <c r="I140" s="618" t="s">
        <v>271</v>
      </c>
      <c r="J140" s="618" t="s">
        <v>1506</v>
      </c>
      <c r="K140" s="618" t="s">
        <v>1506</v>
      </c>
      <c r="L140" s="618" t="s">
        <v>1454</v>
      </c>
      <c r="M140" s="619" t="s">
        <v>1464</v>
      </c>
      <c r="N140" s="620"/>
      <c r="O140" s="620"/>
      <c r="P140" s="663" t="s">
        <v>1044</v>
      </c>
      <c r="Q140" s="621" t="s">
        <v>319</v>
      </c>
      <c r="R140" s="598"/>
      <c r="S140" s="598"/>
      <c r="T140" s="598"/>
      <c r="U140" s="598" t="s">
        <v>1015</v>
      </c>
      <c r="V140" s="663" t="s">
        <v>422</v>
      </c>
      <c r="W140" s="779" t="s">
        <v>1470</v>
      </c>
      <c r="X140" s="598" t="s">
        <v>950</v>
      </c>
      <c r="Y140" s="624">
        <v>29402</v>
      </c>
      <c r="Z140" s="625">
        <f t="shared" ca="1" si="3"/>
        <v>45</v>
      </c>
      <c r="AA140" s="616" t="s">
        <v>1471</v>
      </c>
      <c r="AB140" s="598" t="s">
        <v>1472</v>
      </c>
      <c r="AC140" s="598" t="s">
        <v>996</v>
      </c>
      <c r="AD140" s="598" t="s">
        <v>997</v>
      </c>
      <c r="AE140" s="616" t="s">
        <v>729</v>
      </c>
      <c r="AF140" s="640" t="s">
        <v>729</v>
      </c>
      <c r="AG140" s="616" t="s">
        <v>1473</v>
      </c>
      <c r="AH140" s="598"/>
      <c r="AI140" s="598"/>
      <c r="AJ140" s="634"/>
      <c r="AK140" s="598"/>
      <c r="AL140" s="626"/>
      <c r="AM140" s="626"/>
    </row>
    <row r="141" spans="3:39" ht="18" customHeight="1">
      <c r="C141" s="598">
        <v>120</v>
      </c>
      <c r="D141" s="598" t="s">
        <v>3678</v>
      </c>
      <c r="E141" s="598">
        <f t="shared" si="4"/>
        <v>116</v>
      </c>
      <c r="F141" s="616" t="s">
        <v>4978</v>
      </c>
      <c r="G141" s="616" t="s">
        <v>4515</v>
      </c>
      <c r="H141" s="618" t="s">
        <v>1232</v>
      </c>
      <c r="I141" s="618" t="s">
        <v>271</v>
      </c>
      <c r="J141" s="618" t="s">
        <v>1506</v>
      </c>
      <c r="K141" s="618" t="s">
        <v>1506</v>
      </c>
      <c r="L141" s="618" t="s">
        <v>1454</v>
      </c>
      <c r="M141" s="619" t="s">
        <v>1464</v>
      </c>
      <c r="N141" s="620"/>
      <c r="O141" s="620"/>
      <c r="P141" s="663" t="s">
        <v>1044</v>
      </c>
      <c r="Q141" s="621" t="s">
        <v>319</v>
      </c>
      <c r="R141" s="598"/>
      <c r="S141" s="598"/>
      <c r="T141" s="598"/>
      <c r="U141" s="598" t="s">
        <v>992</v>
      </c>
      <c r="V141" s="663" t="s">
        <v>430</v>
      </c>
      <c r="W141" s="779" t="s">
        <v>3679</v>
      </c>
      <c r="X141" s="598" t="s">
        <v>950</v>
      </c>
      <c r="Y141" s="624">
        <v>32595</v>
      </c>
      <c r="Z141" s="625">
        <f t="shared" ca="1" si="3"/>
        <v>36</v>
      </c>
      <c r="AA141" s="616" t="s">
        <v>3680</v>
      </c>
      <c r="AB141" s="598" t="s">
        <v>3681</v>
      </c>
      <c r="AC141" s="598" t="s">
        <v>996</v>
      </c>
      <c r="AD141" s="598" t="s">
        <v>1018</v>
      </c>
      <c r="AE141" s="616" t="s">
        <v>1078</v>
      </c>
      <c r="AF141" s="640" t="s">
        <v>729</v>
      </c>
      <c r="AG141" s="640" t="s">
        <v>1252</v>
      </c>
      <c r="AH141" s="598"/>
      <c r="AI141" s="598"/>
      <c r="AJ141" s="634"/>
      <c r="AK141" s="598"/>
      <c r="AL141" s="626"/>
      <c r="AM141" s="626"/>
    </row>
    <row r="142" spans="3:39" ht="18" customHeight="1">
      <c r="C142" s="598">
        <v>121</v>
      </c>
      <c r="D142" s="598" t="s">
        <v>1474</v>
      </c>
      <c r="E142" s="598">
        <f t="shared" si="4"/>
        <v>117</v>
      </c>
      <c r="F142" s="616" t="s">
        <v>4978</v>
      </c>
      <c r="G142" s="616" t="s">
        <v>4515</v>
      </c>
      <c r="H142" s="618" t="s">
        <v>1232</v>
      </c>
      <c r="I142" s="618" t="s">
        <v>271</v>
      </c>
      <c r="J142" s="618" t="s">
        <v>1506</v>
      </c>
      <c r="K142" s="618" t="s">
        <v>1506</v>
      </c>
      <c r="L142" s="618" t="s">
        <v>1454</v>
      </c>
      <c r="M142" s="619" t="s">
        <v>1464</v>
      </c>
      <c r="N142" s="620"/>
      <c r="O142" s="620"/>
      <c r="P142" s="663" t="s">
        <v>1044</v>
      </c>
      <c r="Q142" s="621" t="s">
        <v>319</v>
      </c>
      <c r="R142" s="598"/>
      <c r="S142" s="598"/>
      <c r="T142" s="598"/>
      <c r="U142" s="598" t="s">
        <v>992</v>
      </c>
      <c r="V142" s="663" t="s">
        <v>438</v>
      </c>
      <c r="W142" s="779" t="s">
        <v>1475</v>
      </c>
      <c r="X142" s="598" t="s">
        <v>950</v>
      </c>
      <c r="Y142" s="624">
        <v>36641</v>
      </c>
      <c r="Z142" s="625">
        <f t="shared" ca="1" si="3"/>
        <v>25</v>
      </c>
      <c r="AA142" s="616" t="s">
        <v>1476</v>
      </c>
      <c r="AB142" s="598" t="s">
        <v>1477</v>
      </c>
      <c r="AC142" s="598" t="s">
        <v>996</v>
      </c>
      <c r="AD142" s="598" t="s">
        <v>1018</v>
      </c>
      <c r="AE142" s="616" t="s">
        <v>729</v>
      </c>
      <c r="AF142" s="640" t="s">
        <v>729</v>
      </c>
      <c r="AG142" s="616" t="s">
        <v>1329</v>
      </c>
      <c r="AH142" s="598"/>
      <c r="AI142" s="598"/>
      <c r="AJ142" s="634"/>
      <c r="AK142" s="598"/>
      <c r="AL142" s="626"/>
      <c r="AM142" s="626"/>
    </row>
    <row r="143" spans="3:39" ht="18" customHeight="1">
      <c r="C143" s="598">
        <v>122</v>
      </c>
      <c r="D143" s="598" t="s">
        <v>4526</v>
      </c>
      <c r="E143" s="598">
        <f t="shared" si="4"/>
        <v>118</v>
      </c>
      <c r="F143" s="616" t="s">
        <v>4978</v>
      </c>
      <c r="G143" s="616" t="s">
        <v>4515</v>
      </c>
      <c r="H143" s="618" t="s">
        <v>1232</v>
      </c>
      <c r="I143" s="618" t="s">
        <v>271</v>
      </c>
      <c r="J143" s="618" t="s">
        <v>1506</v>
      </c>
      <c r="K143" s="618" t="s">
        <v>1506</v>
      </c>
      <c r="L143" s="618" t="s">
        <v>1454</v>
      </c>
      <c r="M143" s="619" t="s">
        <v>1464</v>
      </c>
      <c r="N143" s="620"/>
      <c r="O143" s="620"/>
      <c r="P143" s="663" t="s">
        <v>1044</v>
      </c>
      <c r="Q143" s="621" t="s">
        <v>319</v>
      </c>
      <c r="R143" s="598"/>
      <c r="S143" s="598"/>
      <c r="T143" s="598"/>
      <c r="U143" s="598" t="s">
        <v>992</v>
      </c>
      <c r="V143" s="663" t="s">
        <v>444</v>
      </c>
      <c r="W143" s="779" t="s">
        <v>4527</v>
      </c>
      <c r="X143" s="598" t="s">
        <v>950</v>
      </c>
      <c r="Y143" s="624">
        <v>36882</v>
      </c>
      <c r="Z143" s="625">
        <f t="shared" ca="1" si="3"/>
        <v>25</v>
      </c>
      <c r="AA143" s="616" t="s">
        <v>4528</v>
      </c>
      <c r="AB143" s="598" t="s">
        <v>4529</v>
      </c>
      <c r="AC143" s="598" t="s">
        <v>996</v>
      </c>
      <c r="AD143" s="598" t="s">
        <v>1018</v>
      </c>
      <c r="AE143" s="616" t="s">
        <v>246</v>
      </c>
      <c r="AF143" s="616" t="s">
        <v>1494</v>
      </c>
      <c r="AG143" s="653" t="s">
        <v>1623</v>
      </c>
      <c r="AH143" s="598"/>
      <c r="AI143" s="598"/>
      <c r="AJ143" s="634"/>
      <c r="AK143" s="598"/>
      <c r="AL143" s="626"/>
      <c r="AM143" s="626"/>
    </row>
    <row r="144" spans="3:39" ht="18" customHeight="1">
      <c r="C144" s="598">
        <v>123</v>
      </c>
      <c r="D144" s="598" t="s">
        <v>1600</v>
      </c>
      <c r="E144" s="598">
        <f t="shared" si="4"/>
        <v>119</v>
      </c>
      <c r="F144" s="616" t="s">
        <v>4978</v>
      </c>
      <c r="G144" s="616" t="s">
        <v>4515</v>
      </c>
      <c r="H144" s="618" t="s">
        <v>1232</v>
      </c>
      <c r="I144" s="618" t="s">
        <v>271</v>
      </c>
      <c r="J144" s="618" t="s">
        <v>1506</v>
      </c>
      <c r="K144" s="618" t="s">
        <v>1506</v>
      </c>
      <c r="L144" s="618" t="s">
        <v>1454</v>
      </c>
      <c r="M144" s="619" t="s">
        <v>1464</v>
      </c>
      <c r="N144" s="620"/>
      <c r="O144" s="620"/>
      <c r="P144" s="663" t="s">
        <v>1044</v>
      </c>
      <c r="Q144" s="621" t="s">
        <v>319</v>
      </c>
      <c r="R144" s="598"/>
      <c r="S144" s="598"/>
      <c r="T144" s="598"/>
      <c r="U144" s="598" t="s">
        <v>1015</v>
      </c>
      <c r="V144" s="663" t="s">
        <v>447</v>
      </c>
      <c r="W144" s="779" t="s">
        <v>1601</v>
      </c>
      <c r="X144" s="598" t="s">
        <v>950</v>
      </c>
      <c r="Y144" s="624">
        <v>30868</v>
      </c>
      <c r="Z144" s="625">
        <f t="shared" ca="1" si="3"/>
        <v>41</v>
      </c>
      <c r="AA144" s="616" t="s">
        <v>1602</v>
      </c>
      <c r="AB144" s="598" t="s">
        <v>1603</v>
      </c>
      <c r="AC144" s="598" t="s">
        <v>996</v>
      </c>
      <c r="AD144" s="598" t="s">
        <v>1018</v>
      </c>
      <c r="AE144" s="616" t="s">
        <v>729</v>
      </c>
      <c r="AF144" s="616" t="s">
        <v>729</v>
      </c>
      <c r="AG144" s="616" t="s">
        <v>1323</v>
      </c>
      <c r="AH144" s="598"/>
      <c r="AI144" s="598"/>
      <c r="AJ144" s="647" t="s">
        <v>1513</v>
      </c>
      <c r="AK144" s="598"/>
      <c r="AL144" s="626"/>
      <c r="AM144" s="626"/>
    </row>
    <row r="145" spans="3:39" ht="18" customHeight="1">
      <c r="C145" s="598">
        <v>124</v>
      </c>
      <c r="D145" s="598" t="s">
        <v>2139</v>
      </c>
      <c r="E145" s="598">
        <f t="shared" si="4"/>
        <v>120</v>
      </c>
      <c r="F145" s="616" t="s">
        <v>4978</v>
      </c>
      <c r="G145" s="616" t="s">
        <v>4515</v>
      </c>
      <c r="H145" s="618" t="s">
        <v>1232</v>
      </c>
      <c r="I145" s="618" t="s">
        <v>271</v>
      </c>
      <c r="J145" s="618" t="s">
        <v>1506</v>
      </c>
      <c r="K145" s="618" t="s">
        <v>1506</v>
      </c>
      <c r="L145" s="618" t="s">
        <v>1454</v>
      </c>
      <c r="M145" s="619" t="s">
        <v>1464</v>
      </c>
      <c r="N145" s="620"/>
      <c r="O145" s="620"/>
      <c r="P145" s="663" t="s">
        <v>1044</v>
      </c>
      <c r="Q145" s="621" t="s">
        <v>319</v>
      </c>
      <c r="R145" s="598"/>
      <c r="S145" s="598"/>
      <c r="T145" s="598"/>
      <c r="U145" s="598" t="s">
        <v>992</v>
      </c>
      <c r="V145" s="663" t="s">
        <v>449</v>
      </c>
      <c r="W145" s="779" t="s">
        <v>2140</v>
      </c>
      <c r="X145" s="598" t="s">
        <v>950</v>
      </c>
      <c r="Y145" s="624">
        <v>32006</v>
      </c>
      <c r="Z145" s="625">
        <f t="shared" ca="1" si="3"/>
        <v>38</v>
      </c>
      <c r="AA145" s="616" t="s">
        <v>2141</v>
      </c>
      <c r="AB145" s="598"/>
      <c r="AC145" s="598" t="s">
        <v>996</v>
      </c>
      <c r="AD145" s="598" t="s">
        <v>1018</v>
      </c>
      <c r="AE145" s="616" t="s">
        <v>729</v>
      </c>
      <c r="AF145" s="616" t="s">
        <v>729</v>
      </c>
      <c r="AG145" s="616" t="s">
        <v>2142</v>
      </c>
      <c r="AH145" s="598"/>
      <c r="AI145" s="598"/>
      <c r="AJ145" s="647" t="s">
        <v>1513</v>
      </c>
      <c r="AK145" s="598"/>
      <c r="AL145" s="626"/>
      <c r="AM145" s="626"/>
    </row>
    <row r="146" spans="3:39" ht="18" customHeight="1">
      <c r="C146" s="598">
        <v>125</v>
      </c>
      <c r="D146" s="598" t="s">
        <v>4530</v>
      </c>
      <c r="E146" s="598">
        <f t="shared" si="4"/>
        <v>121</v>
      </c>
      <c r="F146" s="616" t="s">
        <v>1233</v>
      </c>
      <c r="G146" s="616" t="s">
        <v>4515</v>
      </c>
      <c r="H146" s="618" t="s">
        <v>1232</v>
      </c>
      <c r="I146" s="618" t="s">
        <v>271</v>
      </c>
      <c r="J146" s="618" t="s">
        <v>1506</v>
      </c>
      <c r="K146" s="618" t="s">
        <v>1506</v>
      </c>
      <c r="L146" s="618" t="s">
        <v>1454</v>
      </c>
      <c r="M146" s="619" t="s">
        <v>1464</v>
      </c>
      <c r="N146" s="620"/>
      <c r="O146" s="620"/>
      <c r="P146" s="663" t="s">
        <v>1044</v>
      </c>
      <c r="Q146" s="621"/>
      <c r="R146" s="598"/>
      <c r="S146" s="598"/>
      <c r="T146" s="598"/>
      <c r="U146" s="598" t="s">
        <v>1015</v>
      </c>
      <c r="V146" s="663" t="s">
        <v>4531</v>
      </c>
      <c r="W146" s="779" t="s">
        <v>4532</v>
      </c>
      <c r="X146" s="598" t="s">
        <v>950</v>
      </c>
      <c r="Y146" s="624">
        <v>34187</v>
      </c>
      <c r="Z146" s="625">
        <f t="shared" ca="1" si="3"/>
        <v>32</v>
      </c>
      <c r="AA146" s="616" t="s">
        <v>4533</v>
      </c>
      <c r="AB146" s="598" t="s">
        <v>4534</v>
      </c>
      <c r="AC146" s="598" t="s">
        <v>996</v>
      </c>
      <c r="AD146" s="598" t="s">
        <v>1018</v>
      </c>
      <c r="AE146" s="616" t="s">
        <v>729</v>
      </c>
      <c r="AF146" s="616" t="s">
        <v>729</v>
      </c>
      <c r="AG146" s="616" t="s">
        <v>1533</v>
      </c>
      <c r="AH146" s="598"/>
      <c r="AI146" s="598" t="s">
        <v>4535</v>
      </c>
      <c r="AJ146" s="598" t="s">
        <v>1025</v>
      </c>
      <c r="AK146" s="598"/>
      <c r="AL146" s="626"/>
      <c r="AM146" s="626"/>
    </row>
    <row r="147" spans="3:39" ht="18" customHeight="1">
      <c r="C147" s="598">
        <v>126</v>
      </c>
      <c r="D147" s="598" t="s">
        <v>4536</v>
      </c>
      <c r="E147" s="598">
        <f t="shared" si="4"/>
        <v>122</v>
      </c>
      <c r="F147" s="616" t="s">
        <v>1233</v>
      </c>
      <c r="G147" s="616" t="s">
        <v>4515</v>
      </c>
      <c r="H147" s="618" t="s">
        <v>1232</v>
      </c>
      <c r="I147" s="618" t="s">
        <v>271</v>
      </c>
      <c r="J147" s="618" t="s">
        <v>1506</v>
      </c>
      <c r="K147" s="618" t="s">
        <v>1506</v>
      </c>
      <c r="L147" s="618" t="s">
        <v>1454</v>
      </c>
      <c r="M147" s="619" t="s">
        <v>1464</v>
      </c>
      <c r="N147" s="620"/>
      <c r="O147" s="620"/>
      <c r="P147" s="663" t="s">
        <v>1044</v>
      </c>
      <c r="Q147" s="621"/>
      <c r="R147" s="598"/>
      <c r="S147" s="598"/>
      <c r="T147" s="598"/>
      <c r="U147" s="598" t="s">
        <v>992</v>
      </c>
      <c r="V147" s="663" t="s">
        <v>4537</v>
      </c>
      <c r="W147" s="779" t="s">
        <v>4538</v>
      </c>
      <c r="X147" s="598" t="s">
        <v>950</v>
      </c>
      <c r="Y147" s="624">
        <v>37337</v>
      </c>
      <c r="Z147" s="625">
        <f t="shared" ca="1" si="3"/>
        <v>23</v>
      </c>
      <c r="AA147" s="616" t="s">
        <v>4539</v>
      </c>
      <c r="AB147" s="598" t="s">
        <v>4540</v>
      </c>
      <c r="AC147" s="598" t="s">
        <v>996</v>
      </c>
      <c r="AD147" s="598" t="s">
        <v>1018</v>
      </c>
      <c r="AE147" s="616" t="s">
        <v>729</v>
      </c>
      <c r="AF147" s="616" t="s">
        <v>729</v>
      </c>
      <c r="AG147" s="616" t="s">
        <v>4541</v>
      </c>
      <c r="AH147" s="598"/>
      <c r="AI147" s="598" t="s">
        <v>4542</v>
      </c>
      <c r="AJ147" s="598" t="s">
        <v>1025</v>
      </c>
      <c r="AK147" s="598"/>
      <c r="AL147" s="626"/>
      <c r="AM147" s="626"/>
    </row>
    <row r="148" spans="3:39" ht="18" customHeight="1">
      <c r="C148" s="598">
        <v>127</v>
      </c>
      <c r="D148" s="598" t="s">
        <v>4543</v>
      </c>
      <c r="E148" s="598">
        <f t="shared" si="4"/>
        <v>123</v>
      </c>
      <c r="F148" s="616" t="s">
        <v>1233</v>
      </c>
      <c r="G148" s="616" t="s">
        <v>4515</v>
      </c>
      <c r="H148" s="618" t="s">
        <v>1232</v>
      </c>
      <c r="I148" s="618" t="s">
        <v>271</v>
      </c>
      <c r="J148" s="618" t="s">
        <v>1506</v>
      </c>
      <c r="K148" s="618" t="s">
        <v>4988</v>
      </c>
      <c r="L148" s="618" t="s">
        <v>1454</v>
      </c>
      <c r="M148" s="619" t="s">
        <v>1464</v>
      </c>
      <c r="N148" s="620"/>
      <c r="O148" s="620"/>
      <c r="P148" s="673" t="s">
        <v>1044</v>
      </c>
      <c r="Q148" s="621"/>
      <c r="R148" s="598"/>
      <c r="S148" s="598"/>
      <c r="T148" s="598"/>
      <c r="U148" s="598" t="s">
        <v>992</v>
      </c>
      <c r="V148" s="673" t="s">
        <v>4544</v>
      </c>
      <c r="W148" s="779" t="s">
        <v>4545</v>
      </c>
      <c r="X148" s="598" t="s">
        <v>950</v>
      </c>
      <c r="Y148" s="624">
        <v>35479</v>
      </c>
      <c r="Z148" s="625">
        <f t="shared" ca="1" si="3"/>
        <v>28</v>
      </c>
      <c r="AA148" s="616" t="s">
        <v>4546</v>
      </c>
      <c r="AB148" s="598"/>
      <c r="AC148" s="598" t="s">
        <v>996</v>
      </c>
      <c r="AD148" s="598" t="s">
        <v>1018</v>
      </c>
      <c r="AE148" s="616" t="s">
        <v>729</v>
      </c>
      <c r="AF148" s="616" t="s">
        <v>729</v>
      </c>
      <c r="AG148" s="616" t="s">
        <v>1317</v>
      </c>
      <c r="AH148" s="598"/>
      <c r="AI148" s="598" t="s">
        <v>4547</v>
      </c>
      <c r="AJ148" s="598" t="s">
        <v>1025</v>
      </c>
      <c r="AK148" s="598"/>
      <c r="AL148" s="626"/>
      <c r="AM148" s="626"/>
    </row>
    <row r="149" spans="3:39" ht="18" customHeight="1">
      <c r="C149" s="598">
        <v>128</v>
      </c>
      <c r="D149" s="598" t="s">
        <v>1245</v>
      </c>
      <c r="E149" s="598">
        <f t="shared" si="4"/>
        <v>124</v>
      </c>
      <c r="F149" s="616" t="s">
        <v>1233</v>
      </c>
      <c r="G149" s="616" t="s">
        <v>4515</v>
      </c>
      <c r="H149" s="618" t="s">
        <v>1232</v>
      </c>
      <c r="I149" s="618" t="s">
        <v>271</v>
      </c>
      <c r="J149" s="618" t="s">
        <v>1506</v>
      </c>
      <c r="K149" s="618" t="s">
        <v>1245</v>
      </c>
      <c r="L149" s="618" t="s">
        <v>1736</v>
      </c>
      <c r="M149" s="679" t="s">
        <v>1505</v>
      </c>
      <c r="N149" s="620"/>
      <c r="O149" s="620"/>
      <c r="P149" s="667" t="s">
        <v>1074</v>
      </c>
      <c r="Q149" s="621"/>
      <c r="R149" s="598" t="s">
        <v>55</v>
      </c>
      <c r="S149" s="598" t="s">
        <v>178</v>
      </c>
      <c r="T149" s="598"/>
      <c r="U149" s="598" t="s">
        <v>962</v>
      </c>
      <c r="V149" s="667" t="s">
        <v>1246</v>
      </c>
      <c r="W149" s="779" t="s">
        <v>1247</v>
      </c>
      <c r="X149" s="598" t="s">
        <v>963</v>
      </c>
      <c r="Y149" s="624">
        <v>32406</v>
      </c>
      <c r="Z149" s="625">
        <f t="shared" ca="1" si="3"/>
        <v>37</v>
      </c>
      <c r="AA149" s="616" t="s">
        <v>1248</v>
      </c>
      <c r="AB149" s="598" t="s">
        <v>1249</v>
      </c>
      <c r="AC149" s="598" t="s">
        <v>966</v>
      </c>
      <c r="AD149" s="598" t="s">
        <v>953</v>
      </c>
      <c r="AE149" s="616" t="s">
        <v>729</v>
      </c>
      <c r="AF149" s="616" t="s">
        <v>1250</v>
      </c>
      <c r="AG149" s="616" t="s">
        <v>1251</v>
      </c>
      <c r="AH149" s="598"/>
      <c r="AI149" s="598"/>
      <c r="AJ149" s="598" t="s">
        <v>1125</v>
      </c>
      <c r="AK149" s="598"/>
      <c r="AL149" s="626"/>
      <c r="AM149" s="626"/>
    </row>
    <row r="150" spans="3:39" ht="18" customHeight="1">
      <c r="C150" s="598">
        <v>129</v>
      </c>
      <c r="D150" s="598" t="s">
        <v>1736</v>
      </c>
      <c r="E150" s="598">
        <f t="shared" si="4"/>
        <v>125</v>
      </c>
      <c r="F150" s="616" t="s">
        <v>1233</v>
      </c>
      <c r="G150" s="616" t="s">
        <v>4515</v>
      </c>
      <c r="H150" s="618" t="s">
        <v>1232</v>
      </c>
      <c r="I150" s="618" t="s">
        <v>271</v>
      </c>
      <c r="J150" s="618" t="s">
        <v>1506</v>
      </c>
      <c r="K150" s="618" t="s">
        <v>1245</v>
      </c>
      <c r="L150" s="618" t="s">
        <v>1736</v>
      </c>
      <c r="M150" s="679" t="s">
        <v>1505</v>
      </c>
      <c r="N150" s="620"/>
      <c r="O150" s="620"/>
      <c r="P150" s="663" t="s">
        <v>1074</v>
      </c>
      <c r="Q150" s="621"/>
      <c r="R150" s="598" t="s">
        <v>69</v>
      </c>
      <c r="S150" s="598" t="s">
        <v>562</v>
      </c>
      <c r="T150" s="598"/>
      <c r="U150" s="598" t="s">
        <v>962</v>
      </c>
      <c r="V150" s="663" t="s">
        <v>1741</v>
      </c>
      <c r="W150" s="779" t="s">
        <v>1742</v>
      </c>
      <c r="X150" s="598" t="s">
        <v>963</v>
      </c>
      <c r="Y150" s="624">
        <v>27898</v>
      </c>
      <c r="Z150" s="625">
        <f t="shared" ca="1" si="3"/>
        <v>49</v>
      </c>
      <c r="AA150" s="616" t="s">
        <v>1743</v>
      </c>
      <c r="AB150" s="598" t="s">
        <v>1744</v>
      </c>
      <c r="AC150" s="598" t="s">
        <v>996</v>
      </c>
      <c r="AD150" s="598" t="s">
        <v>997</v>
      </c>
      <c r="AE150" s="616" t="s">
        <v>729</v>
      </c>
      <c r="AF150" s="616" t="s">
        <v>729</v>
      </c>
      <c r="AG150" s="616" t="s">
        <v>4548</v>
      </c>
      <c r="AH150" s="598"/>
      <c r="AI150" s="598"/>
      <c r="AJ150" s="598" t="s">
        <v>1125</v>
      </c>
      <c r="AK150" s="598"/>
      <c r="AL150" s="626"/>
      <c r="AM150" s="626"/>
    </row>
    <row r="151" spans="3:39" ht="18" customHeight="1">
      <c r="C151" s="598">
        <v>130</v>
      </c>
      <c r="D151" s="598" t="s">
        <v>1505</v>
      </c>
      <c r="E151" s="598">
        <f t="shared" si="4"/>
        <v>126</v>
      </c>
      <c r="F151" s="616" t="s">
        <v>4978</v>
      </c>
      <c r="G151" s="616" t="s">
        <v>4515</v>
      </c>
      <c r="H151" s="618" t="s">
        <v>1232</v>
      </c>
      <c r="I151" s="618" t="s">
        <v>271</v>
      </c>
      <c r="J151" s="618" t="s">
        <v>1506</v>
      </c>
      <c r="K151" s="618" t="s">
        <v>1245</v>
      </c>
      <c r="L151" s="618" t="s">
        <v>1736</v>
      </c>
      <c r="M151" s="679" t="s">
        <v>1505</v>
      </c>
      <c r="N151" s="620"/>
      <c r="O151" s="620"/>
      <c r="P151" s="663" t="s">
        <v>1074</v>
      </c>
      <c r="Q151" s="621"/>
      <c r="R151" s="598" t="s">
        <v>69</v>
      </c>
      <c r="S151" s="598" t="s">
        <v>562</v>
      </c>
      <c r="T151" s="598"/>
      <c r="U151" s="598" t="s">
        <v>962</v>
      </c>
      <c r="V151" s="668" t="s">
        <v>1508</v>
      </c>
      <c r="W151" s="779" t="s">
        <v>1509</v>
      </c>
      <c r="X151" s="598" t="s">
        <v>963</v>
      </c>
      <c r="Y151" s="624">
        <v>31125</v>
      </c>
      <c r="Z151" s="625">
        <f t="shared" ca="1" si="3"/>
        <v>40</v>
      </c>
      <c r="AA151" s="616" t="s">
        <v>1510</v>
      </c>
      <c r="AB151" s="598" t="s">
        <v>1511</v>
      </c>
      <c r="AC151" s="598" t="s">
        <v>996</v>
      </c>
      <c r="AD151" s="598" t="s">
        <v>1018</v>
      </c>
      <c r="AE151" s="616" t="s">
        <v>1512</v>
      </c>
      <c r="AF151" s="616" t="s">
        <v>1512</v>
      </c>
      <c r="AG151" s="616" t="s">
        <v>4989</v>
      </c>
      <c r="AH151" s="598"/>
      <c r="AI151" s="598"/>
      <c r="AJ151" s="647" t="s">
        <v>1513</v>
      </c>
      <c r="AK151" s="598"/>
      <c r="AL151" s="626"/>
      <c r="AM151" s="626"/>
    </row>
    <row r="152" spans="3:39" ht="18" customHeight="1">
      <c r="C152" s="598">
        <v>131</v>
      </c>
      <c r="D152" s="598" t="s">
        <v>2585</v>
      </c>
      <c r="E152" s="598">
        <f t="shared" si="4"/>
        <v>127</v>
      </c>
      <c r="F152" s="616" t="s">
        <v>1233</v>
      </c>
      <c r="G152" s="616" t="s">
        <v>4515</v>
      </c>
      <c r="H152" s="618" t="s">
        <v>1232</v>
      </c>
      <c r="I152" s="618" t="s">
        <v>271</v>
      </c>
      <c r="J152" s="618" t="s">
        <v>1506</v>
      </c>
      <c r="K152" s="618" t="s">
        <v>1245</v>
      </c>
      <c r="L152" s="618" t="s">
        <v>1736</v>
      </c>
      <c r="M152" s="679" t="s">
        <v>1505</v>
      </c>
      <c r="N152" s="620"/>
      <c r="O152" s="620"/>
      <c r="P152" s="663" t="s">
        <v>1074</v>
      </c>
      <c r="Q152" s="621"/>
      <c r="R152" s="598"/>
      <c r="S152" s="598"/>
      <c r="T152" s="598"/>
      <c r="U152" s="598" t="s">
        <v>962</v>
      </c>
      <c r="V152" s="663" t="s">
        <v>2586</v>
      </c>
      <c r="W152" s="779" t="s">
        <v>2587</v>
      </c>
      <c r="X152" s="598" t="s">
        <v>963</v>
      </c>
      <c r="Y152" s="624">
        <v>27770</v>
      </c>
      <c r="Z152" s="625">
        <f t="shared" ca="1" si="3"/>
        <v>50</v>
      </c>
      <c r="AA152" s="616" t="s">
        <v>2588</v>
      </c>
      <c r="AB152" s="598"/>
      <c r="AC152" s="598" t="s">
        <v>966</v>
      </c>
      <c r="AD152" s="598" t="s">
        <v>953</v>
      </c>
      <c r="AE152" s="616" t="s">
        <v>729</v>
      </c>
      <c r="AF152" s="616" t="s">
        <v>729</v>
      </c>
      <c r="AG152" s="616" t="s">
        <v>2589</v>
      </c>
      <c r="AH152" s="598"/>
      <c r="AI152" s="598"/>
      <c r="AJ152" s="598" t="s">
        <v>1125</v>
      </c>
      <c r="AK152" s="598"/>
      <c r="AL152" s="626"/>
      <c r="AM152" s="626"/>
    </row>
    <row r="153" spans="3:39" ht="18" customHeight="1">
      <c r="C153" s="598">
        <v>132</v>
      </c>
      <c r="D153" s="598" t="s">
        <v>3880</v>
      </c>
      <c r="E153" s="598">
        <f t="shared" si="4"/>
        <v>128</v>
      </c>
      <c r="F153" s="616" t="s">
        <v>1233</v>
      </c>
      <c r="G153" s="616" t="s">
        <v>4515</v>
      </c>
      <c r="H153" s="618" t="s">
        <v>1232</v>
      </c>
      <c r="I153" s="618" t="s">
        <v>271</v>
      </c>
      <c r="J153" s="618" t="s">
        <v>1506</v>
      </c>
      <c r="K153" s="618" t="s">
        <v>1245</v>
      </c>
      <c r="L153" s="618" t="s">
        <v>1736</v>
      </c>
      <c r="M153" s="679" t="s">
        <v>1505</v>
      </c>
      <c r="N153" s="620"/>
      <c r="O153" s="620"/>
      <c r="P153" s="663" t="s">
        <v>1074</v>
      </c>
      <c r="Q153" s="621"/>
      <c r="R153" s="598"/>
      <c r="S153" s="598"/>
      <c r="T153" s="598"/>
      <c r="U153" s="598" t="s">
        <v>962</v>
      </c>
      <c r="V153" s="663" t="s">
        <v>3882</v>
      </c>
      <c r="W153" s="779" t="s">
        <v>3883</v>
      </c>
      <c r="X153" s="598" t="s">
        <v>963</v>
      </c>
      <c r="Y153" s="624">
        <v>31231</v>
      </c>
      <c r="Z153" s="625">
        <f t="shared" ca="1" si="3"/>
        <v>40</v>
      </c>
      <c r="AA153" s="616" t="s">
        <v>3884</v>
      </c>
      <c r="AB153" s="652"/>
      <c r="AC153" s="598" t="s">
        <v>996</v>
      </c>
      <c r="AD153" s="598" t="s">
        <v>953</v>
      </c>
      <c r="AE153" s="616" t="s">
        <v>729</v>
      </c>
      <c r="AF153" s="616" t="s">
        <v>246</v>
      </c>
      <c r="AG153" s="616" t="s">
        <v>3885</v>
      </c>
      <c r="AH153" s="598"/>
      <c r="AI153" s="598"/>
      <c r="AJ153" s="598" t="s">
        <v>1125</v>
      </c>
      <c r="AK153" s="598"/>
      <c r="AL153" s="626"/>
      <c r="AM153" s="626"/>
    </row>
    <row r="154" spans="3:39" ht="18" customHeight="1">
      <c r="C154" s="598">
        <v>133</v>
      </c>
      <c r="D154" s="598" t="s">
        <v>1756</v>
      </c>
      <c r="E154" s="598">
        <f t="shared" si="4"/>
        <v>129</v>
      </c>
      <c r="F154" s="616" t="s">
        <v>4978</v>
      </c>
      <c r="G154" s="616" t="s">
        <v>4515</v>
      </c>
      <c r="H154" s="618" t="s">
        <v>1232</v>
      </c>
      <c r="I154" s="618" t="s">
        <v>271</v>
      </c>
      <c r="J154" s="618" t="s">
        <v>1506</v>
      </c>
      <c r="K154" s="618" t="s">
        <v>1245</v>
      </c>
      <c r="L154" s="618" t="s">
        <v>1736</v>
      </c>
      <c r="M154" s="679" t="s">
        <v>1505</v>
      </c>
      <c r="N154" s="620"/>
      <c r="O154" s="620"/>
      <c r="P154" s="663" t="s">
        <v>1074</v>
      </c>
      <c r="Q154" s="621"/>
      <c r="R154" s="598"/>
      <c r="S154" s="598"/>
      <c r="T154" s="598"/>
      <c r="U154" s="598" t="s">
        <v>962</v>
      </c>
      <c r="V154" s="663" t="s">
        <v>386</v>
      </c>
      <c r="W154" s="779" t="s">
        <v>1757</v>
      </c>
      <c r="X154" s="598" t="s">
        <v>963</v>
      </c>
      <c r="Y154" s="624">
        <v>24666</v>
      </c>
      <c r="Z154" s="625">
        <f t="shared" ca="1" si="3"/>
        <v>58</v>
      </c>
      <c r="AA154" s="616" t="s">
        <v>1758</v>
      </c>
      <c r="AB154" s="598" t="s">
        <v>1759</v>
      </c>
      <c r="AC154" s="598" t="s">
        <v>996</v>
      </c>
      <c r="AD154" s="598" t="s">
        <v>1018</v>
      </c>
      <c r="AE154" s="616" t="s">
        <v>729</v>
      </c>
      <c r="AF154" s="616" t="s">
        <v>729</v>
      </c>
      <c r="AG154" s="616" t="s">
        <v>1760</v>
      </c>
      <c r="AH154" s="598"/>
      <c r="AI154" s="598"/>
      <c r="AJ154" s="647" t="s">
        <v>1513</v>
      </c>
      <c r="AK154" s="598"/>
      <c r="AL154" s="626"/>
      <c r="AM154" s="626"/>
    </row>
    <row r="155" spans="3:39" ht="18" customHeight="1">
      <c r="C155" s="598">
        <v>134</v>
      </c>
      <c r="D155" s="598" t="s">
        <v>1761</v>
      </c>
      <c r="E155" s="598">
        <f t="shared" si="4"/>
        <v>130</v>
      </c>
      <c r="F155" s="616" t="s">
        <v>4978</v>
      </c>
      <c r="G155" s="616" t="s">
        <v>4515</v>
      </c>
      <c r="H155" s="618" t="s">
        <v>1232</v>
      </c>
      <c r="I155" s="618" t="s">
        <v>271</v>
      </c>
      <c r="J155" s="618" t="s">
        <v>1506</v>
      </c>
      <c r="K155" s="618" t="s">
        <v>1245</v>
      </c>
      <c r="L155" s="618" t="s">
        <v>1736</v>
      </c>
      <c r="M155" s="679" t="s">
        <v>1505</v>
      </c>
      <c r="N155" s="620"/>
      <c r="O155" s="620"/>
      <c r="P155" s="663" t="s">
        <v>1074</v>
      </c>
      <c r="Q155" s="621"/>
      <c r="R155" s="598"/>
      <c r="S155" s="598"/>
      <c r="T155" s="598"/>
      <c r="U155" s="598" t="s">
        <v>962</v>
      </c>
      <c r="V155" s="663" t="s">
        <v>411</v>
      </c>
      <c r="W155" s="779" t="s">
        <v>1762</v>
      </c>
      <c r="X155" s="598" t="s">
        <v>963</v>
      </c>
      <c r="Y155" s="624">
        <v>26465</v>
      </c>
      <c r="Z155" s="625">
        <f t="shared" ca="1" si="3"/>
        <v>53</v>
      </c>
      <c r="AA155" s="616" t="s">
        <v>1763</v>
      </c>
      <c r="AB155" s="598"/>
      <c r="AC155" s="598" t="s">
        <v>996</v>
      </c>
      <c r="AD155" s="598" t="s">
        <v>1018</v>
      </c>
      <c r="AE155" s="616" t="s">
        <v>729</v>
      </c>
      <c r="AF155" s="616" t="s">
        <v>729</v>
      </c>
      <c r="AG155" s="616" t="s">
        <v>1764</v>
      </c>
      <c r="AH155" s="598"/>
      <c r="AI155" s="598"/>
      <c r="AJ155" s="647" t="s">
        <v>1513</v>
      </c>
      <c r="AK155" s="598"/>
      <c r="AL155" s="626"/>
      <c r="AM155" s="626"/>
    </row>
    <row r="156" spans="3:39" ht="18" customHeight="1">
      <c r="C156" s="598">
        <v>135</v>
      </c>
      <c r="D156" s="598" t="s">
        <v>1643</v>
      </c>
      <c r="E156" s="598">
        <f t="shared" si="4"/>
        <v>131</v>
      </c>
      <c r="F156" s="616" t="s">
        <v>4978</v>
      </c>
      <c r="G156" s="616" t="s">
        <v>4515</v>
      </c>
      <c r="H156" s="618" t="s">
        <v>1232</v>
      </c>
      <c r="I156" s="618" t="s">
        <v>271</v>
      </c>
      <c r="J156" s="618" t="s">
        <v>1506</v>
      </c>
      <c r="K156" s="618" t="s">
        <v>1245</v>
      </c>
      <c r="L156" s="618" t="s">
        <v>1736</v>
      </c>
      <c r="M156" s="679" t="s">
        <v>1505</v>
      </c>
      <c r="N156" s="620"/>
      <c r="O156" s="620"/>
      <c r="P156" s="663" t="s">
        <v>1074</v>
      </c>
      <c r="Q156" s="621" t="s">
        <v>319</v>
      </c>
      <c r="R156" s="598"/>
      <c r="S156" s="598"/>
      <c r="T156" s="598"/>
      <c r="U156" s="598" t="s">
        <v>962</v>
      </c>
      <c r="V156" s="675" t="s">
        <v>423</v>
      </c>
      <c r="W156" s="779" t="s">
        <v>1644</v>
      </c>
      <c r="X156" s="598" t="s">
        <v>963</v>
      </c>
      <c r="Y156" s="624">
        <v>23557</v>
      </c>
      <c r="Z156" s="625">
        <f t="shared" ca="1" si="3"/>
        <v>61</v>
      </c>
      <c r="AA156" s="616" t="s">
        <v>1645</v>
      </c>
      <c r="AB156" s="598" t="s">
        <v>1646</v>
      </c>
      <c r="AC156" s="598" t="s">
        <v>996</v>
      </c>
      <c r="AD156" s="598" t="s">
        <v>1018</v>
      </c>
      <c r="AE156" s="616" t="s">
        <v>729</v>
      </c>
      <c r="AF156" s="616" t="s">
        <v>729</v>
      </c>
      <c r="AG156" s="616"/>
      <c r="AH156" s="598"/>
      <c r="AI156" s="598"/>
      <c r="AJ156" s="683" t="s">
        <v>1566</v>
      </c>
      <c r="AK156" s="598"/>
      <c r="AL156" s="626"/>
      <c r="AM156" s="626"/>
    </row>
    <row r="157" spans="3:39" ht="18" customHeight="1">
      <c r="C157" s="598">
        <v>136</v>
      </c>
      <c r="D157" s="598" t="s">
        <v>1270</v>
      </c>
      <c r="E157" s="598">
        <f t="shared" si="4"/>
        <v>132</v>
      </c>
      <c r="F157" s="616" t="s">
        <v>1233</v>
      </c>
      <c r="G157" s="616" t="s">
        <v>4515</v>
      </c>
      <c r="H157" s="618" t="s">
        <v>1232</v>
      </c>
      <c r="I157" s="618" t="s">
        <v>271</v>
      </c>
      <c r="J157" s="618" t="s">
        <v>1506</v>
      </c>
      <c r="K157" s="618" t="s">
        <v>1270</v>
      </c>
      <c r="L157" s="618" t="s">
        <v>1285</v>
      </c>
      <c r="M157" s="619"/>
      <c r="N157" s="620"/>
      <c r="O157" s="620"/>
      <c r="P157" s="667" t="s">
        <v>1115</v>
      </c>
      <c r="Q157" s="621"/>
      <c r="R157" s="598" t="s">
        <v>55</v>
      </c>
      <c r="S157" s="598" t="s">
        <v>178</v>
      </c>
      <c r="T157" s="598"/>
      <c r="U157" s="598" t="s">
        <v>1015</v>
      </c>
      <c r="V157" s="667" t="s">
        <v>609</v>
      </c>
      <c r="W157" s="779" t="s">
        <v>1271</v>
      </c>
      <c r="X157" s="598" t="s">
        <v>950</v>
      </c>
      <c r="Y157" s="624">
        <v>23479</v>
      </c>
      <c r="Z157" s="625">
        <f t="shared" ca="1" si="3"/>
        <v>61</v>
      </c>
      <c r="AA157" s="616" t="s">
        <v>1272</v>
      </c>
      <c r="AB157" s="598" t="s">
        <v>1273</v>
      </c>
      <c r="AC157" s="598" t="s">
        <v>966</v>
      </c>
      <c r="AD157" s="598" t="s">
        <v>953</v>
      </c>
      <c r="AE157" s="616" t="s">
        <v>729</v>
      </c>
      <c r="AF157" s="616" t="s">
        <v>1239</v>
      </c>
      <c r="AG157" s="616" t="s">
        <v>1274</v>
      </c>
      <c r="AH157" s="598"/>
      <c r="AI157" s="598"/>
      <c r="AJ157" s="598" t="s">
        <v>1125</v>
      </c>
      <c r="AK157" s="598"/>
      <c r="AL157" s="626"/>
      <c r="AM157" s="626"/>
    </row>
    <row r="158" spans="3:39" ht="18" customHeight="1">
      <c r="C158" s="598">
        <v>137</v>
      </c>
      <c r="D158" s="598" t="s">
        <v>1285</v>
      </c>
      <c r="E158" s="598">
        <f t="shared" si="4"/>
        <v>133</v>
      </c>
      <c r="F158" s="616" t="s">
        <v>1233</v>
      </c>
      <c r="G158" s="616" t="s">
        <v>4515</v>
      </c>
      <c r="H158" s="618" t="s">
        <v>1232</v>
      </c>
      <c r="I158" s="618" t="s">
        <v>271</v>
      </c>
      <c r="J158" s="618" t="s">
        <v>1506</v>
      </c>
      <c r="K158" s="618" t="s">
        <v>1270</v>
      </c>
      <c r="L158" s="618" t="s">
        <v>1285</v>
      </c>
      <c r="M158" s="619"/>
      <c r="N158" s="620"/>
      <c r="O158" s="620"/>
      <c r="P158" s="663" t="s">
        <v>1115</v>
      </c>
      <c r="Q158" s="621"/>
      <c r="R158" s="598" t="s">
        <v>69</v>
      </c>
      <c r="S158" s="598" t="s">
        <v>562</v>
      </c>
      <c r="T158" s="598"/>
      <c r="U158" s="598" t="s">
        <v>1090</v>
      </c>
      <c r="V158" s="663" t="s">
        <v>1287</v>
      </c>
      <c r="W158" s="779" t="s">
        <v>1288</v>
      </c>
      <c r="X158" s="598" t="s">
        <v>950</v>
      </c>
      <c r="Y158" s="624">
        <v>20169</v>
      </c>
      <c r="Z158" s="625">
        <f t="shared" ca="1" si="3"/>
        <v>70</v>
      </c>
      <c r="AA158" s="616" t="s">
        <v>1289</v>
      </c>
      <c r="AB158" s="598" t="s">
        <v>1290</v>
      </c>
      <c r="AC158" s="598" t="s">
        <v>966</v>
      </c>
      <c r="AD158" s="598" t="s">
        <v>953</v>
      </c>
      <c r="AE158" s="616" t="s">
        <v>729</v>
      </c>
      <c r="AF158" s="616" t="s">
        <v>729</v>
      </c>
      <c r="AG158" s="616" t="s">
        <v>1269</v>
      </c>
      <c r="AH158" s="598"/>
      <c r="AI158" s="598"/>
      <c r="AJ158" s="598" t="s">
        <v>1125</v>
      </c>
      <c r="AK158" s="598"/>
      <c r="AL158" s="626"/>
      <c r="AM158" s="626"/>
    </row>
    <row r="159" spans="3:39" ht="18" customHeight="1">
      <c r="C159" s="598">
        <v>138</v>
      </c>
      <c r="D159" s="598" t="s">
        <v>2017</v>
      </c>
      <c r="E159" s="598">
        <f t="shared" si="4"/>
        <v>134</v>
      </c>
      <c r="F159" s="616" t="s">
        <v>1233</v>
      </c>
      <c r="G159" s="616" t="s">
        <v>4515</v>
      </c>
      <c r="H159" s="618" t="s">
        <v>1232</v>
      </c>
      <c r="I159" s="618" t="s">
        <v>271</v>
      </c>
      <c r="J159" s="618" t="s">
        <v>1506</v>
      </c>
      <c r="K159" s="618" t="s">
        <v>1270</v>
      </c>
      <c r="L159" s="618" t="s">
        <v>1285</v>
      </c>
      <c r="M159" s="619"/>
      <c r="N159" s="620"/>
      <c r="O159" s="620"/>
      <c r="P159" s="663" t="s">
        <v>1115</v>
      </c>
      <c r="Q159" s="621"/>
      <c r="R159" s="598"/>
      <c r="S159" s="598"/>
      <c r="T159" s="598"/>
      <c r="U159" s="598" t="s">
        <v>1015</v>
      </c>
      <c r="V159" s="663" t="s">
        <v>2018</v>
      </c>
      <c r="W159" s="779" t="s">
        <v>2019</v>
      </c>
      <c r="X159" s="598" t="s">
        <v>950</v>
      </c>
      <c r="Y159" s="624">
        <v>28954</v>
      </c>
      <c r="Z159" s="625">
        <f t="shared" ca="1" si="3"/>
        <v>46</v>
      </c>
      <c r="AA159" s="616" t="s">
        <v>2020</v>
      </c>
      <c r="AB159" s="598" t="s">
        <v>2021</v>
      </c>
      <c r="AC159" s="598" t="s">
        <v>996</v>
      </c>
      <c r="AD159" s="598" t="s">
        <v>997</v>
      </c>
      <c r="AE159" s="616" t="s">
        <v>1494</v>
      </c>
      <c r="AF159" s="616" t="s">
        <v>1494</v>
      </c>
      <c r="AG159" s="616" t="s">
        <v>2016</v>
      </c>
      <c r="AH159" s="598"/>
      <c r="AI159" s="598" t="s">
        <v>2022</v>
      </c>
      <c r="AJ159" s="598" t="s">
        <v>1125</v>
      </c>
      <c r="AK159" s="598" t="s">
        <v>1020</v>
      </c>
      <c r="AL159" s="626"/>
      <c r="AM159" s="626"/>
    </row>
    <row r="160" spans="3:39" ht="18" customHeight="1">
      <c r="C160" s="598">
        <v>139</v>
      </c>
      <c r="D160" s="598" t="s">
        <v>1985</v>
      </c>
      <c r="E160" s="598">
        <f t="shared" si="4"/>
        <v>135</v>
      </c>
      <c r="F160" s="616" t="s">
        <v>1233</v>
      </c>
      <c r="G160" s="616" t="s">
        <v>4515</v>
      </c>
      <c r="H160" s="618" t="s">
        <v>1232</v>
      </c>
      <c r="I160" s="618" t="s">
        <v>271</v>
      </c>
      <c r="J160" s="618" t="s">
        <v>1506</v>
      </c>
      <c r="K160" s="618" t="s">
        <v>1270</v>
      </c>
      <c r="L160" s="618" t="s">
        <v>1285</v>
      </c>
      <c r="M160" s="619"/>
      <c r="N160" s="620"/>
      <c r="O160" s="620"/>
      <c r="P160" s="663" t="s">
        <v>1115</v>
      </c>
      <c r="Q160" s="621"/>
      <c r="R160" s="598"/>
      <c r="S160" s="598"/>
      <c r="T160" s="598"/>
      <c r="U160" s="598" t="s">
        <v>1015</v>
      </c>
      <c r="V160" s="663" t="s">
        <v>1986</v>
      </c>
      <c r="W160" s="779" t="s">
        <v>1987</v>
      </c>
      <c r="X160" s="598" t="s">
        <v>950</v>
      </c>
      <c r="Y160" s="624">
        <v>21997</v>
      </c>
      <c r="Z160" s="625">
        <f t="shared" ca="1" si="3"/>
        <v>65</v>
      </c>
      <c r="AA160" s="616" t="s">
        <v>1988</v>
      </c>
      <c r="AB160" s="598" t="s">
        <v>1989</v>
      </c>
      <c r="AC160" s="598" t="s">
        <v>966</v>
      </c>
      <c r="AD160" s="598" t="s">
        <v>953</v>
      </c>
      <c r="AE160" s="616" t="s">
        <v>729</v>
      </c>
      <c r="AF160" s="616" t="s">
        <v>729</v>
      </c>
      <c r="AG160" s="616" t="s">
        <v>1990</v>
      </c>
      <c r="AH160" s="598"/>
      <c r="AI160" s="598"/>
      <c r="AJ160" s="598" t="s">
        <v>1125</v>
      </c>
      <c r="AK160" s="598"/>
      <c r="AL160" s="626"/>
      <c r="AM160" s="626"/>
    </row>
    <row r="161" spans="3:39" ht="18" customHeight="1">
      <c r="C161" s="598">
        <v>140</v>
      </c>
      <c r="D161" s="598" t="s">
        <v>1330</v>
      </c>
      <c r="E161" s="598">
        <f t="shared" si="4"/>
        <v>136</v>
      </c>
      <c r="F161" s="616" t="s">
        <v>1233</v>
      </c>
      <c r="G161" s="616" t="s">
        <v>4515</v>
      </c>
      <c r="H161" s="618" t="s">
        <v>1232</v>
      </c>
      <c r="I161" s="618" t="s">
        <v>271</v>
      </c>
      <c r="J161" s="618" t="s">
        <v>1506</v>
      </c>
      <c r="K161" s="618" t="s">
        <v>1270</v>
      </c>
      <c r="L161" s="618" t="s">
        <v>1285</v>
      </c>
      <c r="M161" s="619"/>
      <c r="N161" s="620"/>
      <c r="O161" s="620"/>
      <c r="P161" s="663" t="s">
        <v>1115</v>
      </c>
      <c r="Q161" s="621"/>
      <c r="R161" s="598"/>
      <c r="S161" s="598"/>
      <c r="T161" s="598"/>
      <c r="U161" s="598" t="s">
        <v>1015</v>
      </c>
      <c r="V161" s="663" t="s">
        <v>1331</v>
      </c>
      <c r="W161" s="779" t="s">
        <v>1332</v>
      </c>
      <c r="X161" s="598" t="s">
        <v>950</v>
      </c>
      <c r="Y161" s="624">
        <v>24432</v>
      </c>
      <c r="Z161" s="625">
        <f t="shared" ca="1" si="3"/>
        <v>59</v>
      </c>
      <c r="AA161" s="616" t="s">
        <v>1333</v>
      </c>
      <c r="AB161" s="598" t="s">
        <v>1334</v>
      </c>
      <c r="AC161" s="598" t="s">
        <v>966</v>
      </c>
      <c r="AD161" s="598" t="s">
        <v>953</v>
      </c>
      <c r="AE161" s="616" t="s">
        <v>729</v>
      </c>
      <c r="AF161" s="616" t="s">
        <v>729</v>
      </c>
      <c r="AG161" s="616" t="s">
        <v>1425</v>
      </c>
      <c r="AH161" s="598"/>
      <c r="AI161" s="598"/>
      <c r="AJ161" s="598" t="s">
        <v>1125</v>
      </c>
      <c r="AK161" s="598"/>
      <c r="AL161" s="626"/>
      <c r="AM161" s="626"/>
    </row>
    <row r="162" spans="3:39" ht="18" customHeight="1">
      <c r="C162" s="598">
        <v>141</v>
      </c>
      <c r="D162" s="598" t="s">
        <v>2564</v>
      </c>
      <c r="E162" s="598">
        <f t="shared" si="4"/>
        <v>137</v>
      </c>
      <c r="F162" s="616" t="s">
        <v>1233</v>
      </c>
      <c r="G162" s="616" t="s">
        <v>4515</v>
      </c>
      <c r="H162" s="618" t="s">
        <v>1232</v>
      </c>
      <c r="I162" s="618" t="s">
        <v>271</v>
      </c>
      <c r="J162" s="618" t="s">
        <v>1506</v>
      </c>
      <c r="K162" s="618" t="s">
        <v>1270</v>
      </c>
      <c r="L162" s="618" t="s">
        <v>1285</v>
      </c>
      <c r="M162" s="619"/>
      <c r="N162" s="620"/>
      <c r="O162" s="620"/>
      <c r="P162" s="663" t="s">
        <v>1115</v>
      </c>
      <c r="Q162" s="621"/>
      <c r="R162" s="598"/>
      <c r="S162" s="598"/>
      <c r="T162" s="598"/>
      <c r="U162" s="598" t="s">
        <v>1015</v>
      </c>
      <c r="V162" s="663" t="s">
        <v>2565</v>
      </c>
      <c r="W162" s="779" t="s">
        <v>2566</v>
      </c>
      <c r="X162" s="598" t="s">
        <v>950</v>
      </c>
      <c r="Y162" s="624">
        <v>27473</v>
      </c>
      <c r="Z162" s="625">
        <f t="shared" ca="1" si="3"/>
        <v>50</v>
      </c>
      <c r="AA162" s="616" t="s">
        <v>2567</v>
      </c>
      <c r="AB162" s="598" t="s">
        <v>2568</v>
      </c>
      <c r="AC162" s="598" t="s">
        <v>996</v>
      </c>
      <c r="AD162" s="598" t="s">
        <v>997</v>
      </c>
      <c r="AE162" s="616" t="s">
        <v>729</v>
      </c>
      <c r="AF162" s="616" t="s">
        <v>729</v>
      </c>
      <c r="AG162" s="616" t="s">
        <v>2569</v>
      </c>
      <c r="AH162" s="598"/>
      <c r="AI162" s="598"/>
      <c r="AJ162" s="598" t="s">
        <v>1125</v>
      </c>
      <c r="AK162" s="598"/>
      <c r="AL162" s="626"/>
      <c r="AM162" s="626"/>
    </row>
    <row r="163" spans="3:39" ht="18" customHeight="1">
      <c r="C163" s="598">
        <v>142</v>
      </c>
      <c r="D163" s="598" t="s">
        <v>2011</v>
      </c>
      <c r="E163" s="598">
        <f t="shared" si="4"/>
        <v>138</v>
      </c>
      <c r="F163" s="616" t="s">
        <v>1233</v>
      </c>
      <c r="G163" s="616" t="s">
        <v>4515</v>
      </c>
      <c r="H163" s="618" t="s">
        <v>1232</v>
      </c>
      <c r="I163" s="618" t="s">
        <v>271</v>
      </c>
      <c r="J163" s="618" t="s">
        <v>1506</v>
      </c>
      <c r="K163" s="618" t="s">
        <v>1270</v>
      </c>
      <c r="L163" s="618" t="s">
        <v>1285</v>
      </c>
      <c r="M163" s="619"/>
      <c r="N163" s="620"/>
      <c r="O163" s="620"/>
      <c r="P163" s="663" t="s">
        <v>1115</v>
      </c>
      <c r="Q163" s="621"/>
      <c r="R163" s="598"/>
      <c r="S163" s="598"/>
      <c r="T163" s="598"/>
      <c r="U163" s="598" t="s">
        <v>1015</v>
      </c>
      <c r="V163" s="663" t="s">
        <v>2012</v>
      </c>
      <c r="W163" s="779" t="s">
        <v>2013</v>
      </c>
      <c r="X163" s="598" t="s">
        <v>950</v>
      </c>
      <c r="Y163" s="624">
        <v>27920</v>
      </c>
      <c r="Z163" s="625">
        <f t="shared" ca="1" si="3"/>
        <v>49</v>
      </c>
      <c r="AA163" s="616" t="s">
        <v>2014</v>
      </c>
      <c r="AB163" s="598" t="s">
        <v>2015</v>
      </c>
      <c r="AC163" s="598" t="s">
        <v>996</v>
      </c>
      <c r="AD163" s="598" t="s">
        <v>997</v>
      </c>
      <c r="AE163" s="616" t="s">
        <v>1494</v>
      </c>
      <c r="AF163" s="616" t="s">
        <v>1494</v>
      </c>
      <c r="AG163" s="616" t="s">
        <v>2016</v>
      </c>
      <c r="AH163" s="598"/>
      <c r="AI163" s="598"/>
      <c r="AJ163" s="598" t="s">
        <v>1125</v>
      </c>
      <c r="AK163" s="598"/>
      <c r="AL163" s="626"/>
      <c r="AM163" s="626"/>
    </row>
    <row r="164" spans="3:39" ht="18" customHeight="1">
      <c r="C164" s="598">
        <v>143</v>
      </c>
      <c r="D164" s="598" t="s">
        <v>1420</v>
      </c>
      <c r="E164" s="598">
        <f t="shared" si="4"/>
        <v>139</v>
      </c>
      <c r="F164" s="616" t="s">
        <v>1233</v>
      </c>
      <c r="G164" s="616" t="s">
        <v>4515</v>
      </c>
      <c r="H164" s="618" t="s">
        <v>1232</v>
      </c>
      <c r="I164" s="618" t="s">
        <v>271</v>
      </c>
      <c r="J164" s="618" t="s">
        <v>1506</v>
      </c>
      <c r="K164" s="618" t="s">
        <v>1270</v>
      </c>
      <c r="L164" s="618" t="s">
        <v>1285</v>
      </c>
      <c r="M164" s="619"/>
      <c r="N164" s="620"/>
      <c r="O164" s="620"/>
      <c r="P164" s="663" t="s">
        <v>1115</v>
      </c>
      <c r="Q164" s="621"/>
      <c r="R164" s="598"/>
      <c r="S164" s="598"/>
      <c r="T164" s="598"/>
      <c r="U164" s="598" t="s">
        <v>1015</v>
      </c>
      <c r="V164" s="663" t="s">
        <v>1421</v>
      </c>
      <c r="W164" s="779" t="s">
        <v>1422</v>
      </c>
      <c r="X164" s="598" t="s">
        <v>950</v>
      </c>
      <c r="Y164" s="624">
        <v>29363</v>
      </c>
      <c r="Z164" s="625">
        <f t="shared" ca="1" si="3"/>
        <v>45</v>
      </c>
      <c r="AA164" s="616" t="s">
        <v>1423</v>
      </c>
      <c r="AB164" s="598" t="s">
        <v>1424</v>
      </c>
      <c r="AC164" s="598" t="s">
        <v>996</v>
      </c>
      <c r="AD164" s="598" t="s">
        <v>997</v>
      </c>
      <c r="AE164" s="616" t="s">
        <v>729</v>
      </c>
      <c r="AF164" s="616" t="s">
        <v>729</v>
      </c>
      <c r="AG164" s="616" t="s">
        <v>1425</v>
      </c>
      <c r="AH164" s="598"/>
      <c r="AI164" s="598"/>
      <c r="AJ164" s="598" t="s">
        <v>1125</v>
      </c>
      <c r="AK164" s="598"/>
      <c r="AL164" s="626"/>
      <c r="AM164" s="626"/>
    </row>
    <row r="165" spans="3:39" ht="18" customHeight="1">
      <c r="C165" s="598">
        <v>144</v>
      </c>
      <c r="D165" s="598" t="s">
        <v>4549</v>
      </c>
      <c r="E165" s="598">
        <f t="shared" si="4"/>
        <v>140</v>
      </c>
      <c r="F165" s="616" t="s">
        <v>1233</v>
      </c>
      <c r="G165" s="616" t="s">
        <v>4515</v>
      </c>
      <c r="H165" s="618" t="s">
        <v>1232</v>
      </c>
      <c r="I165" s="618" t="s">
        <v>271</v>
      </c>
      <c r="J165" s="618" t="s">
        <v>1506</v>
      </c>
      <c r="K165" s="618" t="s">
        <v>1270</v>
      </c>
      <c r="L165" s="618" t="s">
        <v>1285</v>
      </c>
      <c r="M165" s="619"/>
      <c r="N165" s="620"/>
      <c r="O165" s="620"/>
      <c r="P165" s="663" t="s">
        <v>1115</v>
      </c>
      <c r="Q165" s="621"/>
      <c r="R165" s="598"/>
      <c r="S165" s="598"/>
      <c r="T165" s="598"/>
      <c r="U165" s="598" t="s">
        <v>1015</v>
      </c>
      <c r="V165" s="663" t="s">
        <v>4550</v>
      </c>
      <c r="W165" s="779" t="s">
        <v>4551</v>
      </c>
      <c r="X165" s="598" t="s">
        <v>950</v>
      </c>
      <c r="Y165" s="624">
        <v>30023</v>
      </c>
      <c r="Z165" s="625">
        <f t="shared" ca="1" si="3"/>
        <v>43</v>
      </c>
      <c r="AA165" s="616" t="s">
        <v>4552</v>
      </c>
      <c r="AB165" s="598" t="s">
        <v>4553</v>
      </c>
      <c r="AC165" s="598" t="s">
        <v>996</v>
      </c>
      <c r="AD165" s="598" t="s">
        <v>997</v>
      </c>
      <c r="AE165" s="616" t="s">
        <v>1494</v>
      </c>
      <c r="AF165" s="616" t="s">
        <v>1494</v>
      </c>
      <c r="AG165" s="616" t="s">
        <v>4554</v>
      </c>
      <c r="AH165" s="598"/>
      <c r="AI165" s="598"/>
      <c r="AJ165" s="598" t="s">
        <v>1125</v>
      </c>
      <c r="AK165" s="598"/>
      <c r="AL165" s="626"/>
      <c r="AM165" s="626"/>
    </row>
    <row r="166" spans="3:39" ht="18" customHeight="1">
      <c r="C166" s="598">
        <v>145</v>
      </c>
      <c r="D166" s="598" t="s">
        <v>4555</v>
      </c>
      <c r="E166" s="598">
        <f t="shared" si="4"/>
        <v>141</v>
      </c>
      <c r="F166" s="616" t="s">
        <v>4978</v>
      </c>
      <c r="G166" s="616" t="s">
        <v>4515</v>
      </c>
      <c r="H166" s="618" t="s">
        <v>1232</v>
      </c>
      <c r="I166" s="618" t="s">
        <v>271</v>
      </c>
      <c r="J166" s="618" t="s">
        <v>1506</v>
      </c>
      <c r="K166" s="618" t="s">
        <v>1270</v>
      </c>
      <c r="L166" s="618" t="s">
        <v>1285</v>
      </c>
      <c r="M166" s="619"/>
      <c r="N166" s="620"/>
      <c r="O166" s="620"/>
      <c r="P166" s="673" t="s">
        <v>1115</v>
      </c>
      <c r="Q166" s="621" t="s">
        <v>319</v>
      </c>
      <c r="R166" s="598"/>
      <c r="S166" s="598"/>
      <c r="T166" s="598"/>
      <c r="U166" s="598" t="s">
        <v>1015</v>
      </c>
      <c r="V166" s="673" t="s">
        <v>4556</v>
      </c>
      <c r="W166" s="779" t="s">
        <v>4557</v>
      </c>
      <c r="X166" s="598" t="s">
        <v>950</v>
      </c>
      <c r="Y166" s="624">
        <v>27368</v>
      </c>
      <c r="Z166" s="625">
        <f t="shared" ca="1" si="3"/>
        <v>51</v>
      </c>
      <c r="AA166" s="616" t="s">
        <v>4558</v>
      </c>
      <c r="AB166" s="598" t="s">
        <v>4559</v>
      </c>
      <c r="AC166" s="598" t="s">
        <v>996</v>
      </c>
      <c r="AD166" s="598" t="s">
        <v>1018</v>
      </c>
      <c r="AE166" s="616" t="s">
        <v>729</v>
      </c>
      <c r="AF166" s="616" t="s">
        <v>729</v>
      </c>
      <c r="AG166" s="640" t="s">
        <v>1252</v>
      </c>
      <c r="AH166" s="598"/>
      <c r="AI166" s="598" t="s">
        <v>4560</v>
      </c>
      <c r="AJ166" s="598" t="s">
        <v>1318</v>
      </c>
      <c r="AK166" s="598" t="s">
        <v>1020</v>
      </c>
      <c r="AL166" s="626"/>
      <c r="AM166" s="626"/>
    </row>
    <row r="167" spans="3:39" ht="18" customHeight="1">
      <c r="C167" s="598">
        <v>146</v>
      </c>
      <c r="D167" s="598" t="s">
        <v>1202</v>
      </c>
      <c r="E167" s="598">
        <f t="shared" si="4"/>
        <v>142</v>
      </c>
      <c r="F167" s="616" t="s">
        <v>1351</v>
      </c>
      <c r="G167" s="616" t="s">
        <v>729</v>
      </c>
      <c r="H167" s="618" t="s">
        <v>1202</v>
      </c>
      <c r="I167" s="618" t="s">
        <v>30</v>
      </c>
      <c r="J167" s="618" t="s">
        <v>1202</v>
      </c>
      <c r="K167" s="618" t="s">
        <v>1202</v>
      </c>
      <c r="L167" s="618" t="s">
        <v>1821</v>
      </c>
      <c r="M167" s="619" t="s">
        <v>959</v>
      </c>
      <c r="N167" s="620"/>
      <c r="O167" s="620"/>
      <c r="P167" s="667" t="s">
        <v>1044</v>
      </c>
      <c r="Q167" s="621"/>
      <c r="R167" s="598" t="s">
        <v>1227</v>
      </c>
      <c r="S167" s="598" t="s">
        <v>173</v>
      </c>
      <c r="T167" s="598" t="s">
        <v>55</v>
      </c>
      <c r="U167" s="598" t="s">
        <v>992</v>
      </c>
      <c r="V167" s="667" t="s">
        <v>30</v>
      </c>
      <c r="W167" s="779" t="s">
        <v>1203</v>
      </c>
      <c r="X167" s="598" t="s">
        <v>950</v>
      </c>
      <c r="Y167" s="624">
        <v>33065</v>
      </c>
      <c r="Z167" s="625">
        <f t="shared" ca="1" si="3"/>
        <v>35</v>
      </c>
      <c r="AA167" s="616" t="s">
        <v>1204</v>
      </c>
      <c r="AB167" s="598" t="s">
        <v>1205</v>
      </c>
      <c r="AC167" s="598" t="s">
        <v>1006</v>
      </c>
      <c r="AD167" s="598" t="s">
        <v>953</v>
      </c>
      <c r="AE167" s="616" t="s">
        <v>729</v>
      </c>
      <c r="AF167" s="616" t="s">
        <v>954</v>
      </c>
      <c r="AG167" s="616" t="s">
        <v>974</v>
      </c>
      <c r="AH167" s="598"/>
      <c r="AI167" s="598"/>
      <c r="AJ167" s="598"/>
      <c r="AK167" s="598"/>
      <c r="AL167" s="626"/>
      <c r="AM167" s="626"/>
    </row>
    <row r="168" spans="3:39" ht="18" customHeight="1">
      <c r="C168" s="598">
        <v>147</v>
      </c>
      <c r="D168" s="598" t="s">
        <v>1821</v>
      </c>
      <c r="E168" s="598">
        <f t="shared" si="4"/>
        <v>143</v>
      </c>
      <c r="F168" s="616" t="s">
        <v>1351</v>
      </c>
      <c r="G168" s="616" t="s">
        <v>729</v>
      </c>
      <c r="H168" s="618" t="s">
        <v>1202</v>
      </c>
      <c r="I168" s="618" t="s">
        <v>30</v>
      </c>
      <c r="J168" s="618" t="s">
        <v>1202</v>
      </c>
      <c r="K168" s="618" t="s">
        <v>1202</v>
      </c>
      <c r="L168" s="618" t="s">
        <v>1821</v>
      </c>
      <c r="M168" s="619" t="s">
        <v>959</v>
      </c>
      <c r="N168" s="620"/>
      <c r="O168" s="620"/>
      <c r="P168" s="663" t="s">
        <v>1044</v>
      </c>
      <c r="Q168" s="621"/>
      <c r="R168" s="598" t="s">
        <v>69</v>
      </c>
      <c r="S168" s="598" t="s">
        <v>69</v>
      </c>
      <c r="T168" s="598" t="s">
        <v>1825</v>
      </c>
      <c r="U168" s="598" t="s">
        <v>992</v>
      </c>
      <c r="V168" s="663" t="s">
        <v>1826</v>
      </c>
      <c r="W168" s="779" t="s">
        <v>1827</v>
      </c>
      <c r="X168" s="598" t="s">
        <v>950</v>
      </c>
      <c r="Y168" s="624">
        <v>37601</v>
      </c>
      <c r="Z168" s="625">
        <f t="shared" ca="1" si="3"/>
        <v>23</v>
      </c>
      <c r="AA168" s="616" t="s">
        <v>1828</v>
      </c>
      <c r="AB168" s="598" t="s">
        <v>1829</v>
      </c>
      <c r="AC168" s="598" t="s">
        <v>1006</v>
      </c>
      <c r="AD168" s="598" t="s">
        <v>953</v>
      </c>
      <c r="AE168" s="616" t="s">
        <v>729</v>
      </c>
      <c r="AF168" s="616" t="s">
        <v>729</v>
      </c>
      <c r="AG168" s="616" t="s">
        <v>1830</v>
      </c>
      <c r="AH168" s="598"/>
      <c r="AI168" s="598"/>
      <c r="AJ168" s="598" t="s">
        <v>1011</v>
      </c>
      <c r="AK168" s="598"/>
      <c r="AL168" s="626"/>
      <c r="AM168" s="626"/>
    </row>
    <row r="169" spans="3:39" ht="18" customHeight="1">
      <c r="C169" s="598">
        <v>148</v>
      </c>
      <c r="D169" s="598" t="s">
        <v>1843</v>
      </c>
      <c r="E169" s="598">
        <f t="shared" si="4"/>
        <v>144</v>
      </c>
      <c r="F169" s="616" t="s">
        <v>1351</v>
      </c>
      <c r="G169" s="616" t="s">
        <v>729</v>
      </c>
      <c r="H169" s="618" t="s">
        <v>1202</v>
      </c>
      <c r="I169" s="618" t="s">
        <v>30</v>
      </c>
      <c r="J169" s="618" t="s">
        <v>1202</v>
      </c>
      <c r="K169" s="618" t="s">
        <v>1202</v>
      </c>
      <c r="L169" s="618" t="s">
        <v>1821</v>
      </c>
      <c r="M169" s="619" t="s">
        <v>959</v>
      </c>
      <c r="N169" s="620"/>
      <c r="O169" s="620"/>
      <c r="P169" s="663" t="s">
        <v>1044</v>
      </c>
      <c r="Q169" s="621"/>
      <c r="R169" s="598"/>
      <c r="S169" s="598"/>
      <c r="T169" s="598"/>
      <c r="U169" s="598" t="s">
        <v>992</v>
      </c>
      <c r="V169" s="663" t="s">
        <v>216</v>
      </c>
      <c r="W169" s="779" t="s">
        <v>1844</v>
      </c>
      <c r="X169" s="598" t="s">
        <v>950</v>
      </c>
      <c r="Y169" s="624">
        <v>37601</v>
      </c>
      <c r="Z169" s="625">
        <f t="shared" ca="1" si="3"/>
        <v>23</v>
      </c>
      <c r="AA169" s="616" t="s">
        <v>1845</v>
      </c>
      <c r="AB169" s="598" t="s">
        <v>1846</v>
      </c>
      <c r="AC169" s="598" t="s">
        <v>1006</v>
      </c>
      <c r="AD169" s="598" t="s">
        <v>953</v>
      </c>
      <c r="AE169" s="616" t="s">
        <v>729</v>
      </c>
      <c r="AF169" s="616" t="s">
        <v>729</v>
      </c>
      <c r="AG169" s="616" t="s">
        <v>1847</v>
      </c>
      <c r="AH169" s="598"/>
      <c r="AI169" s="598"/>
      <c r="AJ169" s="598"/>
      <c r="AK169" s="598"/>
      <c r="AL169" s="626"/>
      <c r="AM169" s="626"/>
    </row>
    <row r="170" spans="3:39" ht="18" customHeight="1">
      <c r="C170" s="598">
        <v>149</v>
      </c>
      <c r="D170" s="598" t="s">
        <v>2087</v>
      </c>
      <c r="E170" s="598">
        <f t="shared" si="4"/>
        <v>145</v>
      </c>
      <c r="F170" s="616" t="s">
        <v>1351</v>
      </c>
      <c r="G170" s="616" t="s">
        <v>729</v>
      </c>
      <c r="H170" s="618" t="s">
        <v>1202</v>
      </c>
      <c r="I170" s="618" t="s">
        <v>30</v>
      </c>
      <c r="J170" s="618" t="s">
        <v>1202</v>
      </c>
      <c r="K170" s="618" t="s">
        <v>1202</v>
      </c>
      <c r="L170" s="618" t="s">
        <v>1821</v>
      </c>
      <c r="M170" s="619" t="s">
        <v>959</v>
      </c>
      <c r="N170" s="620"/>
      <c r="O170" s="620"/>
      <c r="P170" s="663" t="s">
        <v>1044</v>
      </c>
      <c r="Q170" s="621"/>
      <c r="R170" s="598" t="s">
        <v>173</v>
      </c>
      <c r="S170" s="598" t="s">
        <v>514</v>
      </c>
      <c r="T170" s="598" t="s">
        <v>55</v>
      </c>
      <c r="U170" s="598" t="s">
        <v>992</v>
      </c>
      <c r="V170" s="663" t="s">
        <v>335</v>
      </c>
      <c r="W170" s="779" t="s">
        <v>2089</v>
      </c>
      <c r="X170" s="598" t="s">
        <v>950</v>
      </c>
      <c r="Y170" s="624">
        <v>36694</v>
      </c>
      <c r="Z170" s="625">
        <f t="shared" ca="1" si="3"/>
        <v>25</v>
      </c>
      <c r="AA170" s="616" t="s">
        <v>2090</v>
      </c>
      <c r="AB170" s="598" t="s">
        <v>2091</v>
      </c>
      <c r="AC170" s="598" t="s">
        <v>1006</v>
      </c>
      <c r="AD170" s="598" t="s">
        <v>953</v>
      </c>
      <c r="AE170" s="616" t="s">
        <v>729</v>
      </c>
      <c r="AF170" s="616" t="s">
        <v>729</v>
      </c>
      <c r="AG170" s="616" t="s">
        <v>2092</v>
      </c>
      <c r="AH170" s="598"/>
      <c r="AI170" s="598"/>
      <c r="AJ170" s="598" t="s">
        <v>1011</v>
      </c>
      <c r="AK170" s="598"/>
      <c r="AL170" s="626"/>
      <c r="AM170" s="626"/>
    </row>
    <row r="171" spans="3:39" ht="18" customHeight="1">
      <c r="C171" s="598">
        <v>150</v>
      </c>
      <c r="D171" s="598" t="s">
        <v>1820</v>
      </c>
      <c r="E171" s="598">
        <f t="shared" si="4"/>
        <v>146</v>
      </c>
      <c r="F171" s="616" t="s">
        <v>1351</v>
      </c>
      <c r="G171" s="616" t="s">
        <v>729</v>
      </c>
      <c r="H171" s="618" t="s">
        <v>1195</v>
      </c>
      <c r="I171" s="618" t="s">
        <v>30</v>
      </c>
      <c r="J171" s="618" t="s">
        <v>1202</v>
      </c>
      <c r="K171" s="618" t="s">
        <v>1202</v>
      </c>
      <c r="L171" s="618" t="s">
        <v>1821</v>
      </c>
      <c r="M171" s="619" t="s">
        <v>959</v>
      </c>
      <c r="N171" s="620"/>
      <c r="O171" s="620"/>
      <c r="P171" s="673" t="s">
        <v>1044</v>
      </c>
      <c r="Q171" s="621"/>
      <c r="R171" s="598" t="s">
        <v>55</v>
      </c>
      <c r="S171" s="598" t="s">
        <v>178</v>
      </c>
      <c r="T171" s="598"/>
      <c r="U171" s="598" t="s">
        <v>992</v>
      </c>
      <c r="V171" s="673" t="s">
        <v>257</v>
      </c>
      <c r="W171" s="779" t="s">
        <v>1822</v>
      </c>
      <c r="X171" s="598" t="s">
        <v>950</v>
      </c>
      <c r="Y171" s="624">
        <v>35604</v>
      </c>
      <c r="Z171" s="625">
        <f t="shared" ca="1" si="3"/>
        <v>28</v>
      </c>
      <c r="AA171" s="616" t="s">
        <v>1823</v>
      </c>
      <c r="AB171" s="598" t="s">
        <v>1824</v>
      </c>
      <c r="AC171" s="598" t="s">
        <v>1006</v>
      </c>
      <c r="AD171" s="598" t="s">
        <v>953</v>
      </c>
      <c r="AE171" s="616" t="s">
        <v>729</v>
      </c>
      <c r="AF171" s="616" t="s">
        <v>729</v>
      </c>
      <c r="AG171" s="616" t="s">
        <v>1755</v>
      </c>
      <c r="AH171" s="598"/>
      <c r="AI171" s="598"/>
      <c r="AJ171" s="598"/>
      <c r="AK171" s="598"/>
      <c r="AL171" s="626"/>
      <c r="AM171" s="626"/>
    </row>
    <row r="172" spans="3:39" ht="18" customHeight="1">
      <c r="C172" s="598">
        <v>151</v>
      </c>
      <c r="D172" s="598" t="s">
        <v>1734</v>
      </c>
      <c r="E172" s="598">
        <f t="shared" si="4"/>
        <v>147</v>
      </c>
      <c r="F172" s="616" t="s">
        <v>1351</v>
      </c>
      <c r="G172" s="616" t="s">
        <v>729</v>
      </c>
      <c r="H172" s="618" t="s">
        <v>1202</v>
      </c>
      <c r="I172" s="618" t="s">
        <v>30</v>
      </c>
      <c r="J172" s="618" t="s">
        <v>1202</v>
      </c>
      <c r="K172" s="618" t="s">
        <v>1528</v>
      </c>
      <c r="L172" s="618" t="s">
        <v>1734</v>
      </c>
      <c r="M172" s="704" t="s">
        <v>1778</v>
      </c>
      <c r="N172" s="620"/>
      <c r="O172" s="620"/>
      <c r="P172" s="663" t="s">
        <v>1074</v>
      </c>
      <c r="Q172" s="621"/>
      <c r="R172" s="598" t="s">
        <v>69</v>
      </c>
      <c r="S172" s="598" t="s">
        <v>69</v>
      </c>
      <c r="T172" s="598"/>
      <c r="U172" s="598" t="s">
        <v>962</v>
      </c>
      <c r="V172" s="663" t="s">
        <v>177</v>
      </c>
      <c r="W172" s="779" t="s">
        <v>1737</v>
      </c>
      <c r="X172" s="598" t="s">
        <v>963</v>
      </c>
      <c r="Y172" s="624">
        <v>28283</v>
      </c>
      <c r="Z172" s="625">
        <f t="shared" ca="1" si="3"/>
        <v>48</v>
      </c>
      <c r="AA172" s="616" t="s">
        <v>1738</v>
      </c>
      <c r="AB172" s="598" t="s">
        <v>1739</v>
      </c>
      <c r="AC172" s="598" t="s">
        <v>966</v>
      </c>
      <c r="AD172" s="598" t="s">
        <v>953</v>
      </c>
      <c r="AE172" s="616" t="s">
        <v>729</v>
      </c>
      <c r="AF172" s="616" t="s">
        <v>729</v>
      </c>
      <c r="AG172" s="616" t="s">
        <v>1740</v>
      </c>
      <c r="AH172" s="598"/>
      <c r="AI172" s="598"/>
      <c r="AJ172" s="598" t="s">
        <v>1011</v>
      </c>
      <c r="AK172" s="598"/>
      <c r="AL172" s="626"/>
      <c r="AM172" s="626"/>
    </row>
    <row r="173" spans="3:39" ht="18" customHeight="1">
      <c r="C173" s="598">
        <v>152</v>
      </c>
      <c r="D173" s="598" t="s">
        <v>1778</v>
      </c>
      <c r="E173" s="598">
        <f t="shared" si="4"/>
        <v>148</v>
      </c>
      <c r="F173" s="616" t="s">
        <v>4978</v>
      </c>
      <c r="G173" s="616" t="s">
        <v>729</v>
      </c>
      <c r="H173" s="618" t="s">
        <v>1202</v>
      </c>
      <c r="I173" s="618" t="s">
        <v>30</v>
      </c>
      <c r="J173" s="618" t="s">
        <v>1202</v>
      </c>
      <c r="K173" s="618" t="s">
        <v>1528</v>
      </c>
      <c r="L173" s="618" t="s">
        <v>1734</v>
      </c>
      <c r="M173" s="704" t="s">
        <v>1778</v>
      </c>
      <c r="N173" s="620"/>
      <c r="O173" s="620"/>
      <c r="P173" s="663" t="s">
        <v>1074</v>
      </c>
      <c r="Q173" s="621" t="s">
        <v>319</v>
      </c>
      <c r="R173" s="598" t="s">
        <v>69</v>
      </c>
      <c r="S173" s="598" t="s">
        <v>562</v>
      </c>
      <c r="T173" s="598"/>
      <c r="U173" s="598" t="s">
        <v>962</v>
      </c>
      <c r="V173" s="663" t="s">
        <v>197</v>
      </c>
      <c r="W173" s="779" t="s">
        <v>1781</v>
      </c>
      <c r="X173" s="598" t="s">
        <v>963</v>
      </c>
      <c r="Y173" s="624">
        <v>30250</v>
      </c>
      <c r="Z173" s="625">
        <f t="shared" ca="1" si="3"/>
        <v>43</v>
      </c>
      <c r="AA173" s="616" t="s">
        <v>1782</v>
      </c>
      <c r="AB173" s="598" t="s">
        <v>1783</v>
      </c>
      <c r="AC173" s="598" t="s">
        <v>996</v>
      </c>
      <c r="AD173" s="598" t="s">
        <v>997</v>
      </c>
      <c r="AE173" s="616" t="s">
        <v>729</v>
      </c>
      <c r="AF173" s="640" t="s">
        <v>729</v>
      </c>
      <c r="AG173" s="616" t="s">
        <v>1745</v>
      </c>
      <c r="AH173" s="598"/>
      <c r="AI173" s="598"/>
      <c r="AJ173" s="634" t="s">
        <v>1359</v>
      </c>
      <c r="AK173" s="598"/>
      <c r="AL173" s="626"/>
      <c r="AM173" s="626"/>
    </row>
    <row r="174" spans="3:39" ht="18" customHeight="1">
      <c r="C174" s="598">
        <v>153</v>
      </c>
      <c r="D174" s="598" t="s">
        <v>2590</v>
      </c>
      <c r="E174" s="598">
        <f t="shared" si="4"/>
        <v>149</v>
      </c>
      <c r="F174" s="616" t="s">
        <v>1351</v>
      </c>
      <c r="G174" s="616" t="s">
        <v>729</v>
      </c>
      <c r="H174" s="618" t="s">
        <v>1202</v>
      </c>
      <c r="I174" s="618" t="s">
        <v>30</v>
      </c>
      <c r="J174" s="618" t="s">
        <v>1202</v>
      </c>
      <c r="K174" s="618" t="s">
        <v>1528</v>
      </c>
      <c r="L174" s="618" t="s">
        <v>1734</v>
      </c>
      <c r="M174" s="704" t="s">
        <v>1778</v>
      </c>
      <c r="N174" s="620"/>
      <c r="O174" s="620"/>
      <c r="P174" s="663" t="s">
        <v>1074</v>
      </c>
      <c r="Q174" s="621"/>
      <c r="R174" s="598"/>
      <c r="S174" s="598"/>
      <c r="T174" s="598"/>
      <c r="U174" s="598" t="s">
        <v>962</v>
      </c>
      <c r="V174" s="663" t="s">
        <v>288</v>
      </c>
      <c r="W174" s="779" t="s">
        <v>2591</v>
      </c>
      <c r="X174" s="598" t="s">
        <v>963</v>
      </c>
      <c r="Y174" s="624">
        <v>33040</v>
      </c>
      <c r="Z174" s="625">
        <f t="shared" ca="1" si="3"/>
        <v>35</v>
      </c>
      <c r="AA174" s="616" t="s">
        <v>2592</v>
      </c>
      <c r="AB174" s="598" t="s">
        <v>2593</v>
      </c>
      <c r="AC174" s="598" t="s">
        <v>996</v>
      </c>
      <c r="AD174" s="598" t="s">
        <v>997</v>
      </c>
      <c r="AE174" s="616" t="s">
        <v>729</v>
      </c>
      <c r="AF174" s="616" t="s">
        <v>729</v>
      </c>
      <c r="AG174" s="616" t="s">
        <v>2594</v>
      </c>
      <c r="AH174" s="598"/>
      <c r="AI174" s="598"/>
      <c r="AJ174" s="598" t="s">
        <v>1349</v>
      </c>
      <c r="AK174" s="598"/>
      <c r="AL174" s="626"/>
      <c r="AM174" s="626"/>
    </row>
    <row r="175" spans="3:39" ht="18" customHeight="1">
      <c r="C175" s="598">
        <v>154</v>
      </c>
      <c r="D175" s="598" t="s">
        <v>1751</v>
      </c>
      <c r="E175" s="598">
        <f t="shared" si="4"/>
        <v>150</v>
      </c>
      <c r="F175" s="616" t="s">
        <v>4978</v>
      </c>
      <c r="G175" s="616" t="s">
        <v>729</v>
      </c>
      <c r="H175" s="618" t="s">
        <v>1202</v>
      </c>
      <c r="I175" s="618" t="s">
        <v>30</v>
      </c>
      <c r="J175" s="618" t="s">
        <v>1202</v>
      </c>
      <c r="K175" s="618" t="s">
        <v>1528</v>
      </c>
      <c r="L175" s="618" t="s">
        <v>1734</v>
      </c>
      <c r="M175" s="704" t="s">
        <v>1778</v>
      </c>
      <c r="N175" s="620"/>
      <c r="O175" s="620"/>
      <c r="P175" s="663" t="s">
        <v>1074</v>
      </c>
      <c r="Q175" s="621" t="s">
        <v>319</v>
      </c>
      <c r="R175" s="598"/>
      <c r="S175" s="598"/>
      <c r="T175" s="598"/>
      <c r="U175" s="598" t="s">
        <v>962</v>
      </c>
      <c r="V175" s="663" t="s">
        <v>217</v>
      </c>
      <c r="W175" s="779" t="s">
        <v>1752</v>
      </c>
      <c r="X175" s="598" t="s">
        <v>963</v>
      </c>
      <c r="Y175" s="624">
        <v>28259</v>
      </c>
      <c r="Z175" s="625">
        <f t="shared" ca="1" si="3"/>
        <v>48</v>
      </c>
      <c r="AA175" s="616" t="s">
        <v>1753</v>
      </c>
      <c r="AB175" s="598" t="s">
        <v>1754</v>
      </c>
      <c r="AC175" s="598" t="s">
        <v>996</v>
      </c>
      <c r="AD175" s="598" t="s">
        <v>1018</v>
      </c>
      <c r="AE175" s="616" t="s">
        <v>729</v>
      </c>
      <c r="AF175" s="640" t="s">
        <v>729</v>
      </c>
      <c r="AG175" s="616" t="s">
        <v>1323</v>
      </c>
      <c r="AH175" s="598"/>
      <c r="AI175" s="598"/>
      <c r="AJ175" s="634" t="s">
        <v>1359</v>
      </c>
      <c r="AK175" s="598"/>
      <c r="AL175" s="626"/>
      <c r="AM175" s="626"/>
    </row>
    <row r="176" spans="3:39" ht="18" customHeight="1">
      <c r="C176" s="598">
        <v>155</v>
      </c>
      <c r="D176" s="598" t="s">
        <v>1779</v>
      </c>
      <c r="E176" s="598">
        <f t="shared" si="4"/>
        <v>151</v>
      </c>
      <c r="F176" s="616" t="s">
        <v>4978</v>
      </c>
      <c r="G176" s="616" t="s">
        <v>729</v>
      </c>
      <c r="H176" s="618" t="s">
        <v>1202</v>
      </c>
      <c r="I176" s="618" t="s">
        <v>30</v>
      </c>
      <c r="J176" s="618" t="s">
        <v>1202</v>
      </c>
      <c r="K176" s="618" t="s">
        <v>1528</v>
      </c>
      <c r="L176" s="618" t="s">
        <v>1734</v>
      </c>
      <c r="M176" s="704" t="s">
        <v>1778</v>
      </c>
      <c r="N176" s="620"/>
      <c r="O176" s="620"/>
      <c r="P176" s="663" t="s">
        <v>1074</v>
      </c>
      <c r="Q176" s="621" t="s">
        <v>319</v>
      </c>
      <c r="R176" s="598"/>
      <c r="S176" s="598"/>
      <c r="T176" s="598"/>
      <c r="U176" s="598" t="s">
        <v>962</v>
      </c>
      <c r="V176" s="663" t="s">
        <v>237</v>
      </c>
      <c r="W176" s="779" t="s">
        <v>1784</v>
      </c>
      <c r="X176" s="598" t="s">
        <v>963</v>
      </c>
      <c r="Y176" s="624">
        <v>29734</v>
      </c>
      <c r="Z176" s="625">
        <f t="shared" ca="1" si="3"/>
        <v>44</v>
      </c>
      <c r="AA176" s="616" t="s">
        <v>1785</v>
      </c>
      <c r="AB176" s="598" t="s">
        <v>1786</v>
      </c>
      <c r="AC176" s="598" t="s">
        <v>996</v>
      </c>
      <c r="AD176" s="598" t="s">
        <v>1018</v>
      </c>
      <c r="AE176" s="616" t="s">
        <v>1078</v>
      </c>
      <c r="AF176" s="640" t="s">
        <v>729</v>
      </c>
      <c r="AG176" s="640" t="s">
        <v>1252</v>
      </c>
      <c r="AH176" s="598"/>
      <c r="AI176" s="598"/>
      <c r="AJ176" s="634" t="s">
        <v>1359</v>
      </c>
      <c r="AK176" s="598"/>
      <c r="AL176" s="626"/>
      <c r="AM176" s="626"/>
    </row>
    <row r="177" spans="1:39" ht="18" customHeight="1">
      <c r="C177" s="598">
        <v>156</v>
      </c>
      <c r="D177" s="598" t="s">
        <v>1500</v>
      </c>
      <c r="E177" s="598">
        <f t="shared" si="4"/>
        <v>152</v>
      </c>
      <c r="F177" s="616" t="s">
        <v>4978</v>
      </c>
      <c r="G177" s="616" t="s">
        <v>729</v>
      </c>
      <c r="H177" s="618" t="s">
        <v>1202</v>
      </c>
      <c r="I177" s="618" t="s">
        <v>30</v>
      </c>
      <c r="J177" s="618" t="s">
        <v>1202</v>
      </c>
      <c r="K177" s="618" t="s">
        <v>1528</v>
      </c>
      <c r="L177" s="618" t="s">
        <v>1734</v>
      </c>
      <c r="M177" s="704" t="s">
        <v>1778</v>
      </c>
      <c r="N177" s="620"/>
      <c r="O177" s="620"/>
      <c r="P177" s="663" t="s">
        <v>1074</v>
      </c>
      <c r="Q177" s="621" t="s">
        <v>319</v>
      </c>
      <c r="R177" s="598"/>
      <c r="S177" s="598"/>
      <c r="T177" s="598"/>
      <c r="U177" s="598" t="s">
        <v>962</v>
      </c>
      <c r="V177" s="663" t="s">
        <v>258</v>
      </c>
      <c r="W177" s="779" t="s">
        <v>1502</v>
      </c>
      <c r="X177" s="598" t="s">
        <v>963</v>
      </c>
      <c r="Y177" s="624">
        <v>30020</v>
      </c>
      <c r="Z177" s="625">
        <f t="shared" ca="1" si="3"/>
        <v>43</v>
      </c>
      <c r="AA177" s="616" t="s">
        <v>1503</v>
      </c>
      <c r="AB177" s="598" t="s">
        <v>1504</v>
      </c>
      <c r="AC177" s="598" t="s">
        <v>996</v>
      </c>
      <c r="AD177" s="598" t="s">
        <v>1018</v>
      </c>
      <c r="AE177" s="616" t="s">
        <v>729</v>
      </c>
      <c r="AF177" s="640" t="s">
        <v>729</v>
      </c>
      <c r="AG177" s="616" t="s">
        <v>1323</v>
      </c>
      <c r="AH177" s="598"/>
      <c r="AI177" s="598"/>
      <c r="AJ177" s="634" t="s">
        <v>1359</v>
      </c>
      <c r="AK177" s="598"/>
      <c r="AL177" s="626"/>
      <c r="AM177" s="626"/>
    </row>
    <row r="178" spans="1:39" ht="18" customHeight="1">
      <c r="C178" s="598">
        <v>157</v>
      </c>
      <c r="D178" s="598" t="s">
        <v>1787</v>
      </c>
      <c r="E178" s="598">
        <f t="shared" si="4"/>
        <v>153</v>
      </c>
      <c r="F178" s="616" t="s">
        <v>4978</v>
      </c>
      <c r="G178" s="616" t="s">
        <v>729</v>
      </c>
      <c r="H178" s="618" t="s">
        <v>1202</v>
      </c>
      <c r="I178" s="618" t="s">
        <v>30</v>
      </c>
      <c r="J178" s="618" t="s">
        <v>1202</v>
      </c>
      <c r="K178" s="618" t="s">
        <v>1528</v>
      </c>
      <c r="L178" s="618" t="s">
        <v>1734</v>
      </c>
      <c r="M178" s="704" t="s">
        <v>1778</v>
      </c>
      <c r="N178" s="620"/>
      <c r="O178" s="620"/>
      <c r="P178" s="663" t="s">
        <v>1074</v>
      </c>
      <c r="Q178" s="621" t="s">
        <v>319</v>
      </c>
      <c r="R178" s="598"/>
      <c r="S178" s="598"/>
      <c r="T178" s="598"/>
      <c r="U178" s="598" t="s">
        <v>962</v>
      </c>
      <c r="V178" s="663" t="s">
        <v>273</v>
      </c>
      <c r="W178" s="779" t="s">
        <v>1788</v>
      </c>
      <c r="X178" s="598" t="s">
        <v>963</v>
      </c>
      <c r="Y178" s="624">
        <v>34787</v>
      </c>
      <c r="Z178" s="625">
        <f t="shared" ca="1" si="3"/>
        <v>30</v>
      </c>
      <c r="AA178" s="616" t="s">
        <v>1789</v>
      </c>
      <c r="AB178" s="598" t="s">
        <v>1790</v>
      </c>
      <c r="AC178" s="598" t="s">
        <v>996</v>
      </c>
      <c r="AD178" s="598" t="s">
        <v>1018</v>
      </c>
      <c r="AE178" s="616" t="s">
        <v>1494</v>
      </c>
      <c r="AF178" s="616" t="s">
        <v>1791</v>
      </c>
      <c r="AG178" s="616" t="s">
        <v>1792</v>
      </c>
      <c r="AH178" s="598"/>
      <c r="AI178" s="598"/>
      <c r="AJ178" s="634" t="s">
        <v>1359</v>
      </c>
      <c r="AK178" s="598"/>
      <c r="AL178" s="626"/>
      <c r="AM178" s="626"/>
    </row>
    <row r="179" spans="1:39" ht="18" customHeight="1">
      <c r="C179" s="598">
        <v>158</v>
      </c>
      <c r="D179" s="598" t="s">
        <v>4561</v>
      </c>
      <c r="E179" s="598">
        <f t="shared" si="4"/>
        <v>154</v>
      </c>
      <c r="F179" s="616" t="s">
        <v>1351</v>
      </c>
      <c r="G179" s="616" t="s">
        <v>729</v>
      </c>
      <c r="H179" s="618" t="s">
        <v>1202</v>
      </c>
      <c r="I179" s="618" t="s">
        <v>30</v>
      </c>
      <c r="J179" s="618" t="s">
        <v>1202</v>
      </c>
      <c r="K179" s="618" t="s">
        <v>1528</v>
      </c>
      <c r="L179" s="618" t="s">
        <v>1734</v>
      </c>
      <c r="M179" s="704" t="s">
        <v>1778</v>
      </c>
      <c r="N179" s="620"/>
      <c r="O179" s="620"/>
      <c r="P179" s="663" t="s">
        <v>1074</v>
      </c>
      <c r="Q179" s="621"/>
      <c r="R179" s="598"/>
      <c r="S179" s="598"/>
      <c r="T179" s="598"/>
      <c r="U179" s="598" t="s">
        <v>962</v>
      </c>
      <c r="V179" s="663" t="s">
        <v>4562</v>
      </c>
      <c r="W179" s="779" t="s">
        <v>4563</v>
      </c>
      <c r="X179" s="598" t="s">
        <v>963</v>
      </c>
      <c r="Y179" s="624">
        <v>29202</v>
      </c>
      <c r="Z179" s="625">
        <f t="shared" ca="1" si="3"/>
        <v>46</v>
      </c>
      <c r="AA179" s="616" t="s">
        <v>4564</v>
      </c>
      <c r="AB179" s="652"/>
      <c r="AC179" s="598" t="s">
        <v>996</v>
      </c>
      <c r="AD179" s="598" t="s">
        <v>1018</v>
      </c>
      <c r="AE179" s="616" t="s">
        <v>729</v>
      </c>
      <c r="AF179" s="616" t="s">
        <v>729</v>
      </c>
      <c r="AG179" s="616" t="s">
        <v>4565</v>
      </c>
      <c r="AH179" s="598"/>
      <c r="AI179" s="598" t="s">
        <v>4566</v>
      </c>
      <c r="AJ179" s="598" t="s">
        <v>1440</v>
      </c>
      <c r="AK179" s="622" t="s">
        <v>4567</v>
      </c>
      <c r="AL179" s="626"/>
      <c r="AM179" s="626"/>
    </row>
    <row r="180" spans="1:39" ht="18" customHeight="1">
      <c r="A180" s="174"/>
      <c r="B180" s="174"/>
      <c r="C180" s="598">
        <v>159</v>
      </c>
      <c r="D180" s="598" t="s">
        <v>4568</v>
      </c>
      <c r="E180" s="598">
        <f t="shared" si="4"/>
        <v>155</v>
      </c>
      <c r="F180" s="685" t="s">
        <v>1351</v>
      </c>
      <c r="G180" s="598" t="s">
        <v>729</v>
      </c>
      <c r="H180" s="618" t="s">
        <v>1202</v>
      </c>
      <c r="I180" s="618" t="s">
        <v>30</v>
      </c>
      <c r="J180" s="618" t="s">
        <v>1202</v>
      </c>
      <c r="K180" s="618" t="s">
        <v>1528</v>
      </c>
      <c r="L180" s="618" t="s">
        <v>1734</v>
      </c>
      <c r="M180" s="784" t="s">
        <v>1778</v>
      </c>
      <c r="N180" s="620"/>
      <c r="O180" s="636"/>
      <c r="P180" s="672" t="s">
        <v>1074</v>
      </c>
      <c r="Q180" s="637"/>
      <c r="R180" s="627"/>
      <c r="S180" s="627"/>
      <c r="T180" s="627"/>
      <c r="U180" s="671" t="s">
        <v>992</v>
      </c>
      <c r="V180" s="672" t="s">
        <v>4569</v>
      </c>
      <c r="W180" s="780" t="s">
        <v>4570</v>
      </c>
      <c r="X180" s="598" t="s">
        <v>963</v>
      </c>
      <c r="Y180" s="624">
        <v>33672</v>
      </c>
      <c r="Z180" s="625">
        <f t="shared" ca="1" si="3"/>
        <v>33</v>
      </c>
      <c r="AA180" s="598" t="s">
        <v>4571</v>
      </c>
      <c r="AB180" s="646"/>
      <c r="AC180" s="598" t="s">
        <v>996</v>
      </c>
      <c r="AD180" s="598" t="s">
        <v>1018</v>
      </c>
      <c r="AE180" s="598" t="s">
        <v>729</v>
      </c>
      <c r="AF180" s="598" t="s">
        <v>729</v>
      </c>
      <c r="AG180" s="598" t="s">
        <v>2390</v>
      </c>
      <c r="AH180" s="627"/>
      <c r="AI180" s="687" t="s">
        <v>4572</v>
      </c>
      <c r="AJ180" s="598" t="s">
        <v>1440</v>
      </c>
      <c r="AK180" s="688" t="s">
        <v>4567</v>
      </c>
      <c r="AL180" s="627"/>
      <c r="AM180" s="627"/>
    </row>
    <row r="181" spans="1:39" ht="18" customHeight="1">
      <c r="A181" s="174"/>
      <c r="B181" s="174"/>
      <c r="C181" s="598">
        <v>160</v>
      </c>
      <c r="D181" s="689" t="s">
        <v>1770</v>
      </c>
      <c r="E181" s="598">
        <f t="shared" si="4"/>
        <v>156</v>
      </c>
      <c r="F181" s="689" t="s">
        <v>1351</v>
      </c>
      <c r="G181" s="689" t="s">
        <v>729</v>
      </c>
      <c r="H181" s="690" t="s">
        <v>1202</v>
      </c>
      <c r="I181" s="690" t="s">
        <v>30</v>
      </c>
      <c r="J181" s="690" t="s">
        <v>1202</v>
      </c>
      <c r="K181" s="690" t="s">
        <v>1528</v>
      </c>
      <c r="L181" s="690" t="s">
        <v>1734</v>
      </c>
      <c r="M181" s="785" t="s">
        <v>1778</v>
      </c>
      <c r="N181" s="620"/>
      <c r="O181" s="691"/>
      <c r="P181" s="692" t="s">
        <v>1074</v>
      </c>
      <c r="Q181" s="693"/>
      <c r="R181" s="694"/>
      <c r="S181" s="694"/>
      <c r="T181" s="694"/>
      <c r="U181" s="689" t="s">
        <v>962</v>
      </c>
      <c r="V181" s="672" t="s">
        <v>1771</v>
      </c>
      <c r="W181" s="786" t="s">
        <v>1772</v>
      </c>
      <c r="X181" s="689" t="s">
        <v>963</v>
      </c>
      <c r="Y181" s="695">
        <v>30297</v>
      </c>
      <c r="Z181" s="696">
        <f t="shared" ca="1" si="3"/>
        <v>43</v>
      </c>
      <c r="AA181" s="689" t="s">
        <v>1773</v>
      </c>
      <c r="AB181" s="694"/>
      <c r="AC181" s="689" t="s">
        <v>996</v>
      </c>
      <c r="AD181" s="689" t="s">
        <v>1018</v>
      </c>
      <c r="AE181" s="689" t="s">
        <v>729</v>
      </c>
      <c r="AF181" s="689" t="s">
        <v>729</v>
      </c>
      <c r="AG181" s="689" t="s">
        <v>1774</v>
      </c>
      <c r="AH181" s="697" t="s">
        <v>1775</v>
      </c>
      <c r="AI181" s="689" t="s">
        <v>1776</v>
      </c>
      <c r="AJ181" s="689" t="s">
        <v>1349</v>
      </c>
      <c r="AK181" s="689" t="s">
        <v>1777</v>
      </c>
      <c r="AL181" s="627"/>
      <c r="AM181" s="627"/>
    </row>
    <row r="182" spans="1:39" ht="18" customHeight="1">
      <c r="A182" s="174"/>
      <c r="B182" s="174"/>
      <c r="C182" s="598">
        <v>161</v>
      </c>
      <c r="D182" s="598" t="s">
        <v>4574</v>
      </c>
      <c r="E182" s="598">
        <f t="shared" si="4"/>
        <v>157</v>
      </c>
      <c r="F182" s="685" t="s">
        <v>1351</v>
      </c>
      <c r="G182" s="598" t="s">
        <v>729</v>
      </c>
      <c r="H182" s="618" t="s">
        <v>1202</v>
      </c>
      <c r="I182" s="618" t="s">
        <v>30</v>
      </c>
      <c r="J182" s="618" t="s">
        <v>1202</v>
      </c>
      <c r="K182" s="618" t="s">
        <v>1528</v>
      </c>
      <c r="L182" s="618" t="s">
        <v>1734</v>
      </c>
      <c r="M182" s="784" t="s">
        <v>1778</v>
      </c>
      <c r="N182" s="620"/>
      <c r="O182" s="636"/>
      <c r="P182" s="698" t="s">
        <v>1074</v>
      </c>
      <c r="Q182" s="637"/>
      <c r="R182" s="627"/>
      <c r="S182" s="627"/>
      <c r="T182" s="627"/>
      <c r="U182" s="699" t="s">
        <v>962</v>
      </c>
      <c r="V182" s="698" t="s">
        <v>4575</v>
      </c>
      <c r="W182" s="780" t="s">
        <v>4576</v>
      </c>
      <c r="X182" s="598" t="s">
        <v>963</v>
      </c>
      <c r="Y182" s="624">
        <v>30831</v>
      </c>
      <c r="Z182" s="625">
        <f t="shared" ca="1" si="3"/>
        <v>41</v>
      </c>
      <c r="AA182" s="598" t="s">
        <v>4577</v>
      </c>
      <c r="AB182" s="627"/>
      <c r="AC182" s="598" t="s">
        <v>996</v>
      </c>
      <c r="AD182" s="598" t="s">
        <v>1018</v>
      </c>
      <c r="AE182" s="598" t="s">
        <v>729</v>
      </c>
      <c r="AF182" s="598" t="s">
        <v>729</v>
      </c>
      <c r="AG182" s="598" t="s">
        <v>1533</v>
      </c>
      <c r="AH182" s="627"/>
      <c r="AI182" s="687" t="s">
        <v>4578</v>
      </c>
      <c r="AJ182" s="598" t="s">
        <v>1349</v>
      </c>
      <c r="AK182" s="598" t="s">
        <v>4567</v>
      </c>
      <c r="AL182" s="627"/>
      <c r="AM182" s="627"/>
    </row>
    <row r="183" spans="1:39" ht="18" customHeight="1">
      <c r="C183" s="598">
        <v>162</v>
      </c>
      <c r="D183" s="598" t="s">
        <v>1528</v>
      </c>
      <c r="E183" s="598">
        <f t="shared" si="4"/>
        <v>157</v>
      </c>
      <c r="F183" s="616"/>
      <c r="G183" s="616" t="s">
        <v>729</v>
      </c>
      <c r="H183" s="618" t="s">
        <v>1202</v>
      </c>
      <c r="I183" s="618" t="s">
        <v>30</v>
      </c>
      <c r="J183" s="618" t="s">
        <v>1202</v>
      </c>
      <c r="K183" s="618" t="s">
        <v>1528</v>
      </c>
      <c r="L183" s="619" t="s">
        <v>1831</v>
      </c>
      <c r="M183" s="619"/>
      <c r="N183" s="620"/>
      <c r="O183" s="620"/>
      <c r="P183" s="667" t="s">
        <v>1115</v>
      </c>
      <c r="Q183" s="621"/>
      <c r="R183" s="598" t="s">
        <v>55</v>
      </c>
      <c r="S183" s="598" t="s">
        <v>178</v>
      </c>
      <c r="T183" s="598"/>
      <c r="U183" s="598"/>
      <c r="V183" s="667" t="s">
        <v>179</v>
      </c>
      <c r="W183" s="779" t="s">
        <v>1530</v>
      </c>
      <c r="X183" s="598" t="s">
        <v>963</v>
      </c>
      <c r="Y183" s="624">
        <v>31834</v>
      </c>
      <c r="Z183" s="625">
        <f t="shared" ca="1" si="3"/>
        <v>38</v>
      </c>
      <c r="AA183" s="616" t="s">
        <v>1531</v>
      </c>
      <c r="AB183" s="598" t="s">
        <v>1532</v>
      </c>
      <c r="AC183" s="598" t="s">
        <v>966</v>
      </c>
      <c r="AD183" s="598" t="s">
        <v>953</v>
      </c>
      <c r="AE183" s="616" t="s">
        <v>729</v>
      </c>
      <c r="AF183" s="616" t="s">
        <v>1239</v>
      </c>
      <c r="AG183" s="616" t="s">
        <v>1533</v>
      </c>
      <c r="AH183" s="598" t="s">
        <v>955</v>
      </c>
      <c r="AI183" s="598"/>
      <c r="AJ183" s="598"/>
      <c r="AK183" s="598"/>
      <c r="AL183" s="626"/>
      <c r="AM183" s="626"/>
    </row>
    <row r="184" spans="1:39" ht="18" customHeight="1">
      <c r="C184" s="598">
        <v>163</v>
      </c>
      <c r="D184" s="598" t="s">
        <v>1831</v>
      </c>
      <c r="E184" s="598">
        <f t="shared" si="4"/>
        <v>158</v>
      </c>
      <c r="F184" s="616" t="s">
        <v>4978</v>
      </c>
      <c r="G184" s="616" t="s">
        <v>729</v>
      </c>
      <c r="H184" s="618" t="s">
        <v>1202</v>
      </c>
      <c r="I184" s="618" t="s">
        <v>30</v>
      </c>
      <c r="J184" s="618" t="s">
        <v>1202</v>
      </c>
      <c r="K184" s="618" t="s">
        <v>1528</v>
      </c>
      <c r="L184" s="619" t="s">
        <v>1831</v>
      </c>
      <c r="M184" s="619"/>
      <c r="N184" s="620"/>
      <c r="O184" s="620"/>
      <c r="P184" s="663" t="s">
        <v>1115</v>
      </c>
      <c r="Q184" s="621" t="s">
        <v>319</v>
      </c>
      <c r="R184" s="598" t="s">
        <v>69</v>
      </c>
      <c r="S184" s="598" t="s">
        <v>69</v>
      </c>
      <c r="T184" s="598"/>
      <c r="U184" s="598" t="s">
        <v>962</v>
      </c>
      <c r="V184" s="663" t="s">
        <v>198</v>
      </c>
      <c r="W184" s="779" t="s">
        <v>1832</v>
      </c>
      <c r="X184" s="598" t="s">
        <v>963</v>
      </c>
      <c r="Y184" s="624">
        <v>35647</v>
      </c>
      <c r="Z184" s="625">
        <f t="shared" ca="1" si="3"/>
        <v>28</v>
      </c>
      <c r="AA184" s="616" t="s">
        <v>1833</v>
      </c>
      <c r="AB184" s="598" t="s">
        <v>1834</v>
      </c>
      <c r="AC184" s="598" t="s">
        <v>996</v>
      </c>
      <c r="AD184" s="598" t="s">
        <v>1018</v>
      </c>
      <c r="AE184" s="616" t="s">
        <v>729</v>
      </c>
      <c r="AF184" s="640" t="s">
        <v>729</v>
      </c>
      <c r="AG184" s="616" t="s">
        <v>1835</v>
      </c>
      <c r="AH184" s="598"/>
      <c r="AI184" s="598"/>
      <c r="AJ184" s="634" t="s">
        <v>1359</v>
      </c>
      <c r="AK184" s="598"/>
      <c r="AL184" s="626"/>
      <c r="AM184" s="626"/>
    </row>
    <row r="185" spans="1:39" ht="18" customHeight="1">
      <c r="C185" s="598">
        <v>164</v>
      </c>
      <c r="D185" s="598" t="s">
        <v>1544</v>
      </c>
      <c r="E185" s="598">
        <f t="shared" si="4"/>
        <v>159</v>
      </c>
      <c r="F185" s="616" t="s">
        <v>1351</v>
      </c>
      <c r="G185" s="616" t="s">
        <v>729</v>
      </c>
      <c r="H185" s="618" t="s">
        <v>1202</v>
      </c>
      <c r="I185" s="618" t="s">
        <v>30</v>
      </c>
      <c r="J185" s="618" t="s">
        <v>1202</v>
      </c>
      <c r="K185" s="618" t="s">
        <v>1528</v>
      </c>
      <c r="L185" s="619" t="s">
        <v>1831</v>
      </c>
      <c r="M185" s="619"/>
      <c r="N185" s="620"/>
      <c r="O185" s="620"/>
      <c r="P185" s="663" t="s">
        <v>1115</v>
      </c>
      <c r="Q185" s="621"/>
      <c r="R185" s="598"/>
      <c r="S185" s="598"/>
      <c r="T185" s="598"/>
      <c r="U185" s="598" t="s">
        <v>992</v>
      </c>
      <c r="V185" s="663" t="s">
        <v>1545</v>
      </c>
      <c r="W185" s="779" t="s">
        <v>1546</v>
      </c>
      <c r="X185" s="598" t="s">
        <v>963</v>
      </c>
      <c r="Y185" s="624">
        <v>37703</v>
      </c>
      <c r="Z185" s="625">
        <f t="shared" ca="1" si="3"/>
        <v>22</v>
      </c>
      <c r="AA185" s="616" t="s">
        <v>1547</v>
      </c>
      <c r="AB185" s="598" t="s">
        <v>1548</v>
      </c>
      <c r="AC185" s="598" t="s">
        <v>1006</v>
      </c>
      <c r="AD185" s="598" t="s">
        <v>953</v>
      </c>
      <c r="AE185" s="616" t="s">
        <v>729</v>
      </c>
      <c r="AF185" s="616" t="s">
        <v>729</v>
      </c>
      <c r="AG185" s="616"/>
      <c r="AH185" s="598"/>
      <c r="AI185" s="598"/>
      <c r="AJ185" s="598" t="s">
        <v>1440</v>
      </c>
      <c r="AK185" s="598"/>
      <c r="AL185" s="626"/>
      <c r="AM185" s="626"/>
    </row>
    <row r="186" spans="1:39" ht="18" customHeight="1">
      <c r="C186" s="598">
        <v>165</v>
      </c>
      <c r="D186" s="598" t="s">
        <v>3857</v>
      </c>
      <c r="E186" s="598">
        <f t="shared" si="4"/>
        <v>160</v>
      </c>
      <c r="F186" s="616" t="s">
        <v>3808</v>
      </c>
      <c r="G186" s="616" t="s">
        <v>729</v>
      </c>
      <c r="H186" s="618" t="s">
        <v>1202</v>
      </c>
      <c r="I186" s="618" t="s">
        <v>30</v>
      </c>
      <c r="J186" s="618" t="s">
        <v>1202</v>
      </c>
      <c r="K186" s="618" t="s">
        <v>1528</v>
      </c>
      <c r="L186" s="619" t="s">
        <v>1831</v>
      </c>
      <c r="M186" s="619"/>
      <c r="N186" s="620"/>
      <c r="O186" s="620"/>
      <c r="P186" s="663" t="s">
        <v>1115</v>
      </c>
      <c r="Q186" s="621" t="s">
        <v>319</v>
      </c>
      <c r="R186" s="598"/>
      <c r="S186" s="598"/>
      <c r="T186" s="598"/>
      <c r="U186" s="598" t="s">
        <v>992</v>
      </c>
      <c r="V186" s="663" t="s">
        <v>218</v>
      </c>
      <c r="W186" s="779" t="s">
        <v>3858</v>
      </c>
      <c r="X186" s="598" t="s">
        <v>963</v>
      </c>
      <c r="Y186" s="624">
        <v>32923</v>
      </c>
      <c r="Z186" s="625">
        <f t="shared" ca="1" si="3"/>
        <v>35</v>
      </c>
      <c r="AA186" s="616" t="s">
        <v>2994</v>
      </c>
      <c r="AB186" s="598" t="s">
        <v>3859</v>
      </c>
      <c r="AC186" s="598" t="s">
        <v>996</v>
      </c>
      <c r="AD186" s="598" t="s">
        <v>1018</v>
      </c>
      <c r="AE186" s="616" t="s">
        <v>246</v>
      </c>
      <c r="AF186" s="616" t="s">
        <v>246</v>
      </c>
      <c r="AG186" s="616" t="s">
        <v>3860</v>
      </c>
      <c r="AH186" s="598"/>
      <c r="AI186" s="598"/>
      <c r="AJ186" s="634" t="s">
        <v>1359</v>
      </c>
      <c r="AK186" s="598"/>
      <c r="AL186" s="626"/>
      <c r="AM186" s="626"/>
    </row>
    <row r="187" spans="1:39" ht="18" customHeight="1">
      <c r="C187" s="598">
        <v>166</v>
      </c>
      <c r="D187" s="598" t="s">
        <v>1804</v>
      </c>
      <c r="E187" s="598">
        <f t="shared" si="4"/>
        <v>161</v>
      </c>
      <c r="F187" s="616" t="s">
        <v>4978</v>
      </c>
      <c r="G187" s="616" t="s">
        <v>729</v>
      </c>
      <c r="H187" s="618" t="s">
        <v>1202</v>
      </c>
      <c r="I187" s="618" t="s">
        <v>30</v>
      </c>
      <c r="J187" s="618" t="s">
        <v>1202</v>
      </c>
      <c r="K187" s="618" t="s">
        <v>1528</v>
      </c>
      <c r="L187" s="619" t="s">
        <v>1831</v>
      </c>
      <c r="M187" s="619"/>
      <c r="N187" s="620"/>
      <c r="O187" s="620"/>
      <c r="P187" s="663" t="s">
        <v>1115</v>
      </c>
      <c r="Q187" s="621" t="s">
        <v>319</v>
      </c>
      <c r="R187" s="598"/>
      <c r="S187" s="598"/>
      <c r="T187" s="598"/>
      <c r="U187" s="598" t="s">
        <v>992</v>
      </c>
      <c r="V187" s="663" t="s">
        <v>238</v>
      </c>
      <c r="W187" s="779" t="s">
        <v>1805</v>
      </c>
      <c r="X187" s="598" t="s">
        <v>963</v>
      </c>
      <c r="Y187" s="624">
        <v>37793</v>
      </c>
      <c r="Z187" s="625">
        <f t="shared" ca="1" si="3"/>
        <v>22</v>
      </c>
      <c r="AA187" s="616" t="s">
        <v>1806</v>
      </c>
      <c r="AB187" s="598" t="s">
        <v>1807</v>
      </c>
      <c r="AC187" s="598" t="s">
        <v>996</v>
      </c>
      <c r="AD187" s="598" t="s">
        <v>997</v>
      </c>
      <c r="AE187" s="616" t="s">
        <v>729</v>
      </c>
      <c r="AF187" s="640" t="s">
        <v>729</v>
      </c>
      <c r="AG187" s="616" t="s">
        <v>1808</v>
      </c>
      <c r="AH187" s="598"/>
      <c r="AI187" s="598"/>
      <c r="AJ187" s="634" t="s">
        <v>1359</v>
      </c>
      <c r="AK187" s="598"/>
      <c r="AL187" s="626"/>
      <c r="AM187" s="626"/>
    </row>
    <row r="188" spans="1:39" ht="18" customHeight="1">
      <c r="C188" s="598">
        <v>167</v>
      </c>
      <c r="D188" s="598" t="s">
        <v>3861</v>
      </c>
      <c r="E188" s="598">
        <f t="shared" si="4"/>
        <v>162</v>
      </c>
      <c r="F188" s="616" t="s">
        <v>3808</v>
      </c>
      <c r="G188" s="616" t="s">
        <v>729</v>
      </c>
      <c r="H188" s="618" t="s">
        <v>1202</v>
      </c>
      <c r="I188" s="618" t="s">
        <v>30</v>
      </c>
      <c r="J188" s="618" t="s">
        <v>1202</v>
      </c>
      <c r="K188" s="618" t="s">
        <v>1528</v>
      </c>
      <c r="L188" s="619" t="s">
        <v>1831</v>
      </c>
      <c r="M188" s="619"/>
      <c r="N188" s="620"/>
      <c r="O188" s="620"/>
      <c r="P188" s="663" t="s">
        <v>1115</v>
      </c>
      <c r="Q188" s="621" t="s">
        <v>319</v>
      </c>
      <c r="R188" s="598"/>
      <c r="S188" s="598"/>
      <c r="T188" s="598"/>
      <c r="U188" s="598" t="s">
        <v>992</v>
      </c>
      <c r="V188" s="663" t="s">
        <v>3863</v>
      </c>
      <c r="W188" s="779" t="s">
        <v>3864</v>
      </c>
      <c r="X188" s="598" t="s">
        <v>963</v>
      </c>
      <c r="Y188" s="624">
        <v>32111</v>
      </c>
      <c r="Z188" s="625">
        <f t="shared" ca="1" si="3"/>
        <v>38</v>
      </c>
      <c r="AA188" s="616" t="s">
        <v>3865</v>
      </c>
      <c r="AB188" s="598" t="s">
        <v>3866</v>
      </c>
      <c r="AC188" s="598" t="s">
        <v>996</v>
      </c>
      <c r="AD188" s="598" t="s">
        <v>1018</v>
      </c>
      <c r="AE188" s="616" t="s">
        <v>246</v>
      </c>
      <c r="AF188" s="616" t="s">
        <v>246</v>
      </c>
      <c r="AG188" s="616" t="s">
        <v>3867</v>
      </c>
      <c r="AH188" s="598"/>
      <c r="AI188" s="598"/>
      <c r="AJ188" s="700" t="s">
        <v>1612</v>
      </c>
      <c r="AK188" s="598"/>
      <c r="AL188" s="626"/>
      <c r="AM188" s="626"/>
    </row>
    <row r="189" spans="1:39" ht="18" customHeight="1">
      <c r="C189" s="598">
        <v>168</v>
      </c>
      <c r="D189" s="598" t="s">
        <v>1647</v>
      </c>
      <c r="E189" s="598">
        <f t="shared" si="4"/>
        <v>163</v>
      </c>
      <c r="F189" s="616" t="s">
        <v>4978</v>
      </c>
      <c r="G189" s="616" t="s">
        <v>729</v>
      </c>
      <c r="H189" s="618" t="s">
        <v>1202</v>
      </c>
      <c r="I189" s="618" t="s">
        <v>30</v>
      </c>
      <c r="J189" s="618" t="s">
        <v>1202</v>
      </c>
      <c r="K189" s="618" t="s">
        <v>1528</v>
      </c>
      <c r="L189" s="619" t="s">
        <v>1831</v>
      </c>
      <c r="M189" s="619"/>
      <c r="N189" s="620"/>
      <c r="O189" s="620"/>
      <c r="P189" s="663" t="s">
        <v>1115</v>
      </c>
      <c r="Q189" s="621" t="s">
        <v>319</v>
      </c>
      <c r="R189" s="598"/>
      <c r="S189" s="598"/>
      <c r="T189" s="598"/>
      <c r="U189" s="598" t="s">
        <v>992</v>
      </c>
      <c r="V189" s="663" t="s">
        <v>274</v>
      </c>
      <c r="W189" s="779" t="s">
        <v>1649</v>
      </c>
      <c r="X189" s="598" t="s">
        <v>963</v>
      </c>
      <c r="Y189" s="624">
        <v>37979</v>
      </c>
      <c r="Z189" s="625">
        <f t="shared" ca="1" si="3"/>
        <v>22</v>
      </c>
      <c r="AA189" s="616" t="s">
        <v>1650</v>
      </c>
      <c r="AB189" s="598" t="s">
        <v>1651</v>
      </c>
      <c r="AC189" s="598" t="s">
        <v>996</v>
      </c>
      <c r="AD189" s="598" t="s">
        <v>1018</v>
      </c>
      <c r="AE189" s="616" t="s">
        <v>729</v>
      </c>
      <c r="AF189" s="616" t="s">
        <v>729</v>
      </c>
      <c r="AG189" s="616" t="s">
        <v>1323</v>
      </c>
      <c r="AH189" s="598"/>
      <c r="AI189" s="598"/>
      <c r="AJ189" s="647" t="s">
        <v>1513</v>
      </c>
      <c r="AK189" s="598"/>
      <c r="AL189" s="626"/>
      <c r="AM189" s="626"/>
    </row>
    <row r="190" spans="1:39" ht="18" customHeight="1">
      <c r="C190" s="598">
        <v>169</v>
      </c>
      <c r="D190" s="598" t="s">
        <v>1253</v>
      </c>
      <c r="E190" s="598">
        <f t="shared" si="4"/>
        <v>164</v>
      </c>
      <c r="F190" s="616" t="s">
        <v>1233</v>
      </c>
      <c r="G190" s="616" t="s">
        <v>729</v>
      </c>
      <c r="H190" s="618" t="s">
        <v>1202</v>
      </c>
      <c r="I190" s="618" t="s">
        <v>30</v>
      </c>
      <c r="J190" s="618" t="s">
        <v>1202</v>
      </c>
      <c r="K190" s="618" t="s">
        <v>1253</v>
      </c>
      <c r="L190" s="618" t="s">
        <v>1685</v>
      </c>
      <c r="M190" s="619"/>
      <c r="N190" s="620"/>
      <c r="O190" s="620"/>
      <c r="P190" s="667" t="s">
        <v>1127</v>
      </c>
      <c r="Q190" s="621"/>
      <c r="R190" s="598" t="s">
        <v>55</v>
      </c>
      <c r="S190" s="598" t="s">
        <v>178</v>
      </c>
      <c r="T190" s="598"/>
      <c r="U190" s="598" t="s">
        <v>1015</v>
      </c>
      <c r="V190" s="667" t="s">
        <v>1254</v>
      </c>
      <c r="W190" s="779" t="s">
        <v>1255</v>
      </c>
      <c r="X190" s="598" t="s">
        <v>950</v>
      </c>
      <c r="Y190" s="624">
        <v>29411</v>
      </c>
      <c r="Z190" s="625">
        <f t="shared" ca="1" si="3"/>
        <v>45</v>
      </c>
      <c r="AA190" s="616" t="s">
        <v>1256</v>
      </c>
      <c r="AB190" s="598" t="s">
        <v>1257</v>
      </c>
      <c r="AC190" s="598" t="s">
        <v>966</v>
      </c>
      <c r="AD190" s="598" t="s">
        <v>953</v>
      </c>
      <c r="AE190" s="616" t="s">
        <v>729</v>
      </c>
      <c r="AF190" s="616" t="s">
        <v>1239</v>
      </c>
      <c r="AG190" s="616" t="s">
        <v>1258</v>
      </c>
      <c r="AH190" s="598"/>
      <c r="AI190" s="598"/>
      <c r="AJ190" s="598"/>
      <c r="AK190" s="598"/>
      <c r="AL190" s="626"/>
      <c r="AM190" s="626"/>
    </row>
    <row r="191" spans="1:39" ht="18" customHeight="1">
      <c r="C191" s="598">
        <v>170</v>
      </c>
      <c r="D191" s="598" t="s">
        <v>1685</v>
      </c>
      <c r="E191" s="598">
        <f t="shared" si="4"/>
        <v>165</v>
      </c>
      <c r="F191" s="616" t="s">
        <v>1351</v>
      </c>
      <c r="G191" s="616" t="s">
        <v>729</v>
      </c>
      <c r="H191" s="618" t="s">
        <v>1202</v>
      </c>
      <c r="I191" s="618" t="s">
        <v>30</v>
      </c>
      <c r="J191" s="618" t="s">
        <v>1202</v>
      </c>
      <c r="K191" s="618" t="s">
        <v>1253</v>
      </c>
      <c r="L191" s="618" t="s">
        <v>1685</v>
      </c>
      <c r="M191" s="619"/>
      <c r="N191" s="620"/>
      <c r="O191" s="620"/>
      <c r="P191" s="663" t="s">
        <v>1127</v>
      </c>
      <c r="Q191" s="621"/>
      <c r="R191" s="598" t="s">
        <v>69</v>
      </c>
      <c r="S191" s="598" t="s">
        <v>562</v>
      </c>
      <c r="T191" s="598"/>
      <c r="U191" s="598" t="s">
        <v>1015</v>
      </c>
      <c r="V191" s="663" t="s">
        <v>1688</v>
      </c>
      <c r="W191" s="779" t="s">
        <v>1689</v>
      </c>
      <c r="X191" s="598" t="s">
        <v>950</v>
      </c>
      <c r="Y191" s="624">
        <v>29485</v>
      </c>
      <c r="Z191" s="625">
        <f t="shared" ca="1" si="3"/>
        <v>45</v>
      </c>
      <c r="AA191" s="654" t="s">
        <v>1690</v>
      </c>
      <c r="AB191" s="598" t="s">
        <v>1691</v>
      </c>
      <c r="AC191" s="598" t="s">
        <v>996</v>
      </c>
      <c r="AD191" s="598" t="s">
        <v>997</v>
      </c>
      <c r="AE191" s="616" t="s">
        <v>729</v>
      </c>
      <c r="AF191" s="616" t="s">
        <v>729</v>
      </c>
      <c r="AG191" s="616" t="s">
        <v>1323</v>
      </c>
      <c r="AH191" s="598"/>
      <c r="AI191" s="598"/>
      <c r="AJ191" s="598" t="s">
        <v>1349</v>
      </c>
      <c r="AK191" s="598"/>
      <c r="AL191" s="626"/>
      <c r="AM191" s="626"/>
    </row>
    <row r="192" spans="1:39" ht="18" customHeight="1">
      <c r="C192" s="598">
        <v>171</v>
      </c>
      <c r="D192" s="598" t="s">
        <v>1336</v>
      </c>
      <c r="E192" s="598">
        <f t="shared" si="4"/>
        <v>166</v>
      </c>
      <c r="F192" s="616" t="s">
        <v>1233</v>
      </c>
      <c r="G192" s="616" t="s">
        <v>729</v>
      </c>
      <c r="H192" s="618" t="s">
        <v>1202</v>
      </c>
      <c r="I192" s="618" t="s">
        <v>30</v>
      </c>
      <c r="J192" s="618" t="s">
        <v>1202</v>
      </c>
      <c r="K192" s="618" t="s">
        <v>1253</v>
      </c>
      <c r="L192" s="618" t="s">
        <v>1685</v>
      </c>
      <c r="M192" s="619"/>
      <c r="N192" s="620"/>
      <c r="O192" s="620"/>
      <c r="P192" s="663" t="s">
        <v>1127</v>
      </c>
      <c r="Q192" s="621"/>
      <c r="R192" s="598"/>
      <c r="S192" s="598"/>
      <c r="T192" s="598"/>
      <c r="U192" s="598" t="s">
        <v>1015</v>
      </c>
      <c r="V192" s="663" t="s">
        <v>1339</v>
      </c>
      <c r="W192" s="779" t="s">
        <v>1340</v>
      </c>
      <c r="X192" s="598" t="s">
        <v>950</v>
      </c>
      <c r="Y192" s="624">
        <v>28450</v>
      </c>
      <c r="Z192" s="625">
        <f t="shared" ca="1" si="3"/>
        <v>48</v>
      </c>
      <c r="AA192" s="616" t="s">
        <v>1341</v>
      </c>
      <c r="AB192" s="598" t="s">
        <v>1342</v>
      </c>
      <c r="AC192" s="598" t="s">
        <v>996</v>
      </c>
      <c r="AD192" s="598" t="s">
        <v>997</v>
      </c>
      <c r="AE192" s="616" t="s">
        <v>729</v>
      </c>
      <c r="AF192" s="616" t="s">
        <v>1239</v>
      </c>
      <c r="AG192" s="616" t="s">
        <v>1258</v>
      </c>
      <c r="AH192" s="598"/>
      <c r="AI192" s="598"/>
      <c r="AJ192" s="598" t="s">
        <v>1011</v>
      </c>
      <c r="AK192" s="598"/>
      <c r="AL192" s="626"/>
      <c r="AM192" s="626"/>
    </row>
    <row r="193" spans="1:39" ht="18" customHeight="1">
      <c r="C193" s="598">
        <v>172</v>
      </c>
      <c r="D193" s="598" t="s">
        <v>4579</v>
      </c>
      <c r="E193" s="598">
        <f t="shared" si="4"/>
        <v>167</v>
      </c>
      <c r="F193" s="616" t="s">
        <v>1351</v>
      </c>
      <c r="G193" s="616" t="s">
        <v>729</v>
      </c>
      <c r="H193" s="618" t="s">
        <v>1202</v>
      </c>
      <c r="I193" s="618" t="s">
        <v>30</v>
      </c>
      <c r="J193" s="618" t="s">
        <v>1202</v>
      </c>
      <c r="K193" s="618" t="s">
        <v>1253</v>
      </c>
      <c r="L193" s="618" t="s">
        <v>1685</v>
      </c>
      <c r="M193" s="619"/>
      <c r="N193" s="620"/>
      <c r="O193" s="620"/>
      <c r="P193" s="663" t="s">
        <v>1127</v>
      </c>
      <c r="Q193" s="621"/>
      <c r="R193" s="598"/>
      <c r="S193" s="598"/>
      <c r="T193" s="598"/>
      <c r="U193" s="598" t="s">
        <v>1015</v>
      </c>
      <c r="V193" s="663" t="s">
        <v>4580</v>
      </c>
      <c r="W193" s="779" t="s">
        <v>4581</v>
      </c>
      <c r="X193" s="598" t="s">
        <v>950</v>
      </c>
      <c r="Y193" s="624">
        <v>31343</v>
      </c>
      <c r="Z193" s="625">
        <f t="shared" ca="1" si="3"/>
        <v>40</v>
      </c>
      <c r="AA193" s="616" t="s">
        <v>4582</v>
      </c>
      <c r="AB193" s="598" t="s">
        <v>4583</v>
      </c>
      <c r="AC193" s="598" t="s">
        <v>996</v>
      </c>
      <c r="AD193" s="598" t="s">
        <v>997</v>
      </c>
      <c r="AE193" s="616" t="s">
        <v>729</v>
      </c>
      <c r="AF193" s="616" t="s">
        <v>729</v>
      </c>
      <c r="AG193" s="616"/>
      <c r="AH193" s="598"/>
      <c r="AI193" s="598"/>
      <c r="AJ193" s="598" t="s">
        <v>1440</v>
      </c>
      <c r="AK193" s="598"/>
      <c r="AL193" s="626"/>
      <c r="AM193" s="626"/>
    </row>
    <row r="194" spans="1:39" ht="18" customHeight="1">
      <c r="C194" s="598">
        <v>173</v>
      </c>
      <c r="D194" s="598" t="s">
        <v>1338</v>
      </c>
      <c r="E194" s="598">
        <f t="shared" si="4"/>
        <v>168</v>
      </c>
      <c r="F194" s="616" t="s">
        <v>1351</v>
      </c>
      <c r="G194" s="616" t="s">
        <v>729</v>
      </c>
      <c r="H194" s="618" t="s">
        <v>1202</v>
      </c>
      <c r="I194" s="618" t="s">
        <v>30</v>
      </c>
      <c r="J194" s="618" t="s">
        <v>1202</v>
      </c>
      <c r="K194" s="618" t="s">
        <v>1253</v>
      </c>
      <c r="L194" s="618" t="s">
        <v>1685</v>
      </c>
      <c r="M194" s="619"/>
      <c r="N194" s="620"/>
      <c r="O194" s="620"/>
      <c r="P194" s="663" t="s">
        <v>1127</v>
      </c>
      <c r="Q194" s="621"/>
      <c r="R194" s="598"/>
      <c r="S194" s="598"/>
      <c r="T194" s="702" t="s">
        <v>1974</v>
      </c>
      <c r="U194" s="598" t="s">
        <v>1015</v>
      </c>
      <c r="V194" s="663" t="s">
        <v>1393</v>
      </c>
      <c r="W194" s="779" t="s">
        <v>1394</v>
      </c>
      <c r="X194" s="598" t="s">
        <v>950</v>
      </c>
      <c r="Y194" s="624">
        <v>31414</v>
      </c>
      <c r="Z194" s="625">
        <f t="shared" ca="1" si="3"/>
        <v>40</v>
      </c>
      <c r="AA194" s="616" t="s">
        <v>1395</v>
      </c>
      <c r="AB194" s="598" t="s">
        <v>1396</v>
      </c>
      <c r="AC194" s="598" t="s">
        <v>966</v>
      </c>
      <c r="AD194" s="598" t="s">
        <v>953</v>
      </c>
      <c r="AE194" s="616" t="s">
        <v>729</v>
      </c>
      <c r="AF194" s="616" t="s">
        <v>729</v>
      </c>
      <c r="AG194" s="616" t="s">
        <v>1397</v>
      </c>
      <c r="AH194" s="598"/>
      <c r="AI194" s="598"/>
      <c r="AJ194" s="598" t="s">
        <v>1011</v>
      </c>
      <c r="AK194" s="598"/>
      <c r="AL194" s="626"/>
      <c r="AM194" s="626"/>
    </row>
    <row r="195" spans="1:39" ht="18" customHeight="1">
      <c r="C195" s="598">
        <v>174</v>
      </c>
      <c r="D195" s="598" t="s">
        <v>1434</v>
      </c>
      <c r="E195" s="598">
        <f t="shared" si="4"/>
        <v>169</v>
      </c>
      <c r="F195" s="616" t="s">
        <v>1351</v>
      </c>
      <c r="G195" s="616" t="s">
        <v>729</v>
      </c>
      <c r="H195" s="618" t="s">
        <v>1202</v>
      </c>
      <c r="I195" s="618" t="s">
        <v>30</v>
      </c>
      <c r="J195" s="618" t="s">
        <v>1202</v>
      </c>
      <c r="K195" s="618" t="s">
        <v>1253</v>
      </c>
      <c r="L195" s="618" t="s">
        <v>1685</v>
      </c>
      <c r="M195" s="619"/>
      <c r="N195" s="620"/>
      <c r="O195" s="620"/>
      <c r="P195" s="663" t="s">
        <v>1127</v>
      </c>
      <c r="Q195" s="621"/>
      <c r="R195" s="598"/>
      <c r="S195" s="598"/>
      <c r="T195" s="598"/>
      <c r="U195" s="598" t="s">
        <v>1015</v>
      </c>
      <c r="V195" s="663" t="s">
        <v>1435</v>
      </c>
      <c r="W195" s="779" t="s">
        <v>1436</v>
      </c>
      <c r="X195" s="598" t="s">
        <v>950</v>
      </c>
      <c r="Y195" s="624">
        <v>33133</v>
      </c>
      <c r="Z195" s="625">
        <f t="shared" ca="1" si="3"/>
        <v>35</v>
      </c>
      <c r="AA195" s="616" t="s">
        <v>1437</v>
      </c>
      <c r="AB195" s="598" t="s">
        <v>1438</v>
      </c>
      <c r="AC195" s="598" t="s">
        <v>996</v>
      </c>
      <c r="AD195" s="598" t="s">
        <v>953</v>
      </c>
      <c r="AE195" s="616" t="s">
        <v>729</v>
      </c>
      <c r="AF195" s="616" t="s">
        <v>729</v>
      </c>
      <c r="AG195" s="616" t="s">
        <v>1439</v>
      </c>
      <c r="AH195" s="598"/>
      <c r="AI195" s="598"/>
      <c r="AJ195" s="598" t="s">
        <v>1440</v>
      </c>
      <c r="AK195" s="598"/>
      <c r="AL195" s="626"/>
      <c r="AM195" s="626"/>
    </row>
    <row r="196" spans="1:39" ht="18" customHeight="1">
      <c r="C196" s="598">
        <v>175</v>
      </c>
      <c r="D196" s="598" t="s">
        <v>1912</v>
      </c>
      <c r="E196" s="598">
        <f t="shared" si="4"/>
        <v>170</v>
      </c>
      <c r="F196" s="616" t="s">
        <v>1351</v>
      </c>
      <c r="G196" s="616" t="s">
        <v>729</v>
      </c>
      <c r="H196" s="618" t="s">
        <v>1202</v>
      </c>
      <c r="I196" s="618" t="s">
        <v>30</v>
      </c>
      <c r="J196" s="618" t="s">
        <v>1202</v>
      </c>
      <c r="K196" s="618" t="s">
        <v>1912</v>
      </c>
      <c r="L196" s="618" t="s">
        <v>2442</v>
      </c>
      <c r="M196" s="743" t="s">
        <v>2055</v>
      </c>
      <c r="N196" s="743" t="s">
        <v>1913</v>
      </c>
      <c r="O196" s="620"/>
      <c r="P196" s="667" t="s">
        <v>1157</v>
      </c>
      <c r="Q196" s="621"/>
      <c r="R196" s="598" t="s">
        <v>55</v>
      </c>
      <c r="S196" s="598" t="s">
        <v>178</v>
      </c>
      <c r="T196" s="598"/>
      <c r="U196" s="598" t="s">
        <v>1015</v>
      </c>
      <c r="V196" s="667" t="s">
        <v>1914</v>
      </c>
      <c r="W196" s="779" t="s">
        <v>1915</v>
      </c>
      <c r="X196" s="598" t="s">
        <v>950</v>
      </c>
      <c r="Y196" s="624">
        <v>31138</v>
      </c>
      <c r="Z196" s="625">
        <f t="shared" ca="1" si="3"/>
        <v>40</v>
      </c>
      <c r="AA196" s="654" t="s">
        <v>1916</v>
      </c>
      <c r="AB196" s="598" t="s">
        <v>1917</v>
      </c>
      <c r="AC196" s="598" t="s">
        <v>966</v>
      </c>
      <c r="AD196" s="598" t="s">
        <v>953</v>
      </c>
      <c r="AE196" s="616" t="s">
        <v>729</v>
      </c>
      <c r="AF196" s="616" t="s">
        <v>729</v>
      </c>
      <c r="AG196" s="616" t="s">
        <v>1561</v>
      </c>
      <c r="AH196" s="598"/>
      <c r="AI196" s="598"/>
      <c r="AJ196" s="598" t="s">
        <v>1349</v>
      </c>
      <c r="AK196" s="598"/>
      <c r="AL196" s="626"/>
      <c r="AM196" s="626"/>
    </row>
    <row r="197" spans="1:39" ht="18" customHeight="1">
      <c r="C197" s="598">
        <v>176</v>
      </c>
      <c r="D197" s="598" t="s">
        <v>2055</v>
      </c>
      <c r="E197" s="598">
        <f t="shared" si="4"/>
        <v>171</v>
      </c>
      <c r="F197" s="616" t="s">
        <v>1351</v>
      </c>
      <c r="G197" s="616" t="s">
        <v>729</v>
      </c>
      <c r="H197" s="618" t="s">
        <v>1202</v>
      </c>
      <c r="I197" s="618" t="s">
        <v>30</v>
      </c>
      <c r="J197" s="618" t="s">
        <v>1202</v>
      </c>
      <c r="K197" s="618" t="s">
        <v>1912</v>
      </c>
      <c r="L197" s="618" t="s">
        <v>2442</v>
      </c>
      <c r="M197" s="743" t="s">
        <v>2055</v>
      </c>
      <c r="N197" s="743" t="s">
        <v>1913</v>
      </c>
      <c r="O197" s="620"/>
      <c r="P197" s="663" t="s">
        <v>1157</v>
      </c>
      <c r="Q197" s="621"/>
      <c r="R197" s="598" t="s">
        <v>69</v>
      </c>
      <c r="S197" s="598" t="s">
        <v>562</v>
      </c>
      <c r="T197" s="598"/>
      <c r="U197" s="598" t="s">
        <v>1015</v>
      </c>
      <c r="V197" s="663" t="s">
        <v>219</v>
      </c>
      <c r="W197" s="779" t="s">
        <v>2058</v>
      </c>
      <c r="X197" s="598" t="s">
        <v>950</v>
      </c>
      <c r="Y197" s="624">
        <v>20588</v>
      </c>
      <c r="Z197" s="625">
        <f t="shared" ca="1" si="3"/>
        <v>69</v>
      </c>
      <c r="AA197" s="654" t="s">
        <v>2059</v>
      </c>
      <c r="AB197" s="598" t="s">
        <v>2060</v>
      </c>
      <c r="AC197" s="598" t="s">
        <v>996</v>
      </c>
      <c r="AD197" s="598" t="s">
        <v>1018</v>
      </c>
      <c r="AE197" s="616" t="s">
        <v>729</v>
      </c>
      <c r="AF197" s="616" t="s">
        <v>729</v>
      </c>
      <c r="AG197" s="616" t="s">
        <v>2061</v>
      </c>
      <c r="AH197" s="598"/>
      <c r="AI197" s="598"/>
      <c r="AJ197" s="598" t="s">
        <v>1349</v>
      </c>
      <c r="AK197" s="598"/>
      <c r="AL197" s="626"/>
      <c r="AM197" s="626"/>
    </row>
    <row r="198" spans="1:39" ht="18" customHeight="1">
      <c r="C198" s="598">
        <v>177</v>
      </c>
      <c r="D198" s="598" t="s">
        <v>1913</v>
      </c>
      <c r="E198" s="598">
        <f t="shared" si="4"/>
        <v>172</v>
      </c>
      <c r="F198" s="616" t="s">
        <v>1351</v>
      </c>
      <c r="G198" s="616" t="s">
        <v>729</v>
      </c>
      <c r="H198" s="618" t="s">
        <v>1202</v>
      </c>
      <c r="I198" s="618" t="s">
        <v>30</v>
      </c>
      <c r="J198" s="618" t="s">
        <v>1202</v>
      </c>
      <c r="K198" s="618" t="s">
        <v>1912</v>
      </c>
      <c r="L198" s="618" t="s">
        <v>2442</v>
      </c>
      <c r="M198" s="743" t="s">
        <v>2055</v>
      </c>
      <c r="N198" s="743" t="s">
        <v>1913</v>
      </c>
      <c r="O198" s="620"/>
      <c r="P198" s="663" t="s">
        <v>1157</v>
      </c>
      <c r="Q198" s="621"/>
      <c r="R198" s="598" t="s">
        <v>69</v>
      </c>
      <c r="S198" s="598" t="s">
        <v>562</v>
      </c>
      <c r="T198" s="598"/>
      <c r="U198" s="598" t="s">
        <v>1015</v>
      </c>
      <c r="V198" s="663" t="s">
        <v>1918</v>
      </c>
      <c r="W198" s="779" t="s">
        <v>1919</v>
      </c>
      <c r="X198" s="598" t="s">
        <v>950</v>
      </c>
      <c r="Y198" s="624">
        <v>28649</v>
      </c>
      <c r="Z198" s="625">
        <f t="shared" ca="1" si="3"/>
        <v>47</v>
      </c>
      <c r="AA198" s="654" t="s">
        <v>1920</v>
      </c>
      <c r="AB198" s="598" t="s">
        <v>1921</v>
      </c>
      <c r="AC198" s="598" t="s">
        <v>966</v>
      </c>
      <c r="AD198" s="598" t="s">
        <v>953</v>
      </c>
      <c r="AE198" s="616" t="s">
        <v>729</v>
      </c>
      <c r="AF198" s="616" t="s">
        <v>729</v>
      </c>
      <c r="AG198" s="616" t="s">
        <v>1922</v>
      </c>
      <c r="AH198" s="598"/>
      <c r="AI198" s="598"/>
      <c r="AJ198" s="598" t="s">
        <v>1349</v>
      </c>
      <c r="AK198" s="598"/>
      <c r="AL198" s="626"/>
      <c r="AM198" s="626"/>
    </row>
    <row r="199" spans="1:39" ht="18" customHeight="1">
      <c r="C199" s="598">
        <v>178</v>
      </c>
      <c r="D199" s="598" t="s">
        <v>1949</v>
      </c>
      <c r="E199" s="598">
        <f t="shared" si="4"/>
        <v>173</v>
      </c>
      <c r="F199" s="616" t="s">
        <v>1351</v>
      </c>
      <c r="G199" s="616" t="s">
        <v>729</v>
      </c>
      <c r="H199" s="618" t="s">
        <v>1202</v>
      </c>
      <c r="I199" s="618" t="s">
        <v>30</v>
      </c>
      <c r="J199" s="618" t="s">
        <v>1202</v>
      </c>
      <c r="K199" s="618" t="s">
        <v>1912</v>
      </c>
      <c r="L199" s="618" t="s">
        <v>2443</v>
      </c>
      <c r="M199" s="743" t="s">
        <v>2055</v>
      </c>
      <c r="N199" s="743" t="s">
        <v>1913</v>
      </c>
      <c r="O199" s="620"/>
      <c r="P199" s="663" t="s">
        <v>1157</v>
      </c>
      <c r="Q199" s="621"/>
      <c r="R199" s="598" t="s">
        <v>55</v>
      </c>
      <c r="S199" s="598" t="s">
        <v>178</v>
      </c>
      <c r="T199" s="598"/>
      <c r="U199" s="598" t="s">
        <v>1015</v>
      </c>
      <c r="V199" s="663" t="s">
        <v>336</v>
      </c>
      <c r="W199" s="779" t="s">
        <v>4990</v>
      </c>
      <c r="X199" s="598" t="s">
        <v>950</v>
      </c>
      <c r="Y199" s="624">
        <v>30593</v>
      </c>
      <c r="Z199" s="625">
        <f t="shared" ca="1" si="3"/>
        <v>42</v>
      </c>
      <c r="AA199" s="616" t="s">
        <v>1951</v>
      </c>
      <c r="AB199" s="598" t="s">
        <v>1952</v>
      </c>
      <c r="AC199" s="598" t="s">
        <v>966</v>
      </c>
      <c r="AD199" s="598" t="s">
        <v>953</v>
      </c>
      <c r="AE199" s="616" t="s">
        <v>729</v>
      </c>
      <c r="AF199" s="616" t="s">
        <v>729</v>
      </c>
      <c r="AG199" s="616"/>
      <c r="AH199" s="598"/>
      <c r="AI199" s="598"/>
      <c r="AJ199" s="598" t="s">
        <v>1440</v>
      </c>
      <c r="AK199" s="598"/>
      <c r="AL199" s="626"/>
      <c r="AM199" s="626"/>
    </row>
    <row r="200" spans="1:39" ht="18" customHeight="1">
      <c r="C200" s="598">
        <v>179</v>
      </c>
      <c r="D200" s="598" t="s">
        <v>1923</v>
      </c>
      <c r="E200" s="598">
        <f t="shared" si="4"/>
        <v>174</v>
      </c>
      <c r="F200" s="616" t="s">
        <v>1351</v>
      </c>
      <c r="G200" s="616" t="s">
        <v>729</v>
      </c>
      <c r="H200" s="618" t="s">
        <v>1202</v>
      </c>
      <c r="I200" s="618" t="s">
        <v>30</v>
      </c>
      <c r="J200" s="618" t="s">
        <v>1202</v>
      </c>
      <c r="K200" s="618" t="s">
        <v>1912</v>
      </c>
      <c r="L200" s="618" t="s">
        <v>2442</v>
      </c>
      <c r="M200" s="743" t="s">
        <v>2055</v>
      </c>
      <c r="N200" s="743" t="s">
        <v>1913</v>
      </c>
      <c r="O200" s="620"/>
      <c r="P200" s="663" t="s">
        <v>1157</v>
      </c>
      <c r="Q200" s="621"/>
      <c r="R200" s="598" t="s">
        <v>55</v>
      </c>
      <c r="S200" s="598" t="s">
        <v>178</v>
      </c>
      <c r="T200" s="598"/>
      <c r="U200" s="598" t="s">
        <v>1015</v>
      </c>
      <c r="V200" s="663" t="s">
        <v>299</v>
      </c>
      <c r="W200" s="779" t="s">
        <v>1925</v>
      </c>
      <c r="X200" s="598" t="s">
        <v>950</v>
      </c>
      <c r="Y200" s="624">
        <v>22549</v>
      </c>
      <c r="Z200" s="625">
        <f t="shared" ca="1" si="3"/>
        <v>64</v>
      </c>
      <c r="AA200" s="654" t="s">
        <v>1926</v>
      </c>
      <c r="AB200" s="598" t="s">
        <v>1927</v>
      </c>
      <c r="AC200" s="598" t="s">
        <v>966</v>
      </c>
      <c r="AD200" s="598" t="s">
        <v>953</v>
      </c>
      <c r="AE200" s="616" t="s">
        <v>729</v>
      </c>
      <c r="AF200" s="616" t="s">
        <v>729</v>
      </c>
      <c r="AG200" s="616" t="s">
        <v>1928</v>
      </c>
      <c r="AH200" s="598"/>
      <c r="AI200" s="598"/>
      <c r="AJ200" s="598" t="s">
        <v>1349</v>
      </c>
      <c r="AK200" s="598"/>
      <c r="AL200" s="626"/>
      <c r="AM200" s="626"/>
    </row>
    <row r="201" spans="1:39" ht="18" customHeight="1">
      <c r="C201" s="598">
        <v>180</v>
      </c>
      <c r="D201" s="598" t="s">
        <v>1343</v>
      </c>
      <c r="E201" s="598">
        <f t="shared" si="4"/>
        <v>175</v>
      </c>
      <c r="F201" s="616" t="s">
        <v>1351</v>
      </c>
      <c r="G201" s="616" t="s">
        <v>729</v>
      </c>
      <c r="H201" s="618" t="s">
        <v>1202</v>
      </c>
      <c r="I201" s="618" t="s">
        <v>30</v>
      </c>
      <c r="J201" s="618" t="s">
        <v>1202</v>
      </c>
      <c r="K201" s="618" t="s">
        <v>1912</v>
      </c>
      <c r="L201" s="618" t="s">
        <v>2442</v>
      </c>
      <c r="M201" s="743" t="s">
        <v>2055</v>
      </c>
      <c r="N201" s="743" t="s">
        <v>1913</v>
      </c>
      <c r="O201" s="620"/>
      <c r="P201" s="663" t="s">
        <v>1157</v>
      </c>
      <c r="Q201" s="621"/>
      <c r="R201" s="598"/>
      <c r="S201" s="598"/>
      <c r="T201" s="598"/>
      <c r="U201" s="598" t="s">
        <v>1015</v>
      </c>
      <c r="V201" s="663" t="s">
        <v>1344</v>
      </c>
      <c r="W201" s="779" t="s">
        <v>1345</v>
      </c>
      <c r="X201" s="598" t="s">
        <v>950</v>
      </c>
      <c r="Y201" s="624">
        <v>26557</v>
      </c>
      <c r="Z201" s="625">
        <f t="shared" ca="1" si="3"/>
        <v>53</v>
      </c>
      <c r="AA201" s="654" t="s">
        <v>1346</v>
      </c>
      <c r="AB201" s="598" t="s">
        <v>1347</v>
      </c>
      <c r="AC201" s="598" t="s">
        <v>996</v>
      </c>
      <c r="AD201" s="598" t="s">
        <v>997</v>
      </c>
      <c r="AE201" s="616" t="s">
        <v>729</v>
      </c>
      <c r="AF201" s="616" t="s">
        <v>729</v>
      </c>
      <c r="AG201" s="616" t="s">
        <v>1348</v>
      </c>
      <c r="AH201" s="598"/>
      <c r="AI201" s="598"/>
      <c r="AJ201" s="598" t="s">
        <v>1349</v>
      </c>
      <c r="AK201" s="598"/>
      <c r="AL201" s="626"/>
      <c r="AM201" s="626"/>
    </row>
    <row r="202" spans="1:39" ht="18" customHeight="1">
      <c r="A202" s="174"/>
      <c r="B202" s="174"/>
      <c r="C202" s="598">
        <v>181</v>
      </c>
      <c r="D202" s="598" t="s">
        <v>1991</v>
      </c>
      <c r="E202" s="598">
        <f t="shared" si="4"/>
        <v>176</v>
      </c>
      <c r="F202" s="685" t="s">
        <v>1351</v>
      </c>
      <c r="G202" s="616" t="s">
        <v>729</v>
      </c>
      <c r="H202" s="618" t="s">
        <v>1202</v>
      </c>
      <c r="I202" s="618" t="s">
        <v>30</v>
      </c>
      <c r="J202" s="618" t="s">
        <v>1202</v>
      </c>
      <c r="K202" s="618" t="s">
        <v>1912</v>
      </c>
      <c r="L202" s="618" t="s">
        <v>2442</v>
      </c>
      <c r="M202" s="743" t="s">
        <v>2055</v>
      </c>
      <c r="N202" s="743" t="s">
        <v>1913</v>
      </c>
      <c r="O202" s="620"/>
      <c r="P202" s="663" t="s">
        <v>1157</v>
      </c>
      <c r="Q202" s="637"/>
      <c r="R202" s="598" t="s">
        <v>55</v>
      </c>
      <c r="S202" s="598" t="s">
        <v>178</v>
      </c>
      <c r="T202" s="598"/>
      <c r="U202" s="703" t="s">
        <v>1015</v>
      </c>
      <c r="V202" s="672" t="s">
        <v>289</v>
      </c>
      <c r="W202" s="780" t="s">
        <v>1993</v>
      </c>
      <c r="X202" s="598" t="s">
        <v>950</v>
      </c>
      <c r="Y202" s="624">
        <v>28944</v>
      </c>
      <c r="Z202" s="625">
        <f t="shared" ca="1" si="3"/>
        <v>46</v>
      </c>
      <c r="AA202" s="598" t="s">
        <v>1994</v>
      </c>
      <c r="AB202" s="598" t="s">
        <v>1995</v>
      </c>
      <c r="AC202" s="598" t="s">
        <v>966</v>
      </c>
      <c r="AD202" s="598" t="s">
        <v>953</v>
      </c>
      <c r="AE202" s="598" t="s">
        <v>246</v>
      </c>
      <c r="AF202" s="598" t="s">
        <v>246</v>
      </c>
      <c r="AG202" s="598" t="s">
        <v>4586</v>
      </c>
      <c r="AH202" s="627"/>
      <c r="AI202" s="627"/>
      <c r="AJ202" s="598" t="s">
        <v>1025</v>
      </c>
      <c r="AK202" s="627"/>
      <c r="AL202" s="627"/>
      <c r="AM202" s="627"/>
    </row>
    <row r="203" spans="1:39" ht="18" customHeight="1">
      <c r="C203" s="598">
        <v>182</v>
      </c>
      <c r="D203" s="598" t="s">
        <v>4587</v>
      </c>
      <c r="E203" s="598">
        <f t="shared" si="4"/>
        <v>177</v>
      </c>
      <c r="F203" s="616" t="s">
        <v>1351</v>
      </c>
      <c r="G203" s="616" t="s">
        <v>729</v>
      </c>
      <c r="H203" s="618" t="s">
        <v>1202</v>
      </c>
      <c r="I203" s="618" t="s">
        <v>30</v>
      </c>
      <c r="J203" s="618" t="s">
        <v>1202</v>
      </c>
      <c r="K203" s="618" t="s">
        <v>1912</v>
      </c>
      <c r="L203" s="618" t="s">
        <v>2442</v>
      </c>
      <c r="M203" s="743" t="s">
        <v>2055</v>
      </c>
      <c r="N203" s="743" t="s">
        <v>1913</v>
      </c>
      <c r="O203" s="620"/>
      <c r="P203" s="664" t="s">
        <v>1157</v>
      </c>
      <c r="Q203" s="621"/>
      <c r="R203" s="598"/>
      <c r="S203" s="598"/>
      <c r="T203" s="598"/>
      <c r="U203" s="598" t="s">
        <v>1015</v>
      </c>
      <c r="V203" s="673" t="s">
        <v>4588</v>
      </c>
      <c r="W203" s="779" t="s">
        <v>4589</v>
      </c>
      <c r="X203" s="598" t="s">
        <v>950</v>
      </c>
      <c r="Y203" s="624">
        <v>30235</v>
      </c>
      <c r="Z203" s="625">
        <f t="shared" ca="1" si="3"/>
        <v>43</v>
      </c>
      <c r="AA203" s="616" t="s">
        <v>4590</v>
      </c>
      <c r="AB203" s="652"/>
      <c r="AC203" s="598" t="s">
        <v>996</v>
      </c>
      <c r="AD203" s="598" t="s">
        <v>997</v>
      </c>
      <c r="AE203" s="616" t="s">
        <v>729</v>
      </c>
      <c r="AF203" s="616" t="s">
        <v>729</v>
      </c>
      <c r="AG203" s="616" t="s">
        <v>4591</v>
      </c>
      <c r="AH203" s="598"/>
      <c r="AI203" s="598"/>
      <c r="AJ203" s="598"/>
      <c r="AK203" s="598"/>
      <c r="AL203" s="626"/>
      <c r="AM203" s="626"/>
    </row>
    <row r="204" spans="1:39" ht="18" customHeight="1">
      <c r="C204" s="598">
        <v>183</v>
      </c>
      <c r="D204" s="598" t="s">
        <v>2443</v>
      </c>
      <c r="E204" s="598">
        <f t="shared" si="4"/>
        <v>178</v>
      </c>
      <c r="F204" s="616" t="s">
        <v>1351</v>
      </c>
      <c r="G204" s="616" t="s">
        <v>729</v>
      </c>
      <c r="H204" s="618" t="s">
        <v>1202</v>
      </c>
      <c r="I204" s="618" t="s">
        <v>30</v>
      </c>
      <c r="J204" s="618" t="s">
        <v>1202</v>
      </c>
      <c r="K204" s="618" t="s">
        <v>2443</v>
      </c>
      <c r="L204" s="618" t="s">
        <v>2442</v>
      </c>
      <c r="M204" s="619"/>
      <c r="N204" s="619"/>
      <c r="O204" s="619"/>
      <c r="P204" s="667" t="s">
        <v>1480</v>
      </c>
      <c r="Q204" s="621"/>
      <c r="R204" s="598" t="s">
        <v>69</v>
      </c>
      <c r="S204" s="598" t="s">
        <v>69</v>
      </c>
      <c r="T204" s="598"/>
      <c r="U204" s="598" t="s">
        <v>1015</v>
      </c>
      <c r="V204" s="663" t="s">
        <v>2449</v>
      </c>
      <c r="W204" s="779" t="s">
        <v>2450</v>
      </c>
      <c r="X204" s="598" t="s">
        <v>950</v>
      </c>
      <c r="Y204" s="624">
        <v>29346</v>
      </c>
      <c r="Z204" s="625">
        <f t="shared" ca="1" si="3"/>
        <v>45</v>
      </c>
      <c r="AA204" s="616" t="s">
        <v>2451</v>
      </c>
      <c r="AB204" s="598" t="s">
        <v>2452</v>
      </c>
      <c r="AC204" s="598" t="s">
        <v>966</v>
      </c>
      <c r="AD204" s="598" t="s">
        <v>953</v>
      </c>
      <c r="AE204" s="616" t="s">
        <v>729</v>
      </c>
      <c r="AF204" s="616" t="s">
        <v>729</v>
      </c>
      <c r="AG204" s="616"/>
      <c r="AH204" s="598"/>
      <c r="AI204" s="598"/>
      <c r="AJ204" s="598" t="s">
        <v>1440</v>
      </c>
      <c r="AK204" s="598"/>
      <c r="AL204" s="626"/>
      <c r="AM204" s="626"/>
    </row>
    <row r="205" spans="1:39" ht="18" customHeight="1">
      <c r="C205" s="598">
        <v>184</v>
      </c>
      <c r="D205" s="598" t="s">
        <v>2442</v>
      </c>
      <c r="E205" s="598">
        <f t="shared" si="4"/>
        <v>179</v>
      </c>
      <c r="F205" s="616" t="s">
        <v>1351</v>
      </c>
      <c r="G205" s="616" t="s">
        <v>729</v>
      </c>
      <c r="H205" s="618" t="s">
        <v>1202</v>
      </c>
      <c r="I205" s="618" t="s">
        <v>30</v>
      </c>
      <c r="J205" s="618" t="s">
        <v>1202</v>
      </c>
      <c r="K205" s="618" t="s">
        <v>2443</v>
      </c>
      <c r="L205" s="618" t="s">
        <v>2442</v>
      </c>
      <c r="M205" s="619"/>
      <c r="N205" s="619"/>
      <c r="O205" s="619"/>
      <c r="P205" s="663" t="s">
        <v>1480</v>
      </c>
      <c r="Q205" s="621"/>
      <c r="R205" s="598" t="s">
        <v>69</v>
      </c>
      <c r="S205" s="598" t="s">
        <v>69</v>
      </c>
      <c r="T205" s="598"/>
      <c r="U205" s="598" t="s">
        <v>1015</v>
      </c>
      <c r="V205" s="663" t="s">
        <v>2444</v>
      </c>
      <c r="W205" s="779" t="s">
        <v>2445</v>
      </c>
      <c r="X205" s="598" t="s">
        <v>950</v>
      </c>
      <c r="Y205" s="624">
        <v>31817</v>
      </c>
      <c r="Z205" s="625">
        <f t="shared" ca="1" si="3"/>
        <v>38</v>
      </c>
      <c r="AA205" s="616" t="s">
        <v>2446</v>
      </c>
      <c r="AB205" s="598" t="s">
        <v>2447</v>
      </c>
      <c r="AC205" s="598" t="s">
        <v>966</v>
      </c>
      <c r="AD205" s="598" t="s">
        <v>953</v>
      </c>
      <c r="AE205" s="616" t="s">
        <v>729</v>
      </c>
      <c r="AF205" s="616" t="s">
        <v>729</v>
      </c>
      <c r="AG205" s="616" t="s">
        <v>2448</v>
      </c>
      <c r="AH205" s="598"/>
      <c r="AI205" s="598"/>
      <c r="AJ205" s="598" t="s">
        <v>1349</v>
      </c>
      <c r="AK205" s="598"/>
      <c r="AL205" s="626"/>
      <c r="AM205" s="626"/>
    </row>
    <row r="206" spans="1:39" ht="18" customHeight="1">
      <c r="C206" s="598">
        <v>185</v>
      </c>
      <c r="D206" s="598" t="s">
        <v>1973</v>
      </c>
      <c r="E206" s="598">
        <f t="shared" si="4"/>
        <v>180</v>
      </c>
      <c r="F206" s="616" t="s">
        <v>1351</v>
      </c>
      <c r="G206" s="616" t="s">
        <v>729</v>
      </c>
      <c r="H206" s="618" t="s">
        <v>1202</v>
      </c>
      <c r="I206" s="618" t="s">
        <v>30</v>
      </c>
      <c r="J206" s="618" t="s">
        <v>1202</v>
      </c>
      <c r="K206" s="618" t="s">
        <v>2443</v>
      </c>
      <c r="L206" s="618" t="s">
        <v>2442</v>
      </c>
      <c r="M206" s="619"/>
      <c r="N206" s="619"/>
      <c r="O206" s="619"/>
      <c r="P206" s="663" t="s">
        <v>1480</v>
      </c>
      <c r="Q206" s="621"/>
      <c r="R206" s="598"/>
      <c r="S206" s="598"/>
      <c r="T206" s="702" t="s">
        <v>1974</v>
      </c>
      <c r="U206" s="598" t="s">
        <v>1015</v>
      </c>
      <c r="V206" s="663" t="s">
        <v>1975</v>
      </c>
      <c r="W206" s="779" t="s">
        <v>1976</v>
      </c>
      <c r="X206" s="598" t="s">
        <v>950</v>
      </c>
      <c r="Y206" s="624">
        <v>23081</v>
      </c>
      <c r="Z206" s="625">
        <f t="shared" ca="1" si="3"/>
        <v>62</v>
      </c>
      <c r="AA206" s="616" t="s">
        <v>1977</v>
      </c>
      <c r="AB206" s="598" t="s">
        <v>1978</v>
      </c>
      <c r="AC206" s="598" t="s">
        <v>996</v>
      </c>
      <c r="AD206" s="598" t="s">
        <v>997</v>
      </c>
      <c r="AE206" s="616" t="s">
        <v>729</v>
      </c>
      <c r="AF206" s="616" t="s">
        <v>729</v>
      </c>
      <c r="AG206" s="616"/>
      <c r="AH206" s="598"/>
      <c r="AI206" s="598"/>
      <c r="AJ206" s="598" t="s">
        <v>1440</v>
      </c>
      <c r="AK206" s="598"/>
      <c r="AL206" s="626"/>
      <c r="AM206" s="626"/>
    </row>
    <row r="207" spans="1:39" ht="18" customHeight="1">
      <c r="C207" s="598">
        <v>186</v>
      </c>
      <c r="D207" s="598" t="s">
        <v>1967</v>
      </c>
      <c r="E207" s="598">
        <f t="shared" si="4"/>
        <v>181</v>
      </c>
      <c r="F207" s="616" t="s">
        <v>1351</v>
      </c>
      <c r="G207" s="616" t="s">
        <v>729</v>
      </c>
      <c r="H207" s="618" t="s">
        <v>1202</v>
      </c>
      <c r="I207" s="618" t="s">
        <v>30</v>
      </c>
      <c r="J207" s="618" t="s">
        <v>1202</v>
      </c>
      <c r="K207" s="618" t="s">
        <v>2443</v>
      </c>
      <c r="L207" s="618" t="s">
        <v>2442</v>
      </c>
      <c r="M207" s="619"/>
      <c r="N207" s="620"/>
      <c r="O207" s="620"/>
      <c r="P207" s="673" t="s">
        <v>1480</v>
      </c>
      <c r="Q207" s="621"/>
      <c r="R207" s="598"/>
      <c r="S207" s="598"/>
      <c r="T207" s="598"/>
      <c r="U207" s="598" t="s">
        <v>1015</v>
      </c>
      <c r="V207" s="663" t="s">
        <v>1968</v>
      </c>
      <c r="W207" s="779" t="s">
        <v>1969</v>
      </c>
      <c r="X207" s="598" t="s">
        <v>950</v>
      </c>
      <c r="Y207" s="624">
        <v>28228</v>
      </c>
      <c r="Z207" s="625">
        <f t="shared" ca="1" si="3"/>
        <v>48</v>
      </c>
      <c r="AA207" s="616" t="s">
        <v>1970</v>
      </c>
      <c r="AB207" s="598" t="s">
        <v>1971</v>
      </c>
      <c r="AC207" s="598" t="s">
        <v>966</v>
      </c>
      <c r="AD207" s="598" t="s">
        <v>953</v>
      </c>
      <c r="AE207" s="616" t="s">
        <v>729</v>
      </c>
      <c r="AF207" s="616" t="s">
        <v>729</v>
      </c>
      <c r="AG207" s="616" t="s">
        <v>1972</v>
      </c>
      <c r="AH207" s="598"/>
      <c r="AI207" s="598"/>
      <c r="AJ207" s="598" t="s">
        <v>1440</v>
      </c>
      <c r="AK207" s="598"/>
      <c r="AL207" s="626"/>
      <c r="AM207" s="626"/>
    </row>
    <row r="208" spans="1:39" ht="18" customHeight="1">
      <c r="C208" s="598">
        <v>187</v>
      </c>
      <c r="D208" s="598" t="s">
        <v>1550</v>
      </c>
      <c r="E208" s="598">
        <f t="shared" si="4"/>
        <v>181</v>
      </c>
      <c r="F208" s="616"/>
      <c r="G208" s="616" t="s">
        <v>729</v>
      </c>
      <c r="H208" s="618" t="s">
        <v>1202</v>
      </c>
      <c r="I208" s="618" t="s">
        <v>30</v>
      </c>
      <c r="J208" s="618" t="s">
        <v>1202</v>
      </c>
      <c r="K208" s="618" t="s">
        <v>1550</v>
      </c>
      <c r="L208" s="619" t="s">
        <v>1957</v>
      </c>
      <c r="M208" s="704" t="s">
        <v>2056</v>
      </c>
      <c r="N208" s="704"/>
      <c r="O208" s="620"/>
      <c r="P208" s="669" t="s">
        <v>1515</v>
      </c>
      <c r="Q208" s="621"/>
      <c r="R208" s="598" t="s">
        <v>55</v>
      </c>
      <c r="S208" s="598" t="s">
        <v>178</v>
      </c>
      <c r="T208" s="598"/>
      <c r="U208" s="598"/>
      <c r="V208" s="667" t="s">
        <v>181</v>
      </c>
      <c r="W208" s="779" t="s">
        <v>1553</v>
      </c>
      <c r="X208" s="598" t="s">
        <v>950</v>
      </c>
      <c r="Y208" s="624">
        <v>19598</v>
      </c>
      <c r="Z208" s="625">
        <f t="shared" ca="1" si="3"/>
        <v>72</v>
      </c>
      <c r="AA208" s="616" t="s">
        <v>1554</v>
      </c>
      <c r="AB208" s="598"/>
      <c r="AC208" s="598" t="s">
        <v>966</v>
      </c>
      <c r="AD208" s="598" t="s">
        <v>953</v>
      </c>
      <c r="AE208" s="616" t="s">
        <v>729</v>
      </c>
      <c r="AF208" s="616" t="s">
        <v>1239</v>
      </c>
      <c r="AG208" s="616" t="s">
        <v>1258</v>
      </c>
      <c r="AH208" s="598" t="s">
        <v>955</v>
      </c>
      <c r="AI208" s="598"/>
      <c r="AJ208" s="598"/>
      <c r="AK208" s="598"/>
      <c r="AL208" s="626"/>
      <c r="AM208" s="626"/>
    </row>
    <row r="209" spans="1:39" ht="18" customHeight="1">
      <c r="C209" s="598">
        <v>188</v>
      </c>
      <c r="D209" s="598" t="s">
        <v>2056</v>
      </c>
      <c r="E209" s="598">
        <f t="shared" si="4"/>
        <v>182</v>
      </c>
      <c r="F209" s="616" t="s">
        <v>1351</v>
      </c>
      <c r="G209" s="616" t="s">
        <v>729</v>
      </c>
      <c r="H209" s="618" t="s">
        <v>1202</v>
      </c>
      <c r="I209" s="618" t="s">
        <v>30</v>
      </c>
      <c r="J209" s="618" t="s">
        <v>1202</v>
      </c>
      <c r="K209" s="618" t="s">
        <v>1550</v>
      </c>
      <c r="L209" s="619" t="s">
        <v>1957</v>
      </c>
      <c r="M209" s="704" t="s">
        <v>2056</v>
      </c>
      <c r="N209" s="620"/>
      <c r="O209" s="620"/>
      <c r="P209" s="663" t="s">
        <v>1515</v>
      </c>
      <c r="Q209" s="621"/>
      <c r="R209" s="598" t="s">
        <v>69</v>
      </c>
      <c r="S209" s="598" t="s">
        <v>562</v>
      </c>
      <c r="T209" s="598"/>
      <c r="U209" s="598" t="s">
        <v>1090</v>
      </c>
      <c r="V209" s="668" t="s">
        <v>200</v>
      </c>
      <c r="W209" s="779" t="s">
        <v>2062</v>
      </c>
      <c r="X209" s="598" t="s">
        <v>950</v>
      </c>
      <c r="Y209" s="624">
        <v>20242</v>
      </c>
      <c r="Z209" s="625">
        <f t="shared" ca="1" si="3"/>
        <v>70</v>
      </c>
      <c r="AA209" s="616" t="s">
        <v>2063</v>
      </c>
      <c r="AB209" s="598" t="s">
        <v>2064</v>
      </c>
      <c r="AC209" s="598" t="s">
        <v>996</v>
      </c>
      <c r="AD209" s="598" t="s">
        <v>1018</v>
      </c>
      <c r="AE209" s="616" t="s">
        <v>729</v>
      </c>
      <c r="AF209" s="616" t="s">
        <v>729</v>
      </c>
      <c r="AG209" s="616" t="s">
        <v>1252</v>
      </c>
      <c r="AH209" s="598"/>
      <c r="AI209" s="598"/>
      <c r="AJ209" s="598" t="s">
        <v>1107</v>
      </c>
      <c r="AK209" s="598"/>
      <c r="AL209" s="626"/>
      <c r="AM209" s="626"/>
    </row>
    <row r="210" spans="1:39" ht="18" customHeight="1">
      <c r="A210" s="174"/>
      <c r="B210" s="174"/>
      <c r="C210" s="598">
        <v>189</v>
      </c>
      <c r="D210" s="598" t="s">
        <v>1957</v>
      </c>
      <c r="E210" s="598">
        <f t="shared" si="4"/>
        <v>183</v>
      </c>
      <c r="F210" s="685" t="s">
        <v>1351</v>
      </c>
      <c r="G210" s="598" t="s">
        <v>729</v>
      </c>
      <c r="H210" s="618" t="s">
        <v>1202</v>
      </c>
      <c r="I210" s="618" t="s">
        <v>30</v>
      </c>
      <c r="J210" s="618" t="s">
        <v>1202</v>
      </c>
      <c r="K210" s="618" t="s">
        <v>1550</v>
      </c>
      <c r="L210" s="619" t="s">
        <v>1957</v>
      </c>
      <c r="M210" s="704" t="s">
        <v>2056</v>
      </c>
      <c r="N210" s="636"/>
      <c r="O210" s="636"/>
      <c r="P210" s="663" t="s">
        <v>1515</v>
      </c>
      <c r="Q210" s="637"/>
      <c r="R210" s="598" t="s">
        <v>69</v>
      </c>
      <c r="S210" s="598" t="s">
        <v>562</v>
      </c>
      <c r="T210" s="627"/>
      <c r="U210" s="703" t="s">
        <v>1015</v>
      </c>
      <c r="V210" s="672" t="s">
        <v>1958</v>
      </c>
      <c r="W210" s="780" t="s">
        <v>1959</v>
      </c>
      <c r="X210" s="598" t="s">
        <v>950</v>
      </c>
      <c r="Y210" s="624">
        <v>23999</v>
      </c>
      <c r="Z210" s="625">
        <f t="shared" ca="1" si="3"/>
        <v>60</v>
      </c>
      <c r="AA210" s="598" t="s">
        <v>1960</v>
      </c>
      <c r="AB210" s="598" t="s">
        <v>1961</v>
      </c>
      <c r="AC210" s="598" t="s">
        <v>996</v>
      </c>
      <c r="AD210" s="598" t="s">
        <v>1018</v>
      </c>
      <c r="AE210" s="598" t="s">
        <v>729</v>
      </c>
      <c r="AF210" s="598" t="s">
        <v>729</v>
      </c>
      <c r="AG210" s="598" t="s">
        <v>1962</v>
      </c>
      <c r="AH210" s="627"/>
      <c r="AI210" s="627"/>
      <c r="AJ210" s="598" t="s">
        <v>1107</v>
      </c>
      <c r="AK210" s="627"/>
      <c r="AL210" s="627"/>
      <c r="AM210" s="627"/>
    </row>
    <row r="211" spans="1:39" ht="18" customHeight="1">
      <c r="A211" s="174"/>
      <c r="B211" s="174"/>
      <c r="C211" s="598">
        <v>190</v>
      </c>
      <c r="D211" s="598" t="s">
        <v>2076</v>
      </c>
      <c r="E211" s="598">
        <f t="shared" si="4"/>
        <v>184</v>
      </c>
      <c r="F211" s="685" t="s">
        <v>1351</v>
      </c>
      <c r="G211" s="598" t="s">
        <v>729</v>
      </c>
      <c r="H211" s="618" t="s">
        <v>1202</v>
      </c>
      <c r="I211" s="618" t="s">
        <v>30</v>
      </c>
      <c r="J211" s="618" t="s">
        <v>1202</v>
      </c>
      <c r="K211" s="618" t="s">
        <v>1550</v>
      </c>
      <c r="L211" s="619" t="s">
        <v>1957</v>
      </c>
      <c r="M211" s="784" t="s">
        <v>2056</v>
      </c>
      <c r="N211" s="636"/>
      <c r="O211" s="636"/>
      <c r="P211" s="663" t="s">
        <v>1515</v>
      </c>
      <c r="Q211" s="637"/>
      <c r="R211" s="627"/>
      <c r="S211" s="627"/>
      <c r="T211" s="627"/>
      <c r="U211" s="635" t="s">
        <v>1090</v>
      </c>
      <c r="V211" s="672" t="s">
        <v>239</v>
      </c>
      <c r="W211" s="780" t="s">
        <v>2077</v>
      </c>
      <c r="X211" s="598" t="s">
        <v>950</v>
      </c>
      <c r="Y211" s="624">
        <v>15134</v>
      </c>
      <c r="Z211" s="625">
        <f t="shared" ca="1" si="3"/>
        <v>84</v>
      </c>
      <c r="AA211" s="598" t="s">
        <v>2078</v>
      </c>
      <c r="AB211" s="705"/>
      <c r="AC211" s="598" t="s">
        <v>996</v>
      </c>
      <c r="AD211" s="598" t="s">
        <v>1018</v>
      </c>
      <c r="AE211" s="598" t="s">
        <v>729</v>
      </c>
      <c r="AF211" s="598" t="s">
        <v>729</v>
      </c>
      <c r="AG211" s="598" t="s">
        <v>1962</v>
      </c>
      <c r="AH211" s="627" t="s">
        <v>1775</v>
      </c>
      <c r="AI211" s="627" t="s">
        <v>4991</v>
      </c>
      <c r="AJ211" s="598" t="s">
        <v>1107</v>
      </c>
      <c r="AK211" s="627" t="s">
        <v>2080</v>
      </c>
      <c r="AL211" s="627"/>
      <c r="AM211" s="627"/>
    </row>
    <row r="212" spans="1:39" ht="18" customHeight="1">
      <c r="C212" s="598">
        <v>191</v>
      </c>
      <c r="D212" s="598" t="s">
        <v>2071</v>
      </c>
      <c r="E212" s="598">
        <f t="shared" si="4"/>
        <v>185</v>
      </c>
      <c r="F212" s="616" t="s">
        <v>1351</v>
      </c>
      <c r="G212" s="616" t="s">
        <v>729</v>
      </c>
      <c r="H212" s="618" t="s">
        <v>1202</v>
      </c>
      <c r="I212" s="618" t="s">
        <v>30</v>
      </c>
      <c r="J212" s="618" t="s">
        <v>1202</v>
      </c>
      <c r="K212" s="618" t="s">
        <v>1550</v>
      </c>
      <c r="L212" s="619" t="s">
        <v>1957</v>
      </c>
      <c r="M212" s="704" t="s">
        <v>2056</v>
      </c>
      <c r="N212" s="620"/>
      <c r="O212" s="620"/>
      <c r="P212" s="663" t="s">
        <v>1515</v>
      </c>
      <c r="Q212" s="637"/>
      <c r="R212" s="627"/>
      <c r="S212" s="627"/>
      <c r="T212" s="598" t="s">
        <v>2072</v>
      </c>
      <c r="U212" s="598" t="s">
        <v>1090</v>
      </c>
      <c r="V212" s="669" t="s">
        <v>260</v>
      </c>
      <c r="W212" s="779" t="s">
        <v>2073</v>
      </c>
      <c r="X212" s="598" t="s">
        <v>950</v>
      </c>
      <c r="Y212" s="624">
        <v>18593</v>
      </c>
      <c r="Z212" s="625">
        <f t="shared" ca="1" si="3"/>
        <v>75</v>
      </c>
      <c r="AA212" s="616" t="s">
        <v>2074</v>
      </c>
      <c r="AB212" s="598" t="s">
        <v>2075</v>
      </c>
      <c r="AC212" s="598" t="s">
        <v>996</v>
      </c>
      <c r="AD212" s="598" t="s">
        <v>1018</v>
      </c>
      <c r="AE212" s="616" t="s">
        <v>729</v>
      </c>
      <c r="AF212" s="616" t="s">
        <v>729</v>
      </c>
      <c r="AG212" s="616" t="s">
        <v>1750</v>
      </c>
      <c r="AH212" s="598"/>
      <c r="AI212" s="598"/>
      <c r="AJ212" s="598" t="s">
        <v>1107</v>
      </c>
      <c r="AK212" s="598"/>
      <c r="AL212" s="626"/>
      <c r="AM212" s="626"/>
    </row>
    <row r="213" spans="1:39" ht="18" customHeight="1">
      <c r="C213" s="598">
        <v>192</v>
      </c>
      <c r="D213" s="598" t="s">
        <v>2790</v>
      </c>
      <c r="E213" s="598">
        <f t="shared" si="4"/>
        <v>186</v>
      </c>
      <c r="F213" s="616" t="s">
        <v>1351</v>
      </c>
      <c r="G213" s="616" t="s">
        <v>729</v>
      </c>
      <c r="H213" s="618" t="s">
        <v>1202</v>
      </c>
      <c r="I213" s="618" t="s">
        <v>30</v>
      </c>
      <c r="J213" s="618" t="s">
        <v>1202</v>
      </c>
      <c r="K213" s="618" t="s">
        <v>1550</v>
      </c>
      <c r="L213" s="619" t="s">
        <v>1957</v>
      </c>
      <c r="M213" s="704" t="s">
        <v>2056</v>
      </c>
      <c r="N213" s="620"/>
      <c r="O213" s="620"/>
      <c r="P213" s="663" t="s">
        <v>1515</v>
      </c>
      <c r="Q213" s="621"/>
      <c r="R213" s="598"/>
      <c r="S213" s="598"/>
      <c r="T213" s="598"/>
      <c r="U213" s="598" t="s">
        <v>1090</v>
      </c>
      <c r="V213" s="663" t="s">
        <v>2791</v>
      </c>
      <c r="W213" s="779" t="s">
        <v>2792</v>
      </c>
      <c r="X213" s="598" t="s">
        <v>950</v>
      </c>
      <c r="Y213" s="624">
        <v>20092</v>
      </c>
      <c r="Z213" s="625">
        <f t="shared" ca="1" si="3"/>
        <v>71</v>
      </c>
      <c r="AA213" s="616" t="s">
        <v>2793</v>
      </c>
      <c r="AB213" s="598" t="s">
        <v>2794</v>
      </c>
      <c r="AC213" s="598" t="s">
        <v>996</v>
      </c>
      <c r="AD213" s="598" t="s">
        <v>1018</v>
      </c>
      <c r="AE213" s="616" t="s">
        <v>2737</v>
      </c>
      <c r="AF213" s="616" t="s">
        <v>2737</v>
      </c>
      <c r="AG213" s="616" t="s">
        <v>2795</v>
      </c>
      <c r="AH213" s="598"/>
      <c r="AI213" s="598"/>
      <c r="AJ213" s="598" t="s">
        <v>1107</v>
      </c>
      <c r="AK213" s="598"/>
      <c r="AL213" s="626"/>
      <c r="AM213" s="626"/>
    </row>
    <row r="214" spans="1:39" ht="18" customHeight="1">
      <c r="C214" s="598">
        <v>193</v>
      </c>
      <c r="D214" s="598" t="s">
        <v>2527</v>
      </c>
      <c r="E214" s="598">
        <f t="shared" si="4"/>
        <v>187</v>
      </c>
      <c r="F214" s="616" t="s">
        <v>1351</v>
      </c>
      <c r="G214" s="616" t="s">
        <v>729</v>
      </c>
      <c r="H214" s="618" t="s">
        <v>1202</v>
      </c>
      <c r="I214" s="618" t="s">
        <v>30</v>
      </c>
      <c r="J214" s="618" t="s">
        <v>1202</v>
      </c>
      <c r="K214" s="618" t="s">
        <v>1550</v>
      </c>
      <c r="L214" s="619" t="s">
        <v>1957</v>
      </c>
      <c r="M214" s="704" t="s">
        <v>2056</v>
      </c>
      <c r="N214" s="620"/>
      <c r="O214" s="620"/>
      <c r="P214" s="664" t="s">
        <v>1515</v>
      </c>
      <c r="Q214" s="621"/>
      <c r="R214" s="598"/>
      <c r="S214" s="598"/>
      <c r="T214" s="598"/>
      <c r="U214" s="598" t="s">
        <v>1015</v>
      </c>
      <c r="V214" s="664" t="s">
        <v>2528</v>
      </c>
      <c r="W214" s="779" t="s">
        <v>2529</v>
      </c>
      <c r="X214" s="598" t="s">
        <v>950</v>
      </c>
      <c r="Y214" s="624">
        <v>22389</v>
      </c>
      <c r="Z214" s="625">
        <f t="shared" ca="1" si="3"/>
        <v>64</v>
      </c>
      <c r="AA214" s="616" t="s">
        <v>4592</v>
      </c>
      <c r="AB214" s="598" t="s">
        <v>4593</v>
      </c>
      <c r="AC214" s="598" t="s">
        <v>996</v>
      </c>
      <c r="AD214" s="598" t="s">
        <v>1018</v>
      </c>
      <c r="AE214" s="616" t="s">
        <v>729</v>
      </c>
      <c r="AF214" s="616" t="s">
        <v>729</v>
      </c>
      <c r="AG214" s="616" t="s">
        <v>2530</v>
      </c>
      <c r="AH214" s="598"/>
      <c r="AI214" s="598"/>
      <c r="AJ214" s="598" t="s">
        <v>1011</v>
      </c>
      <c r="AK214" s="598"/>
      <c r="AL214" s="626"/>
      <c r="AM214" s="626"/>
    </row>
    <row r="215" spans="1:39" ht="18" customHeight="1">
      <c r="A215" s="174"/>
      <c r="B215" s="174"/>
      <c r="C215" s="598">
        <v>194</v>
      </c>
      <c r="D215" s="598" t="s">
        <v>1870</v>
      </c>
      <c r="E215" s="598">
        <f t="shared" si="4"/>
        <v>188</v>
      </c>
      <c r="F215" s="685" t="s">
        <v>1351</v>
      </c>
      <c r="G215" s="598" t="s">
        <v>729</v>
      </c>
      <c r="H215" s="618" t="s">
        <v>1202</v>
      </c>
      <c r="I215" s="618" t="s">
        <v>30</v>
      </c>
      <c r="J215" s="618" t="s">
        <v>1202</v>
      </c>
      <c r="K215" s="618" t="s">
        <v>1870</v>
      </c>
      <c r="L215" s="618" t="s">
        <v>1415</v>
      </c>
      <c r="M215" s="620" t="s">
        <v>2301</v>
      </c>
      <c r="N215" s="620"/>
      <c r="O215" s="636"/>
      <c r="P215" s="709" t="s">
        <v>1529</v>
      </c>
      <c r="Q215" s="621"/>
      <c r="R215" s="598" t="s">
        <v>69</v>
      </c>
      <c r="S215" s="598" t="s">
        <v>562</v>
      </c>
      <c r="T215" s="627"/>
      <c r="U215" s="639" t="s">
        <v>1015</v>
      </c>
      <c r="V215" s="709" t="s">
        <v>1872</v>
      </c>
      <c r="W215" s="787" t="s">
        <v>1873</v>
      </c>
      <c r="X215" s="598" t="s">
        <v>950</v>
      </c>
      <c r="Y215" s="624">
        <v>34534</v>
      </c>
      <c r="Z215" s="625">
        <f t="shared" ca="1" si="3"/>
        <v>31</v>
      </c>
      <c r="AA215" s="598" t="s">
        <v>1874</v>
      </c>
      <c r="AB215" s="598" t="s">
        <v>1875</v>
      </c>
      <c r="AC215" s="598" t="s">
        <v>996</v>
      </c>
      <c r="AD215" s="598" t="s">
        <v>1018</v>
      </c>
      <c r="AE215" s="598" t="s">
        <v>1494</v>
      </c>
      <c r="AF215" s="598" t="s">
        <v>1791</v>
      </c>
      <c r="AG215" s="598" t="s">
        <v>1876</v>
      </c>
      <c r="AH215" s="627"/>
      <c r="AI215" s="627"/>
      <c r="AJ215" s="598" t="s">
        <v>1107</v>
      </c>
      <c r="AK215" s="627"/>
      <c r="AL215" s="627"/>
      <c r="AM215" s="627"/>
    </row>
    <row r="216" spans="1:39" ht="18" customHeight="1">
      <c r="C216" s="598">
        <v>195</v>
      </c>
      <c r="D216" s="598" t="s">
        <v>1415</v>
      </c>
      <c r="E216" s="598">
        <f t="shared" si="4"/>
        <v>189</v>
      </c>
      <c r="F216" s="616" t="s">
        <v>1351</v>
      </c>
      <c r="G216" s="616" t="s">
        <v>729</v>
      </c>
      <c r="H216" s="618" t="s">
        <v>1202</v>
      </c>
      <c r="I216" s="618" t="s">
        <v>30</v>
      </c>
      <c r="J216" s="618" t="s">
        <v>1202</v>
      </c>
      <c r="K216" s="618" t="s">
        <v>1870</v>
      </c>
      <c r="L216" s="618" t="s">
        <v>1415</v>
      </c>
      <c r="M216" s="620" t="s">
        <v>2301</v>
      </c>
      <c r="N216" s="620"/>
      <c r="O216" s="620"/>
      <c r="P216" s="672" t="s">
        <v>1529</v>
      </c>
      <c r="Q216" s="621"/>
      <c r="R216" s="598" t="s">
        <v>69</v>
      </c>
      <c r="S216" s="598" t="s">
        <v>562</v>
      </c>
      <c r="T216" s="598"/>
      <c r="U216" s="623" t="s">
        <v>1015</v>
      </c>
      <c r="V216" s="663" t="s">
        <v>1416</v>
      </c>
      <c r="W216" s="781" t="s">
        <v>1417</v>
      </c>
      <c r="X216" s="598" t="s">
        <v>950</v>
      </c>
      <c r="Y216" s="624">
        <v>32534</v>
      </c>
      <c r="Z216" s="625">
        <f t="shared" ca="1" si="3"/>
        <v>37</v>
      </c>
      <c r="AA216" s="616" t="s">
        <v>1418</v>
      </c>
      <c r="AB216" s="598" t="s">
        <v>1419</v>
      </c>
      <c r="AC216" s="598" t="s">
        <v>996</v>
      </c>
      <c r="AD216" s="598" t="s">
        <v>1018</v>
      </c>
      <c r="AE216" s="616" t="s">
        <v>729</v>
      </c>
      <c r="AF216" s="616" t="s">
        <v>729</v>
      </c>
      <c r="AG216" s="616" t="s">
        <v>1323</v>
      </c>
      <c r="AH216" s="598"/>
      <c r="AI216" s="598"/>
      <c r="AJ216" s="598" t="s">
        <v>1107</v>
      </c>
      <c r="AK216" s="598"/>
      <c r="AL216" s="626"/>
      <c r="AM216" s="626"/>
    </row>
    <row r="217" spans="1:39" ht="18" customHeight="1">
      <c r="C217" s="598">
        <v>196</v>
      </c>
      <c r="D217" s="598" t="s">
        <v>2301</v>
      </c>
      <c r="E217" s="598">
        <f t="shared" si="4"/>
        <v>190</v>
      </c>
      <c r="F217" s="616" t="s">
        <v>1351</v>
      </c>
      <c r="G217" s="616" t="s">
        <v>729</v>
      </c>
      <c r="H217" s="618" t="s">
        <v>1202</v>
      </c>
      <c r="I217" s="618" t="s">
        <v>30</v>
      </c>
      <c r="J217" s="618" t="s">
        <v>1202</v>
      </c>
      <c r="K217" s="618" t="s">
        <v>1870</v>
      </c>
      <c r="L217" s="618" t="s">
        <v>1415</v>
      </c>
      <c r="M217" s="620" t="s">
        <v>2301</v>
      </c>
      <c r="N217" s="620"/>
      <c r="O217" s="620"/>
      <c r="P217" s="672" t="s">
        <v>1529</v>
      </c>
      <c r="Q217" s="621"/>
      <c r="R217" s="598" t="s">
        <v>69</v>
      </c>
      <c r="S217" s="598" t="s">
        <v>562</v>
      </c>
      <c r="T217" s="598"/>
      <c r="U217" s="623" t="s">
        <v>992</v>
      </c>
      <c r="V217" s="663" t="s">
        <v>2304</v>
      </c>
      <c r="W217" s="781" t="s">
        <v>2305</v>
      </c>
      <c r="X217" s="598" t="s">
        <v>950</v>
      </c>
      <c r="Y217" s="624">
        <v>35142</v>
      </c>
      <c r="Z217" s="625">
        <f t="shared" ca="1" si="3"/>
        <v>29</v>
      </c>
      <c r="AA217" s="616"/>
      <c r="AB217" s="598" t="s">
        <v>2306</v>
      </c>
      <c r="AC217" s="598" t="s">
        <v>996</v>
      </c>
      <c r="AD217" s="598" t="s">
        <v>1018</v>
      </c>
      <c r="AE217" s="616" t="s">
        <v>729</v>
      </c>
      <c r="AF217" s="616" t="s">
        <v>4992</v>
      </c>
      <c r="AG217" s="616" t="s">
        <v>4993</v>
      </c>
      <c r="AH217" s="598"/>
      <c r="AI217" s="598"/>
      <c r="AJ217" s="598" t="s">
        <v>1107</v>
      </c>
      <c r="AK217" s="598"/>
      <c r="AL217" s="626"/>
      <c r="AM217" s="626"/>
    </row>
    <row r="218" spans="1:39" ht="18" customHeight="1">
      <c r="C218" s="598">
        <v>197</v>
      </c>
      <c r="D218" s="598" t="s">
        <v>1883</v>
      </c>
      <c r="E218" s="598">
        <f t="shared" si="4"/>
        <v>191</v>
      </c>
      <c r="F218" s="616" t="s">
        <v>1351</v>
      </c>
      <c r="G218" s="616" t="s">
        <v>729</v>
      </c>
      <c r="H218" s="618" t="s">
        <v>1202</v>
      </c>
      <c r="I218" s="618" t="s">
        <v>30</v>
      </c>
      <c r="J218" s="618" t="s">
        <v>1202</v>
      </c>
      <c r="K218" s="618" t="s">
        <v>1870</v>
      </c>
      <c r="L218" s="618" t="s">
        <v>1415</v>
      </c>
      <c r="M218" s="620" t="s">
        <v>2301</v>
      </c>
      <c r="N218" s="620"/>
      <c r="O218" s="620"/>
      <c r="P218" s="672" t="s">
        <v>1529</v>
      </c>
      <c r="Q218" s="621"/>
      <c r="R218" s="598"/>
      <c r="S218" s="598"/>
      <c r="T218" s="598"/>
      <c r="U218" s="623" t="s">
        <v>1015</v>
      </c>
      <c r="V218" s="668" t="s">
        <v>1884</v>
      </c>
      <c r="W218" s="781" t="s">
        <v>1885</v>
      </c>
      <c r="X218" s="598" t="s">
        <v>950</v>
      </c>
      <c r="Y218" s="624">
        <v>37018</v>
      </c>
      <c r="Z218" s="625">
        <f t="shared" ca="1" si="3"/>
        <v>24</v>
      </c>
      <c r="AA218" s="654" t="s">
        <v>1886</v>
      </c>
      <c r="AB218" s="598" t="s">
        <v>1887</v>
      </c>
      <c r="AC218" s="598" t="s">
        <v>996</v>
      </c>
      <c r="AD218" s="598" t="s">
        <v>997</v>
      </c>
      <c r="AE218" s="616" t="s">
        <v>729</v>
      </c>
      <c r="AF218" s="616" t="s">
        <v>729</v>
      </c>
      <c r="AG218" s="616" t="s">
        <v>1830</v>
      </c>
      <c r="AH218" s="598"/>
      <c r="AI218" s="598"/>
      <c r="AJ218" s="598" t="s">
        <v>1349</v>
      </c>
      <c r="AK218" s="598"/>
      <c r="AL218" s="626"/>
      <c r="AM218" s="626"/>
    </row>
    <row r="219" spans="1:39" ht="18" customHeight="1">
      <c r="C219" s="598">
        <v>198</v>
      </c>
      <c r="D219" s="598" t="s">
        <v>1893</v>
      </c>
      <c r="E219" s="598">
        <f t="shared" si="4"/>
        <v>192</v>
      </c>
      <c r="F219" s="616" t="s">
        <v>1351</v>
      </c>
      <c r="G219" s="616" t="s">
        <v>729</v>
      </c>
      <c r="H219" s="618" t="s">
        <v>1202</v>
      </c>
      <c r="I219" s="618" t="s">
        <v>30</v>
      </c>
      <c r="J219" s="618" t="s">
        <v>1202</v>
      </c>
      <c r="K219" s="618" t="s">
        <v>1870</v>
      </c>
      <c r="L219" s="618" t="s">
        <v>1415</v>
      </c>
      <c r="M219" s="620" t="s">
        <v>2301</v>
      </c>
      <c r="N219" s="620"/>
      <c r="O219" s="620"/>
      <c r="P219" s="672" t="s">
        <v>1529</v>
      </c>
      <c r="Q219" s="621"/>
      <c r="R219" s="598"/>
      <c r="S219" s="598"/>
      <c r="T219" s="598"/>
      <c r="U219" s="623" t="s">
        <v>1015</v>
      </c>
      <c r="V219" s="669" t="s">
        <v>1894</v>
      </c>
      <c r="W219" s="781" t="s">
        <v>1895</v>
      </c>
      <c r="X219" s="598" t="s">
        <v>950</v>
      </c>
      <c r="Y219" s="624">
        <v>31403</v>
      </c>
      <c r="Z219" s="625">
        <f t="shared" ca="1" si="3"/>
        <v>40</v>
      </c>
      <c r="AA219" s="616" t="s">
        <v>1896</v>
      </c>
      <c r="AB219" s="598" t="s">
        <v>1897</v>
      </c>
      <c r="AC219" s="598" t="s">
        <v>996</v>
      </c>
      <c r="AD219" s="598" t="s">
        <v>1018</v>
      </c>
      <c r="AE219" s="616" t="s">
        <v>1898</v>
      </c>
      <c r="AF219" s="616" t="s">
        <v>729</v>
      </c>
      <c r="AG219" s="616" t="s">
        <v>1899</v>
      </c>
      <c r="AH219" s="598"/>
      <c r="AI219" s="598"/>
      <c r="AJ219" s="598" t="s">
        <v>1107</v>
      </c>
      <c r="AK219" s="598"/>
      <c r="AL219" s="626"/>
      <c r="AM219" s="626"/>
    </row>
    <row r="220" spans="1:39" ht="18" customHeight="1">
      <c r="C220" s="598">
        <v>199</v>
      </c>
      <c r="D220" s="598" t="s">
        <v>4595</v>
      </c>
      <c r="E220" s="598">
        <f t="shared" si="4"/>
        <v>193</v>
      </c>
      <c r="F220" s="616" t="s">
        <v>1351</v>
      </c>
      <c r="G220" s="616" t="s">
        <v>729</v>
      </c>
      <c r="H220" s="618" t="s">
        <v>1202</v>
      </c>
      <c r="I220" s="618" t="s">
        <v>30</v>
      </c>
      <c r="J220" s="618" t="s">
        <v>1202</v>
      </c>
      <c r="K220" s="618" t="s">
        <v>1870</v>
      </c>
      <c r="L220" s="618" t="s">
        <v>1415</v>
      </c>
      <c r="M220" s="620" t="s">
        <v>2301</v>
      </c>
      <c r="N220" s="620"/>
      <c r="O220" s="620"/>
      <c r="P220" s="672" t="s">
        <v>1529</v>
      </c>
      <c r="Q220" s="621"/>
      <c r="R220" s="598"/>
      <c r="S220" s="598"/>
      <c r="T220" s="598"/>
      <c r="U220" s="623" t="s">
        <v>1015</v>
      </c>
      <c r="V220" s="663" t="s">
        <v>4596</v>
      </c>
      <c r="W220" s="781" t="s">
        <v>4597</v>
      </c>
      <c r="X220" s="598" t="s">
        <v>950</v>
      </c>
      <c r="Y220" s="624">
        <v>35901</v>
      </c>
      <c r="Z220" s="625">
        <f t="shared" ca="1" si="3"/>
        <v>27</v>
      </c>
      <c r="AA220" s="616" t="s">
        <v>4598</v>
      </c>
      <c r="AB220" s="598"/>
      <c r="AC220" s="598" t="s">
        <v>996</v>
      </c>
      <c r="AD220" s="598" t="s">
        <v>1018</v>
      </c>
      <c r="AE220" s="616" t="s">
        <v>729</v>
      </c>
      <c r="AF220" s="616" t="s">
        <v>1250</v>
      </c>
      <c r="AG220" s="616" t="s">
        <v>4599</v>
      </c>
      <c r="AH220" s="598"/>
      <c r="AI220" s="598" t="s">
        <v>4600</v>
      </c>
      <c r="AJ220" s="598" t="s">
        <v>1107</v>
      </c>
      <c r="AK220" s="598" t="s">
        <v>1020</v>
      </c>
      <c r="AL220" s="626"/>
      <c r="AM220" s="626"/>
    </row>
    <row r="221" spans="1:39" ht="18" customHeight="1">
      <c r="C221" s="598">
        <v>200</v>
      </c>
      <c r="D221" s="598" t="s">
        <v>1900</v>
      </c>
      <c r="E221" s="598">
        <f t="shared" si="4"/>
        <v>194</v>
      </c>
      <c r="F221" s="616" t="s">
        <v>1351</v>
      </c>
      <c r="G221" s="616" t="s">
        <v>729</v>
      </c>
      <c r="H221" s="618" t="s">
        <v>1202</v>
      </c>
      <c r="I221" s="618" t="s">
        <v>30</v>
      </c>
      <c r="J221" s="618" t="s">
        <v>1202</v>
      </c>
      <c r="K221" s="618" t="s">
        <v>1870</v>
      </c>
      <c r="L221" s="618" t="s">
        <v>1415</v>
      </c>
      <c r="M221" s="620" t="s">
        <v>2301</v>
      </c>
      <c r="N221" s="620"/>
      <c r="O221" s="620"/>
      <c r="P221" s="672" t="s">
        <v>1529</v>
      </c>
      <c r="Q221" s="621"/>
      <c r="R221" s="598"/>
      <c r="S221" s="598"/>
      <c r="T221" s="598"/>
      <c r="U221" s="598" t="s">
        <v>992</v>
      </c>
      <c r="V221" s="663" t="s">
        <v>300</v>
      </c>
      <c r="W221" s="779" t="s">
        <v>1901</v>
      </c>
      <c r="X221" s="598" t="s">
        <v>950</v>
      </c>
      <c r="Y221" s="624">
        <v>34094</v>
      </c>
      <c r="Z221" s="625">
        <f t="shared" ca="1" si="3"/>
        <v>32</v>
      </c>
      <c r="AA221" s="654" t="s">
        <v>1902</v>
      </c>
      <c r="AB221" s="598"/>
      <c r="AC221" s="598" t="s">
        <v>1006</v>
      </c>
      <c r="AD221" s="598" t="s">
        <v>953</v>
      </c>
      <c r="AE221" s="616" t="s">
        <v>729</v>
      </c>
      <c r="AF221" s="616" t="s">
        <v>729</v>
      </c>
      <c r="AG221" s="616" t="s">
        <v>1252</v>
      </c>
      <c r="AH221" s="598"/>
      <c r="AI221" s="598"/>
      <c r="AJ221" s="598"/>
      <c r="AK221" s="598"/>
      <c r="AL221" s="626"/>
      <c r="AM221" s="626"/>
    </row>
    <row r="222" spans="1:39" ht="18" customHeight="1">
      <c r="C222" s="598">
        <v>201</v>
      </c>
      <c r="D222" s="598" t="s">
        <v>1903</v>
      </c>
      <c r="E222" s="598">
        <f t="shared" si="4"/>
        <v>195</v>
      </c>
      <c r="F222" s="616" t="s">
        <v>1351</v>
      </c>
      <c r="G222" s="616" t="s">
        <v>729</v>
      </c>
      <c r="H222" s="618" t="s">
        <v>1202</v>
      </c>
      <c r="I222" s="618" t="s">
        <v>30</v>
      </c>
      <c r="J222" s="618" t="s">
        <v>1202</v>
      </c>
      <c r="K222" s="618" t="s">
        <v>1870</v>
      </c>
      <c r="L222" s="618" t="s">
        <v>1415</v>
      </c>
      <c r="M222" s="620" t="s">
        <v>2301</v>
      </c>
      <c r="N222" s="620"/>
      <c r="O222" s="620"/>
      <c r="P222" s="673" t="s">
        <v>1529</v>
      </c>
      <c r="Q222" s="621"/>
      <c r="R222" s="598"/>
      <c r="S222" s="598"/>
      <c r="T222" s="598"/>
      <c r="U222" s="623" t="s">
        <v>992</v>
      </c>
      <c r="V222" s="673" t="s">
        <v>1905</v>
      </c>
      <c r="W222" s="781" t="s">
        <v>1906</v>
      </c>
      <c r="X222" s="598" t="s">
        <v>950</v>
      </c>
      <c r="Y222" s="624">
        <v>31881</v>
      </c>
      <c r="Z222" s="625">
        <f t="shared" ca="1" si="3"/>
        <v>38</v>
      </c>
      <c r="AA222" s="616" t="s">
        <v>1907</v>
      </c>
      <c r="AB222" s="598" t="s">
        <v>1908</v>
      </c>
      <c r="AC222" s="598" t="s">
        <v>996</v>
      </c>
      <c r="AD222" s="598" t="s">
        <v>1018</v>
      </c>
      <c r="AE222" s="616" t="s">
        <v>1909</v>
      </c>
      <c r="AF222" s="616" t="s">
        <v>1910</v>
      </c>
      <c r="AG222" s="616" t="s">
        <v>1911</v>
      </c>
      <c r="AH222" s="598"/>
      <c r="AI222" s="598"/>
      <c r="AJ222" s="598" t="s">
        <v>1107</v>
      </c>
      <c r="AK222" s="598"/>
      <c r="AL222" s="626"/>
      <c r="AM222" s="626"/>
    </row>
    <row r="223" spans="1:39" ht="18" customHeight="1">
      <c r="C223" s="598">
        <v>202</v>
      </c>
      <c r="D223" s="598" t="s">
        <v>1202</v>
      </c>
      <c r="E223" s="598">
        <f t="shared" si="4"/>
        <v>195</v>
      </c>
      <c r="F223" s="616"/>
      <c r="G223" s="616" t="s">
        <v>729</v>
      </c>
      <c r="H223" s="618" t="s">
        <v>1202</v>
      </c>
      <c r="I223" s="618" t="s">
        <v>30</v>
      </c>
      <c r="J223" s="618" t="s">
        <v>1202</v>
      </c>
      <c r="K223" s="618" t="s">
        <v>1202</v>
      </c>
      <c r="L223" s="618" t="s">
        <v>959</v>
      </c>
      <c r="M223" s="619" t="s">
        <v>959</v>
      </c>
      <c r="N223" s="620"/>
      <c r="O223" s="620"/>
      <c r="P223" s="669" t="s">
        <v>4601</v>
      </c>
      <c r="Q223" s="621"/>
      <c r="R223" s="598"/>
      <c r="S223" s="598"/>
      <c r="T223" s="598"/>
      <c r="U223" s="598"/>
      <c r="V223" s="667" t="s">
        <v>30</v>
      </c>
      <c r="W223" s="779" t="s">
        <v>1203</v>
      </c>
      <c r="X223" s="598" t="s">
        <v>950</v>
      </c>
      <c r="Y223" s="624">
        <v>33065</v>
      </c>
      <c r="Z223" s="625">
        <f t="shared" ca="1" si="3"/>
        <v>35</v>
      </c>
      <c r="AA223" s="616" t="s">
        <v>1204</v>
      </c>
      <c r="AB223" s="598"/>
      <c r="AC223" s="598" t="s">
        <v>1006</v>
      </c>
      <c r="AD223" s="598" t="s">
        <v>953</v>
      </c>
      <c r="AE223" s="616" t="s">
        <v>973</v>
      </c>
      <c r="AF223" s="616" t="s">
        <v>954</v>
      </c>
      <c r="AG223" s="616" t="s">
        <v>968</v>
      </c>
      <c r="AH223" s="598" t="s">
        <v>955</v>
      </c>
      <c r="AI223" s="598"/>
      <c r="AJ223" s="598"/>
      <c r="AK223" s="598"/>
      <c r="AL223" s="626"/>
      <c r="AM223" s="626"/>
    </row>
    <row r="224" spans="1:39" ht="18" customHeight="1">
      <c r="C224" s="598">
        <v>203</v>
      </c>
      <c r="D224" s="598" t="s">
        <v>4602</v>
      </c>
      <c r="E224" s="598">
        <f t="shared" si="4"/>
        <v>196</v>
      </c>
      <c r="F224" s="616" t="s">
        <v>1351</v>
      </c>
      <c r="G224" s="616" t="s">
        <v>729</v>
      </c>
      <c r="H224" s="618" t="s">
        <v>1202</v>
      </c>
      <c r="I224" s="618" t="s">
        <v>30</v>
      </c>
      <c r="J224" s="618" t="s">
        <v>1202</v>
      </c>
      <c r="K224" s="618" t="s">
        <v>1202</v>
      </c>
      <c r="L224" s="618" t="s">
        <v>959</v>
      </c>
      <c r="M224" s="619" t="s">
        <v>959</v>
      </c>
      <c r="N224" s="620"/>
      <c r="O224" s="620"/>
      <c r="P224" s="663" t="s">
        <v>4601</v>
      </c>
      <c r="Q224" s="621"/>
      <c r="R224" s="598"/>
      <c r="S224" s="598"/>
      <c r="T224" s="598"/>
      <c r="U224" s="598" t="s">
        <v>1015</v>
      </c>
      <c r="V224" s="663" t="s">
        <v>4603</v>
      </c>
      <c r="W224" s="779" t="s">
        <v>4604</v>
      </c>
      <c r="X224" s="598" t="s">
        <v>950</v>
      </c>
      <c r="Y224" s="624">
        <v>32134</v>
      </c>
      <c r="Z224" s="625">
        <f t="shared" ca="1" si="3"/>
        <v>38</v>
      </c>
      <c r="AA224" s="616" t="s">
        <v>4605</v>
      </c>
      <c r="AB224" s="652"/>
      <c r="AC224" s="598" t="s">
        <v>996</v>
      </c>
      <c r="AD224" s="598" t="s">
        <v>1018</v>
      </c>
      <c r="AE224" s="616" t="s">
        <v>729</v>
      </c>
      <c r="AF224" s="616" t="s">
        <v>729</v>
      </c>
      <c r="AG224" s="616"/>
      <c r="AH224" s="598"/>
      <c r="AI224" s="598" t="s">
        <v>4606</v>
      </c>
      <c r="AJ224" s="598" t="s">
        <v>1440</v>
      </c>
      <c r="AK224" s="598" t="s">
        <v>4607</v>
      </c>
      <c r="AL224" s="626"/>
      <c r="AM224" s="626"/>
    </row>
    <row r="225" spans="3:39" ht="18" customHeight="1">
      <c r="C225" s="598">
        <v>204</v>
      </c>
      <c r="D225" s="598" t="s">
        <v>4608</v>
      </c>
      <c r="E225" s="598">
        <f t="shared" si="4"/>
        <v>197</v>
      </c>
      <c r="F225" s="616" t="s">
        <v>1351</v>
      </c>
      <c r="G225" s="616" t="s">
        <v>729</v>
      </c>
      <c r="H225" s="618" t="s">
        <v>1202</v>
      </c>
      <c r="I225" s="618" t="s">
        <v>30</v>
      </c>
      <c r="J225" s="618" t="s">
        <v>1202</v>
      </c>
      <c r="K225" s="618" t="s">
        <v>1202</v>
      </c>
      <c r="L225" s="618" t="s">
        <v>959</v>
      </c>
      <c r="M225" s="619" t="s">
        <v>959</v>
      </c>
      <c r="N225" s="620"/>
      <c r="O225" s="620"/>
      <c r="P225" s="663" t="s">
        <v>4601</v>
      </c>
      <c r="Q225" s="621"/>
      <c r="R225" s="598"/>
      <c r="S225" s="598"/>
      <c r="T225" s="598"/>
      <c r="U225" s="598" t="s">
        <v>1015</v>
      </c>
      <c r="V225" s="663" t="s">
        <v>4609</v>
      </c>
      <c r="W225" s="779" t="s">
        <v>4610</v>
      </c>
      <c r="X225" s="598" t="s">
        <v>950</v>
      </c>
      <c r="Y225" s="624">
        <v>33526</v>
      </c>
      <c r="Z225" s="625">
        <f t="shared" ca="1" si="3"/>
        <v>34</v>
      </c>
      <c r="AA225" s="616" t="s">
        <v>4611</v>
      </c>
      <c r="AB225" s="652"/>
      <c r="AC225" s="598" t="s">
        <v>996</v>
      </c>
      <c r="AD225" s="598" t="s">
        <v>1018</v>
      </c>
      <c r="AE225" s="616" t="s">
        <v>729</v>
      </c>
      <c r="AF225" s="616" t="s">
        <v>729</v>
      </c>
      <c r="AG225" s="616" t="s">
        <v>1252</v>
      </c>
      <c r="AH225" s="598"/>
      <c r="AI225" s="598" t="s">
        <v>4612</v>
      </c>
      <c r="AJ225" s="598" t="s">
        <v>1107</v>
      </c>
      <c r="AK225" s="598" t="s">
        <v>4607</v>
      </c>
      <c r="AL225" s="626"/>
      <c r="AM225" s="626"/>
    </row>
    <row r="226" spans="3:39" ht="18" customHeight="1">
      <c r="C226" s="598">
        <v>205</v>
      </c>
      <c r="D226" s="598" t="s">
        <v>4613</v>
      </c>
      <c r="E226" s="598">
        <f t="shared" si="4"/>
        <v>198</v>
      </c>
      <c r="F226" s="616" t="s">
        <v>1351</v>
      </c>
      <c r="G226" s="616" t="s">
        <v>729</v>
      </c>
      <c r="H226" s="618" t="s">
        <v>1202</v>
      </c>
      <c r="I226" s="618" t="s">
        <v>30</v>
      </c>
      <c r="J226" s="618" t="s">
        <v>1202</v>
      </c>
      <c r="K226" s="618" t="s">
        <v>1202</v>
      </c>
      <c r="L226" s="618" t="s">
        <v>959</v>
      </c>
      <c r="M226" s="619" t="s">
        <v>959</v>
      </c>
      <c r="N226" s="620"/>
      <c r="O226" s="620"/>
      <c r="P226" s="663" t="s">
        <v>4601</v>
      </c>
      <c r="Q226" s="621"/>
      <c r="R226" s="598"/>
      <c r="S226" s="598"/>
      <c r="T226" s="598"/>
      <c r="U226" s="598" t="s">
        <v>992</v>
      </c>
      <c r="V226" s="663" t="s">
        <v>4614</v>
      </c>
      <c r="W226" s="779" t="s">
        <v>4615</v>
      </c>
      <c r="X226" s="598" t="s">
        <v>950</v>
      </c>
      <c r="Y226" s="624">
        <v>35919</v>
      </c>
      <c r="Z226" s="625">
        <f t="shared" ca="1" si="3"/>
        <v>27</v>
      </c>
      <c r="AA226" s="616" t="s">
        <v>4616</v>
      </c>
      <c r="AB226" s="652"/>
      <c r="AC226" s="598" t="s">
        <v>996</v>
      </c>
      <c r="AD226" s="598" t="s">
        <v>1018</v>
      </c>
      <c r="AE226" s="616" t="s">
        <v>729</v>
      </c>
      <c r="AF226" s="616" t="s">
        <v>729</v>
      </c>
      <c r="AG226" s="616" t="s">
        <v>1323</v>
      </c>
      <c r="AH226" s="598"/>
      <c r="AI226" s="598" t="s">
        <v>4617</v>
      </c>
      <c r="AJ226" s="598" t="s">
        <v>1107</v>
      </c>
      <c r="AK226" s="598" t="s">
        <v>4607</v>
      </c>
      <c r="AL226" s="626"/>
      <c r="AM226" s="626"/>
    </row>
    <row r="227" spans="3:39" ht="18" customHeight="1">
      <c r="C227" s="598">
        <v>206</v>
      </c>
      <c r="D227" s="598" t="s">
        <v>4618</v>
      </c>
      <c r="E227" s="598">
        <f t="shared" si="4"/>
        <v>199</v>
      </c>
      <c r="F227" s="616" t="s">
        <v>4978</v>
      </c>
      <c r="G227" s="616" t="s">
        <v>729</v>
      </c>
      <c r="H227" s="618" t="s">
        <v>1202</v>
      </c>
      <c r="I227" s="618" t="s">
        <v>30</v>
      </c>
      <c r="J227" s="618" t="s">
        <v>1202</v>
      </c>
      <c r="K227" s="618" t="s">
        <v>1202</v>
      </c>
      <c r="L227" s="618" t="s">
        <v>959</v>
      </c>
      <c r="M227" s="619" t="s">
        <v>959</v>
      </c>
      <c r="N227" s="620"/>
      <c r="O227" s="620"/>
      <c r="P227" s="663" t="s">
        <v>4601</v>
      </c>
      <c r="Q227" s="621"/>
      <c r="R227" s="598"/>
      <c r="S227" s="598"/>
      <c r="T227" s="598"/>
      <c r="U227" s="598" t="s">
        <v>1015</v>
      </c>
      <c r="V227" s="663" t="s">
        <v>4619</v>
      </c>
      <c r="W227" s="779" t="s">
        <v>4620</v>
      </c>
      <c r="X227" s="598" t="s">
        <v>950</v>
      </c>
      <c r="Y227" s="624">
        <v>33182</v>
      </c>
      <c r="Z227" s="625">
        <f t="shared" ca="1" si="3"/>
        <v>35</v>
      </c>
      <c r="AA227" s="616" t="s">
        <v>4621</v>
      </c>
      <c r="AB227" s="652"/>
      <c r="AC227" s="598" t="s">
        <v>996</v>
      </c>
      <c r="AD227" s="598" t="s">
        <v>1018</v>
      </c>
      <c r="AE227" s="616" t="s">
        <v>1494</v>
      </c>
      <c r="AF227" s="616" t="s">
        <v>1494</v>
      </c>
      <c r="AG227" s="616" t="s">
        <v>4622</v>
      </c>
      <c r="AH227" s="598"/>
      <c r="AI227" s="598" t="s">
        <v>1019</v>
      </c>
      <c r="AJ227" s="598" t="s">
        <v>1125</v>
      </c>
      <c r="AK227" s="598"/>
      <c r="AL227" s="626"/>
      <c r="AM227" s="626"/>
    </row>
    <row r="228" spans="3:39" ht="18" customHeight="1">
      <c r="C228" s="598">
        <v>207</v>
      </c>
      <c r="D228" s="598" t="s">
        <v>4623</v>
      </c>
      <c r="E228" s="598">
        <f t="shared" si="4"/>
        <v>200</v>
      </c>
      <c r="F228" s="616" t="s">
        <v>1810</v>
      </c>
      <c r="G228" s="616" t="s">
        <v>729</v>
      </c>
      <c r="H228" s="618" t="s">
        <v>1202</v>
      </c>
      <c r="I228" s="618" t="s">
        <v>30</v>
      </c>
      <c r="J228" s="618" t="s">
        <v>1202</v>
      </c>
      <c r="K228" s="618" t="s">
        <v>1202</v>
      </c>
      <c r="L228" s="618" t="s">
        <v>959</v>
      </c>
      <c r="M228" s="619" t="s">
        <v>959</v>
      </c>
      <c r="N228" s="620"/>
      <c r="O228" s="620"/>
      <c r="P228" s="663" t="s">
        <v>4601</v>
      </c>
      <c r="Q228" s="621"/>
      <c r="R228" s="598"/>
      <c r="S228" s="598"/>
      <c r="T228" s="598"/>
      <c r="U228" s="598" t="s">
        <v>992</v>
      </c>
      <c r="V228" s="663" t="s">
        <v>4624</v>
      </c>
      <c r="W228" s="779" t="s">
        <v>4625</v>
      </c>
      <c r="X228" s="598" t="s">
        <v>950</v>
      </c>
      <c r="Y228" s="624">
        <v>36632</v>
      </c>
      <c r="Z228" s="625">
        <f t="shared" ca="1" si="3"/>
        <v>25</v>
      </c>
      <c r="AA228" s="616" t="s">
        <v>4626</v>
      </c>
      <c r="AB228" s="652"/>
      <c r="AC228" s="598" t="s">
        <v>996</v>
      </c>
      <c r="AD228" s="598" t="s">
        <v>1018</v>
      </c>
      <c r="AE228" s="616" t="s">
        <v>973</v>
      </c>
      <c r="AF228" s="616" t="s">
        <v>973</v>
      </c>
      <c r="AG228" s="616" t="s">
        <v>3527</v>
      </c>
      <c r="AH228" s="598"/>
      <c r="AI228" s="598" t="s">
        <v>4229</v>
      </c>
      <c r="AJ228" s="598" t="s">
        <v>1125</v>
      </c>
      <c r="AK228" s="598" t="s">
        <v>4607</v>
      </c>
      <c r="AL228" s="626"/>
      <c r="AM228" s="626"/>
    </row>
    <row r="229" spans="3:39" ht="18" customHeight="1">
      <c r="C229" s="598">
        <v>208</v>
      </c>
      <c r="D229" s="598" t="s">
        <v>4627</v>
      </c>
      <c r="E229" s="598">
        <f t="shared" si="4"/>
        <v>201</v>
      </c>
      <c r="F229" s="616" t="s">
        <v>1351</v>
      </c>
      <c r="G229" s="616" t="s">
        <v>729</v>
      </c>
      <c r="H229" s="618" t="s">
        <v>1202</v>
      </c>
      <c r="I229" s="618" t="s">
        <v>30</v>
      </c>
      <c r="J229" s="618" t="s">
        <v>1202</v>
      </c>
      <c r="K229" s="618" t="s">
        <v>1202</v>
      </c>
      <c r="L229" s="618" t="s">
        <v>959</v>
      </c>
      <c r="M229" s="619" t="s">
        <v>959</v>
      </c>
      <c r="N229" s="620"/>
      <c r="O229" s="620"/>
      <c r="P229" s="673" t="s">
        <v>4601</v>
      </c>
      <c r="Q229" s="621"/>
      <c r="R229" s="598"/>
      <c r="S229" s="598"/>
      <c r="T229" s="598"/>
      <c r="U229" s="598" t="s">
        <v>1015</v>
      </c>
      <c r="V229" s="673" t="s">
        <v>4628</v>
      </c>
      <c r="W229" s="779" t="s">
        <v>4629</v>
      </c>
      <c r="X229" s="598" t="s">
        <v>950</v>
      </c>
      <c r="Y229" s="624">
        <v>32089</v>
      </c>
      <c r="Z229" s="625">
        <f t="shared" ca="1" si="3"/>
        <v>38</v>
      </c>
      <c r="AA229" s="654" t="s">
        <v>4630</v>
      </c>
      <c r="AB229" s="652"/>
      <c r="AC229" s="598" t="s">
        <v>996</v>
      </c>
      <c r="AD229" s="598" t="s">
        <v>1018</v>
      </c>
      <c r="AE229" s="616" t="s">
        <v>729</v>
      </c>
      <c r="AF229" s="616" t="s">
        <v>729</v>
      </c>
      <c r="AG229" s="616" t="s">
        <v>4631</v>
      </c>
      <c r="AH229" s="598"/>
      <c r="AI229" s="598" t="s">
        <v>4606</v>
      </c>
      <c r="AJ229" s="598" t="s">
        <v>1349</v>
      </c>
      <c r="AK229" s="680" t="s">
        <v>4632</v>
      </c>
      <c r="AL229" s="626"/>
      <c r="AM229" s="626"/>
    </row>
    <row r="230" spans="3:39" ht="18" customHeight="1">
      <c r="C230" s="598">
        <v>209</v>
      </c>
      <c r="D230" s="598" t="s">
        <v>2087</v>
      </c>
      <c r="E230" s="598">
        <f t="shared" si="4"/>
        <v>201</v>
      </c>
      <c r="F230" s="616"/>
      <c r="G230" s="616" t="s">
        <v>4633</v>
      </c>
      <c r="H230" s="618" t="s">
        <v>1202</v>
      </c>
      <c r="I230" s="618" t="s">
        <v>335</v>
      </c>
      <c r="J230" s="618" t="s">
        <v>2087</v>
      </c>
      <c r="K230" s="618" t="s">
        <v>2087</v>
      </c>
      <c r="L230" s="619" t="s">
        <v>2302</v>
      </c>
      <c r="M230" s="788" t="s">
        <v>4401</v>
      </c>
      <c r="N230" s="620"/>
      <c r="O230" s="620"/>
      <c r="P230" s="667" t="s">
        <v>1044</v>
      </c>
      <c r="Q230" s="621"/>
      <c r="R230" s="598" t="s">
        <v>173</v>
      </c>
      <c r="S230" s="598" t="s">
        <v>514</v>
      </c>
      <c r="T230" s="598"/>
      <c r="U230" s="598"/>
      <c r="V230" s="667" t="s">
        <v>335</v>
      </c>
      <c r="W230" s="779" t="s">
        <v>2089</v>
      </c>
      <c r="X230" s="598" t="s">
        <v>950</v>
      </c>
      <c r="Y230" s="624">
        <v>36694</v>
      </c>
      <c r="Z230" s="625">
        <f t="shared" ca="1" si="3"/>
        <v>25</v>
      </c>
      <c r="AA230" s="616" t="s">
        <v>2090</v>
      </c>
      <c r="AB230" s="598"/>
      <c r="AC230" s="598" t="s">
        <v>1006</v>
      </c>
      <c r="AD230" s="598" t="s">
        <v>953</v>
      </c>
      <c r="AE230" s="616" t="s">
        <v>729</v>
      </c>
      <c r="AF230" s="616" t="s">
        <v>729</v>
      </c>
      <c r="AG230" s="616" t="s">
        <v>2092</v>
      </c>
      <c r="AH230" s="598" t="s">
        <v>955</v>
      </c>
      <c r="AI230" s="598"/>
      <c r="AJ230" s="598"/>
      <c r="AK230" s="598"/>
      <c r="AL230" s="626"/>
      <c r="AM230" s="626"/>
    </row>
    <row r="231" spans="3:39" ht="18" customHeight="1">
      <c r="C231" s="598">
        <v>210</v>
      </c>
      <c r="D231" s="598" t="s">
        <v>2302</v>
      </c>
      <c r="E231" s="598">
        <f t="shared" si="4"/>
        <v>202</v>
      </c>
      <c r="F231" s="616" t="s">
        <v>4978</v>
      </c>
      <c r="G231" s="616" t="s">
        <v>4633</v>
      </c>
      <c r="H231" s="618" t="s">
        <v>1202</v>
      </c>
      <c r="I231" s="618" t="s">
        <v>335</v>
      </c>
      <c r="J231" s="618" t="s">
        <v>2087</v>
      </c>
      <c r="K231" s="618" t="s">
        <v>2087</v>
      </c>
      <c r="L231" s="619" t="s">
        <v>2302</v>
      </c>
      <c r="M231" s="788" t="s">
        <v>4401</v>
      </c>
      <c r="N231" s="620"/>
      <c r="O231" s="620"/>
      <c r="P231" s="663" t="s">
        <v>1044</v>
      </c>
      <c r="Q231" s="621" t="s">
        <v>319</v>
      </c>
      <c r="R231" s="598" t="s">
        <v>69</v>
      </c>
      <c r="S231" s="598" t="s">
        <v>562</v>
      </c>
      <c r="T231" s="598"/>
      <c r="U231" s="598" t="s">
        <v>992</v>
      </c>
      <c r="V231" s="663" t="s">
        <v>344</v>
      </c>
      <c r="W231" s="779" t="s">
        <v>2307</v>
      </c>
      <c r="X231" s="598" t="s">
        <v>950</v>
      </c>
      <c r="Y231" s="624">
        <v>38170</v>
      </c>
      <c r="Z231" s="625">
        <f t="shared" ca="1" si="3"/>
        <v>21</v>
      </c>
      <c r="AA231" s="616" t="s">
        <v>2308</v>
      </c>
      <c r="AB231" s="598" t="s">
        <v>2309</v>
      </c>
      <c r="AC231" s="598" t="s">
        <v>996</v>
      </c>
      <c r="AD231" s="598" t="s">
        <v>1018</v>
      </c>
      <c r="AE231" s="616" t="s">
        <v>729</v>
      </c>
      <c r="AF231" s="616" t="s">
        <v>729</v>
      </c>
      <c r="AG231" s="616" t="s">
        <v>1808</v>
      </c>
      <c r="AH231" s="598"/>
      <c r="AI231" s="598" t="s">
        <v>2310</v>
      </c>
      <c r="AJ231" s="598" t="s">
        <v>1318</v>
      </c>
      <c r="AK231" s="598"/>
      <c r="AL231" s="626"/>
      <c r="AM231" s="626"/>
    </row>
    <row r="232" spans="3:39" ht="18" customHeight="1">
      <c r="C232" s="598">
        <v>211</v>
      </c>
      <c r="D232" s="598" t="s">
        <v>4401</v>
      </c>
      <c r="E232" s="598">
        <f t="shared" si="4"/>
        <v>203</v>
      </c>
      <c r="F232" s="616" t="s">
        <v>3862</v>
      </c>
      <c r="G232" s="616" t="s">
        <v>4633</v>
      </c>
      <c r="H232" s="618" t="s">
        <v>1202</v>
      </c>
      <c r="I232" s="618" t="s">
        <v>335</v>
      </c>
      <c r="J232" s="618" t="s">
        <v>2087</v>
      </c>
      <c r="K232" s="618" t="s">
        <v>2087</v>
      </c>
      <c r="L232" s="619" t="s">
        <v>2302</v>
      </c>
      <c r="M232" s="788" t="s">
        <v>4401</v>
      </c>
      <c r="N232" s="620"/>
      <c r="O232" s="620"/>
      <c r="P232" s="663" t="s">
        <v>1044</v>
      </c>
      <c r="Q232" s="621"/>
      <c r="R232" s="598" t="s">
        <v>69</v>
      </c>
      <c r="S232" s="598" t="s">
        <v>562</v>
      </c>
      <c r="T232" s="598"/>
      <c r="U232" s="598" t="s">
        <v>992</v>
      </c>
      <c r="V232" s="663" t="s">
        <v>4402</v>
      </c>
      <c r="W232" s="779" t="s">
        <v>4403</v>
      </c>
      <c r="X232" s="598" t="s">
        <v>963</v>
      </c>
      <c r="Y232" s="624">
        <v>35551</v>
      </c>
      <c r="Z232" s="625">
        <f t="shared" ca="1" si="3"/>
        <v>28</v>
      </c>
      <c r="AA232" s="616" t="s">
        <v>4404</v>
      </c>
      <c r="AB232" s="598" t="s">
        <v>4405</v>
      </c>
      <c r="AC232" s="598" t="s">
        <v>996</v>
      </c>
      <c r="AD232" s="598" t="s">
        <v>997</v>
      </c>
      <c r="AE232" s="616" t="s">
        <v>246</v>
      </c>
      <c r="AF232" s="616" t="s">
        <v>246</v>
      </c>
      <c r="AG232" s="616" t="s">
        <v>4393</v>
      </c>
      <c r="AH232" s="598"/>
      <c r="AI232" s="598"/>
      <c r="AJ232" s="598" t="s">
        <v>1107</v>
      </c>
      <c r="AK232" s="598"/>
      <c r="AL232" s="626"/>
      <c r="AM232" s="626"/>
    </row>
    <row r="233" spans="3:39" ht="18" customHeight="1">
      <c r="C233" s="598">
        <v>212</v>
      </c>
      <c r="D233" s="598" t="s">
        <v>1859</v>
      </c>
      <c r="E233" s="598">
        <f t="shared" si="4"/>
        <v>204</v>
      </c>
      <c r="F233" s="616" t="s">
        <v>4978</v>
      </c>
      <c r="G233" s="616" t="s">
        <v>4633</v>
      </c>
      <c r="H233" s="618" t="s">
        <v>1202</v>
      </c>
      <c r="I233" s="618" t="s">
        <v>335</v>
      </c>
      <c r="J233" s="618" t="s">
        <v>2087</v>
      </c>
      <c r="K233" s="618" t="s">
        <v>2087</v>
      </c>
      <c r="L233" s="619" t="s">
        <v>2302</v>
      </c>
      <c r="M233" s="788" t="s">
        <v>4401</v>
      </c>
      <c r="N233" s="620"/>
      <c r="O233" s="620"/>
      <c r="P233" s="663" t="s">
        <v>1044</v>
      </c>
      <c r="Q233" s="621"/>
      <c r="R233" s="598"/>
      <c r="S233" s="598"/>
      <c r="T233" s="598"/>
      <c r="U233" s="598" t="s">
        <v>992</v>
      </c>
      <c r="V233" s="663" t="s">
        <v>373</v>
      </c>
      <c r="W233" s="779" t="s">
        <v>1860</v>
      </c>
      <c r="X233" s="598" t="s">
        <v>950</v>
      </c>
      <c r="Y233" s="624">
        <v>36437</v>
      </c>
      <c r="Z233" s="625">
        <f t="shared" ca="1" si="3"/>
        <v>26</v>
      </c>
      <c r="AA233" s="616" t="s">
        <v>1861</v>
      </c>
      <c r="AB233" s="598" t="s">
        <v>1862</v>
      </c>
      <c r="AC233" s="598" t="s">
        <v>996</v>
      </c>
      <c r="AD233" s="598" t="s">
        <v>997</v>
      </c>
      <c r="AE233" s="616" t="s">
        <v>1494</v>
      </c>
      <c r="AF233" s="616" t="s">
        <v>1494</v>
      </c>
      <c r="AG233" s="616" t="s">
        <v>1863</v>
      </c>
      <c r="AH233" s="598"/>
      <c r="AI233" s="598"/>
      <c r="AJ233" s="598" t="s">
        <v>1452</v>
      </c>
      <c r="AK233" s="598"/>
      <c r="AL233" s="626"/>
      <c r="AM233" s="626"/>
    </row>
    <row r="234" spans="3:39" ht="18" customHeight="1">
      <c r="C234" s="598">
        <v>213</v>
      </c>
      <c r="D234" s="598" t="s">
        <v>2119</v>
      </c>
      <c r="E234" s="598">
        <f t="shared" si="4"/>
        <v>205</v>
      </c>
      <c r="F234" s="616" t="s">
        <v>4978</v>
      </c>
      <c r="G234" s="616" t="s">
        <v>4633</v>
      </c>
      <c r="H234" s="618" t="s">
        <v>1202</v>
      </c>
      <c r="I234" s="618" t="s">
        <v>335</v>
      </c>
      <c r="J234" s="618" t="s">
        <v>2087</v>
      </c>
      <c r="K234" s="618" t="s">
        <v>2087</v>
      </c>
      <c r="L234" s="619" t="s">
        <v>2302</v>
      </c>
      <c r="M234" s="788" t="s">
        <v>4401</v>
      </c>
      <c r="N234" s="620"/>
      <c r="O234" s="620"/>
      <c r="P234" s="663" t="s">
        <v>1044</v>
      </c>
      <c r="Q234" s="621"/>
      <c r="R234" s="598"/>
      <c r="S234" s="598"/>
      <c r="T234" s="598"/>
      <c r="U234" s="598" t="s">
        <v>992</v>
      </c>
      <c r="V234" s="663" t="s">
        <v>387</v>
      </c>
      <c r="W234" s="779" t="s">
        <v>2120</v>
      </c>
      <c r="X234" s="598" t="s">
        <v>950</v>
      </c>
      <c r="Y234" s="624">
        <v>36516</v>
      </c>
      <c r="Z234" s="625">
        <f t="shared" ca="1" si="3"/>
        <v>26</v>
      </c>
      <c r="AA234" s="616" t="s">
        <v>2121</v>
      </c>
      <c r="AB234" s="598" t="s">
        <v>2122</v>
      </c>
      <c r="AC234" s="598" t="s">
        <v>996</v>
      </c>
      <c r="AD234" s="598" t="s">
        <v>1018</v>
      </c>
      <c r="AE234" s="616" t="s">
        <v>1494</v>
      </c>
      <c r="AF234" s="616" t="s">
        <v>1494</v>
      </c>
      <c r="AG234" s="616" t="s">
        <v>1623</v>
      </c>
      <c r="AH234" s="598"/>
      <c r="AI234" s="598"/>
      <c r="AJ234" s="598" t="s">
        <v>1452</v>
      </c>
      <c r="AK234" s="598"/>
      <c r="AL234" s="626"/>
      <c r="AM234" s="626"/>
    </row>
    <row r="235" spans="3:39" ht="18" customHeight="1">
      <c r="C235" s="598">
        <v>214</v>
      </c>
      <c r="D235" s="598" t="s">
        <v>1809</v>
      </c>
      <c r="E235" s="598">
        <f t="shared" si="4"/>
        <v>206</v>
      </c>
      <c r="F235" s="616" t="s">
        <v>1810</v>
      </c>
      <c r="G235" s="616" t="s">
        <v>4633</v>
      </c>
      <c r="H235" s="618" t="s">
        <v>1202</v>
      </c>
      <c r="I235" s="618" t="s">
        <v>335</v>
      </c>
      <c r="J235" s="618" t="s">
        <v>2087</v>
      </c>
      <c r="K235" s="618" t="s">
        <v>2087</v>
      </c>
      <c r="L235" s="619" t="s">
        <v>2302</v>
      </c>
      <c r="M235" s="788" t="s">
        <v>4401</v>
      </c>
      <c r="N235" s="620"/>
      <c r="O235" s="620"/>
      <c r="P235" s="663" t="s">
        <v>1044</v>
      </c>
      <c r="Q235" s="621"/>
      <c r="R235" s="598"/>
      <c r="S235" s="598"/>
      <c r="T235" s="598"/>
      <c r="U235" s="598" t="s">
        <v>992</v>
      </c>
      <c r="V235" s="663" t="s">
        <v>400</v>
      </c>
      <c r="W235" s="779" t="s">
        <v>1811</v>
      </c>
      <c r="X235" s="598" t="s">
        <v>963</v>
      </c>
      <c r="Y235" s="624">
        <v>33468</v>
      </c>
      <c r="Z235" s="625">
        <f t="shared" ca="1" si="3"/>
        <v>34</v>
      </c>
      <c r="AA235" s="616" t="s">
        <v>1812</v>
      </c>
      <c r="AB235" s="598" t="s">
        <v>1813</v>
      </c>
      <c r="AC235" s="598" t="s">
        <v>996</v>
      </c>
      <c r="AD235" s="598" t="s">
        <v>1018</v>
      </c>
      <c r="AE235" s="616" t="s">
        <v>1078</v>
      </c>
      <c r="AF235" s="616" t="s">
        <v>4994</v>
      </c>
      <c r="AG235" s="616" t="s">
        <v>4995</v>
      </c>
      <c r="AH235" s="598"/>
      <c r="AI235" s="598"/>
      <c r="AJ235" s="598" t="s">
        <v>1452</v>
      </c>
      <c r="AK235" s="598" t="s">
        <v>3510</v>
      </c>
      <c r="AL235" s="626"/>
      <c r="AM235" s="626"/>
    </row>
    <row r="236" spans="3:39" ht="18" customHeight="1">
      <c r="C236" s="598">
        <v>215</v>
      </c>
      <c r="D236" s="598" t="s">
        <v>1864</v>
      </c>
      <c r="E236" s="598">
        <f t="shared" si="4"/>
        <v>207</v>
      </c>
      <c r="F236" s="616" t="s">
        <v>1810</v>
      </c>
      <c r="G236" s="616" t="s">
        <v>4633</v>
      </c>
      <c r="H236" s="618" t="s">
        <v>1202</v>
      </c>
      <c r="I236" s="618" t="s">
        <v>335</v>
      </c>
      <c r="J236" s="618" t="s">
        <v>2087</v>
      </c>
      <c r="K236" s="618" t="s">
        <v>2087</v>
      </c>
      <c r="L236" s="619" t="s">
        <v>2302</v>
      </c>
      <c r="M236" s="788" t="s">
        <v>4401</v>
      </c>
      <c r="N236" s="620"/>
      <c r="O236" s="620"/>
      <c r="P236" s="663" t="s">
        <v>1044</v>
      </c>
      <c r="Q236" s="621"/>
      <c r="R236" s="598"/>
      <c r="S236" s="598"/>
      <c r="T236" s="598"/>
      <c r="U236" s="598" t="s">
        <v>992</v>
      </c>
      <c r="V236" s="663" t="s">
        <v>412</v>
      </c>
      <c r="W236" s="779" t="s">
        <v>1865</v>
      </c>
      <c r="X236" s="598" t="s">
        <v>950</v>
      </c>
      <c r="Y236" s="624">
        <v>38335</v>
      </c>
      <c r="Z236" s="625">
        <f t="shared" ca="1" si="3"/>
        <v>21</v>
      </c>
      <c r="AA236" s="616" t="s">
        <v>1866</v>
      </c>
      <c r="AB236" s="598" t="s">
        <v>1867</v>
      </c>
      <c r="AC236" s="598" t="s">
        <v>996</v>
      </c>
      <c r="AD236" s="598" t="s">
        <v>1018</v>
      </c>
      <c r="AE236" s="616" t="s">
        <v>1868</v>
      </c>
      <c r="AF236" s="616" t="s">
        <v>729</v>
      </c>
      <c r="AG236" s="616" t="s">
        <v>1869</v>
      </c>
      <c r="AH236" s="598"/>
      <c r="AI236" s="598"/>
      <c r="AJ236" s="598" t="s">
        <v>1452</v>
      </c>
      <c r="AK236" s="598" t="s">
        <v>3510</v>
      </c>
      <c r="AL236" s="626"/>
      <c r="AM236" s="626"/>
    </row>
    <row r="237" spans="3:39" ht="18" customHeight="1">
      <c r="C237" s="598">
        <v>216</v>
      </c>
      <c r="D237" s="598" t="s">
        <v>2098</v>
      </c>
      <c r="E237" s="598">
        <f t="shared" si="4"/>
        <v>208</v>
      </c>
      <c r="F237" s="616" t="s">
        <v>4978</v>
      </c>
      <c r="G237" s="616" t="s">
        <v>4633</v>
      </c>
      <c r="H237" s="618" t="s">
        <v>1202</v>
      </c>
      <c r="I237" s="618" t="s">
        <v>335</v>
      </c>
      <c r="J237" s="618" t="s">
        <v>2087</v>
      </c>
      <c r="K237" s="618" t="s">
        <v>2087</v>
      </c>
      <c r="L237" s="619" t="s">
        <v>2302</v>
      </c>
      <c r="M237" s="788" t="s">
        <v>4401</v>
      </c>
      <c r="N237" s="620"/>
      <c r="O237" s="620"/>
      <c r="P237" s="663" t="s">
        <v>1044</v>
      </c>
      <c r="Q237" s="621" t="s">
        <v>319</v>
      </c>
      <c r="R237" s="598"/>
      <c r="S237" s="598"/>
      <c r="T237" s="598"/>
      <c r="U237" s="598" t="s">
        <v>992</v>
      </c>
      <c r="V237" s="720" t="s">
        <v>2099</v>
      </c>
      <c r="W237" s="779" t="s">
        <v>2100</v>
      </c>
      <c r="X237" s="598" t="s">
        <v>950</v>
      </c>
      <c r="Y237" s="624">
        <v>37110</v>
      </c>
      <c r="Z237" s="625">
        <f t="shared" ca="1" si="3"/>
        <v>24</v>
      </c>
      <c r="AA237" s="616" t="s">
        <v>2101</v>
      </c>
      <c r="AB237" s="598" t="s">
        <v>2102</v>
      </c>
      <c r="AC237" s="598" t="s">
        <v>996</v>
      </c>
      <c r="AD237" s="598" t="s">
        <v>1018</v>
      </c>
      <c r="AE237" s="616" t="s">
        <v>1494</v>
      </c>
      <c r="AF237" s="616" t="s">
        <v>1494</v>
      </c>
      <c r="AG237" s="616" t="s">
        <v>2103</v>
      </c>
      <c r="AH237" s="598"/>
      <c r="AI237" s="598"/>
      <c r="AJ237" s="683" t="s">
        <v>1566</v>
      </c>
      <c r="AK237" s="598"/>
      <c r="AL237" s="626"/>
      <c r="AM237" s="626"/>
    </row>
    <row r="238" spans="3:39" ht="18" customHeight="1">
      <c r="C238" s="598">
        <v>217</v>
      </c>
      <c r="D238" s="598" t="s">
        <v>1820</v>
      </c>
      <c r="E238" s="598">
        <f t="shared" si="4"/>
        <v>208</v>
      </c>
      <c r="F238" s="616"/>
      <c r="G238" s="616" t="s">
        <v>4633</v>
      </c>
      <c r="H238" s="618" t="s">
        <v>1202</v>
      </c>
      <c r="I238" s="618" t="s">
        <v>335</v>
      </c>
      <c r="J238" s="618" t="s">
        <v>2087</v>
      </c>
      <c r="K238" s="618" t="s">
        <v>1820</v>
      </c>
      <c r="L238" s="618" t="s">
        <v>1836</v>
      </c>
      <c r="M238" s="679" t="s">
        <v>2311</v>
      </c>
      <c r="N238" s="620"/>
      <c r="O238" s="620"/>
      <c r="P238" s="667" t="s">
        <v>1074</v>
      </c>
      <c r="Q238" s="621"/>
      <c r="R238" s="598" t="s">
        <v>55</v>
      </c>
      <c r="S238" s="598" t="s">
        <v>178</v>
      </c>
      <c r="T238" s="598"/>
      <c r="U238" s="598"/>
      <c r="V238" s="667" t="s">
        <v>257</v>
      </c>
      <c r="W238" s="779" t="s">
        <v>1822</v>
      </c>
      <c r="X238" s="598" t="s">
        <v>950</v>
      </c>
      <c r="Y238" s="624">
        <v>35604</v>
      </c>
      <c r="Z238" s="625">
        <f t="shared" ca="1" si="3"/>
        <v>28</v>
      </c>
      <c r="AA238" s="616" t="s">
        <v>1823</v>
      </c>
      <c r="AB238" s="598"/>
      <c r="AC238" s="598" t="s">
        <v>1006</v>
      </c>
      <c r="AD238" s="598" t="s">
        <v>953</v>
      </c>
      <c r="AE238" s="616" t="s">
        <v>729</v>
      </c>
      <c r="AF238" s="616" t="s">
        <v>729</v>
      </c>
      <c r="AG238" s="616" t="s">
        <v>2092</v>
      </c>
      <c r="AH238" s="598" t="s">
        <v>955</v>
      </c>
      <c r="AI238" s="598"/>
      <c r="AJ238" s="598"/>
      <c r="AK238" s="598"/>
      <c r="AL238" s="626"/>
      <c r="AM238" s="626"/>
    </row>
    <row r="239" spans="3:39" ht="18" customHeight="1">
      <c r="C239" s="598">
        <v>218</v>
      </c>
      <c r="D239" s="598" t="s">
        <v>1836</v>
      </c>
      <c r="E239" s="598">
        <f t="shared" si="4"/>
        <v>209</v>
      </c>
      <c r="F239" s="616" t="s">
        <v>1351</v>
      </c>
      <c r="G239" s="616" t="s">
        <v>4633</v>
      </c>
      <c r="H239" s="618" t="s">
        <v>1202</v>
      </c>
      <c r="I239" s="618" t="s">
        <v>335</v>
      </c>
      <c r="J239" s="618" t="s">
        <v>2087</v>
      </c>
      <c r="K239" s="618" t="s">
        <v>1820</v>
      </c>
      <c r="L239" s="618" t="s">
        <v>1836</v>
      </c>
      <c r="M239" s="679" t="s">
        <v>2311</v>
      </c>
      <c r="N239" s="620"/>
      <c r="O239" s="620"/>
      <c r="P239" s="663" t="s">
        <v>1074</v>
      </c>
      <c r="Q239" s="621"/>
      <c r="R239" s="598"/>
      <c r="S239" s="598" t="s">
        <v>1710</v>
      </c>
      <c r="T239" s="598"/>
      <c r="U239" s="598" t="s">
        <v>1705</v>
      </c>
      <c r="V239" s="663" t="s">
        <v>1837</v>
      </c>
      <c r="W239" s="779" t="s">
        <v>1838</v>
      </c>
      <c r="X239" s="598" t="s">
        <v>950</v>
      </c>
      <c r="Y239" s="624">
        <v>39593</v>
      </c>
      <c r="Z239" s="625">
        <f t="shared" ca="1" si="3"/>
        <v>17</v>
      </c>
      <c r="AA239" s="616" t="s">
        <v>1839</v>
      </c>
      <c r="AB239" s="598" t="s">
        <v>1840</v>
      </c>
      <c r="AC239" s="598" t="s">
        <v>996</v>
      </c>
      <c r="AD239" s="598" t="s">
        <v>953</v>
      </c>
      <c r="AE239" s="616" t="s">
        <v>1494</v>
      </c>
      <c r="AF239" s="616" t="s">
        <v>1494</v>
      </c>
      <c r="AG239" s="616"/>
      <c r="AH239" s="598"/>
      <c r="AI239" s="598"/>
      <c r="AJ239" s="598" t="s">
        <v>1125</v>
      </c>
      <c r="AK239" s="598"/>
      <c r="AL239" s="626"/>
      <c r="AM239" s="626"/>
    </row>
    <row r="240" spans="3:39" ht="18" customHeight="1">
      <c r="C240" s="598">
        <v>219</v>
      </c>
      <c r="D240" s="598" t="s">
        <v>2311</v>
      </c>
      <c r="E240" s="598">
        <f t="shared" si="4"/>
        <v>210</v>
      </c>
      <c r="F240" s="616" t="s">
        <v>4978</v>
      </c>
      <c r="G240" s="616" t="s">
        <v>4633</v>
      </c>
      <c r="H240" s="618" t="s">
        <v>1202</v>
      </c>
      <c r="I240" s="618" t="s">
        <v>335</v>
      </c>
      <c r="J240" s="618" t="s">
        <v>2087</v>
      </c>
      <c r="K240" s="618" t="s">
        <v>1820</v>
      </c>
      <c r="L240" s="618" t="s">
        <v>1836</v>
      </c>
      <c r="M240" s="679" t="s">
        <v>2311</v>
      </c>
      <c r="N240" s="620"/>
      <c r="O240" s="620"/>
      <c r="P240" s="663" t="s">
        <v>1074</v>
      </c>
      <c r="Q240" s="621" t="s">
        <v>319</v>
      </c>
      <c r="R240" s="598" t="s">
        <v>69</v>
      </c>
      <c r="S240" s="598" t="s">
        <v>562</v>
      </c>
      <c r="T240" s="598"/>
      <c r="U240" s="598" t="s">
        <v>992</v>
      </c>
      <c r="V240" s="663" t="s">
        <v>431</v>
      </c>
      <c r="W240" s="779" t="s">
        <v>2312</v>
      </c>
      <c r="X240" s="598" t="s">
        <v>950</v>
      </c>
      <c r="Y240" s="624">
        <v>36581</v>
      </c>
      <c r="Z240" s="625">
        <f t="shared" ca="1" si="3"/>
        <v>25</v>
      </c>
      <c r="AA240" s="616" t="s">
        <v>2313</v>
      </c>
      <c r="AB240" s="598" t="s">
        <v>2314</v>
      </c>
      <c r="AC240" s="598" t="s">
        <v>996</v>
      </c>
      <c r="AD240" s="598" t="s">
        <v>1018</v>
      </c>
      <c r="AE240" s="616" t="s">
        <v>729</v>
      </c>
      <c r="AF240" s="616" t="s">
        <v>729</v>
      </c>
      <c r="AG240" s="616" t="s">
        <v>2185</v>
      </c>
      <c r="AH240" s="598"/>
      <c r="AI240" s="598"/>
      <c r="AJ240" s="647" t="s">
        <v>1513</v>
      </c>
      <c r="AK240" s="598"/>
      <c r="AL240" s="626"/>
      <c r="AM240" s="626"/>
    </row>
    <row r="241" spans="1:39" ht="18" customHeight="1">
      <c r="C241" s="598">
        <v>220</v>
      </c>
      <c r="D241" s="598" t="s">
        <v>1848</v>
      </c>
      <c r="E241" s="598">
        <f t="shared" si="4"/>
        <v>211</v>
      </c>
      <c r="F241" s="616" t="s">
        <v>4978</v>
      </c>
      <c r="G241" s="616" t="s">
        <v>4633</v>
      </c>
      <c r="H241" s="618" t="s">
        <v>1202</v>
      </c>
      <c r="I241" s="618" t="s">
        <v>335</v>
      </c>
      <c r="J241" s="618" t="s">
        <v>2087</v>
      </c>
      <c r="K241" s="618" t="s">
        <v>1820</v>
      </c>
      <c r="L241" s="618" t="s">
        <v>1836</v>
      </c>
      <c r="M241" s="679" t="s">
        <v>2311</v>
      </c>
      <c r="N241" s="620"/>
      <c r="O241" s="620"/>
      <c r="P241" s="663" t="s">
        <v>1074</v>
      </c>
      <c r="Q241" s="621"/>
      <c r="R241" s="598"/>
      <c r="S241" s="598"/>
      <c r="T241" s="598"/>
      <c r="U241" s="598" t="s">
        <v>992</v>
      </c>
      <c r="V241" s="663" t="s">
        <v>1849</v>
      </c>
      <c r="W241" s="779" t="s">
        <v>1850</v>
      </c>
      <c r="X241" s="598" t="s">
        <v>950</v>
      </c>
      <c r="Y241" s="624">
        <v>36350</v>
      </c>
      <c r="Z241" s="625">
        <f t="shared" ca="1" si="3"/>
        <v>26</v>
      </c>
      <c r="AA241" s="616" t="s">
        <v>1851</v>
      </c>
      <c r="AB241" s="598" t="s">
        <v>1852</v>
      </c>
      <c r="AC241" s="598" t="s">
        <v>996</v>
      </c>
      <c r="AD241" s="598" t="s">
        <v>997</v>
      </c>
      <c r="AE241" s="616" t="s">
        <v>729</v>
      </c>
      <c r="AF241" s="640" t="s">
        <v>729</v>
      </c>
      <c r="AG241" s="616" t="s">
        <v>1853</v>
      </c>
      <c r="AH241" s="598"/>
      <c r="AI241" s="598"/>
      <c r="AJ241" s="598" t="s">
        <v>1125</v>
      </c>
      <c r="AK241" s="598"/>
      <c r="AL241" s="626"/>
      <c r="AM241" s="626"/>
    </row>
    <row r="242" spans="1:39" ht="18" customHeight="1">
      <c r="C242" s="598">
        <v>221</v>
      </c>
      <c r="D242" s="598" t="s">
        <v>1854</v>
      </c>
      <c r="E242" s="598">
        <f t="shared" si="4"/>
        <v>212</v>
      </c>
      <c r="F242" s="616" t="s">
        <v>4978</v>
      </c>
      <c r="G242" s="616" t="s">
        <v>4633</v>
      </c>
      <c r="H242" s="618" t="s">
        <v>1202</v>
      </c>
      <c r="I242" s="618" t="s">
        <v>335</v>
      </c>
      <c r="J242" s="618" t="s">
        <v>2087</v>
      </c>
      <c r="K242" s="618" t="s">
        <v>1820</v>
      </c>
      <c r="L242" s="618" t="s">
        <v>1836</v>
      </c>
      <c r="M242" s="679" t="s">
        <v>2311</v>
      </c>
      <c r="N242" s="620"/>
      <c r="O242" s="620"/>
      <c r="P242" s="663" t="s">
        <v>1074</v>
      </c>
      <c r="Q242" s="621"/>
      <c r="R242" s="598"/>
      <c r="S242" s="598"/>
      <c r="T242" s="598"/>
      <c r="U242" s="598" t="s">
        <v>992</v>
      </c>
      <c r="V242" s="663" t="s">
        <v>1855</v>
      </c>
      <c r="W242" s="779" t="s">
        <v>1856</v>
      </c>
      <c r="X242" s="598" t="s">
        <v>963</v>
      </c>
      <c r="Y242" s="624">
        <v>36950</v>
      </c>
      <c r="Z242" s="625">
        <f t="shared" ca="1" si="3"/>
        <v>24</v>
      </c>
      <c r="AA242" s="616" t="s">
        <v>1857</v>
      </c>
      <c r="AB242" s="598" t="s">
        <v>1858</v>
      </c>
      <c r="AC242" s="598" t="s">
        <v>996</v>
      </c>
      <c r="AD242" s="598" t="s">
        <v>1018</v>
      </c>
      <c r="AE242" s="616" t="s">
        <v>729</v>
      </c>
      <c r="AF242" s="640" t="s">
        <v>729</v>
      </c>
      <c r="AG242" s="616" t="s">
        <v>2413</v>
      </c>
      <c r="AH242" s="598"/>
      <c r="AI242" s="598"/>
      <c r="AJ242" s="598" t="s">
        <v>1125</v>
      </c>
      <c r="AK242" s="598"/>
      <c r="AL242" s="626"/>
      <c r="AM242" s="626"/>
    </row>
    <row r="243" spans="1:39" ht="18" customHeight="1">
      <c r="C243" s="598">
        <v>222</v>
      </c>
      <c r="D243" s="598" t="s">
        <v>1538</v>
      </c>
      <c r="E243" s="598">
        <f t="shared" si="4"/>
        <v>213</v>
      </c>
      <c r="F243" s="616" t="s">
        <v>4978</v>
      </c>
      <c r="G243" s="616" t="s">
        <v>4633</v>
      </c>
      <c r="H243" s="618" t="s">
        <v>1202</v>
      </c>
      <c r="I243" s="618" t="s">
        <v>335</v>
      </c>
      <c r="J243" s="618" t="s">
        <v>2087</v>
      </c>
      <c r="K243" s="618" t="s">
        <v>1820</v>
      </c>
      <c r="L243" s="618" t="s">
        <v>1836</v>
      </c>
      <c r="M243" s="679" t="s">
        <v>2311</v>
      </c>
      <c r="N243" s="620"/>
      <c r="O243" s="620"/>
      <c r="P243" s="663" t="s">
        <v>1074</v>
      </c>
      <c r="Q243" s="621"/>
      <c r="R243" s="598"/>
      <c r="S243" s="598"/>
      <c r="T243" s="598"/>
      <c r="U243" s="598" t="s">
        <v>992</v>
      </c>
      <c r="V243" s="663" t="s">
        <v>1539</v>
      </c>
      <c r="W243" s="779" t="s">
        <v>1540</v>
      </c>
      <c r="X243" s="598" t="s">
        <v>963</v>
      </c>
      <c r="Y243" s="624">
        <v>37497</v>
      </c>
      <c r="Z243" s="625">
        <f t="shared" ca="1" si="3"/>
        <v>23</v>
      </c>
      <c r="AA243" s="616" t="s">
        <v>1541</v>
      </c>
      <c r="AB243" s="598" t="s">
        <v>1542</v>
      </c>
      <c r="AC243" s="598" t="s">
        <v>996</v>
      </c>
      <c r="AD243" s="598" t="s">
        <v>1018</v>
      </c>
      <c r="AE243" s="616" t="s">
        <v>729</v>
      </c>
      <c r="AF243" s="616" t="s">
        <v>1239</v>
      </c>
      <c r="AG243" s="616" t="s">
        <v>1543</v>
      </c>
      <c r="AH243" s="598"/>
      <c r="AI243" s="598"/>
      <c r="AJ243" s="598" t="s">
        <v>1125</v>
      </c>
      <c r="AK243" s="598"/>
      <c r="AL243" s="626"/>
      <c r="AM243" s="626"/>
    </row>
    <row r="244" spans="1:39" ht="18" customHeight="1">
      <c r="C244" s="598">
        <v>223</v>
      </c>
      <c r="D244" s="598" t="s">
        <v>1608</v>
      </c>
      <c r="E244" s="598">
        <f t="shared" si="4"/>
        <v>214</v>
      </c>
      <c r="F244" s="616" t="s">
        <v>4978</v>
      </c>
      <c r="G244" s="616" t="s">
        <v>4633</v>
      </c>
      <c r="H244" s="618" t="s">
        <v>1202</v>
      </c>
      <c r="I244" s="618" t="s">
        <v>335</v>
      </c>
      <c r="J244" s="618" t="s">
        <v>2087</v>
      </c>
      <c r="K244" s="618" t="s">
        <v>1820</v>
      </c>
      <c r="L244" s="618" t="s">
        <v>1836</v>
      </c>
      <c r="M244" s="679" t="s">
        <v>2311</v>
      </c>
      <c r="N244" s="620"/>
      <c r="O244" s="620"/>
      <c r="P244" s="663" t="s">
        <v>1074</v>
      </c>
      <c r="Q244" s="621" t="s">
        <v>319</v>
      </c>
      <c r="R244" s="598"/>
      <c r="S244" s="598"/>
      <c r="T244" s="598"/>
      <c r="U244" s="598" t="s">
        <v>1015</v>
      </c>
      <c r="V244" s="663" t="s">
        <v>401</v>
      </c>
      <c r="W244" s="779" t="s">
        <v>1609</v>
      </c>
      <c r="X244" s="598" t="s">
        <v>950</v>
      </c>
      <c r="Y244" s="624">
        <v>36538</v>
      </c>
      <c r="Z244" s="625">
        <f t="shared" ca="1" si="3"/>
        <v>26</v>
      </c>
      <c r="AA244" s="616" t="s">
        <v>1610</v>
      </c>
      <c r="AB244" s="598" t="s">
        <v>1611</v>
      </c>
      <c r="AC244" s="598" t="s">
        <v>996</v>
      </c>
      <c r="AD244" s="598" t="s">
        <v>1018</v>
      </c>
      <c r="AE244" s="616" t="s">
        <v>729</v>
      </c>
      <c r="AF244" s="640" t="s">
        <v>729</v>
      </c>
      <c r="AG244" s="616" t="s">
        <v>1323</v>
      </c>
      <c r="AH244" s="598"/>
      <c r="AI244" s="598"/>
      <c r="AJ244" s="700" t="s">
        <v>1612</v>
      </c>
      <c r="AK244" s="598"/>
      <c r="AL244" s="626"/>
      <c r="AM244" s="626"/>
    </row>
    <row r="245" spans="1:39" ht="18" customHeight="1">
      <c r="C245" s="598">
        <v>224</v>
      </c>
      <c r="D245" s="598" t="s">
        <v>2093</v>
      </c>
      <c r="E245" s="598">
        <f t="shared" si="4"/>
        <v>215</v>
      </c>
      <c r="F245" s="616" t="s">
        <v>4978</v>
      </c>
      <c r="G245" s="616" t="s">
        <v>4633</v>
      </c>
      <c r="H245" s="618" t="s">
        <v>1202</v>
      </c>
      <c r="I245" s="618" t="s">
        <v>335</v>
      </c>
      <c r="J245" s="618" t="s">
        <v>2087</v>
      </c>
      <c r="K245" s="618" t="s">
        <v>1820</v>
      </c>
      <c r="L245" s="618" t="s">
        <v>1836</v>
      </c>
      <c r="M245" s="679" t="s">
        <v>2311</v>
      </c>
      <c r="N245" s="620"/>
      <c r="O245" s="620"/>
      <c r="P245" s="663" t="s">
        <v>1074</v>
      </c>
      <c r="Q245" s="621" t="s">
        <v>319</v>
      </c>
      <c r="R245" s="598"/>
      <c r="S245" s="598"/>
      <c r="T245" s="598"/>
      <c r="U245" s="598" t="s">
        <v>992</v>
      </c>
      <c r="V245" s="663" t="s">
        <v>413</v>
      </c>
      <c r="W245" s="779" t="s">
        <v>2094</v>
      </c>
      <c r="X245" s="598" t="s">
        <v>950</v>
      </c>
      <c r="Y245" s="624">
        <v>38233</v>
      </c>
      <c r="Z245" s="625">
        <f t="shared" ca="1" si="3"/>
        <v>21</v>
      </c>
      <c r="AA245" s="616" t="s">
        <v>2095</v>
      </c>
      <c r="AB245" s="598" t="s">
        <v>2096</v>
      </c>
      <c r="AC245" s="598" t="s">
        <v>996</v>
      </c>
      <c r="AD245" s="598" t="s">
        <v>1018</v>
      </c>
      <c r="AE245" s="616" t="s">
        <v>729</v>
      </c>
      <c r="AF245" s="640" t="s">
        <v>729</v>
      </c>
      <c r="AG245" s="616" t="s">
        <v>2097</v>
      </c>
      <c r="AH245" s="598"/>
      <c r="AI245" s="598"/>
      <c r="AJ245" s="700" t="s">
        <v>1612</v>
      </c>
      <c r="AK245" s="598"/>
      <c r="AL245" s="626"/>
      <c r="AM245" s="626"/>
    </row>
    <row r="246" spans="1:39" ht="18" customHeight="1">
      <c r="C246" s="598">
        <v>225</v>
      </c>
      <c r="D246" s="598" t="s">
        <v>1613</v>
      </c>
      <c r="E246" s="598">
        <f t="shared" si="4"/>
        <v>216</v>
      </c>
      <c r="F246" s="616" t="s">
        <v>4978</v>
      </c>
      <c r="G246" s="616" t="s">
        <v>4633</v>
      </c>
      <c r="H246" s="618" t="s">
        <v>1202</v>
      </c>
      <c r="I246" s="618" t="s">
        <v>335</v>
      </c>
      <c r="J246" s="618" t="s">
        <v>2087</v>
      </c>
      <c r="K246" s="618" t="s">
        <v>1820</v>
      </c>
      <c r="L246" s="618" t="s">
        <v>1836</v>
      </c>
      <c r="M246" s="679" t="s">
        <v>2311</v>
      </c>
      <c r="N246" s="620"/>
      <c r="O246" s="620"/>
      <c r="P246" s="663" t="s">
        <v>1074</v>
      </c>
      <c r="Q246" s="621" t="s">
        <v>319</v>
      </c>
      <c r="R246" s="598"/>
      <c r="S246" s="598"/>
      <c r="T246" s="598"/>
      <c r="U246" s="598" t="s">
        <v>992</v>
      </c>
      <c r="V246" s="663" t="s">
        <v>1614</v>
      </c>
      <c r="W246" s="779" t="s">
        <v>1615</v>
      </c>
      <c r="X246" s="598" t="s">
        <v>950</v>
      </c>
      <c r="Y246" s="624">
        <v>36315</v>
      </c>
      <c r="Z246" s="625">
        <f t="shared" ca="1" si="3"/>
        <v>26</v>
      </c>
      <c r="AA246" s="616" t="s">
        <v>1616</v>
      </c>
      <c r="AB246" s="598" t="s">
        <v>1617</v>
      </c>
      <c r="AC246" s="598" t="s">
        <v>996</v>
      </c>
      <c r="AD246" s="598" t="s">
        <v>1018</v>
      </c>
      <c r="AE246" s="616" t="s">
        <v>729</v>
      </c>
      <c r="AF246" s="616" t="s">
        <v>729</v>
      </c>
      <c r="AG246" s="616" t="s">
        <v>1323</v>
      </c>
      <c r="AH246" s="598" t="s">
        <v>1775</v>
      </c>
      <c r="AI246" s="598" t="s">
        <v>4996</v>
      </c>
      <c r="AJ246" s="647" t="s">
        <v>1513</v>
      </c>
      <c r="AK246" s="598"/>
      <c r="AL246" s="626"/>
      <c r="AM246" s="626"/>
    </row>
    <row r="247" spans="1:39" ht="18" customHeight="1">
      <c r="C247" s="598">
        <v>226</v>
      </c>
      <c r="D247" s="598" t="s">
        <v>4634</v>
      </c>
      <c r="E247" s="598">
        <f t="shared" si="4"/>
        <v>217</v>
      </c>
      <c r="F247" s="616" t="s">
        <v>4978</v>
      </c>
      <c r="G247" s="616" t="s">
        <v>4633</v>
      </c>
      <c r="H247" s="618" t="s">
        <v>1202</v>
      </c>
      <c r="I247" s="618" t="s">
        <v>335</v>
      </c>
      <c r="J247" s="618" t="s">
        <v>2087</v>
      </c>
      <c r="K247" s="618" t="s">
        <v>1820</v>
      </c>
      <c r="L247" s="618" t="s">
        <v>1836</v>
      </c>
      <c r="M247" s="679" t="s">
        <v>2311</v>
      </c>
      <c r="N247" s="620"/>
      <c r="O247" s="620"/>
      <c r="P247" s="663" t="s">
        <v>1074</v>
      </c>
      <c r="Q247" s="621"/>
      <c r="R247" s="598"/>
      <c r="S247" s="598"/>
      <c r="T247" s="598"/>
      <c r="U247" s="598" t="s">
        <v>992</v>
      </c>
      <c r="V247" s="663" t="s">
        <v>440</v>
      </c>
      <c r="W247" s="779" t="s">
        <v>4635</v>
      </c>
      <c r="X247" s="598" t="s">
        <v>950</v>
      </c>
      <c r="Y247" s="624">
        <v>37693</v>
      </c>
      <c r="Z247" s="625">
        <f t="shared" ca="1" si="3"/>
        <v>22</v>
      </c>
      <c r="AA247" s="616" t="s">
        <v>4636</v>
      </c>
      <c r="AB247" s="598"/>
      <c r="AC247" s="598" t="s">
        <v>996</v>
      </c>
      <c r="AD247" s="598" t="s">
        <v>1018</v>
      </c>
      <c r="AE247" s="616" t="s">
        <v>729</v>
      </c>
      <c r="AF247" s="616" t="s">
        <v>1239</v>
      </c>
      <c r="AG247" s="616" t="s">
        <v>1488</v>
      </c>
      <c r="AH247" s="598"/>
      <c r="AI247" s="598" t="s">
        <v>1019</v>
      </c>
      <c r="AJ247" s="598" t="s">
        <v>1125</v>
      </c>
      <c r="AK247" s="598"/>
      <c r="AL247" s="626"/>
      <c r="AM247" s="626"/>
    </row>
    <row r="248" spans="1:39" ht="18" customHeight="1">
      <c r="C248" s="598">
        <v>227</v>
      </c>
      <c r="D248" s="598" t="s">
        <v>4637</v>
      </c>
      <c r="E248" s="598">
        <f t="shared" si="4"/>
        <v>218</v>
      </c>
      <c r="F248" s="616" t="s">
        <v>1351</v>
      </c>
      <c r="G248" s="616" t="s">
        <v>4633</v>
      </c>
      <c r="H248" s="618" t="s">
        <v>1202</v>
      </c>
      <c r="I248" s="618" t="s">
        <v>335</v>
      </c>
      <c r="J248" s="618" t="s">
        <v>2087</v>
      </c>
      <c r="K248" s="618" t="s">
        <v>1820</v>
      </c>
      <c r="L248" s="618" t="s">
        <v>1836</v>
      </c>
      <c r="M248" s="679" t="s">
        <v>2311</v>
      </c>
      <c r="N248" s="620"/>
      <c r="O248" s="620"/>
      <c r="P248" s="673" t="s">
        <v>1074</v>
      </c>
      <c r="Q248" s="621"/>
      <c r="R248" s="598"/>
      <c r="S248" s="598"/>
      <c r="T248" s="598"/>
      <c r="U248" s="598" t="s">
        <v>1705</v>
      </c>
      <c r="V248" s="673" t="s">
        <v>4638</v>
      </c>
      <c r="W248" s="779" t="s">
        <v>4639</v>
      </c>
      <c r="X248" s="598" t="s">
        <v>950</v>
      </c>
      <c r="Y248" s="624">
        <v>39312</v>
      </c>
      <c r="Z248" s="625">
        <f t="shared" ca="1" si="3"/>
        <v>18</v>
      </c>
      <c r="AA248" s="616" t="s">
        <v>4640</v>
      </c>
      <c r="AB248" s="598" t="s">
        <v>4641</v>
      </c>
      <c r="AC248" s="598" t="s">
        <v>996</v>
      </c>
      <c r="AD248" s="598" t="s">
        <v>1018</v>
      </c>
      <c r="AE248" s="616" t="s">
        <v>2737</v>
      </c>
      <c r="AF248" s="616" t="s">
        <v>2737</v>
      </c>
      <c r="AG248" s="616"/>
      <c r="AH248" s="598"/>
      <c r="AI248" s="598" t="s">
        <v>4642</v>
      </c>
      <c r="AJ248" s="598" t="s">
        <v>1125</v>
      </c>
      <c r="AK248" s="598" t="s">
        <v>4607</v>
      </c>
      <c r="AL248" s="626"/>
      <c r="AM248" s="626"/>
    </row>
    <row r="249" spans="1:39" ht="18" customHeight="1">
      <c r="C249" s="598">
        <v>228</v>
      </c>
      <c r="D249" s="598" t="s">
        <v>1949</v>
      </c>
      <c r="E249" s="598">
        <f t="shared" si="4"/>
        <v>218</v>
      </c>
      <c r="F249" s="616"/>
      <c r="G249" s="616" t="s">
        <v>4633</v>
      </c>
      <c r="H249" s="618" t="s">
        <v>1202</v>
      </c>
      <c r="I249" s="618" t="s">
        <v>335</v>
      </c>
      <c r="J249" s="618" t="s">
        <v>2087</v>
      </c>
      <c r="K249" s="618" t="s">
        <v>1949</v>
      </c>
      <c r="L249" s="618" t="s">
        <v>1313</v>
      </c>
      <c r="M249" s="619"/>
      <c r="N249" s="620"/>
      <c r="O249" s="620"/>
      <c r="P249" s="667" t="s">
        <v>1115</v>
      </c>
      <c r="Q249" s="621"/>
      <c r="R249" s="598" t="s">
        <v>55</v>
      </c>
      <c r="S249" s="598" t="s">
        <v>178</v>
      </c>
      <c r="T249" s="598"/>
      <c r="U249" s="598"/>
      <c r="V249" s="667" t="s">
        <v>336</v>
      </c>
      <c r="W249" s="779" t="s">
        <v>4643</v>
      </c>
      <c r="X249" s="598" t="s">
        <v>950</v>
      </c>
      <c r="Y249" s="624">
        <v>30593</v>
      </c>
      <c r="Z249" s="625">
        <f t="shared" ca="1" si="3"/>
        <v>42</v>
      </c>
      <c r="AA249" s="616" t="s">
        <v>1951</v>
      </c>
      <c r="AB249" s="598" t="s">
        <v>1952</v>
      </c>
      <c r="AC249" s="598" t="s">
        <v>966</v>
      </c>
      <c r="AD249" s="598" t="s">
        <v>953</v>
      </c>
      <c r="AE249" s="616" t="s">
        <v>729</v>
      </c>
      <c r="AF249" s="616" t="s">
        <v>729</v>
      </c>
      <c r="AG249" s="616"/>
      <c r="AH249" s="598" t="s">
        <v>955</v>
      </c>
      <c r="AI249" s="598"/>
      <c r="AJ249" s="598"/>
      <c r="AK249" s="598"/>
      <c r="AL249" s="626"/>
      <c r="AM249" s="626"/>
    </row>
    <row r="250" spans="1:39" ht="18" customHeight="1">
      <c r="C250" s="598">
        <v>229</v>
      </c>
      <c r="D250" s="598" t="s">
        <v>1313</v>
      </c>
      <c r="E250" s="598">
        <f t="shared" si="4"/>
        <v>219</v>
      </c>
      <c r="F250" s="616" t="s">
        <v>4978</v>
      </c>
      <c r="G250" s="616" t="s">
        <v>4633</v>
      </c>
      <c r="H250" s="618" t="s">
        <v>1202</v>
      </c>
      <c r="I250" s="618" t="s">
        <v>335</v>
      </c>
      <c r="J250" s="618" t="s">
        <v>2087</v>
      </c>
      <c r="K250" s="618" t="s">
        <v>1949</v>
      </c>
      <c r="L250" s="618" t="s">
        <v>1313</v>
      </c>
      <c r="M250" s="619"/>
      <c r="N250" s="620"/>
      <c r="O250" s="620"/>
      <c r="P250" s="663" t="s">
        <v>1115</v>
      </c>
      <c r="Q250" s="621" t="s">
        <v>319</v>
      </c>
      <c r="R250" s="598" t="s">
        <v>69</v>
      </c>
      <c r="S250" s="598" t="s">
        <v>69</v>
      </c>
      <c r="T250" s="598"/>
      <c r="U250" s="598" t="s">
        <v>1015</v>
      </c>
      <c r="V250" s="663" t="s">
        <v>360</v>
      </c>
      <c r="W250" s="779" t="s">
        <v>1314</v>
      </c>
      <c r="X250" s="598" t="s">
        <v>950</v>
      </c>
      <c r="Y250" s="624">
        <v>30325</v>
      </c>
      <c r="Z250" s="625">
        <f t="shared" ca="1" si="3"/>
        <v>43</v>
      </c>
      <c r="AA250" s="616" t="s">
        <v>1315</v>
      </c>
      <c r="AB250" s="598" t="s">
        <v>1316</v>
      </c>
      <c r="AC250" s="598" t="s">
        <v>996</v>
      </c>
      <c r="AD250" s="598" t="s">
        <v>1018</v>
      </c>
      <c r="AE250" s="616" t="s">
        <v>729</v>
      </c>
      <c r="AF250" s="640" t="s">
        <v>729</v>
      </c>
      <c r="AG250" s="616" t="s">
        <v>1317</v>
      </c>
      <c r="AH250" s="598"/>
      <c r="AI250" s="598"/>
      <c r="AJ250" s="598" t="s">
        <v>1318</v>
      </c>
      <c r="AK250" s="598"/>
      <c r="AL250" s="626"/>
      <c r="AM250" s="626"/>
    </row>
    <row r="251" spans="1:39" ht="18" customHeight="1">
      <c r="C251" s="598">
        <v>230</v>
      </c>
      <c r="D251" s="598" t="s">
        <v>1950</v>
      </c>
      <c r="E251" s="598">
        <f t="shared" si="4"/>
        <v>220</v>
      </c>
      <c r="F251" s="616" t="s">
        <v>4978</v>
      </c>
      <c r="G251" s="616" t="s">
        <v>4633</v>
      </c>
      <c r="H251" s="618" t="s">
        <v>1202</v>
      </c>
      <c r="I251" s="618" t="s">
        <v>335</v>
      </c>
      <c r="J251" s="618" t="s">
        <v>2087</v>
      </c>
      <c r="K251" s="618" t="s">
        <v>1949</v>
      </c>
      <c r="L251" s="618" t="s">
        <v>1313</v>
      </c>
      <c r="M251" s="619"/>
      <c r="N251" s="620"/>
      <c r="O251" s="620"/>
      <c r="P251" s="663" t="s">
        <v>1115</v>
      </c>
      <c r="Q251" s="621" t="s">
        <v>319</v>
      </c>
      <c r="R251" s="598"/>
      <c r="S251" s="598"/>
      <c r="T251" s="598"/>
      <c r="U251" s="598" t="s">
        <v>1015</v>
      </c>
      <c r="V251" s="663" t="s">
        <v>345</v>
      </c>
      <c r="W251" s="779" t="s">
        <v>1954</v>
      </c>
      <c r="X251" s="598" t="s">
        <v>950</v>
      </c>
      <c r="Y251" s="624">
        <v>27988</v>
      </c>
      <c r="Z251" s="625">
        <f t="shared" ca="1" si="3"/>
        <v>49</v>
      </c>
      <c r="AA251" s="616" t="s">
        <v>1955</v>
      </c>
      <c r="AB251" s="598" t="s">
        <v>1956</v>
      </c>
      <c r="AC251" s="598" t="s">
        <v>996</v>
      </c>
      <c r="AD251" s="598" t="s">
        <v>1018</v>
      </c>
      <c r="AE251" s="616" t="s">
        <v>729</v>
      </c>
      <c r="AF251" s="640" t="s">
        <v>729</v>
      </c>
      <c r="AG251" s="616" t="s">
        <v>1760</v>
      </c>
      <c r="AH251" s="598"/>
      <c r="AI251" s="598"/>
      <c r="AJ251" s="598" t="s">
        <v>1318</v>
      </c>
      <c r="AK251" s="598"/>
      <c r="AL251" s="626"/>
      <c r="AM251" s="626"/>
    </row>
    <row r="252" spans="1:39" ht="18" customHeight="1">
      <c r="C252" s="598">
        <v>231</v>
      </c>
      <c r="D252" s="598" t="s">
        <v>1441</v>
      </c>
      <c r="E252" s="598">
        <f t="shared" si="4"/>
        <v>221</v>
      </c>
      <c r="F252" s="616" t="s">
        <v>1233</v>
      </c>
      <c r="G252" s="616" t="s">
        <v>4633</v>
      </c>
      <c r="H252" s="618" t="s">
        <v>1202</v>
      </c>
      <c r="I252" s="618" t="s">
        <v>335</v>
      </c>
      <c r="J252" s="618" t="s">
        <v>2087</v>
      </c>
      <c r="K252" s="618" t="s">
        <v>1949</v>
      </c>
      <c r="L252" s="618" t="s">
        <v>1313</v>
      </c>
      <c r="M252" s="619"/>
      <c r="N252" s="620"/>
      <c r="O252" s="620"/>
      <c r="P252" s="673" t="s">
        <v>1115</v>
      </c>
      <c r="Q252" s="621" t="s">
        <v>319</v>
      </c>
      <c r="R252" s="598"/>
      <c r="S252" s="598"/>
      <c r="T252" s="598"/>
      <c r="U252" s="598" t="s">
        <v>992</v>
      </c>
      <c r="V252" s="673" t="s">
        <v>374</v>
      </c>
      <c r="W252" s="779" t="s">
        <v>1442</v>
      </c>
      <c r="X252" s="598" t="s">
        <v>950</v>
      </c>
      <c r="Y252" s="624">
        <v>33178</v>
      </c>
      <c r="Z252" s="625">
        <f t="shared" ca="1" si="3"/>
        <v>35</v>
      </c>
      <c r="AA252" s="616" t="s">
        <v>1443</v>
      </c>
      <c r="AB252" s="598" t="s">
        <v>1444</v>
      </c>
      <c r="AC252" s="598" t="s">
        <v>996</v>
      </c>
      <c r="AD252" s="598" t="s">
        <v>1018</v>
      </c>
      <c r="AE252" s="616" t="s">
        <v>729</v>
      </c>
      <c r="AF252" s="616" t="s">
        <v>729</v>
      </c>
      <c r="AG252" s="616" t="s">
        <v>1323</v>
      </c>
      <c r="AH252" s="598"/>
      <c r="AI252" s="598"/>
      <c r="AJ252" s="700" t="s">
        <v>1446</v>
      </c>
      <c r="AK252" s="598"/>
      <c r="AL252" s="626"/>
      <c r="AM252" s="626"/>
    </row>
    <row r="253" spans="1:39" ht="18" customHeight="1">
      <c r="C253" s="598">
        <v>232</v>
      </c>
      <c r="D253" s="598" t="s">
        <v>1264</v>
      </c>
      <c r="E253" s="598">
        <f t="shared" si="4"/>
        <v>222</v>
      </c>
      <c r="F253" s="616" t="s">
        <v>4978</v>
      </c>
      <c r="G253" s="616" t="s">
        <v>4633</v>
      </c>
      <c r="H253" s="618" t="s">
        <v>1202</v>
      </c>
      <c r="I253" s="618" t="s">
        <v>335</v>
      </c>
      <c r="J253" s="618" t="s">
        <v>2087</v>
      </c>
      <c r="K253" s="618" t="s">
        <v>1264</v>
      </c>
      <c r="L253" s="618" t="s">
        <v>1453</v>
      </c>
      <c r="M253" s="679" t="s">
        <v>2459</v>
      </c>
      <c r="N253" s="789" t="s">
        <v>2134</v>
      </c>
      <c r="O253" s="789" t="s">
        <v>2135</v>
      </c>
      <c r="P253" s="663" t="s">
        <v>1127</v>
      </c>
      <c r="Q253" s="621"/>
      <c r="R253" s="598" t="s">
        <v>69</v>
      </c>
      <c r="S253" s="598" t="s">
        <v>562</v>
      </c>
      <c r="T253" s="598"/>
      <c r="U253" s="598" t="s">
        <v>1015</v>
      </c>
      <c r="V253" s="663" t="s">
        <v>1265</v>
      </c>
      <c r="W253" s="779" t="s">
        <v>1266</v>
      </c>
      <c r="X253" s="598" t="s">
        <v>950</v>
      </c>
      <c r="Y253" s="624">
        <v>34308</v>
      </c>
      <c r="Z253" s="625">
        <f t="shared" ca="1" si="3"/>
        <v>32</v>
      </c>
      <c r="AA253" s="616" t="s">
        <v>1267</v>
      </c>
      <c r="AB253" s="598" t="s">
        <v>1268</v>
      </c>
      <c r="AC253" s="598" t="s">
        <v>996</v>
      </c>
      <c r="AD253" s="598" t="s">
        <v>997</v>
      </c>
      <c r="AE253" s="616" t="s">
        <v>729</v>
      </c>
      <c r="AF253" s="640" t="s">
        <v>729</v>
      </c>
      <c r="AG253" s="616" t="s">
        <v>1269</v>
      </c>
      <c r="AH253" s="598"/>
      <c r="AI253" s="598"/>
      <c r="AJ253" s="598" t="s">
        <v>1125</v>
      </c>
      <c r="AK253" s="598"/>
      <c r="AL253" s="626"/>
      <c r="AM253" s="626"/>
    </row>
    <row r="254" spans="1:39" ht="18" customHeight="1">
      <c r="C254" s="598">
        <v>233</v>
      </c>
      <c r="D254" s="598" t="s">
        <v>1453</v>
      </c>
      <c r="E254" s="598">
        <f t="shared" si="4"/>
        <v>223</v>
      </c>
      <c r="F254" s="616" t="s">
        <v>4978</v>
      </c>
      <c r="G254" s="616" t="s">
        <v>4633</v>
      </c>
      <c r="H254" s="618" t="s">
        <v>1202</v>
      </c>
      <c r="I254" s="618" t="s">
        <v>335</v>
      </c>
      <c r="J254" s="618" t="s">
        <v>2087</v>
      </c>
      <c r="K254" s="618" t="s">
        <v>1264</v>
      </c>
      <c r="L254" s="618" t="s">
        <v>1453</v>
      </c>
      <c r="M254" s="679" t="s">
        <v>2459</v>
      </c>
      <c r="N254" s="789" t="s">
        <v>2134</v>
      </c>
      <c r="O254" s="789" t="s">
        <v>2135</v>
      </c>
      <c r="P254" s="663" t="s">
        <v>1127</v>
      </c>
      <c r="Q254" s="621"/>
      <c r="R254" s="598" t="s">
        <v>69</v>
      </c>
      <c r="S254" s="598" t="s">
        <v>562</v>
      </c>
      <c r="T254" s="598"/>
      <c r="U254" s="598" t="s">
        <v>1015</v>
      </c>
      <c r="V254" s="663" t="s">
        <v>361</v>
      </c>
      <c r="W254" s="779" t="s">
        <v>1456</v>
      </c>
      <c r="X254" s="598" t="s">
        <v>950</v>
      </c>
      <c r="Y254" s="624">
        <v>34385</v>
      </c>
      <c r="Z254" s="625">
        <f t="shared" ca="1" si="3"/>
        <v>31</v>
      </c>
      <c r="AA254" s="616" t="s">
        <v>1457</v>
      </c>
      <c r="AB254" s="598" t="s">
        <v>1458</v>
      </c>
      <c r="AC254" s="598" t="s">
        <v>996</v>
      </c>
      <c r="AD254" s="598" t="s">
        <v>997</v>
      </c>
      <c r="AE254" s="616" t="s">
        <v>729</v>
      </c>
      <c r="AF254" s="616" t="s">
        <v>1250</v>
      </c>
      <c r="AG254" s="616" t="s">
        <v>1459</v>
      </c>
      <c r="AH254" s="598"/>
      <c r="AI254" s="598"/>
      <c r="AJ254" s="598" t="s">
        <v>1452</v>
      </c>
      <c r="AK254" s="598"/>
      <c r="AL254" s="626"/>
      <c r="AM254" s="626"/>
    </row>
    <row r="255" spans="1:39" ht="18" customHeight="1">
      <c r="A255" s="174"/>
      <c r="B255" s="174"/>
      <c r="C255" s="598">
        <v>234</v>
      </c>
      <c r="D255" s="598" t="s">
        <v>2459</v>
      </c>
      <c r="E255" s="598">
        <f>SUBTOTAL(103,$U$21:U255)</f>
        <v>224</v>
      </c>
      <c r="F255" s="790" t="s">
        <v>4978</v>
      </c>
      <c r="G255" s="598" t="s">
        <v>4633</v>
      </c>
      <c r="H255" s="618" t="s">
        <v>1202</v>
      </c>
      <c r="I255" s="618" t="s">
        <v>335</v>
      </c>
      <c r="J255" s="618" t="s">
        <v>2087</v>
      </c>
      <c r="K255" s="618" t="s">
        <v>1264</v>
      </c>
      <c r="L255" s="618" t="s">
        <v>1453</v>
      </c>
      <c r="M255" s="679" t="s">
        <v>2459</v>
      </c>
      <c r="N255" s="789" t="s">
        <v>2134</v>
      </c>
      <c r="O255" s="789" t="s">
        <v>2135</v>
      </c>
      <c r="P255" s="672" t="s">
        <v>1127</v>
      </c>
      <c r="Q255" s="621" t="s">
        <v>319</v>
      </c>
      <c r="R255" s="598" t="s">
        <v>69</v>
      </c>
      <c r="S255" s="598" t="s">
        <v>562</v>
      </c>
      <c r="T255" s="627"/>
      <c r="U255" s="703" t="s">
        <v>1015</v>
      </c>
      <c r="V255" s="672" t="s">
        <v>388</v>
      </c>
      <c r="W255" s="780" t="s">
        <v>2460</v>
      </c>
      <c r="X255" s="598" t="s">
        <v>950</v>
      </c>
      <c r="Y255" s="624">
        <v>30447</v>
      </c>
      <c r="Z255" s="625">
        <f t="shared" ca="1" si="3"/>
        <v>42</v>
      </c>
      <c r="AA255" s="598" t="s">
        <v>2461</v>
      </c>
      <c r="AB255" s="598" t="s">
        <v>2462</v>
      </c>
      <c r="AC255" s="598" t="s">
        <v>996</v>
      </c>
      <c r="AD255" s="598" t="s">
        <v>1018</v>
      </c>
      <c r="AE255" s="598" t="s">
        <v>729</v>
      </c>
      <c r="AF255" s="640" t="s">
        <v>729</v>
      </c>
      <c r="AG255" s="598" t="s">
        <v>2463</v>
      </c>
      <c r="AH255" s="627"/>
      <c r="AI255" s="627"/>
      <c r="AJ255" s="598" t="s">
        <v>1318</v>
      </c>
      <c r="AK255" s="627"/>
      <c r="AL255" s="627"/>
      <c r="AM255" s="627"/>
    </row>
    <row r="256" spans="1:39" ht="18" customHeight="1">
      <c r="C256" s="598">
        <v>235</v>
      </c>
      <c r="D256" s="598" t="s">
        <v>2134</v>
      </c>
      <c r="E256" s="598">
        <f t="shared" ref="E256:E281" si="5">SUBTOTAL(103,$U$21:U256)</f>
        <v>225</v>
      </c>
      <c r="F256" s="616" t="s">
        <v>4978</v>
      </c>
      <c r="G256" s="616" t="s">
        <v>4633</v>
      </c>
      <c r="H256" s="618" t="s">
        <v>1202</v>
      </c>
      <c r="I256" s="618" t="s">
        <v>335</v>
      </c>
      <c r="J256" s="618" t="s">
        <v>2087</v>
      </c>
      <c r="K256" s="618" t="s">
        <v>1264</v>
      </c>
      <c r="L256" s="618" t="s">
        <v>1453</v>
      </c>
      <c r="M256" s="679" t="s">
        <v>2459</v>
      </c>
      <c r="N256" s="789" t="s">
        <v>2134</v>
      </c>
      <c r="O256" s="789" t="s">
        <v>2135</v>
      </c>
      <c r="P256" s="663" t="s">
        <v>1127</v>
      </c>
      <c r="Q256" s="621" t="s">
        <v>319</v>
      </c>
      <c r="R256" s="598" t="s">
        <v>69</v>
      </c>
      <c r="S256" s="598" t="s">
        <v>562</v>
      </c>
      <c r="T256" s="598"/>
      <c r="U256" s="598" t="s">
        <v>1015</v>
      </c>
      <c r="V256" s="663" t="s">
        <v>346</v>
      </c>
      <c r="W256" s="779" t="s">
        <v>2136</v>
      </c>
      <c r="X256" s="598" t="s">
        <v>950</v>
      </c>
      <c r="Y256" s="624">
        <v>30826</v>
      </c>
      <c r="Z256" s="625">
        <f t="shared" ca="1" si="3"/>
        <v>41</v>
      </c>
      <c r="AA256" s="616" t="s">
        <v>2137</v>
      </c>
      <c r="AB256" s="598" t="s">
        <v>2138</v>
      </c>
      <c r="AC256" s="598" t="s">
        <v>996</v>
      </c>
      <c r="AD256" s="598" t="s">
        <v>1018</v>
      </c>
      <c r="AE256" s="616" t="s">
        <v>729</v>
      </c>
      <c r="AF256" s="640" t="s">
        <v>729</v>
      </c>
      <c r="AG256" s="640" t="s">
        <v>1252</v>
      </c>
      <c r="AH256" s="598"/>
      <c r="AI256" s="598"/>
      <c r="AJ256" s="598" t="s">
        <v>1318</v>
      </c>
      <c r="AK256" s="598"/>
      <c r="AL256" s="626"/>
      <c r="AM256" s="626"/>
    </row>
    <row r="257" spans="3:39" ht="18" customHeight="1">
      <c r="C257" s="598">
        <v>236</v>
      </c>
      <c r="D257" s="598" t="s">
        <v>2135</v>
      </c>
      <c r="E257" s="598">
        <f t="shared" si="5"/>
        <v>226</v>
      </c>
      <c r="F257" s="616" t="s">
        <v>4978</v>
      </c>
      <c r="G257" s="616" t="s">
        <v>4633</v>
      </c>
      <c r="H257" s="618" t="s">
        <v>1202</v>
      </c>
      <c r="I257" s="618" t="s">
        <v>335</v>
      </c>
      <c r="J257" s="618" t="s">
        <v>2087</v>
      </c>
      <c r="K257" s="618" t="s">
        <v>1264</v>
      </c>
      <c r="L257" s="618" t="s">
        <v>1453</v>
      </c>
      <c r="M257" s="679" t="s">
        <v>2459</v>
      </c>
      <c r="N257" s="789" t="s">
        <v>2134</v>
      </c>
      <c r="O257" s="789" t="s">
        <v>2135</v>
      </c>
      <c r="P257" s="663" t="s">
        <v>1127</v>
      </c>
      <c r="Q257" s="621" t="s">
        <v>319</v>
      </c>
      <c r="R257" s="598" t="s">
        <v>69</v>
      </c>
      <c r="S257" s="598" t="s">
        <v>562</v>
      </c>
      <c r="T257" s="598"/>
      <c r="U257" s="598" t="s">
        <v>1015</v>
      </c>
      <c r="V257" s="663" t="s">
        <v>402</v>
      </c>
      <c r="W257" s="779" t="s">
        <v>2341</v>
      </c>
      <c r="X257" s="598" t="s">
        <v>950</v>
      </c>
      <c r="Y257" s="624">
        <v>31415</v>
      </c>
      <c r="Z257" s="625">
        <f t="shared" ca="1" si="3"/>
        <v>40</v>
      </c>
      <c r="AA257" s="616" t="s">
        <v>2342</v>
      </c>
      <c r="AB257" s="598" t="s">
        <v>2343</v>
      </c>
      <c r="AC257" s="598" t="s">
        <v>996</v>
      </c>
      <c r="AD257" s="598" t="s">
        <v>1018</v>
      </c>
      <c r="AE257" s="616" t="s">
        <v>729</v>
      </c>
      <c r="AF257" s="640" t="s">
        <v>729</v>
      </c>
      <c r="AG257" s="616" t="s">
        <v>2118</v>
      </c>
      <c r="AH257" s="598"/>
      <c r="AI257" s="598"/>
      <c r="AJ257" s="700" t="s">
        <v>1612</v>
      </c>
      <c r="AK257" s="598"/>
      <c r="AL257" s="626"/>
      <c r="AM257" s="626"/>
    </row>
    <row r="258" spans="3:39" ht="18" customHeight="1">
      <c r="C258" s="598">
        <v>237</v>
      </c>
      <c r="D258" s="598" t="s">
        <v>4094</v>
      </c>
      <c r="E258" s="598">
        <f t="shared" si="5"/>
        <v>227</v>
      </c>
      <c r="F258" s="616" t="s">
        <v>3808</v>
      </c>
      <c r="G258" s="616" t="s">
        <v>4633</v>
      </c>
      <c r="H258" s="618" t="s">
        <v>1202</v>
      </c>
      <c r="I258" s="618" t="s">
        <v>335</v>
      </c>
      <c r="J258" s="618" t="s">
        <v>2087</v>
      </c>
      <c r="K258" s="618" t="s">
        <v>1264</v>
      </c>
      <c r="L258" s="618" t="s">
        <v>1453</v>
      </c>
      <c r="M258" s="679" t="s">
        <v>2459</v>
      </c>
      <c r="N258" s="789" t="s">
        <v>2134</v>
      </c>
      <c r="O258" s="789" t="s">
        <v>2135</v>
      </c>
      <c r="P258" s="663" t="s">
        <v>1127</v>
      </c>
      <c r="Q258" s="621" t="s">
        <v>319</v>
      </c>
      <c r="R258" s="598"/>
      <c r="S258" s="598"/>
      <c r="T258" s="598"/>
      <c r="U258" s="598" t="s">
        <v>1015</v>
      </c>
      <c r="V258" s="664" t="s">
        <v>375</v>
      </c>
      <c r="W258" s="779" t="s">
        <v>4095</v>
      </c>
      <c r="X258" s="598" t="s">
        <v>950</v>
      </c>
      <c r="Y258" s="624">
        <v>33658</v>
      </c>
      <c r="Z258" s="625">
        <f t="shared" ca="1" si="3"/>
        <v>33</v>
      </c>
      <c r="AA258" s="616" t="s">
        <v>4096</v>
      </c>
      <c r="AB258" s="598" t="s">
        <v>4097</v>
      </c>
      <c r="AC258" s="598" t="s">
        <v>996</v>
      </c>
      <c r="AD258" s="598" t="s">
        <v>1018</v>
      </c>
      <c r="AE258" s="616" t="s">
        <v>246</v>
      </c>
      <c r="AF258" s="616" t="s">
        <v>246</v>
      </c>
      <c r="AG258" s="616" t="s">
        <v>4644</v>
      </c>
      <c r="AH258" s="598"/>
      <c r="AI258" s="598"/>
      <c r="AJ258" s="598" t="s">
        <v>1318</v>
      </c>
      <c r="AK258" s="598"/>
      <c r="AL258" s="626"/>
      <c r="AM258" s="626"/>
    </row>
    <row r="259" spans="3:39" ht="18" customHeight="1">
      <c r="C259" s="598">
        <v>238</v>
      </c>
      <c r="D259" s="598" t="s">
        <v>4138</v>
      </c>
      <c r="E259" s="598">
        <f t="shared" si="5"/>
        <v>228</v>
      </c>
      <c r="F259" s="616" t="s">
        <v>1351</v>
      </c>
      <c r="G259" s="616" t="s">
        <v>4633</v>
      </c>
      <c r="H259" s="618" t="s">
        <v>1202</v>
      </c>
      <c r="I259" s="618" t="s">
        <v>335</v>
      </c>
      <c r="J259" s="618" t="s">
        <v>2087</v>
      </c>
      <c r="K259" s="618" t="s">
        <v>4138</v>
      </c>
      <c r="L259" s="619" t="s">
        <v>3100</v>
      </c>
      <c r="M259" s="619" t="s">
        <v>3037</v>
      </c>
      <c r="N259" s="620" t="s">
        <v>3106</v>
      </c>
      <c r="O259" s="789" t="s">
        <v>3106</v>
      </c>
      <c r="P259" s="667" t="s">
        <v>325</v>
      </c>
      <c r="Q259" s="621"/>
      <c r="R259" s="598" t="s">
        <v>55</v>
      </c>
      <c r="S259" s="598" t="s">
        <v>178</v>
      </c>
      <c r="T259" s="598"/>
      <c r="U259" s="598" t="s">
        <v>1705</v>
      </c>
      <c r="V259" s="667" t="s">
        <v>337</v>
      </c>
      <c r="W259" s="779" t="s">
        <v>4141</v>
      </c>
      <c r="X259" s="598" t="s">
        <v>950</v>
      </c>
      <c r="Y259" s="624">
        <v>39305</v>
      </c>
      <c r="Z259" s="625">
        <f t="shared" ca="1" si="3"/>
        <v>18</v>
      </c>
      <c r="AA259" s="616" t="s">
        <v>4142</v>
      </c>
      <c r="AB259" s="598" t="s">
        <v>4143</v>
      </c>
      <c r="AC259" s="598" t="s">
        <v>996</v>
      </c>
      <c r="AD259" s="598" t="s">
        <v>953</v>
      </c>
      <c r="AE259" s="616" t="s">
        <v>246</v>
      </c>
      <c r="AF259" s="616" t="s">
        <v>246</v>
      </c>
      <c r="AG259" s="616" t="s">
        <v>3815</v>
      </c>
      <c r="AH259" s="598"/>
      <c r="AI259" s="598"/>
      <c r="AJ259" s="598" t="s">
        <v>1440</v>
      </c>
      <c r="AK259" s="598"/>
      <c r="AL259" s="626"/>
      <c r="AM259" s="626"/>
    </row>
    <row r="260" spans="3:39" ht="18" customHeight="1">
      <c r="C260" s="598">
        <v>239</v>
      </c>
      <c r="D260" s="598" t="s">
        <v>3100</v>
      </c>
      <c r="E260" s="598">
        <f t="shared" si="5"/>
        <v>229</v>
      </c>
      <c r="F260" s="616" t="s">
        <v>1351</v>
      </c>
      <c r="G260" s="616" t="s">
        <v>4633</v>
      </c>
      <c r="H260" s="618" t="s">
        <v>1202</v>
      </c>
      <c r="I260" s="618" t="s">
        <v>335</v>
      </c>
      <c r="J260" s="618" t="s">
        <v>2087</v>
      </c>
      <c r="K260" s="618" t="s">
        <v>4138</v>
      </c>
      <c r="L260" s="619" t="s">
        <v>3100</v>
      </c>
      <c r="M260" s="619" t="s">
        <v>3037</v>
      </c>
      <c r="N260" s="620" t="s">
        <v>3106</v>
      </c>
      <c r="O260" s="789" t="s">
        <v>3106</v>
      </c>
      <c r="P260" s="663" t="s">
        <v>325</v>
      </c>
      <c r="Q260" s="621" t="s">
        <v>319</v>
      </c>
      <c r="R260" s="598"/>
      <c r="S260" s="598" t="s">
        <v>1710</v>
      </c>
      <c r="T260" s="598"/>
      <c r="U260" s="598" t="s">
        <v>1705</v>
      </c>
      <c r="V260" s="663" t="s">
        <v>362</v>
      </c>
      <c r="W260" s="779" t="s">
        <v>3102</v>
      </c>
      <c r="X260" s="598" t="s">
        <v>950</v>
      </c>
      <c r="Y260" s="624">
        <v>39342</v>
      </c>
      <c r="Z260" s="625">
        <f t="shared" ca="1" si="3"/>
        <v>18</v>
      </c>
      <c r="AA260" s="616" t="s">
        <v>3103</v>
      </c>
      <c r="AB260" s="598" t="s">
        <v>3104</v>
      </c>
      <c r="AC260" s="598" t="s">
        <v>996</v>
      </c>
      <c r="AD260" s="598" t="s">
        <v>1018</v>
      </c>
      <c r="AE260" s="616" t="s">
        <v>1041</v>
      </c>
      <c r="AF260" s="616" t="s">
        <v>1041</v>
      </c>
      <c r="AG260" s="616" t="s">
        <v>3105</v>
      </c>
      <c r="AH260" s="598"/>
      <c r="AI260" s="598"/>
      <c r="AJ260" s="598" t="s">
        <v>1107</v>
      </c>
      <c r="AK260" s="598"/>
      <c r="AL260" s="626"/>
      <c r="AM260" s="626"/>
    </row>
    <row r="261" spans="3:39" ht="18" customHeight="1">
      <c r="C261" s="598">
        <v>240</v>
      </c>
      <c r="D261" s="598" t="s">
        <v>3037</v>
      </c>
      <c r="E261" s="598">
        <f t="shared" si="5"/>
        <v>230</v>
      </c>
      <c r="F261" s="616" t="s">
        <v>1351</v>
      </c>
      <c r="G261" s="616" t="s">
        <v>4633</v>
      </c>
      <c r="H261" s="618" t="s">
        <v>1202</v>
      </c>
      <c r="I261" s="618" t="s">
        <v>335</v>
      </c>
      <c r="J261" s="618" t="s">
        <v>2087</v>
      </c>
      <c r="K261" s="618" t="s">
        <v>4138</v>
      </c>
      <c r="L261" s="619" t="s">
        <v>3100</v>
      </c>
      <c r="M261" s="619" t="s">
        <v>3037</v>
      </c>
      <c r="N261" s="620" t="s">
        <v>3106</v>
      </c>
      <c r="O261" s="789" t="s">
        <v>3106</v>
      </c>
      <c r="P261" s="663" t="s">
        <v>325</v>
      </c>
      <c r="Q261" s="621" t="s">
        <v>319</v>
      </c>
      <c r="R261" s="598"/>
      <c r="S261" s="598" t="s">
        <v>1710</v>
      </c>
      <c r="T261" s="598"/>
      <c r="U261" s="598" t="s">
        <v>1705</v>
      </c>
      <c r="V261" s="663" t="s">
        <v>414</v>
      </c>
      <c r="W261" s="779" t="s">
        <v>3038</v>
      </c>
      <c r="X261" s="598" t="s">
        <v>963</v>
      </c>
      <c r="Y261" s="624">
        <v>39486</v>
      </c>
      <c r="Z261" s="625">
        <f t="shared" ca="1" si="3"/>
        <v>17</v>
      </c>
      <c r="AA261" s="616" t="s">
        <v>3039</v>
      </c>
      <c r="AB261" s="598" t="s">
        <v>3040</v>
      </c>
      <c r="AC261" s="598" t="s">
        <v>996</v>
      </c>
      <c r="AD261" s="598" t="s">
        <v>1018</v>
      </c>
      <c r="AE261" s="616" t="s">
        <v>1041</v>
      </c>
      <c r="AF261" s="616" t="s">
        <v>3041</v>
      </c>
      <c r="AG261" s="616" t="s">
        <v>3042</v>
      </c>
      <c r="AH261" s="598"/>
      <c r="AI261" s="598"/>
      <c r="AJ261" s="598" t="s">
        <v>1107</v>
      </c>
      <c r="AK261" s="598"/>
      <c r="AL261" s="626"/>
      <c r="AM261" s="626"/>
    </row>
    <row r="262" spans="3:39" ht="18" customHeight="1">
      <c r="C262" s="598">
        <v>241</v>
      </c>
      <c r="D262" s="598" t="s">
        <v>3106</v>
      </c>
      <c r="E262" s="598">
        <f t="shared" si="5"/>
        <v>231</v>
      </c>
      <c r="F262" s="616" t="s">
        <v>1351</v>
      </c>
      <c r="G262" s="616" t="s">
        <v>4633</v>
      </c>
      <c r="H262" s="618" t="s">
        <v>1202</v>
      </c>
      <c r="I262" s="618" t="s">
        <v>335</v>
      </c>
      <c r="J262" s="618" t="s">
        <v>2087</v>
      </c>
      <c r="K262" s="618" t="s">
        <v>4138</v>
      </c>
      <c r="L262" s="619" t="s">
        <v>3100</v>
      </c>
      <c r="M262" s="619" t="s">
        <v>3037</v>
      </c>
      <c r="N262" s="620" t="s">
        <v>3106</v>
      </c>
      <c r="O262" s="789" t="s">
        <v>3106</v>
      </c>
      <c r="P262" s="663" t="s">
        <v>325</v>
      </c>
      <c r="Q262" s="621" t="s">
        <v>319</v>
      </c>
      <c r="R262" s="598"/>
      <c r="S262" s="598" t="s">
        <v>1710</v>
      </c>
      <c r="T262" s="598"/>
      <c r="U262" s="598" t="s">
        <v>1705</v>
      </c>
      <c r="V262" s="663" t="s">
        <v>426</v>
      </c>
      <c r="W262" s="779" t="s">
        <v>3107</v>
      </c>
      <c r="X262" s="598" t="s">
        <v>950</v>
      </c>
      <c r="Y262" s="624">
        <v>40060</v>
      </c>
      <c r="Z262" s="625">
        <f t="shared" ca="1" si="3"/>
        <v>16</v>
      </c>
      <c r="AA262" s="616" t="s">
        <v>3108</v>
      </c>
      <c r="AB262" s="598" t="s">
        <v>3109</v>
      </c>
      <c r="AC262" s="598" t="s">
        <v>996</v>
      </c>
      <c r="AD262" s="598" t="s">
        <v>1018</v>
      </c>
      <c r="AE262" s="616" t="s">
        <v>1041</v>
      </c>
      <c r="AF262" s="616" t="s">
        <v>1041</v>
      </c>
      <c r="AG262" s="616" t="s">
        <v>2645</v>
      </c>
      <c r="AH262" s="598"/>
      <c r="AI262" s="598"/>
      <c r="AJ262" s="598" t="s">
        <v>1107</v>
      </c>
      <c r="AK262" s="598"/>
      <c r="AL262" s="626"/>
      <c r="AM262" s="626"/>
    </row>
    <row r="263" spans="3:39" ht="18" customHeight="1">
      <c r="C263" s="598">
        <v>242</v>
      </c>
      <c r="D263" s="598" t="s">
        <v>3692</v>
      </c>
      <c r="E263" s="598">
        <f t="shared" si="5"/>
        <v>232</v>
      </c>
      <c r="F263" s="616" t="s">
        <v>1810</v>
      </c>
      <c r="G263" s="616" t="s">
        <v>4633</v>
      </c>
      <c r="H263" s="618" t="s">
        <v>1202</v>
      </c>
      <c r="I263" s="618" t="s">
        <v>335</v>
      </c>
      <c r="J263" s="618" t="s">
        <v>2087</v>
      </c>
      <c r="K263" s="618" t="s">
        <v>4138</v>
      </c>
      <c r="L263" s="619" t="s">
        <v>3100</v>
      </c>
      <c r="M263" s="619" t="s">
        <v>3037</v>
      </c>
      <c r="N263" s="620" t="s">
        <v>3106</v>
      </c>
      <c r="O263" s="789" t="s">
        <v>3106</v>
      </c>
      <c r="P263" s="663" t="s">
        <v>325</v>
      </c>
      <c r="Q263" s="621"/>
      <c r="R263" s="598"/>
      <c r="S263" s="598"/>
      <c r="T263" s="598"/>
      <c r="U263" s="598" t="s">
        <v>992</v>
      </c>
      <c r="V263" s="663" t="s">
        <v>347</v>
      </c>
      <c r="W263" s="779" t="s">
        <v>3693</v>
      </c>
      <c r="X263" s="598" t="s">
        <v>963</v>
      </c>
      <c r="Y263" s="624">
        <v>38566</v>
      </c>
      <c r="Z263" s="625">
        <f t="shared" ca="1" si="3"/>
        <v>20</v>
      </c>
      <c r="AA263" s="654" t="s">
        <v>3694</v>
      </c>
      <c r="AB263" s="598" t="s">
        <v>3695</v>
      </c>
      <c r="AC263" s="598" t="s">
        <v>996</v>
      </c>
      <c r="AD263" s="598" t="s">
        <v>1018</v>
      </c>
      <c r="AE263" s="616" t="s">
        <v>1078</v>
      </c>
      <c r="AF263" s="616" t="s">
        <v>1078</v>
      </c>
      <c r="AG263" s="616"/>
      <c r="AH263" s="598"/>
      <c r="AI263" s="598"/>
      <c r="AJ263" s="598" t="s">
        <v>1349</v>
      </c>
      <c r="AK263" s="598" t="s">
        <v>3510</v>
      </c>
      <c r="AL263" s="626"/>
      <c r="AM263" s="626"/>
    </row>
    <row r="264" spans="3:39" ht="18" customHeight="1">
      <c r="C264" s="598">
        <v>243</v>
      </c>
      <c r="D264" s="598" t="s">
        <v>4645</v>
      </c>
      <c r="E264" s="598">
        <f t="shared" si="5"/>
        <v>233</v>
      </c>
      <c r="F264" s="616" t="s">
        <v>1810</v>
      </c>
      <c r="G264" s="616" t="s">
        <v>4633</v>
      </c>
      <c r="H264" s="618" t="s">
        <v>1202</v>
      </c>
      <c r="I264" s="618" t="s">
        <v>335</v>
      </c>
      <c r="J264" s="618" t="s">
        <v>2087</v>
      </c>
      <c r="K264" s="618" t="s">
        <v>4138</v>
      </c>
      <c r="L264" s="619" t="s">
        <v>3100</v>
      </c>
      <c r="M264" s="619" t="s">
        <v>3037</v>
      </c>
      <c r="N264" s="620" t="s">
        <v>3106</v>
      </c>
      <c r="O264" s="789" t="s">
        <v>3106</v>
      </c>
      <c r="P264" s="663" t="s">
        <v>325</v>
      </c>
      <c r="Q264" s="621"/>
      <c r="R264" s="598"/>
      <c r="S264" s="598"/>
      <c r="T264" s="598"/>
      <c r="U264" s="598" t="s">
        <v>1705</v>
      </c>
      <c r="V264" s="663" t="s">
        <v>376</v>
      </c>
      <c r="W264" s="779" t="s">
        <v>4646</v>
      </c>
      <c r="X264" s="598" t="s">
        <v>950</v>
      </c>
      <c r="Y264" s="624" t="s">
        <v>4647</v>
      </c>
      <c r="Z264" s="625">
        <f t="shared" ca="1" si="3"/>
        <v>17</v>
      </c>
      <c r="AA264" s="616" t="s">
        <v>4648</v>
      </c>
      <c r="AB264" s="598"/>
      <c r="AC264" s="598" t="s">
        <v>996</v>
      </c>
      <c r="AD264" s="598" t="s">
        <v>953</v>
      </c>
      <c r="AE264" s="616" t="s">
        <v>1078</v>
      </c>
      <c r="AF264" s="616" t="s">
        <v>1078</v>
      </c>
      <c r="AG264" s="616" t="s">
        <v>4649</v>
      </c>
      <c r="AH264" s="598"/>
      <c r="AI264" s="598"/>
      <c r="AJ264" s="598" t="s">
        <v>1114</v>
      </c>
      <c r="AK264" s="598" t="s">
        <v>3510</v>
      </c>
      <c r="AL264" s="626"/>
      <c r="AM264" s="626"/>
    </row>
    <row r="265" spans="3:39" ht="18" customHeight="1">
      <c r="C265" s="598">
        <v>244</v>
      </c>
      <c r="D265" s="598" t="s">
        <v>3068</v>
      </c>
      <c r="E265" s="598">
        <f t="shared" si="5"/>
        <v>234</v>
      </c>
      <c r="F265" s="616" t="s">
        <v>1351</v>
      </c>
      <c r="G265" s="616" t="s">
        <v>4633</v>
      </c>
      <c r="H265" s="618" t="s">
        <v>1202</v>
      </c>
      <c r="I265" s="618" t="s">
        <v>335</v>
      </c>
      <c r="J265" s="618" t="s">
        <v>2087</v>
      </c>
      <c r="K265" s="618" t="s">
        <v>4138</v>
      </c>
      <c r="L265" s="619" t="s">
        <v>3100</v>
      </c>
      <c r="M265" s="619" t="s">
        <v>3037</v>
      </c>
      <c r="N265" s="620" t="s">
        <v>3106</v>
      </c>
      <c r="O265" s="789" t="s">
        <v>3106</v>
      </c>
      <c r="P265" s="663" t="s">
        <v>325</v>
      </c>
      <c r="Q265" s="621"/>
      <c r="R265" s="598"/>
      <c r="S265" s="598"/>
      <c r="T265" s="598"/>
      <c r="U265" s="598" t="s">
        <v>992</v>
      </c>
      <c r="V265" s="663" t="s">
        <v>389</v>
      </c>
      <c r="W265" s="779" t="s">
        <v>3069</v>
      </c>
      <c r="X265" s="598" t="s">
        <v>963</v>
      </c>
      <c r="Y265" s="624">
        <v>38811</v>
      </c>
      <c r="Z265" s="625">
        <f t="shared" ca="1" si="3"/>
        <v>19</v>
      </c>
      <c r="AA265" s="616" t="s">
        <v>3070</v>
      </c>
      <c r="AB265" s="598" t="s">
        <v>3071</v>
      </c>
      <c r="AC265" s="598" t="s">
        <v>996</v>
      </c>
      <c r="AD265" s="598" t="s">
        <v>953</v>
      </c>
      <c r="AE265" s="616" t="s">
        <v>1041</v>
      </c>
      <c r="AF265" s="616" t="s">
        <v>1041</v>
      </c>
      <c r="AG265" s="616"/>
      <c r="AH265" s="598" t="s">
        <v>1775</v>
      </c>
      <c r="AI265" s="598" t="s">
        <v>3073</v>
      </c>
      <c r="AJ265" s="598" t="s">
        <v>1025</v>
      </c>
      <c r="AK265" s="598"/>
      <c r="AL265" s="626"/>
      <c r="AM265" s="626"/>
    </row>
    <row r="266" spans="3:39" ht="18" customHeight="1">
      <c r="C266" s="598">
        <v>245</v>
      </c>
      <c r="D266" s="598" t="s">
        <v>2612</v>
      </c>
      <c r="E266" s="598">
        <f t="shared" si="5"/>
        <v>235</v>
      </c>
      <c r="F266" s="616" t="s">
        <v>1351</v>
      </c>
      <c r="G266" s="616" t="s">
        <v>4633</v>
      </c>
      <c r="H266" s="618" t="s">
        <v>1202</v>
      </c>
      <c r="I266" s="618" t="s">
        <v>335</v>
      </c>
      <c r="J266" s="618" t="s">
        <v>2087</v>
      </c>
      <c r="K266" s="618" t="s">
        <v>4138</v>
      </c>
      <c r="L266" s="619" t="s">
        <v>3100</v>
      </c>
      <c r="M266" s="619" t="s">
        <v>3037</v>
      </c>
      <c r="N266" s="620" t="s">
        <v>3106</v>
      </c>
      <c r="O266" s="789" t="s">
        <v>3106</v>
      </c>
      <c r="P266" s="663" t="s">
        <v>325</v>
      </c>
      <c r="Q266" s="621"/>
      <c r="R266" s="598"/>
      <c r="S266" s="598"/>
      <c r="T266" s="598"/>
      <c r="U266" s="598" t="s">
        <v>1705</v>
      </c>
      <c r="V266" s="663" t="s">
        <v>403</v>
      </c>
      <c r="W266" s="779" t="s">
        <v>2613</v>
      </c>
      <c r="X266" s="598" t="s">
        <v>963</v>
      </c>
      <c r="Y266" s="624">
        <v>39236</v>
      </c>
      <c r="Z266" s="625">
        <f t="shared" ca="1" si="3"/>
        <v>18</v>
      </c>
      <c r="AA266" s="616" t="s">
        <v>2614</v>
      </c>
      <c r="AB266" s="598" t="s">
        <v>2615</v>
      </c>
      <c r="AC266" s="598" t="s">
        <v>996</v>
      </c>
      <c r="AD266" s="598" t="s">
        <v>953</v>
      </c>
      <c r="AE266" s="616" t="s">
        <v>729</v>
      </c>
      <c r="AF266" s="616" t="s">
        <v>729</v>
      </c>
      <c r="AG266" s="616"/>
      <c r="AH266" s="598"/>
      <c r="AI266" s="598"/>
      <c r="AJ266" s="598" t="s">
        <v>1025</v>
      </c>
      <c r="AK266" s="598"/>
      <c r="AL266" s="626"/>
      <c r="AM266" s="626"/>
    </row>
    <row r="267" spans="3:39" ht="18" customHeight="1">
      <c r="C267" s="598">
        <v>246</v>
      </c>
      <c r="D267" s="598" t="s">
        <v>4650</v>
      </c>
      <c r="E267" s="598">
        <f t="shared" si="5"/>
        <v>236</v>
      </c>
      <c r="F267" s="616" t="s">
        <v>1351</v>
      </c>
      <c r="G267" s="616" t="s">
        <v>4633</v>
      </c>
      <c r="H267" s="618" t="s">
        <v>1202</v>
      </c>
      <c r="I267" s="618" t="s">
        <v>335</v>
      </c>
      <c r="J267" s="618" t="s">
        <v>2087</v>
      </c>
      <c r="K267" s="618" t="s">
        <v>4138</v>
      </c>
      <c r="L267" s="619" t="s">
        <v>3100</v>
      </c>
      <c r="M267" s="619" t="s">
        <v>3037</v>
      </c>
      <c r="N267" s="620" t="s">
        <v>3106</v>
      </c>
      <c r="O267" s="789" t="s">
        <v>3106</v>
      </c>
      <c r="P267" s="673" t="s">
        <v>325</v>
      </c>
      <c r="Q267" s="621" t="s">
        <v>319</v>
      </c>
      <c r="R267" s="598"/>
      <c r="S267" s="598"/>
      <c r="T267" s="598"/>
      <c r="U267" s="598" t="s">
        <v>1705</v>
      </c>
      <c r="V267" s="673" t="s">
        <v>432</v>
      </c>
      <c r="W267" s="779" t="s">
        <v>4651</v>
      </c>
      <c r="X267" s="598" t="s">
        <v>950</v>
      </c>
      <c r="Y267" s="624">
        <v>40531</v>
      </c>
      <c r="Z267" s="625">
        <f t="shared" ca="1" si="3"/>
        <v>15</v>
      </c>
      <c r="AA267" s="616" t="s">
        <v>4652</v>
      </c>
      <c r="AB267" s="598"/>
      <c r="AC267" s="598" t="s">
        <v>996</v>
      </c>
      <c r="AD267" s="598" t="s">
        <v>1018</v>
      </c>
      <c r="AE267" s="616" t="s">
        <v>246</v>
      </c>
      <c r="AF267" s="616" t="s">
        <v>246</v>
      </c>
      <c r="AG267" s="653" t="s">
        <v>4064</v>
      </c>
      <c r="AH267" s="598"/>
      <c r="AI267" s="598"/>
      <c r="AJ267" s="634" t="s">
        <v>1359</v>
      </c>
      <c r="AK267" s="598" t="s">
        <v>4653</v>
      </c>
      <c r="AL267" s="626"/>
      <c r="AM267" s="626"/>
    </row>
    <row r="268" spans="3:39" ht="18" customHeight="1">
      <c r="C268" s="598">
        <v>247</v>
      </c>
      <c r="D268" s="598" t="s">
        <v>2087</v>
      </c>
      <c r="E268" s="598">
        <f t="shared" si="5"/>
        <v>236</v>
      </c>
      <c r="F268" s="616"/>
      <c r="G268" s="616" t="s">
        <v>4633</v>
      </c>
      <c r="H268" s="618" t="s">
        <v>1202</v>
      </c>
      <c r="I268" s="618" t="s">
        <v>335</v>
      </c>
      <c r="J268" s="618" t="s">
        <v>2087</v>
      </c>
      <c r="K268" s="618" t="s">
        <v>2087</v>
      </c>
      <c r="L268" s="618" t="s">
        <v>1701</v>
      </c>
      <c r="M268" s="679" t="s">
        <v>1702</v>
      </c>
      <c r="N268" s="620"/>
      <c r="O268" s="620"/>
      <c r="P268" s="667" t="s">
        <v>326</v>
      </c>
      <c r="Q268" s="621"/>
      <c r="R268" s="598" t="s">
        <v>173</v>
      </c>
      <c r="S268" s="598" t="s">
        <v>514</v>
      </c>
      <c r="T268" s="598"/>
      <c r="U268" s="623"/>
      <c r="V268" s="667" t="s">
        <v>335</v>
      </c>
      <c r="W268" s="781" t="s">
        <v>2089</v>
      </c>
      <c r="X268" s="598" t="s">
        <v>950</v>
      </c>
      <c r="Y268" s="624">
        <v>36694</v>
      </c>
      <c r="Z268" s="625">
        <f t="shared" ca="1" si="3"/>
        <v>25</v>
      </c>
      <c r="AA268" s="616" t="s">
        <v>2090</v>
      </c>
      <c r="AB268" s="598"/>
      <c r="AC268" s="598" t="s">
        <v>1006</v>
      </c>
      <c r="AD268" s="598" t="s">
        <v>953</v>
      </c>
      <c r="AE268" s="616" t="s">
        <v>729</v>
      </c>
      <c r="AF268" s="616" t="s">
        <v>729</v>
      </c>
      <c r="AG268" s="616" t="s">
        <v>2092</v>
      </c>
      <c r="AH268" s="598" t="s">
        <v>955</v>
      </c>
      <c r="AI268" s="598"/>
      <c r="AJ268" s="598"/>
      <c r="AK268" s="598"/>
      <c r="AL268" s="626"/>
      <c r="AM268" s="626"/>
    </row>
    <row r="269" spans="3:39" ht="18" customHeight="1">
      <c r="C269" s="598">
        <v>248</v>
      </c>
      <c r="D269" s="598" t="s">
        <v>1701</v>
      </c>
      <c r="E269" s="598">
        <f t="shared" si="5"/>
        <v>237</v>
      </c>
      <c r="F269" s="616" t="s">
        <v>1351</v>
      </c>
      <c r="G269" s="616" t="s">
        <v>4633</v>
      </c>
      <c r="H269" s="618" t="s">
        <v>1202</v>
      </c>
      <c r="I269" s="618" t="s">
        <v>335</v>
      </c>
      <c r="J269" s="618" t="s">
        <v>2087</v>
      </c>
      <c r="K269" s="618" t="s">
        <v>2087</v>
      </c>
      <c r="L269" s="618" t="s">
        <v>1701</v>
      </c>
      <c r="M269" s="679" t="s">
        <v>1702</v>
      </c>
      <c r="N269" s="620"/>
      <c r="O269" s="620"/>
      <c r="P269" s="663" t="s">
        <v>326</v>
      </c>
      <c r="Q269" s="621"/>
      <c r="R269" s="598"/>
      <c r="S269" s="598" t="s">
        <v>1710</v>
      </c>
      <c r="T269" s="598"/>
      <c r="U269" s="623" t="s">
        <v>1705</v>
      </c>
      <c r="V269" s="663" t="s">
        <v>349</v>
      </c>
      <c r="W269" s="781" t="s">
        <v>1706</v>
      </c>
      <c r="X269" s="598" t="s">
        <v>950</v>
      </c>
      <c r="Y269" s="624">
        <v>39497</v>
      </c>
      <c r="Z269" s="625">
        <f t="shared" ca="1" si="3"/>
        <v>17</v>
      </c>
      <c r="AA269" s="616" t="s">
        <v>1707</v>
      </c>
      <c r="AB269" s="598" t="s">
        <v>1708</v>
      </c>
      <c r="AC269" s="598" t="s">
        <v>996</v>
      </c>
      <c r="AD269" s="598" t="s">
        <v>997</v>
      </c>
      <c r="AE269" s="616" t="s">
        <v>729</v>
      </c>
      <c r="AF269" s="616" t="s">
        <v>1250</v>
      </c>
      <c r="AG269" s="616" t="s">
        <v>1709</v>
      </c>
      <c r="AH269" s="598"/>
      <c r="AI269" s="598"/>
      <c r="AJ269" s="598" t="s">
        <v>1452</v>
      </c>
      <c r="AK269" s="598"/>
      <c r="AL269" s="626"/>
      <c r="AM269" s="626"/>
    </row>
    <row r="270" spans="3:39" ht="18" customHeight="1">
      <c r="C270" s="598">
        <v>249</v>
      </c>
      <c r="D270" s="598" t="s">
        <v>1702</v>
      </c>
      <c r="E270" s="598">
        <f t="shared" si="5"/>
        <v>238</v>
      </c>
      <c r="F270" s="616" t="s">
        <v>1351</v>
      </c>
      <c r="G270" s="616" t="s">
        <v>4633</v>
      </c>
      <c r="H270" s="618" t="s">
        <v>1202</v>
      </c>
      <c r="I270" s="618" t="s">
        <v>335</v>
      </c>
      <c r="J270" s="618" t="s">
        <v>2087</v>
      </c>
      <c r="K270" s="618" t="s">
        <v>2087</v>
      </c>
      <c r="L270" s="618" t="s">
        <v>1701</v>
      </c>
      <c r="M270" s="679" t="s">
        <v>1702</v>
      </c>
      <c r="N270" s="620"/>
      <c r="O270" s="620"/>
      <c r="P270" s="663" t="s">
        <v>326</v>
      </c>
      <c r="Q270" s="621" t="s">
        <v>319</v>
      </c>
      <c r="R270" s="598"/>
      <c r="S270" s="598" t="s">
        <v>1710</v>
      </c>
      <c r="T270" s="598"/>
      <c r="U270" s="623" t="s">
        <v>1705</v>
      </c>
      <c r="V270" s="664" t="s">
        <v>427</v>
      </c>
      <c r="W270" s="781" t="s">
        <v>1711</v>
      </c>
      <c r="X270" s="598" t="s">
        <v>963</v>
      </c>
      <c r="Y270" s="624">
        <v>40125</v>
      </c>
      <c r="Z270" s="625">
        <f t="shared" ca="1" si="3"/>
        <v>16</v>
      </c>
      <c r="AA270" s="616" t="s">
        <v>1712</v>
      </c>
      <c r="AB270" s="598" t="s">
        <v>1713</v>
      </c>
      <c r="AC270" s="598" t="s">
        <v>996</v>
      </c>
      <c r="AD270" s="598" t="s">
        <v>1018</v>
      </c>
      <c r="AE270" s="616" t="s">
        <v>1670</v>
      </c>
      <c r="AF270" s="616" t="s">
        <v>729</v>
      </c>
      <c r="AG270" s="616" t="s">
        <v>1323</v>
      </c>
      <c r="AH270" s="598"/>
      <c r="AI270" s="598"/>
      <c r="AJ270" s="647" t="s">
        <v>1513</v>
      </c>
      <c r="AK270" s="598"/>
      <c r="AL270" s="626"/>
      <c r="AM270" s="626"/>
    </row>
    <row r="271" spans="3:39" ht="18" customHeight="1">
      <c r="C271" s="598">
        <v>250</v>
      </c>
      <c r="D271" s="598" t="s">
        <v>3122</v>
      </c>
      <c r="E271" s="598">
        <f t="shared" si="5"/>
        <v>239</v>
      </c>
      <c r="F271" s="616" t="s">
        <v>1351</v>
      </c>
      <c r="G271" s="616" t="s">
        <v>4633</v>
      </c>
      <c r="H271" s="618" t="s">
        <v>1202</v>
      </c>
      <c r="I271" s="618" t="s">
        <v>335</v>
      </c>
      <c r="J271" s="618" t="s">
        <v>2087</v>
      </c>
      <c r="K271" s="618" t="s">
        <v>2087</v>
      </c>
      <c r="L271" s="618" t="s">
        <v>1701</v>
      </c>
      <c r="M271" s="679" t="s">
        <v>1702</v>
      </c>
      <c r="N271" s="620"/>
      <c r="O271" s="620"/>
      <c r="P271" s="663" t="s">
        <v>326</v>
      </c>
      <c r="Q271" s="621"/>
      <c r="R271" s="598"/>
      <c r="S271" s="598"/>
      <c r="T271" s="598"/>
      <c r="U271" s="623" t="s">
        <v>1705</v>
      </c>
      <c r="V271" s="663" t="s">
        <v>363</v>
      </c>
      <c r="W271" s="781" t="s">
        <v>3123</v>
      </c>
      <c r="X271" s="598" t="s">
        <v>950</v>
      </c>
      <c r="Y271" s="624">
        <v>39425</v>
      </c>
      <c r="Z271" s="625">
        <f t="shared" ca="1" si="3"/>
        <v>18</v>
      </c>
      <c r="AA271" s="616" t="s">
        <v>3124</v>
      </c>
      <c r="AB271" s="598" t="s">
        <v>3125</v>
      </c>
      <c r="AC271" s="598" t="s">
        <v>996</v>
      </c>
      <c r="AD271" s="598" t="s">
        <v>997</v>
      </c>
      <c r="AE271" s="616" t="s">
        <v>2737</v>
      </c>
      <c r="AF271" s="616" t="s">
        <v>2737</v>
      </c>
      <c r="AG271" s="616" t="s">
        <v>3126</v>
      </c>
      <c r="AH271" s="598"/>
      <c r="AI271" s="598"/>
      <c r="AJ271" s="598" t="s">
        <v>1452</v>
      </c>
      <c r="AK271" s="598"/>
      <c r="AL271" s="626"/>
      <c r="AM271" s="626"/>
    </row>
    <row r="272" spans="3:39" ht="18" customHeight="1">
      <c r="C272" s="598">
        <v>251</v>
      </c>
      <c r="D272" s="598" t="s">
        <v>1714</v>
      </c>
      <c r="E272" s="598">
        <f t="shared" si="5"/>
        <v>240</v>
      </c>
      <c r="F272" s="616" t="s">
        <v>1351</v>
      </c>
      <c r="G272" s="616" t="s">
        <v>4633</v>
      </c>
      <c r="H272" s="618" t="s">
        <v>1202</v>
      </c>
      <c r="I272" s="618" t="s">
        <v>335</v>
      </c>
      <c r="J272" s="618" t="s">
        <v>2087</v>
      </c>
      <c r="K272" s="618" t="s">
        <v>2087</v>
      </c>
      <c r="L272" s="618" t="s">
        <v>1701</v>
      </c>
      <c r="M272" s="679" t="s">
        <v>1702</v>
      </c>
      <c r="N272" s="620"/>
      <c r="O272" s="620"/>
      <c r="P272" s="663" t="s">
        <v>326</v>
      </c>
      <c r="Q272" s="621"/>
      <c r="R272" s="598"/>
      <c r="S272" s="598"/>
      <c r="T272" s="598"/>
      <c r="U272" s="623" t="s">
        <v>1705</v>
      </c>
      <c r="V272" s="663" t="s">
        <v>377</v>
      </c>
      <c r="W272" s="781" t="s">
        <v>1715</v>
      </c>
      <c r="X272" s="598" t="s">
        <v>950</v>
      </c>
      <c r="Y272" s="624">
        <v>39833</v>
      </c>
      <c r="Z272" s="625">
        <f t="shared" ca="1" si="3"/>
        <v>17</v>
      </c>
      <c r="AA272" s="616" t="s">
        <v>1716</v>
      </c>
      <c r="AB272" s="598" t="s">
        <v>1717</v>
      </c>
      <c r="AC272" s="598" t="s">
        <v>996</v>
      </c>
      <c r="AD272" s="598" t="s">
        <v>997</v>
      </c>
      <c r="AE272" s="616" t="s">
        <v>729</v>
      </c>
      <c r="AF272" s="616" t="s">
        <v>729</v>
      </c>
      <c r="AG272" s="616" t="s">
        <v>1718</v>
      </c>
      <c r="AH272" s="598"/>
      <c r="AI272" s="598"/>
      <c r="AJ272" s="598" t="s">
        <v>1452</v>
      </c>
      <c r="AK272" s="598"/>
      <c r="AL272" s="626"/>
      <c r="AM272" s="626"/>
    </row>
    <row r="273" spans="1:39" ht="18" customHeight="1">
      <c r="C273" s="598">
        <v>252</v>
      </c>
      <c r="D273" s="598" t="s">
        <v>3127</v>
      </c>
      <c r="E273" s="598">
        <f t="shared" si="5"/>
        <v>241</v>
      </c>
      <c r="F273" s="616" t="s">
        <v>1351</v>
      </c>
      <c r="G273" s="616" t="s">
        <v>4633</v>
      </c>
      <c r="H273" s="618" t="s">
        <v>1202</v>
      </c>
      <c r="I273" s="618" t="s">
        <v>335</v>
      </c>
      <c r="J273" s="618" t="s">
        <v>2087</v>
      </c>
      <c r="K273" s="618" t="s">
        <v>2087</v>
      </c>
      <c r="L273" s="618" t="s">
        <v>1701</v>
      </c>
      <c r="M273" s="679" t="s">
        <v>1702</v>
      </c>
      <c r="N273" s="620"/>
      <c r="O273" s="620"/>
      <c r="P273" s="663" t="s">
        <v>326</v>
      </c>
      <c r="Q273" s="621"/>
      <c r="R273" s="598"/>
      <c r="S273" s="598"/>
      <c r="T273" s="598"/>
      <c r="U273" s="623" t="s">
        <v>1705</v>
      </c>
      <c r="V273" s="663" t="s">
        <v>390</v>
      </c>
      <c r="W273" s="781" t="s">
        <v>3128</v>
      </c>
      <c r="X273" s="598" t="s">
        <v>950</v>
      </c>
      <c r="Y273" s="624">
        <v>40449</v>
      </c>
      <c r="Z273" s="625">
        <f t="shared" ca="1" si="3"/>
        <v>15</v>
      </c>
      <c r="AA273" s="616" t="s">
        <v>3129</v>
      </c>
      <c r="AB273" s="598" t="s">
        <v>3130</v>
      </c>
      <c r="AC273" s="598" t="s">
        <v>996</v>
      </c>
      <c r="AD273" s="598" t="s">
        <v>997</v>
      </c>
      <c r="AE273" s="616" t="s">
        <v>1041</v>
      </c>
      <c r="AF273" s="616" t="s">
        <v>2985</v>
      </c>
      <c r="AG273" s="616" t="s">
        <v>3131</v>
      </c>
      <c r="AH273" s="598"/>
      <c r="AI273" s="598"/>
      <c r="AJ273" s="598" t="s">
        <v>1452</v>
      </c>
      <c r="AK273" s="598"/>
      <c r="AL273" s="626"/>
      <c r="AM273" s="626"/>
    </row>
    <row r="274" spans="1:39" ht="18" customHeight="1">
      <c r="C274" s="598">
        <v>253</v>
      </c>
      <c r="D274" s="598" t="s">
        <v>1534</v>
      </c>
      <c r="E274" s="598">
        <f t="shared" si="5"/>
        <v>242</v>
      </c>
      <c r="F274" s="616" t="s">
        <v>1351</v>
      </c>
      <c r="G274" s="616" t="s">
        <v>4633</v>
      </c>
      <c r="H274" s="618" t="s">
        <v>1202</v>
      </c>
      <c r="I274" s="618" t="s">
        <v>335</v>
      </c>
      <c r="J274" s="618" t="s">
        <v>2087</v>
      </c>
      <c r="K274" s="618" t="s">
        <v>2087</v>
      </c>
      <c r="L274" s="618" t="s">
        <v>1701</v>
      </c>
      <c r="M274" s="679" t="s">
        <v>1702</v>
      </c>
      <c r="N274" s="620"/>
      <c r="O274" s="620"/>
      <c r="P274" s="663" t="s">
        <v>326</v>
      </c>
      <c r="Q274" s="621" t="s">
        <v>319</v>
      </c>
      <c r="R274" s="598"/>
      <c r="S274" s="598"/>
      <c r="T274" s="598"/>
      <c r="U274" s="623" t="s">
        <v>992</v>
      </c>
      <c r="V274" s="663" t="s">
        <v>404</v>
      </c>
      <c r="W274" s="781" t="s">
        <v>1535</v>
      </c>
      <c r="X274" s="598" t="s">
        <v>963</v>
      </c>
      <c r="Y274" s="624">
        <v>39065</v>
      </c>
      <c r="Z274" s="625">
        <f t="shared" ca="1" si="3"/>
        <v>19</v>
      </c>
      <c r="AA274" s="616" t="s">
        <v>1536</v>
      </c>
      <c r="AB274" s="598" t="s">
        <v>1537</v>
      </c>
      <c r="AC274" s="598" t="s">
        <v>996</v>
      </c>
      <c r="AD274" s="598" t="s">
        <v>1018</v>
      </c>
      <c r="AE274" s="616" t="s">
        <v>729</v>
      </c>
      <c r="AF274" s="616" t="s">
        <v>729</v>
      </c>
      <c r="AG274" s="616" t="s">
        <v>1323</v>
      </c>
      <c r="AH274" s="598"/>
      <c r="AI274" s="598"/>
      <c r="AJ274" s="598" t="s">
        <v>1318</v>
      </c>
      <c r="AK274" s="598"/>
      <c r="AL274" s="626"/>
      <c r="AM274" s="626"/>
    </row>
    <row r="275" spans="1:39" ht="18" customHeight="1">
      <c r="C275" s="598">
        <v>254</v>
      </c>
      <c r="D275" s="598" t="s">
        <v>1724</v>
      </c>
      <c r="E275" s="598">
        <f t="shared" si="5"/>
        <v>243</v>
      </c>
      <c r="F275" s="616" t="s">
        <v>1351</v>
      </c>
      <c r="G275" s="616" t="s">
        <v>4633</v>
      </c>
      <c r="H275" s="618" t="s">
        <v>1202</v>
      </c>
      <c r="I275" s="618" t="s">
        <v>335</v>
      </c>
      <c r="J275" s="618" t="s">
        <v>2087</v>
      </c>
      <c r="K275" s="618" t="s">
        <v>2087</v>
      </c>
      <c r="L275" s="618" t="s">
        <v>1701</v>
      </c>
      <c r="M275" s="679" t="s">
        <v>1702</v>
      </c>
      <c r="N275" s="620"/>
      <c r="O275" s="620"/>
      <c r="P275" s="663" t="s">
        <v>326</v>
      </c>
      <c r="Q275" s="621" t="s">
        <v>319</v>
      </c>
      <c r="R275" s="598"/>
      <c r="S275" s="598"/>
      <c r="T275" s="598"/>
      <c r="U275" s="623" t="s">
        <v>1705</v>
      </c>
      <c r="V275" s="663" t="s">
        <v>415</v>
      </c>
      <c r="W275" s="781" t="s">
        <v>1725</v>
      </c>
      <c r="X275" s="598" t="s">
        <v>950</v>
      </c>
      <c r="Y275" s="624">
        <v>39343</v>
      </c>
      <c r="Z275" s="625">
        <f t="shared" ca="1" si="3"/>
        <v>18</v>
      </c>
      <c r="AA275" s="616" t="s">
        <v>1726</v>
      </c>
      <c r="AB275" s="598" t="s">
        <v>1727</v>
      </c>
      <c r="AC275" s="598" t="s">
        <v>996</v>
      </c>
      <c r="AD275" s="598" t="s">
        <v>1018</v>
      </c>
      <c r="AE275" s="616" t="s">
        <v>729</v>
      </c>
      <c r="AF275" s="616" t="s">
        <v>729</v>
      </c>
      <c r="AG275" s="616" t="s">
        <v>1323</v>
      </c>
      <c r="AH275" s="598"/>
      <c r="AI275" s="598"/>
      <c r="AJ275" s="647" t="s">
        <v>1513</v>
      </c>
      <c r="AK275" s="598"/>
      <c r="AL275" s="626"/>
      <c r="AM275" s="626"/>
    </row>
    <row r="276" spans="1:39" ht="18" customHeight="1">
      <c r="C276" s="598">
        <v>255</v>
      </c>
      <c r="D276" s="598" t="s">
        <v>1719</v>
      </c>
      <c r="E276" s="598">
        <f t="shared" si="5"/>
        <v>244</v>
      </c>
      <c r="F276" s="616" t="s">
        <v>1351</v>
      </c>
      <c r="G276" s="616" t="s">
        <v>4633</v>
      </c>
      <c r="H276" s="618" t="s">
        <v>1202</v>
      </c>
      <c r="I276" s="618" t="s">
        <v>335</v>
      </c>
      <c r="J276" s="618" t="s">
        <v>2087</v>
      </c>
      <c r="K276" s="618" t="s">
        <v>2087</v>
      </c>
      <c r="L276" s="618" t="s">
        <v>1701</v>
      </c>
      <c r="M276" s="679" t="s">
        <v>1702</v>
      </c>
      <c r="N276" s="620"/>
      <c r="O276" s="620"/>
      <c r="P276" s="663" t="s">
        <v>326</v>
      </c>
      <c r="Q276" s="621" t="s">
        <v>319</v>
      </c>
      <c r="R276" s="598"/>
      <c r="S276" s="598"/>
      <c r="T276" s="598"/>
      <c r="U276" s="623" t="s">
        <v>1705</v>
      </c>
      <c r="V276" s="710" t="s">
        <v>433</v>
      </c>
      <c r="W276" s="781" t="s">
        <v>1720</v>
      </c>
      <c r="X276" s="598" t="s">
        <v>963</v>
      </c>
      <c r="Y276" s="624">
        <v>39893</v>
      </c>
      <c r="Z276" s="625">
        <f t="shared" ca="1" si="3"/>
        <v>16</v>
      </c>
      <c r="AA276" s="616" t="s">
        <v>1721</v>
      </c>
      <c r="AB276" s="598" t="s">
        <v>1722</v>
      </c>
      <c r="AC276" s="598" t="s">
        <v>996</v>
      </c>
      <c r="AD276" s="598" t="s">
        <v>1018</v>
      </c>
      <c r="AE276" s="616" t="s">
        <v>1250</v>
      </c>
      <c r="AF276" s="616" t="s">
        <v>1250</v>
      </c>
      <c r="AG276" s="616" t="s">
        <v>1723</v>
      </c>
      <c r="AH276" s="598"/>
      <c r="AI276" s="598"/>
      <c r="AJ276" s="683" t="s">
        <v>1566</v>
      </c>
      <c r="AK276" s="598"/>
      <c r="AL276" s="626"/>
      <c r="AM276" s="626"/>
    </row>
    <row r="277" spans="1:39" ht="18" customHeight="1">
      <c r="C277" s="598">
        <v>256</v>
      </c>
      <c r="D277" s="598" t="s">
        <v>2604</v>
      </c>
      <c r="E277" s="598">
        <f t="shared" si="5"/>
        <v>245</v>
      </c>
      <c r="F277" s="616" t="s">
        <v>1351</v>
      </c>
      <c r="G277" s="616" t="s">
        <v>4633</v>
      </c>
      <c r="H277" s="618" t="s">
        <v>1202</v>
      </c>
      <c r="I277" s="618" t="s">
        <v>335</v>
      </c>
      <c r="J277" s="618" t="s">
        <v>2087</v>
      </c>
      <c r="K277" s="618" t="s">
        <v>2087</v>
      </c>
      <c r="L277" s="618" t="s">
        <v>1701</v>
      </c>
      <c r="M277" s="679" t="s">
        <v>1702</v>
      </c>
      <c r="N277" s="620"/>
      <c r="O277" s="620"/>
      <c r="P277" s="663" t="s">
        <v>326</v>
      </c>
      <c r="Q277" s="621" t="s">
        <v>319</v>
      </c>
      <c r="R277" s="598"/>
      <c r="S277" s="598"/>
      <c r="T277" s="598"/>
      <c r="U277" s="623" t="s">
        <v>1705</v>
      </c>
      <c r="V277" s="676" t="s">
        <v>441</v>
      </c>
      <c r="W277" s="781" t="s">
        <v>2606</v>
      </c>
      <c r="X277" s="598" t="s">
        <v>950</v>
      </c>
      <c r="Y277" s="624">
        <v>40254</v>
      </c>
      <c r="Z277" s="625">
        <f t="shared" ca="1" si="3"/>
        <v>15</v>
      </c>
      <c r="AA277" s="616" t="s">
        <v>2607</v>
      </c>
      <c r="AB277" s="598" t="s">
        <v>2608</v>
      </c>
      <c r="AC277" s="598" t="s">
        <v>996</v>
      </c>
      <c r="AD277" s="598" t="s">
        <v>1018</v>
      </c>
      <c r="AE277" s="616" t="s">
        <v>729</v>
      </c>
      <c r="AF277" s="616" t="s">
        <v>729</v>
      </c>
      <c r="AG277" s="616" t="s">
        <v>2418</v>
      </c>
      <c r="AH277" s="598"/>
      <c r="AI277" s="598"/>
      <c r="AJ277" s="683" t="s">
        <v>1566</v>
      </c>
      <c r="AK277" s="598"/>
      <c r="AL277" s="626"/>
      <c r="AM277" s="626"/>
    </row>
    <row r="278" spans="1:39" ht="18" customHeight="1">
      <c r="C278" s="598">
        <v>257</v>
      </c>
      <c r="D278" s="598" t="s">
        <v>3505</v>
      </c>
      <c r="E278" s="598">
        <f t="shared" si="5"/>
        <v>246</v>
      </c>
      <c r="F278" s="616" t="s">
        <v>1810</v>
      </c>
      <c r="G278" s="616" t="s">
        <v>973</v>
      </c>
      <c r="H278" s="618" t="s">
        <v>3505</v>
      </c>
      <c r="I278" s="618" t="s">
        <v>183</v>
      </c>
      <c r="J278" s="618" t="s">
        <v>3505</v>
      </c>
      <c r="K278" s="618" t="s">
        <v>3505</v>
      </c>
      <c r="L278" s="618"/>
      <c r="M278" s="619"/>
      <c r="N278" s="620"/>
      <c r="O278" s="620"/>
      <c r="P278" s="667" t="s">
        <v>1044</v>
      </c>
      <c r="Q278" s="621"/>
      <c r="R278" s="598" t="s">
        <v>1227</v>
      </c>
      <c r="S278" s="598" t="s">
        <v>173</v>
      </c>
      <c r="T278" s="598"/>
      <c r="U278" s="598" t="s">
        <v>1090</v>
      </c>
      <c r="V278" s="667" t="s">
        <v>183</v>
      </c>
      <c r="W278" s="779" t="s">
        <v>3506</v>
      </c>
      <c r="X278" s="598" t="s">
        <v>950</v>
      </c>
      <c r="Y278" s="624">
        <v>19177</v>
      </c>
      <c r="Z278" s="625">
        <f t="shared" ca="1" si="3"/>
        <v>73</v>
      </c>
      <c r="AA278" s="616" t="s">
        <v>3507</v>
      </c>
      <c r="AB278" s="598" t="s">
        <v>3508</v>
      </c>
      <c r="AC278" s="598" t="s">
        <v>966</v>
      </c>
      <c r="AD278" s="598" t="s">
        <v>953</v>
      </c>
      <c r="AE278" s="616" t="s">
        <v>973</v>
      </c>
      <c r="AF278" s="616" t="s">
        <v>973</v>
      </c>
      <c r="AG278" s="616" t="s">
        <v>3509</v>
      </c>
      <c r="AH278" s="598"/>
      <c r="AI278" s="598"/>
      <c r="AJ278" s="598"/>
      <c r="AK278" s="598" t="s">
        <v>3510</v>
      </c>
      <c r="AL278" s="626"/>
      <c r="AM278" s="626"/>
    </row>
    <row r="279" spans="1:39" ht="18" customHeight="1">
      <c r="C279" s="598">
        <v>258</v>
      </c>
      <c r="D279" s="598" t="s">
        <v>3708</v>
      </c>
      <c r="E279" s="598">
        <f t="shared" si="5"/>
        <v>247</v>
      </c>
      <c r="F279" s="616" t="s">
        <v>1810</v>
      </c>
      <c r="G279" s="616" t="s">
        <v>973</v>
      </c>
      <c r="H279" s="618" t="s">
        <v>3505</v>
      </c>
      <c r="I279" s="618" t="s">
        <v>183</v>
      </c>
      <c r="J279" s="618" t="s">
        <v>3505</v>
      </c>
      <c r="K279" s="618" t="s">
        <v>3505</v>
      </c>
      <c r="L279" s="618" t="s">
        <v>959</v>
      </c>
      <c r="M279" s="619"/>
      <c r="N279" s="620"/>
      <c r="O279" s="620"/>
      <c r="P279" s="663" t="s">
        <v>1044</v>
      </c>
      <c r="Q279" s="621"/>
      <c r="R279" s="598" t="s">
        <v>173</v>
      </c>
      <c r="S279" s="598" t="s">
        <v>514</v>
      </c>
      <c r="T279" s="598" t="s">
        <v>55</v>
      </c>
      <c r="U279" s="598" t="s">
        <v>1015</v>
      </c>
      <c r="V279" s="663" t="s">
        <v>203</v>
      </c>
      <c r="W279" s="779" t="s">
        <v>3709</v>
      </c>
      <c r="X279" s="598" t="s">
        <v>950</v>
      </c>
      <c r="Y279" s="624">
        <v>20911</v>
      </c>
      <c r="Z279" s="625">
        <f t="shared" ca="1" si="3"/>
        <v>68</v>
      </c>
      <c r="AA279" s="616" t="s">
        <v>3710</v>
      </c>
      <c r="AB279" s="598" t="s">
        <v>3711</v>
      </c>
      <c r="AC279" s="598" t="s">
        <v>966</v>
      </c>
      <c r="AD279" s="598" t="s">
        <v>953</v>
      </c>
      <c r="AE279" s="616" t="s">
        <v>973</v>
      </c>
      <c r="AF279" s="616" t="s">
        <v>973</v>
      </c>
      <c r="AG279" s="616" t="s">
        <v>3509</v>
      </c>
      <c r="AH279" s="598"/>
      <c r="AI279" s="598"/>
      <c r="AJ279" s="598"/>
      <c r="AK279" s="598" t="s">
        <v>3510</v>
      </c>
      <c r="AL279" s="626"/>
      <c r="AM279" s="626"/>
    </row>
    <row r="280" spans="1:39" ht="18" customHeight="1">
      <c r="C280" s="598">
        <v>259</v>
      </c>
      <c r="D280" s="598" t="s">
        <v>3559</v>
      </c>
      <c r="E280" s="598">
        <f t="shared" si="5"/>
        <v>248</v>
      </c>
      <c r="F280" s="616" t="s">
        <v>1810</v>
      </c>
      <c r="G280" s="616" t="s">
        <v>973</v>
      </c>
      <c r="H280" s="618" t="s">
        <v>3505</v>
      </c>
      <c r="I280" s="618" t="s">
        <v>183</v>
      </c>
      <c r="J280" s="618" t="s">
        <v>3505</v>
      </c>
      <c r="K280" s="618" t="s">
        <v>3505</v>
      </c>
      <c r="L280" s="618" t="s">
        <v>959</v>
      </c>
      <c r="M280" s="619"/>
      <c r="N280" s="620"/>
      <c r="O280" s="620"/>
      <c r="P280" s="663" t="s">
        <v>1044</v>
      </c>
      <c r="Q280" s="621"/>
      <c r="R280" s="598" t="s">
        <v>55</v>
      </c>
      <c r="S280" s="598" t="s">
        <v>178</v>
      </c>
      <c r="T280" s="598"/>
      <c r="U280" s="598" t="s">
        <v>1015</v>
      </c>
      <c r="V280" s="663" t="s">
        <v>222</v>
      </c>
      <c r="W280" s="779" t="s">
        <v>3561</v>
      </c>
      <c r="X280" s="598" t="s">
        <v>950</v>
      </c>
      <c r="Y280" s="624">
        <v>21600</v>
      </c>
      <c r="Z280" s="625">
        <f t="shared" ca="1" si="3"/>
        <v>66</v>
      </c>
      <c r="AA280" s="616" t="s">
        <v>3562</v>
      </c>
      <c r="AB280" s="598" t="s">
        <v>3563</v>
      </c>
      <c r="AC280" s="598" t="s">
        <v>966</v>
      </c>
      <c r="AD280" s="598" t="s">
        <v>953</v>
      </c>
      <c r="AE280" s="616" t="s">
        <v>973</v>
      </c>
      <c r="AF280" s="616" t="s">
        <v>973</v>
      </c>
      <c r="AG280" s="616" t="s">
        <v>3509</v>
      </c>
      <c r="AH280" s="598"/>
      <c r="AI280" s="598"/>
      <c r="AJ280" s="598"/>
      <c r="AK280" s="598" t="s">
        <v>3510</v>
      </c>
      <c r="AL280" s="626"/>
      <c r="AM280" s="626"/>
    </row>
    <row r="281" spans="1:39" ht="18" customHeight="1">
      <c r="C281" s="598">
        <v>260</v>
      </c>
      <c r="D281" s="598" t="s">
        <v>4169</v>
      </c>
      <c r="E281" s="598">
        <f t="shared" si="5"/>
        <v>249</v>
      </c>
      <c r="F281" s="616" t="s">
        <v>1810</v>
      </c>
      <c r="G281" s="616" t="s">
        <v>973</v>
      </c>
      <c r="H281" s="618" t="s">
        <v>3505</v>
      </c>
      <c r="I281" s="618" t="s">
        <v>183</v>
      </c>
      <c r="J281" s="618" t="s">
        <v>3505</v>
      </c>
      <c r="K281" s="618" t="s">
        <v>3505</v>
      </c>
      <c r="L281" s="618" t="s">
        <v>959</v>
      </c>
      <c r="M281" s="619"/>
      <c r="N281" s="620"/>
      <c r="O281" s="620"/>
      <c r="P281" s="673" t="s">
        <v>1044</v>
      </c>
      <c r="Q281" s="621"/>
      <c r="R281" s="598" t="s">
        <v>55</v>
      </c>
      <c r="S281" s="598" t="s">
        <v>178</v>
      </c>
      <c r="T281" s="598"/>
      <c r="U281" s="598" t="s">
        <v>1015</v>
      </c>
      <c r="V281" s="673" t="s">
        <v>241</v>
      </c>
      <c r="W281" s="779" t="s">
        <v>4170</v>
      </c>
      <c r="X281" s="598" t="s">
        <v>950</v>
      </c>
      <c r="Y281" s="624">
        <v>25211</v>
      </c>
      <c r="Z281" s="625">
        <f t="shared" ca="1" si="3"/>
        <v>57</v>
      </c>
      <c r="AA281" s="616" t="s">
        <v>4171</v>
      </c>
      <c r="AB281" s="598" t="s">
        <v>4172</v>
      </c>
      <c r="AC281" s="598" t="s">
        <v>966</v>
      </c>
      <c r="AD281" s="598" t="s">
        <v>953</v>
      </c>
      <c r="AE281" s="616" t="s">
        <v>973</v>
      </c>
      <c r="AF281" s="616" t="s">
        <v>973</v>
      </c>
      <c r="AG281" s="616" t="s">
        <v>3509</v>
      </c>
      <c r="AH281" s="598"/>
      <c r="AI281" s="598"/>
      <c r="AJ281" s="598"/>
      <c r="AK281" s="598" t="s">
        <v>3510</v>
      </c>
      <c r="AL281" s="626"/>
      <c r="AM281" s="626"/>
    </row>
    <row r="282" spans="1:39" ht="18" customHeight="1">
      <c r="A282" s="174"/>
      <c r="B282" s="174"/>
      <c r="C282" s="598">
        <v>261</v>
      </c>
      <c r="D282" s="598" t="s">
        <v>3528</v>
      </c>
      <c r="E282" s="598">
        <f>SUBTOTAL(103,$U$21:U282)</f>
        <v>250</v>
      </c>
      <c r="F282" s="671" t="s">
        <v>1810</v>
      </c>
      <c r="G282" s="598" t="s">
        <v>973</v>
      </c>
      <c r="H282" s="618" t="s">
        <v>3505</v>
      </c>
      <c r="I282" s="618" t="s">
        <v>183</v>
      </c>
      <c r="J282" s="618" t="s">
        <v>3505</v>
      </c>
      <c r="K282" s="618" t="s">
        <v>3505</v>
      </c>
      <c r="L282" s="791" t="s">
        <v>3528</v>
      </c>
      <c r="M282" s="627"/>
      <c r="N282" s="636"/>
      <c r="O282" s="636"/>
      <c r="P282" s="663" t="s">
        <v>1074</v>
      </c>
      <c r="Q282" s="637"/>
      <c r="R282" s="598" t="s">
        <v>69</v>
      </c>
      <c r="S282" s="598" t="s">
        <v>69</v>
      </c>
      <c r="T282" s="627"/>
      <c r="U282" s="635" t="s">
        <v>1090</v>
      </c>
      <c r="V282" s="672" t="s">
        <v>204</v>
      </c>
      <c r="W282" s="780" t="s">
        <v>3532</v>
      </c>
      <c r="X282" s="598" t="s">
        <v>950</v>
      </c>
      <c r="Y282" s="624">
        <v>17993</v>
      </c>
      <c r="Z282" s="625">
        <f t="shared" ca="1" si="3"/>
        <v>76</v>
      </c>
      <c r="AA282" s="598" t="s">
        <v>3533</v>
      </c>
      <c r="AB282" s="598" t="s">
        <v>3534</v>
      </c>
      <c r="AC282" s="598" t="s">
        <v>966</v>
      </c>
      <c r="AD282" s="598" t="s">
        <v>953</v>
      </c>
      <c r="AE282" s="598" t="s">
        <v>973</v>
      </c>
      <c r="AF282" s="598" t="s">
        <v>973</v>
      </c>
      <c r="AG282" s="598" t="s">
        <v>3509</v>
      </c>
      <c r="AH282" s="627"/>
      <c r="AI282" s="627"/>
      <c r="AJ282" s="627"/>
      <c r="AK282" s="598" t="s">
        <v>3510</v>
      </c>
      <c r="AL282" s="627"/>
      <c r="AM282" s="627"/>
    </row>
    <row r="283" spans="1:39" ht="18" customHeight="1">
      <c r="C283" s="598">
        <v>262</v>
      </c>
      <c r="D283" s="598" t="s">
        <v>3555</v>
      </c>
      <c r="E283" s="598">
        <f t="shared" ref="E283:E369" si="6">SUBTOTAL(103,$U$21:U283)</f>
        <v>251</v>
      </c>
      <c r="F283" s="616" t="s">
        <v>1810</v>
      </c>
      <c r="G283" s="616" t="s">
        <v>973</v>
      </c>
      <c r="H283" s="618" t="s">
        <v>3505</v>
      </c>
      <c r="I283" s="618" t="s">
        <v>183</v>
      </c>
      <c r="J283" s="618" t="s">
        <v>3505</v>
      </c>
      <c r="K283" s="618" t="s">
        <v>3505</v>
      </c>
      <c r="L283" s="679" t="s">
        <v>3528</v>
      </c>
      <c r="M283" s="619"/>
      <c r="N283" s="620"/>
      <c r="O283" s="620"/>
      <c r="P283" s="663" t="s">
        <v>1074</v>
      </c>
      <c r="Q283" s="621"/>
      <c r="R283" s="598"/>
      <c r="S283" s="598"/>
      <c r="T283" s="598"/>
      <c r="U283" s="598" t="s">
        <v>992</v>
      </c>
      <c r="V283" s="667" t="s">
        <v>291</v>
      </c>
      <c r="W283" s="779" t="s">
        <v>3556</v>
      </c>
      <c r="X283" s="598" t="s">
        <v>950</v>
      </c>
      <c r="Y283" s="624">
        <v>32972</v>
      </c>
      <c r="Z283" s="625">
        <f t="shared" ca="1" si="3"/>
        <v>35</v>
      </c>
      <c r="AA283" s="616" t="s">
        <v>3557</v>
      </c>
      <c r="AB283" s="598" t="s">
        <v>3558</v>
      </c>
      <c r="AC283" s="598" t="s">
        <v>996</v>
      </c>
      <c r="AD283" s="598" t="s">
        <v>997</v>
      </c>
      <c r="AE283" s="616" t="s">
        <v>973</v>
      </c>
      <c r="AF283" s="616" t="s">
        <v>973</v>
      </c>
      <c r="AG283" s="616" t="s">
        <v>3509</v>
      </c>
      <c r="AH283" s="598"/>
      <c r="AI283" s="598"/>
      <c r="AJ283" s="598"/>
      <c r="AK283" s="598" t="s">
        <v>3510</v>
      </c>
      <c r="AL283" s="626"/>
      <c r="AM283" s="626"/>
    </row>
    <row r="284" spans="1:39" ht="18" customHeight="1">
      <c r="C284" s="598">
        <v>263</v>
      </c>
      <c r="D284" s="598" t="s">
        <v>3511</v>
      </c>
      <c r="E284" s="598">
        <f t="shared" si="6"/>
        <v>252</v>
      </c>
      <c r="F284" s="616" t="s">
        <v>1810</v>
      </c>
      <c r="G284" s="616" t="s">
        <v>973</v>
      </c>
      <c r="H284" s="618" t="s">
        <v>3505</v>
      </c>
      <c r="I284" s="618" t="s">
        <v>183</v>
      </c>
      <c r="J284" s="618" t="s">
        <v>3505</v>
      </c>
      <c r="K284" s="618" t="s">
        <v>3505</v>
      </c>
      <c r="L284" s="679" t="s">
        <v>3528</v>
      </c>
      <c r="M284" s="619"/>
      <c r="N284" s="620"/>
      <c r="O284" s="620"/>
      <c r="P284" s="663" t="s">
        <v>1074</v>
      </c>
      <c r="Q284" s="621"/>
      <c r="R284" s="598"/>
      <c r="S284" s="598"/>
      <c r="T284" s="598"/>
      <c r="U284" s="598" t="s">
        <v>1090</v>
      </c>
      <c r="V284" s="663" t="s">
        <v>223</v>
      </c>
      <c r="W284" s="779" t="s">
        <v>3512</v>
      </c>
      <c r="X284" s="598" t="s">
        <v>963</v>
      </c>
      <c r="Y284" s="624">
        <v>19696</v>
      </c>
      <c r="Z284" s="625">
        <f t="shared" ca="1" si="3"/>
        <v>72</v>
      </c>
      <c r="AA284" s="616" t="s">
        <v>3513</v>
      </c>
      <c r="AB284" s="598" t="s">
        <v>3514</v>
      </c>
      <c r="AC284" s="598" t="s">
        <v>966</v>
      </c>
      <c r="AD284" s="598" t="s">
        <v>953</v>
      </c>
      <c r="AE284" s="616" t="s">
        <v>973</v>
      </c>
      <c r="AF284" s="616" t="s">
        <v>973</v>
      </c>
      <c r="AG284" s="616" t="s">
        <v>3509</v>
      </c>
      <c r="AH284" s="598"/>
      <c r="AI284" s="598"/>
      <c r="AJ284" s="598"/>
      <c r="AK284" s="598" t="s">
        <v>3510</v>
      </c>
      <c r="AL284" s="626"/>
      <c r="AM284" s="626"/>
    </row>
    <row r="285" spans="1:39" ht="18" customHeight="1">
      <c r="C285" s="598">
        <v>264</v>
      </c>
      <c r="D285" s="598" t="s">
        <v>3540</v>
      </c>
      <c r="E285" s="598">
        <f t="shared" si="6"/>
        <v>253</v>
      </c>
      <c r="F285" s="616" t="s">
        <v>1810</v>
      </c>
      <c r="G285" s="616" t="s">
        <v>973</v>
      </c>
      <c r="H285" s="618" t="s">
        <v>3505</v>
      </c>
      <c r="I285" s="618" t="s">
        <v>183</v>
      </c>
      <c r="J285" s="618" t="s">
        <v>3505</v>
      </c>
      <c r="K285" s="618" t="s">
        <v>3505</v>
      </c>
      <c r="L285" s="679" t="s">
        <v>3528</v>
      </c>
      <c r="M285" s="619"/>
      <c r="N285" s="620"/>
      <c r="O285" s="620"/>
      <c r="P285" s="663" t="s">
        <v>1074</v>
      </c>
      <c r="Q285" s="621"/>
      <c r="R285" s="598"/>
      <c r="S285" s="598"/>
      <c r="T285" s="598"/>
      <c r="U285" s="598" t="s">
        <v>1090</v>
      </c>
      <c r="V285" s="663" t="s">
        <v>242</v>
      </c>
      <c r="W285" s="779" t="s">
        <v>3541</v>
      </c>
      <c r="X285" s="598" t="s">
        <v>950</v>
      </c>
      <c r="Y285" s="624">
        <v>19049</v>
      </c>
      <c r="Z285" s="625">
        <f t="shared" ca="1" si="3"/>
        <v>73</v>
      </c>
      <c r="AA285" s="616" t="s">
        <v>3542</v>
      </c>
      <c r="AB285" s="598" t="s">
        <v>3543</v>
      </c>
      <c r="AC285" s="598" t="s">
        <v>966</v>
      </c>
      <c r="AD285" s="598" t="s">
        <v>953</v>
      </c>
      <c r="AE285" s="616" t="s">
        <v>973</v>
      </c>
      <c r="AF285" s="616" t="s">
        <v>973</v>
      </c>
      <c r="AG285" s="616" t="s">
        <v>3509</v>
      </c>
      <c r="AH285" s="598"/>
      <c r="AI285" s="598"/>
      <c r="AJ285" s="598"/>
      <c r="AK285" s="598" t="s">
        <v>3510</v>
      </c>
      <c r="AL285" s="626"/>
      <c r="AM285" s="626"/>
    </row>
    <row r="286" spans="1:39" ht="18" customHeight="1">
      <c r="C286" s="598">
        <v>265</v>
      </c>
      <c r="D286" s="598" t="s">
        <v>3523</v>
      </c>
      <c r="E286" s="598">
        <f t="shared" si="6"/>
        <v>254</v>
      </c>
      <c r="F286" s="616" t="s">
        <v>1810</v>
      </c>
      <c r="G286" s="616" t="s">
        <v>973</v>
      </c>
      <c r="H286" s="618" t="s">
        <v>3505</v>
      </c>
      <c r="I286" s="618" t="s">
        <v>183</v>
      </c>
      <c r="J286" s="618" t="s">
        <v>3505</v>
      </c>
      <c r="K286" s="618" t="s">
        <v>3505</v>
      </c>
      <c r="L286" s="679" t="s">
        <v>3528</v>
      </c>
      <c r="M286" s="619"/>
      <c r="N286" s="620"/>
      <c r="O286" s="620"/>
      <c r="P286" s="663" t="s">
        <v>1074</v>
      </c>
      <c r="Q286" s="621"/>
      <c r="R286" s="598"/>
      <c r="S286" s="598"/>
      <c r="T286" s="598"/>
      <c r="U286" s="598" t="s">
        <v>962</v>
      </c>
      <c r="V286" s="663" t="s">
        <v>262</v>
      </c>
      <c r="W286" s="779" t="s">
        <v>3524</v>
      </c>
      <c r="X286" s="598" t="s">
        <v>963</v>
      </c>
      <c r="Y286" s="624">
        <v>29738</v>
      </c>
      <c r="Z286" s="625">
        <f t="shared" ca="1" si="3"/>
        <v>44</v>
      </c>
      <c r="AA286" s="616" t="s">
        <v>3525</v>
      </c>
      <c r="AB286" s="598" t="s">
        <v>3526</v>
      </c>
      <c r="AC286" s="598" t="s">
        <v>996</v>
      </c>
      <c r="AD286" s="598" t="s">
        <v>997</v>
      </c>
      <c r="AE286" s="616" t="s">
        <v>973</v>
      </c>
      <c r="AF286" s="616" t="s">
        <v>973</v>
      </c>
      <c r="AG286" s="616" t="s">
        <v>3527</v>
      </c>
      <c r="AH286" s="598"/>
      <c r="AI286" s="598"/>
      <c r="AJ286" s="598"/>
      <c r="AK286" s="598" t="s">
        <v>3510</v>
      </c>
      <c r="AL286" s="626"/>
      <c r="AM286" s="626"/>
    </row>
    <row r="287" spans="1:39" ht="18" customHeight="1">
      <c r="C287" s="598">
        <v>266</v>
      </c>
      <c r="D287" s="598" t="s">
        <v>3544</v>
      </c>
      <c r="E287" s="598">
        <f t="shared" si="6"/>
        <v>255</v>
      </c>
      <c r="F287" s="616" t="s">
        <v>1810</v>
      </c>
      <c r="G287" s="616" t="s">
        <v>973</v>
      </c>
      <c r="H287" s="618" t="s">
        <v>3505</v>
      </c>
      <c r="I287" s="618" t="s">
        <v>183</v>
      </c>
      <c r="J287" s="618" t="s">
        <v>3505</v>
      </c>
      <c r="K287" s="618" t="s">
        <v>3505</v>
      </c>
      <c r="L287" s="679" t="s">
        <v>3528</v>
      </c>
      <c r="M287" s="619"/>
      <c r="N287" s="620"/>
      <c r="O287" s="620"/>
      <c r="P287" s="673" t="s">
        <v>1074</v>
      </c>
      <c r="Q287" s="621"/>
      <c r="R287" s="598"/>
      <c r="S287" s="598"/>
      <c r="T287" s="598"/>
      <c r="U287" s="598" t="s">
        <v>1015</v>
      </c>
      <c r="V287" s="673" t="s">
        <v>279</v>
      </c>
      <c r="W287" s="779" t="s">
        <v>3545</v>
      </c>
      <c r="X287" s="598" t="s">
        <v>950</v>
      </c>
      <c r="Y287" s="624">
        <v>21258</v>
      </c>
      <c r="Z287" s="625">
        <f t="shared" ca="1" si="3"/>
        <v>67</v>
      </c>
      <c r="AA287" s="616" t="s">
        <v>3546</v>
      </c>
      <c r="AB287" s="598" t="s">
        <v>3547</v>
      </c>
      <c r="AC287" s="598" t="s">
        <v>966</v>
      </c>
      <c r="AD287" s="598" t="s">
        <v>953</v>
      </c>
      <c r="AE287" s="616" t="s">
        <v>973</v>
      </c>
      <c r="AF287" s="616" t="s">
        <v>973</v>
      </c>
      <c r="AG287" s="616" t="s">
        <v>3527</v>
      </c>
      <c r="AH287" s="598"/>
      <c r="AI287" s="598"/>
      <c r="AJ287" s="598"/>
      <c r="AK287" s="598" t="s">
        <v>3510</v>
      </c>
      <c r="AL287" s="626"/>
      <c r="AM287" s="626"/>
    </row>
    <row r="288" spans="1:39" ht="18" customHeight="1">
      <c r="C288" s="598">
        <v>267</v>
      </c>
      <c r="D288" s="598" t="s">
        <v>3529</v>
      </c>
      <c r="E288" s="598">
        <f t="shared" si="6"/>
        <v>256</v>
      </c>
      <c r="F288" s="616" t="s">
        <v>1810</v>
      </c>
      <c r="G288" s="616" t="s">
        <v>973</v>
      </c>
      <c r="H288" s="618" t="s">
        <v>3505</v>
      </c>
      <c r="I288" s="618" t="s">
        <v>183</v>
      </c>
      <c r="J288" s="618" t="s">
        <v>3505</v>
      </c>
      <c r="K288" s="618" t="s">
        <v>3505</v>
      </c>
      <c r="L288" s="618" t="s">
        <v>3529</v>
      </c>
      <c r="M288" s="619"/>
      <c r="N288" s="620"/>
      <c r="O288" s="620"/>
      <c r="P288" s="667" t="s">
        <v>1115</v>
      </c>
      <c r="Q288" s="621"/>
      <c r="R288" s="598" t="s">
        <v>69</v>
      </c>
      <c r="S288" s="598" t="s">
        <v>562</v>
      </c>
      <c r="T288" s="598"/>
      <c r="U288" s="598" t="s">
        <v>1015</v>
      </c>
      <c r="V288" s="667" t="s">
        <v>3536</v>
      </c>
      <c r="W288" s="779" t="s">
        <v>3537</v>
      </c>
      <c r="X288" s="598" t="s">
        <v>950</v>
      </c>
      <c r="Y288" s="624">
        <v>20540</v>
      </c>
      <c r="Z288" s="625">
        <f t="shared" ca="1" si="3"/>
        <v>69</v>
      </c>
      <c r="AA288" s="616" t="s">
        <v>3538</v>
      </c>
      <c r="AB288" s="598" t="s">
        <v>3539</v>
      </c>
      <c r="AC288" s="598" t="s">
        <v>996</v>
      </c>
      <c r="AD288" s="598" t="s">
        <v>997</v>
      </c>
      <c r="AE288" s="616" t="s">
        <v>973</v>
      </c>
      <c r="AF288" s="616" t="s">
        <v>973</v>
      </c>
      <c r="AG288" s="616" t="s">
        <v>3509</v>
      </c>
      <c r="AH288" s="598"/>
      <c r="AI288" s="598"/>
      <c r="AJ288" s="598" t="s">
        <v>1011</v>
      </c>
      <c r="AK288" s="598" t="s">
        <v>3510</v>
      </c>
      <c r="AL288" s="626"/>
      <c r="AM288" s="626"/>
    </row>
    <row r="289" spans="3:39" ht="18" customHeight="1">
      <c r="C289" s="598">
        <v>268</v>
      </c>
      <c r="D289" s="598" t="s">
        <v>3548</v>
      </c>
      <c r="E289" s="598">
        <f t="shared" si="6"/>
        <v>257</v>
      </c>
      <c r="F289" s="616" t="s">
        <v>1810</v>
      </c>
      <c r="G289" s="616" t="s">
        <v>973</v>
      </c>
      <c r="H289" s="618" t="s">
        <v>3505</v>
      </c>
      <c r="I289" s="618" t="s">
        <v>183</v>
      </c>
      <c r="J289" s="618" t="s">
        <v>3505</v>
      </c>
      <c r="K289" s="618" t="s">
        <v>3505</v>
      </c>
      <c r="L289" s="618" t="s">
        <v>3529</v>
      </c>
      <c r="M289" s="619"/>
      <c r="N289" s="620"/>
      <c r="O289" s="620"/>
      <c r="P289" s="663" t="s">
        <v>1115</v>
      </c>
      <c r="Q289" s="621"/>
      <c r="R289" s="598"/>
      <c r="S289" s="598"/>
      <c r="T289" s="598"/>
      <c r="U289" s="598" t="s">
        <v>1090</v>
      </c>
      <c r="V289" s="663" t="s">
        <v>224</v>
      </c>
      <c r="W289" s="779" t="s">
        <v>3549</v>
      </c>
      <c r="X289" s="598" t="s">
        <v>950</v>
      </c>
      <c r="Y289" s="624">
        <v>19980</v>
      </c>
      <c r="Z289" s="625">
        <f t="shared" ca="1" si="3"/>
        <v>71</v>
      </c>
      <c r="AA289" s="616" t="s">
        <v>3550</v>
      </c>
      <c r="AB289" s="598" t="s">
        <v>3551</v>
      </c>
      <c r="AC289" s="598" t="s">
        <v>996</v>
      </c>
      <c r="AD289" s="598" t="s">
        <v>1018</v>
      </c>
      <c r="AE289" s="616" t="s">
        <v>973</v>
      </c>
      <c r="AF289" s="616" t="s">
        <v>973</v>
      </c>
      <c r="AG289" s="616" t="s">
        <v>3509</v>
      </c>
      <c r="AH289" s="598"/>
      <c r="AI289" s="598"/>
      <c r="AJ289" s="598" t="s">
        <v>1025</v>
      </c>
      <c r="AK289" s="598" t="s">
        <v>3510</v>
      </c>
      <c r="AL289" s="626"/>
      <c r="AM289" s="626"/>
    </row>
    <row r="290" spans="3:39" ht="18" customHeight="1">
      <c r="C290" s="598">
        <v>269</v>
      </c>
      <c r="D290" s="598" t="s">
        <v>3552</v>
      </c>
      <c r="E290" s="598">
        <f t="shared" si="6"/>
        <v>258</v>
      </c>
      <c r="F290" s="616" t="s">
        <v>1810</v>
      </c>
      <c r="G290" s="616" t="s">
        <v>1013</v>
      </c>
      <c r="H290" s="618" t="s">
        <v>1033</v>
      </c>
      <c r="I290" s="618" t="s">
        <v>4983</v>
      </c>
      <c r="J290" s="618" t="s">
        <v>4448</v>
      </c>
      <c r="K290" s="618" t="s">
        <v>3505</v>
      </c>
      <c r="L290" s="618" t="s">
        <v>1072</v>
      </c>
      <c r="M290" s="619" t="s">
        <v>1086</v>
      </c>
      <c r="N290" s="620"/>
      <c r="O290" s="620"/>
      <c r="P290" s="663" t="s">
        <v>1115</v>
      </c>
      <c r="Q290" s="621" t="s">
        <v>319</v>
      </c>
      <c r="R290" s="598"/>
      <c r="S290" s="598"/>
      <c r="T290" s="598"/>
      <c r="U290" s="598" t="s">
        <v>1090</v>
      </c>
      <c r="V290" s="663" t="s">
        <v>243</v>
      </c>
      <c r="W290" s="779" t="s">
        <v>4997</v>
      </c>
      <c r="X290" s="598" t="s">
        <v>950</v>
      </c>
      <c r="Y290" s="624">
        <v>19444</v>
      </c>
      <c r="Z290" s="625">
        <f t="shared" ref="Z290:Z382" ca="1" si="7">DATEDIF(Y290,TODAY(),"Y")</f>
        <v>72</v>
      </c>
      <c r="AA290" s="616" t="s">
        <v>3554</v>
      </c>
      <c r="AB290" s="598"/>
      <c r="AC290" s="598" t="s">
        <v>996</v>
      </c>
      <c r="AD290" s="598" t="s">
        <v>1018</v>
      </c>
      <c r="AE290" s="616" t="s">
        <v>973</v>
      </c>
      <c r="AF290" s="616" t="s">
        <v>954</v>
      </c>
      <c r="AG290" s="616" t="s">
        <v>4998</v>
      </c>
      <c r="AH290" s="598"/>
      <c r="AI290" s="598"/>
      <c r="AJ290" s="598" t="s">
        <v>1107</v>
      </c>
      <c r="AK290" s="598"/>
      <c r="AL290" s="626"/>
      <c r="AM290" s="626"/>
    </row>
    <row r="291" spans="3:39" ht="18" customHeight="1">
      <c r="C291" s="598">
        <v>270</v>
      </c>
      <c r="D291" s="598" t="s">
        <v>3795</v>
      </c>
      <c r="E291" s="598">
        <f t="shared" si="6"/>
        <v>259</v>
      </c>
      <c r="F291" s="616" t="s">
        <v>1810</v>
      </c>
      <c r="G291" s="616" t="s">
        <v>973</v>
      </c>
      <c r="H291" s="618" t="s">
        <v>3505</v>
      </c>
      <c r="I291" s="618" t="s">
        <v>183</v>
      </c>
      <c r="J291" s="618" t="s">
        <v>3505</v>
      </c>
      <c r="K291" s="618" t="s">
        <v>3505</v>
      </c>
      <c r="L291" s="618" t="s">
        <v>3529</v>
      </c>
      <c r="M291" s="619"/>
      <c r="N291" s="620"/>
      <c r="O291" s="620"/>
      <c r="P291" s="663" t="s">
        <v>1115</v>
      </c>
      <c r="Q291" s="621"/>
      <c r="R291" s="598"/>
      <c r="S291" s="598"/>
      <c r="T291" s="598"/>
      <c r="U291" s="598" t="s">
        <v>1090</v>
      </c>
      <c r="V291" s="663" t="s">
        <v>3797</v>
      </c>
      <c r="W291" s="779" t="s">
        <v>3798</v>
      </c>
      <c r="X291" s="598" t="s">
        <v>950</v>
      </c>
      <c r="Y291" s="624">
        <v>19511</v>
      </c>
      <c r="Z291" s="625">
        <f t="shared" ca="1" si="7"/>
        <v>72</v>
      </c>
      <c r="AA291" s="616" t="s">
        <v>3799</v>
      </c>
      <c r="AB291" s="598"/>
      <c r="AC291" s="598" t="s">
        <v>996</v>
      </c>
      <c r="AD291" s="598" t="s">
        <v>1018</v>
      </c>
      <c r="AE291" s="616" t="s">
        <v>973</v>
      </c>
      <c r="AF291" s="616" t="s">
        <v>973</v>
      </c>
      <c r="AG291" s="616" t="s">
        <v>3509</v>
      </c>
      <c r="AH291" s="598" t="s">
        <v>1775</v>
      </c>
      <c r="AI291" s="598" t="s">
        <v>3800</v>
      </c>
      <c r="AJ291" s="598" t="s">
        <v>1025</v>
      </c>
      <c r="AK291" s="598"/>
      <c r="AL291" s="626"/>
      <c r="AM291" s="626"/>
    </row>
    <row r="292" spans="3:39" ht="18" customHeight="1">
      <c r="C292" s="598">
        <v>271</v>
      </c>
      <c r="D292" s="598" t="s">
        <v>3801</v>
      </c>
      <c r="E292" s="598">
        <f t="shared" si="6"/>
        <v>260</v>
      </c>
      <c r="F292" s="616" t="s">
        <v>1810</v>
      </c>
      <c r="G292" s="616" t="s">
        <v>973</v>
      </c>
      <c r="H292" s="618" t="s">
        <v>3505</v>
      </c>
      <c r="I292" s="618" t="s">
        <v>183</v>
      </c>
      <c r="J292" s="618" t="s">
        <v>3505</v>
      </c>
      <c r="K292" s="618" t="s">
        <v>3505</v>
      </c>
      <c r="L292" s="618" t="s">
        <v>3529</v>
      </c>
      <c r="M292" s="619"/>
      <c r="N292" s="620"/>
      <c r="O292" s="620"/>
      <c r="P292" s="663" t="s">
        <v>1115</v>
      </c>
      <c r="Q292" s="621"/>
      <c r="R292" s="598"/>
      <c r="S292" s="598"/>
      <c r="T292" s="598"/>
      <c r="U292" s="598" t="s">
        <v>1090</v>
      </c>
      <c r="V292" s="663" t="s">
        <v>3802</v>
      </c>
      <c r="W292" s="779" t="s">
        <v>3803</v>
      </c>
      <c r="X292" s="598" t="s">
        <v>950</v>
      </c>
      <c r="Y292" s="624">
        <v>12079</v>
      </c>
      <c r="Z292" s="625">
        <f t="shared" ca="1" si="7"/>
        <v>93</v>
      </c>
      <c r="AA292" s="616" t="s">
        <v>3804</v>
      </c>
      <c r="AB292" s="652"/>
      <c r="AC292" s="598" t="s">
        <v>996</v>
      </c>
      <c r="AD292" s="598" t="s">
        <v>997</v>
      </c>
      <c r="AE292" s="616" t="s">
        <v>973</v>
      </c>
      <c r="AF292" s="616" t="s">
        <v>973</v>
      </c>
      <c r="AG292" s="616" t="s">
        <v>3509</v>
      </c>
      <c r="AH292" s="598"/>
      <c r="AI292" s="598" t="s">
        <v>4999</v>
      </c>
      <c r="AJ292" s="598" t="s">
        <v>1011</v>
      </c>
      <c r="AK292" s="598" t="s">
        <v>3806</v>
      </c>
      <c r="AL292" s="626"/>
      <c r="AM292" s="626"/>
    </row>
    <row r="293" spans="3:39" ht="18" customHeight="1">
      <c r="C293" s="598">
        <v>272</v>
      </c>
      <c r="D293" s="598" t="s">
        <v>4657</v>
      </c>
      <c r="E293" s="598">
        <f t="shared" si="6"/>
        <v>261</v>
      </c>
      <c r="F293" s="616" t="s">
        <v>1810</v>
      </c>
      <c r="G293" s="616" t="s">
        <v>973</v>
      </c>
      <c r="H293" s="618" t="s">
        <v>3505</v>
      </c>
      <c r="I293" s="618" t="s">
        <v>183</v>
      </c>
      <c r="J293" s="618" t="s">
        <v>3505</v>
      </c>
      <c r="K293" s="618" t="s">
        <v>3505</v>
      </c>
      <c r="L293" s="618" t="s">
        <v>3529</v>
      </c>
      <c r="M293" s="619"/>
      <c r="N293" s="620"/>
      <c r="O293" s="620"/>
      <c r="P293" s="673" t="s">
        <v>1115</v>
      </c>
      <c r="Q293" s="621"/>
      <c r="R293" s="598"/>
      <c r="S293" s="598"/>
      <c r="T293" s="598"/>
      <c r="U293" s="598" t="s">
        <v>1015</v>
      </c>
      <c r="V293" s="673" t="s">
        <v>4658</v>
      </c>
      <c r="W293" s="779" t="s">
        <v>4659</v>
      </c>
      <c r="X293" s="598" t="s">
        <v>950</v>
      </c>
      <c r="Y293" s="624">
        <v>23752</v>
      </c>
      <c r="Z293" s="625">
        <f t="shared" ca="1" si="7"/>
        <v>61</v>
      </c>
      <c r="AA293" s="616" t="s">
        <v>3804</v>
      </c>
      <c r="AB293" s="652"/>
      <c r="AC293" s="598" t="s">
        <v>996</v>
      </c>
      <c r="AD293" s="598" t="s">
        <v>1018</v>
      </c>
      <c r="AE293" s="616" t="s">
        <v>973</v>
      </c>
      <c r="AF293" s="616" t="s">
        <v>973</v>
      </c>
      <c r="AG293" s="616" t="s">
        <v>3509</v>
      </c>
      <c r="AH293" s="598"/>
      <c r="AI293" s="598" t="s">
        <v>4660</v>
      </c>
      <c r="AJ293" s="598" t="s">
        <v>1011</v>
      </c>
      <c r="AK293" s="598" t="s">
        <v>3806</v>
      </c>
      <c r="AL293" s="626"/>
      <c r="AM293" s="626"/>
    </row>
    <row r="294" spans="3:39" ht="18" customHeight="1">
      <c r="C294" s="598">
        <v>273</v>
      </c>
      <c r="D294" s="598" t="s">
        <v>4397</v>
      </c>
      <c r="E294" s="598">
        <f t="shared" si="6"/>
        <v>261</v>
      </c>
      <c r="F294" s="616"/>
      <c r="G294" s="616" t="s">
        <v>973</v>
      </c>
      <c r="H294" s="618" t="s">
        <v>3505</v>
      </c>
      <c r="I294" s="618" t="s">
        <v>183</v>
      </c>
      <c r="J294" s="618" t="s">
        <v>3505</v>
      </c>
      <c r="K294" s="618" t="s">
        <v>4397</v>
      </c>
      <c r="L294" s="618" t="s">
        <v>3702</v>
      </c>
      <c r="M294" s="619"/>
      <c r="N294" s="620"/>
      <c r="O294" s="620"/>
      <c r="P294" s="667" t="s">
        <v>1127</v>
      </c>
      <c r="Q294" s="621"/>
      <c r="R294" s="598" t="s">
        <v>55</v>
      </c>
      <c r="S294" s="598" t="s">
        <v>178</v>
      </c>
      <c r="T294" s="598"/>
      <c r="U294" s="598"/>
      <c r="V294" s="667" t="s">
        <v>184</v>
      </c>
      <c r="W294" s="779" t="s">
        <v>4398</v>
      </c>
      <c r="X294" s="598" t="s">
        <v>950</v>
      </c>
      <c r="Y294" s="624">
        <v>36505</v>
      </c>
      <c r="Z294" s="625">
        <f t="shared" ca="1" si="7"/>
        <v>26</v>
      </c>
      <c r="AA294" s="616" t="s">
        <v>4399</v>
      </c>
      <c r="AB294" s="598"/>
      <c r="AC294" s="598" t="s">
        <v>996</v>
      </c>
      <c r="AD294" s="598" t="s">
        <v>953</v>
      </c>
      <c r="AE294" s="616" t="s">
        <v>246</v>
      </c>
      <c r="AF294" s="616" t="s">
        <v>954</v>
      </c>
      <c r="AG294" s="616" t="s">
        <v>968</v>
      </c>
      <c r="AH294" s="598" t="s">
        <v>955</v>
      </c>
      <c r="AI294" s="598"/>
      <c r="AJ294" s="598"/>
      <c r="AK294" s="598"/>
      <c r="AL294" s="626"/>
      <c r="AM294" s="626"/>
    </row>
    <row r="295" spans="3:39" ht="18" customHeight="1">
      <c r="C295" s="598">
        <v>274</v>
      </c>
      <c r="D295" s="598" t="s">
        <v>3702</v>
      </c>
      <c r="E295" s="598">
        <f t="shared" si="6"/>
        <v>262</v>
      </c>
      <c r="F295" s="616" t="s">
        <v>1810</v>
      </c>
      <c r="G295" s="616" t="s">
        <v>973</v>
      </c>
      <c r="H295" s="618" t="s">
        <v>3505</v>
      </c>
      <c r="I295" s="618" t="s">
        <v>183</v>
      </c>
      <c r="J295" s="618" t="s">
        <v>3505</v>
      </c>
      <c r="K295" s="618" t="s">
        <v>4397</v>
      </c>
      <c r="L295" s="618" t="s">
        <v>3702</v>
      </c>
      <c r="M295" s="619"/>
      <c r="N295" s="620"/>
      <c r="O295" s="620"/>
      <c r="P295" s="663" t="s">
        <v>1127</v>
      </c>
      <c r="Q295" s="621"/>
      <c r="R295" s="598" t="s">
        <v>69</v>
      </c>
      <c r="S295" s="598" t="s">
        <v>562</v>
      </c>
      <c r="T295" s="598"/>
      <c r="U295" s="598" t="s">
        <v>1015</v>
      </c>
      <c r="V295" s="663" t="s">
        <v>205</v>
      </c>
      <c r="W295" s="779" t="s">
        <v>4661</v>
      </c>
      <c r="X295" s="598" t="s">
        <v>950</v>
      </c>
      <c r="Y295" s="624">
        <v>34934</v>
      </c>
      <c r="Z295" s="625">
        <f t="shared" ca="1" si="7"/>
        <v>30</v>
      </c>
      <c r="AA295" s="616" t="s">
        <v>3706</v>
      </c>
      <c r="AB295" s="598" t="s">
        <v>3707</v>
      </c>
      <c r="AC295" s="598" t="s">
        <v>996</v>
      </c>
      <c r="AD295" s="598" t="s">
        <v>1018</v>
      </c>
      <c r="AE295" s="616" t="s">
        <v>973</v>
      </c>
      <c r="AF295" s="616" t="s">
        <v>973</v>
      </c>
      <c r="AG295" s="616" t="s">
        <v>3686</v>
      </c>
      <c r="AH295" s="598"/>
      <c r="AI295" s="598"/>
      <c r="AJ295" s="598" t="s">
        <v>1452</v>
      </c>
      <c r="AK295" s="598" t="s">
        <v>3510</v>
      </c>
      <c r="AL295" s="626"/>
      <c r="AM295" s="626"/>
    </row>
    <row r="296" spans="3:39" ht="18" customHeight="1">
      <c r="C296" s="598">
        <v>275</v>
      </c>
      <c r="D296" s="598" t="s">
        <v>3682</v>
      </c>
      <c r="E296" s="598">
        <f t="shared" si="6"/>
        <v>263</v>
      </c>
      <c r="F296" s="616" t="s">
        <v>1810</v>
      </c>
      <c r="G296" s="616" t="s">
        <v>973</v>
      </c>
      <c r="H296" s="618" t="s">
        <v>3505</v>
      </c>
      <c r="I296" s="618" t="s">
        <v>183</v>
      </c>
      <c r="J296" s="618" t="s">
        <v>3505</v>
      </c>
      <c r="K296" s="618" t="s">
        <v>4397</v>
      </c>
      <c r="L296" s="618" t="s">
        <v>3702</v>
      </c>
      <c r="M296" s="619"/>
      <c r="N296" s="620"/>
      <c r="O296" s="620"/>
      <c r="P296" s="663" t="s">
        <v>1127</v>
      </c>
      <c r="Q296" s="621"/>
      <c r="R296" s="598"/>
      <c r="S296" s="598"/>
      <c r="T296" s="598"/>
      <c r="U296" s="598" t="s">
        <v>992</v>
      </c>
      <c r="V296" s="663" t="s">
        <v>225</v>
      </c>
      <c r="W296" s="779" t="s">
        <v>3683</v>
      </c>
      <c r="X296" s="598" t="s">
        <v>950</v>
      </c>
      <c r="Y296" s="624">
        <v>34898</v>
      </c>
      <c r="Z296" s="625">
        <f t="shared" ca="1" si="7"/>
        <v>30</v>
      </c>
      <c r="AA296" s="616" t="s">
        <v>3684</v>
      </c>
      <c r="AB296" s="598" t="s">
        <v>3685</v>
      </c>
      <c r="AC296" s="598" t="s">
        <v>996</v>
      </c>
      <c r="AD296" s="598" t="s">
        <v>1018</v>
      </c>
      <c r="AE296" s="616" t="s">
        <v>973</v>
      </c>
      <c r="AF296" s="616" t="s">
        <v>973</v>
      </c>
      <c r="AG296" s="616" t="s">
        <v>3686</v>
      </c>
      <c r="AH296" s="598"/>
      <c r="AI296" s="598"/>
      <c r="AJ296" s="598" t="s">
        <v>1452</v>
      </c>
      <c r="AK296" s="598" t="s">
        <v>3510</v>
      </c>
      <c r="AL296" s="626"/>
      <c r="AM296" s="626"/>
    </row>
    <row r="297" spans="3:39" ht="18" customHeight="1">
      <c r="C297" s="598">
        <v>276</v>
      </c>
      <c r="D297" s="598" t="s">
        <v>3687</v>
      </c>
      <c r="E297" s="598">
        <f t="shared" si="6"/>
        <v>264</v>
      </c>
      <c r="F297" s="616" t="s">
        <v>1810</v>
      </c>
      <c r="G297" s="616" t="s">
        <v>973</v>
      </c>
      <c r="H297" s="618" t="s">
        <v>3505</v>
      </c>
      <c r="I297" s="618" t="s">
        <v>183</v>
      </c>
      <c r="J297" s="618" t="s">
        <v>3505</v>
      </c>
      <c r="K297" s="618" t="s">
        <v>4397</v>
      </c>
      <c r="L297" s="618" t="s">
        <v>3702</v>
      </c>
      <c r="M297" s="619"/>
      <c r="N297" s="620"/>
      <c r="O297" s="620"/>
      <c r="P297" s="663" t="s">
        <v>1127</v>
      </c>
      <c r="Q297" s="621"/>
      <c r="R297" s="598"/>
      <c r="S297" s="598"/>
      <c r="T297" s="598"/>
      <c r="U297" s="598" t="s">
        <v>992</v>
      </c>
      <c r="V297" s="663" t="s">
        <v>244</v>
      </c>
      <c r="W297" s="779" t="s">
        <v>3688</v>
      </c>
      <c r="X297" s="598" t="s">
        <v>950</v>
      </c>
      <c r="Y297" s="624">
        <v>38176</v>
      </c>
      <c r="Z297" s="625">
        <f t="shared" ca="1" si="7"/>
        <v>21</v>
      </c>
      <c r="AA297" s="616" t="s">
        <v>3689</v>
      </c>
      <c r="AB297" s="598" t="s">
        <v>3690</v>
      </c>
      <c r="AC297" s="598" t="s">
        <v>996</v>
      </c>
      <c r="AD297" s="598" t="s">
        <v>1018</v>
      </c>
      <c r="AE297" s="616" t="s">
        <v>973</v>
      </c>
      <c r="AF297" s="616" t="s">
        <v>973</v>
      </c>
      <c r="AG297" s="616" t="s">
        <v>3691</v>
      </c>
      <c r="AH297" s="598"/>
      <c r="AI297" s="598"/>
      <c r="AJ297" s="598" t="s">
        <v>1452</v>
      </c>
      <c r="AK297" s="598" t="s">
        <v>3510</v>
      </c>
      <c r="AL297" s="626"/>
      <c r="AM297" s="626"/>
    </row>
    <row r="298" spans="3:39" ht="18" customHeight="1">
      <c r="C298" s="598">
        <v>277</v>
      </c>
      <c r="D298" s="598" t="s">
        <v>4149</v>
      </c>
      <c r="E298" s="598">
        <f t="shared" si="6"/>
        <v>265</v>
      </c>
      <c r="F298" s="616" t="s">
        <v>3808</v>
      </c>
      <c r="G298" s="616" t="s">
        <v>973</v>
      </c>
      <c r="H298" s="618" t="s">
        <v>3505</v>
      </c>
      <c r="I298" s="618" t="s">
        <v>183</v>
      </c>
      <c r="J298" s="618" t="s">
        <v>3505</v>
      </c>
      <c r="K298" s="618" t="s">
        <v>4397</v>
      </c>
      <c r="L298" s="618" t="s">
        <v>3702</v>
      </c>
      <c r="M298" s="619"/>
      <c r="N298" s="620"/>
      <c r="O298" s="620"/>
      <c r="P298" s="663" t="s">
        <v>1127</v>
      </c>
      <c r="Q298" s="621" t="s">
        <v>319</v>
      </c>
      <c r="R298" s="598"/>
      <c r="S298" s="598"/>
      <c r="T298" s="598"/>
      <c r="U298" s="598" t="s">
        <v>992</v>
      </c>
      <c r="V298" s="663" t="s">
        <v>280</v>
      </c>
      <c r="W298" s="779" t="s">
        <v>4150</v>
      </c>
      <c r="X298" s="598" t="s">
        <v>950</v>
      </c>
      <c r="Y298" s="624">
        <v>38937</v>
      </c>
      <c r="Z298" s="625">
        <f t="shared" ca="1" si="7"/>
        <v>19</v>
      </c>
      <c r="AA298" s="616" t="s">
        <v>4151</v>
      </c>
      <c r="AB298" s="598" t="s">
        <v>4152</v>
      </c>
      <c r="AC298" s="598" t="s">
        <v>996</v>
      </c>
      <c r="AD298" s="598" t="s">
        <v>1018</v>
      </c>
      <c r="AE298" s="616" t="s">
        <v>246</v>
      </c>
      <c r="AF298" s="616" t="s">
        <v>246</v>
      </c>
      <c r="AG298" s="616" t="s">
        <v>3815</v>
      </c>
      <c r="AH298" s="598"/>
      <c r="AI298" s="598"/>
      <c r="AJ298" s="700" t="s">
        <v>1446</v>
      </c>
      <c r="AK298" s="598"/>
      <c r="AL298" s="626"/>
      <c r="AM298" s="626"/>
    </row>
    <row r="299" spans="3:39" ht="18" customHeight="1">
      <c r="C299" s="598">
        <v>278</v>
      </c>
      <c r="D299" s="598" t="s">
        <v>4662</v>
      </c>
      <c r="E299" s="598">
        <f t="shared" si="6"/>
        <v>266</v>
      </c>
      <c r="F299" s="616" t="s">
        <v>1810</v>
      </c>
      <c r="G299" s="616" t="s">
        <v>973</v>
      </c>
      <c r="H299" s="618" t="s">
        <v>3505</v>
      </c>
      <c r="I299" s="618" t="s">
        <v>183</v>
      </c>
      <c r="J299" s="618" t="s">
        <v>3505</v>
      </c>
      <c r="K299" s="618" t="s">
        <v>4397</v>
      </c>
      <c r="L299" s="618" t="s">
        <v>3702</v>
      </c>
      <c r="M299" s="619"/>
      <c r="N299" s="620"/>
      <c r="O299" s="620"/>
      <c r="P299" s="673" t="s">
        <v>1127</v>
      </c>
      <c r="Q299" s="621"/>
      <c r="R299" s="598"/>
      <c r="S299" s="598"/>
      <c r="T299" s="598"/>
      <c r="U299" s="598" t="s">
        <v>1015</v>
      </c>
      <c r="V299" s="673" t="s">
        <v>4663</v>
      </c>
      <c r="W299" s="779" t="s">
        <v>4664</v>
      </c>
      <c r="X299" s="598" t="s">
        <v>950</v>
      </c>
      <c r="Y299" s="624">
        <v>33443</v>
      </c>
      <c r="Z299" s="625">
        <f t="shared" ca="1" si="7"/>
        <v>34</v>
      </c>
      <c r="AA299" s="616" t="s">
        <v>4665</v>
      </c>
      <c r="AB299" s="652"/>
      <c r="AC299" s="598" t="s">
        <v>996</v>
      </c>
      <c r="AD299" s="598" t="s">
        <v>1018</v>
      </c>
      <c r="AE299" s="616" t="s">
        <v>973</v>
      </c>
      <c r="AF299" s="616" t="s">
        <v>973</v>
      </c>
      <c r="AG299" s="616" t="s">
        <v>4666</v>
      </c>
      <c r="AH299" s="598"/>
      <c r="AI299" s="598" t="s">
        <v>4667</v>
      </c>
      <c r="AJ299" s="598" t="s">
        <v>1452</v>
      </c>
      <c r="AK299" s="598" t="s">
        <v>4607</v>
      </c>
      <c r="AL299" s="626"/>
      <c r="AM299" s="626"/>
    </row>
    <row r="300" spans="3:39" ht="18" customHeight="1">
      <c r="C300" s="598">
        <v>279</v>
      </c>
      <c r="D300" s="598" t="s">
        <v>3708</v>
      </c>
      <c r="E300" s="598">
        <f t="shared" si="6"/>
        <v>266</v>
      </c>
      <c r="F300" s="616"/>
      <c r="G300" s="616" t="s">
        <v>3713</v>
      </c>
      <c r="H300" s="618" t="s">
        <v>3505</v>
      </c>
      <c r="I300" s="618"/>
      <c r="J300" s="618" t="s">
        <v>1195</v>
      </c>
      <c r="K300" s="618"/>
      <c r="L300" s="618" t="s">
        <v>959</v>
      </c>
      <c r="M300" s="619"/>
      <c r="N300" s="620"/>
      <c r="O300" s="620"/>
      <c r="P300" s="667" t="s">
        <v>1044</v>
      </c>
      <c r="Q300" s="621"/>
      <c r="R300" s="598" t="s">
        <v>173</v>
      </c>
      <c r="S300" s="598" t="s">
        <v>514</v>
      </c>
      <c r="T300" s="598" t="s">
        <v>55</v>
      </c>
      <c r="U300" s="598"/>
      <c r="V300" s="667" t="s">
        <v>203</v>
      </c>
      <c r="W300" s="779" t="s">
        <v>3709</v>
      </c>
      <c r="X300" s="598" t="s">
        <v>950</v>
      </c>
      <c r="Y300" s="624">
        <v>20911</v>
      </c>
      <c r="Z300" s="625">
        <f t="shared" ca="1" si="7"/>
        <v>68</v>
      </c>
      <c r="AA300" s="616" t="s">
        <v>3710</v>
      </c>
      <c r="AB300" s="598"/>
      <c r="AC300" s="598" t="s">
        <v>966</v>
      </c>
      <c r="AD300" s="598" t="s">
        <v>953</v>
      </c>
      <c r="AE300" s="616" t="s">
        <v>973</v>
      </c>
      <c r="AF300" s="616" t="s">
        <v>973</v>
      </c>
      <c r="AG300" s="616" t="s">
        <v>3509</v>
      </c>
      <c r="AH300" s="598" t="s">
        <v>955</v>
      </c>
      <c r="AI300" s="598"/>
      <c r="AJ300" s="598"/>
      <c r="AK300" s="598"/>
      <c r="AL300" s="626"/>
      <c r="AM300" s="626"/>
    </row>
    <row r="301" spans="3:39" ht="18" customHeight="1">
      <c r="C301" s="598">
        <v>280</v>
      </c>
      <c r="D301" s="598" t="s">
        <v>3560</v>
      </c>
      <c r="E301" s="598">
        <f t="shared" si="6"/>
        <v>267</v>
      </c>
      <c r="F301" s="616" t="s">
        <v>4978</v>
      </c>
      <c r="G301" s="616" t="s">
        <v>3713</v>
      </c>
      <c r="H301" s="618" t="s">
        <v>3505</v>
      </c>
      <c r="I301" s="618" t="s">
        <v>203</v>
      </c>
      <c r="J301" s="618" t="s">
        <v>3708</v>
      </c>
      <c r="K301" s="618" t="s">
        <v>3708</v>
      </c>
      <c r="L301" s="618" t="s">
        <v>3560</v>
      </c>
      <c r="M301" s="743" t="s">
        <v>3712</v>
      </c>
      <c r="N301" s="620"/>
      <c r="O301" s="620"/>
      <c r="P301" s="663" t="s">
        <v>1044</v>
      </c>
      <c r="Q301" s="621" t="s">
        <v>319</v>
      </c>
      <c r="R301" s="598" t="s">
        <v>69</v>
      </c>
      <c r="S301" s="598" t="s">
        <v>562</v>
      </c>
      <c r="T301" s="598"/>
      <c r="U301" s="598" t="s">
        <v>1015</v>
      </c>
      <c r="V301" s="663" t="s">
        <v>350</v>
      </c>
      <c r="W301" s="779" t="s">
        <v>3565</v>
      </c>
      <c r="X301" s="598" t="s">
        <v>950</v>
      </c>
      <c r="Y301" s="624">
        <v>22722</v>
      </c>
      <c r="Z301" s="625">
        <f t="shared" ca="1" si="7"/>
        <v>63</v>
      </c>
      <c r="AA301" s="616" t="s">
        <v>3566</v>
      </c>
      <c r="AB301" s="598" t="s">
        <v>3567</v>
      </c>
      <c r="AC301" s="598" t="s">
        <v>996</v>
      </c>
      <c r="AD301" s="598" t="s">
        <v>1018</v>
      </c>
      <c r="AE301" s="616" t="s">
        <v>1078</v>
      </c>
      <c r="AF301" s="616" t="s">
        <v>1078</v>
      </c>
      <c r="AG301" s="616" t="s">
        <v>3568</v>
      </c>
      <c r="AH301" s="598"/>
      <c r="AI301" s="598"/>
      <c r="AJ301" s="598" t="s">
        <v>1318</v>
      </c>
      <c r="AK301" s="598"/>
      <c r="AL301" s="626"/>
      <c r="AM301" s="626"/>
    </row>
    <row r="302" spans="3:39" ht="18" customHeight="1">
      <c r="C302" s="598">
        <v>281</v>
      </c>
      <c r="D302" s="598" t="s">
        <v>3712</v>
      </c>
      <c r="E302" s="598">
        <f t="shared" si="6"/>
        <v>268</v>
      </c>
      <c r="F302" s="616" t="s">
        <v>1810</v>
      </c>
      <c r="G302" s="616" t="s">
        <v>3713</v>
      </c>
      <c r="H302" s="618" t="s">
        <v>3505</v>
      </c>
      <c r="I302" s="618" t="s">
        <v>203</v>
      </c>
      <c r="J302" s="618" t="s">
        <v>3708</v>
      </c>
      <c r="K302" s="618" t="s">
        <v>3708</v>
      </c>
      <c r="L302" s="618" t="s">
        <v>3560</v>
      </c>
      <c r="M302" s="743" t="s">
        <v>3712</v>
      </c>
      <c r="N302" s="620"/>
      <c r="O302" s="620"/>
      <c r="P302" s="663" t="s">
        <v>1044</v>
      </c>
      <c r="Q302" s="621" t="s">
        <v>319</v>
      </c>
      <c r="R302" s="598" t="s">
        <v>69</v>
      </c>
      <c r="S302" s="598" t="s">
        <v>562</v>
      </c>
      <c r="T302" s="598"/>
      <c r="U302" s="598" t="s">
        <v>1015</v>
      </c>
      <c r="V302" s="663" t="s">
        <v>3716</v>
      </c>
      <c r="W302" s="779" t="s">
        <v>3717</v>
      </c>
      <c r="X302" s="598" t="s">
        <v>950</v>
      </c>
      <c r="Y302" s="624">
        <v>21722</v>
      </c>
      <c r="Z302" s="625">
        <f t="shared" ca="1" si="7"/>
        <v>66</v>
      </c>
      <c r="AA302" s="616" t="s">
        <v>3718</v>
      </c>
      <c r="AB302" s="598" t="s">
        <v>3719</v>
      </c>
      <c r="AC302" s="598" t="s">
        <v>996</v>
      </c>
      <c r="AD302" s="598" t="s">
        <v>1018</v>
      </c>
      <c r="AE302" s="616" t="s">
        <v>1078</v>
      </c>
      <c r="AF302" s="616" t="s">
        <v>1078</v>
      </c>
      <c r="AG302" s="616" t="s">
        <v>3593</v>
      </c>
      <c r="AH302" s="598"/>
      <c r="AI302" s="598"/>
      <c r="AJ302" s="598" t="s">
        <v>1107</v>
      </c>
      <c r="AK302" s="598" t="s">
        <v>3510</v>
      </c>
      <c r="AL302" s="626"/>
      <c r="AM302" s="626"/>
    </row>
    <row r="303" spans="3:39" ht="18" customHeight="1">
      <c r="C303" s="598">
        <v>282</v>
      </c>
      <c r="D303" s="598" t="s">
        <v>3588</v>
      </c>
      <c r="E303" s="598">
        <f t="shared" si="6"/>
        <v>269</v>
      </c>
      <c r="F303" s="616" t="s">
        <v>1810</v>
      </c>
      <c r="G303" s="616" t="s">
        <v>3713</v>
      </c>
      <c r="H303" s="618" t="s">
        <v>3505</v>
      </c>
      <c r="I303" s="618" t="s">
        <v>203</v>
      </c>
      <c r="J303" s="618" t="s">
        <v>3708</v>
      </c>
      <c r="K303" s="618" t="s">
        <v>3708</v>
      </c>
      <c r="L303" s="618" t="s">
        <v>3560</v>
      </c>
      <c r="M303" s="743" t="s">
        <v>3712</v>
      </c>
      <c r="N303" s="620"/>
      <c r="O303" s="620"/>
      <c r="P303" s="663" t="s">
        <v>1044</v>
      </c>
      <c r="Q303" s="621" t="s">
        <v>319</v>
      </c>
      <c r="R303" s="598"/>
      <c r="S303" s="598"/>
      <c r="T303" s="598"/>
      <c r="U303" s="598" t="s">
        <v>1015</v>
      </c>
      <c r="V303" s="663" t="s">
        <v>3589</v>
      </c>
      <c r="W303" s="779" t="s">
        <v>3590</v>
      </c>
      <c r="X303" s="598" t="s">
        <v>950</v>
      </c>
      <c r="Y303" s="624">
        <v>22447</v>
      </c>
      <c r="Z303" s="625">
        <f t="shared" ca="1" si="7"/>
        <v>64</v>
      </c>
      <c r="AA303" s="616" t="s">
        <v>3591</v>
      </c>
      <c r="AB303" s="598" t="s">
        <v>3592</v>
      </c>
      <c r="AC303" s="598" t="s">
        <v>996</v>
      </c>
      <c r="AD303" s="598" t="s">
        <v>1018</v>
      </c>
      <c r="AE303" s="616" t="s">
        <v>1078</v>
      </c>
      <c r="AF303" s="616" t="s">
        <v>1078</v>
      </c>
      <c r="AG303" s="616" t="s">
        <v>3593</v>
      </c>
      <c r="AH303" s="598"/>
      <c r="AI303" s="598"/>
      <c r="AJ303" s="598" t="s">
        <v>1107</v>
      </c>
      <c r="AK303" s="598" t="s">
        <v>3510</v>
      </c>
      <c r="AL303" s="626"/>
      <c r="AM303" s="626"/>
    </row>
    <row r="304" spans="3:39" ht="18" customHeight="1">
      <c r="C304" s="598">
        <v>283</v>
      </c>
      <c r="D304" s="598" t="s">
        <v>3584</v>
      </c>
      <c r="E304" s="598">
        <f t="shared" si="6"/>
        <v>270</v>
      </c>
      <c r="F304" s="616" t="s">
        <v>1810</v>
      </c>
      <c r="G304" s="616" t="s">
        <v>3713</v>
      </c>
      <c r="H304" s="618" t="s">
        <v>3505</v>
      </c>
      <c r="I304" s="618" t="s">
        <v>203</v>
      </c>
      <c r="J304" s="618" t="s">
        <v>3708</v>
      </c>
      <c r="K304" s="618" t="s">
        <v>3708</v>
      </c>
      <c r="L304" s="618" t="s">
        <v>3560</v>
      </c>
      <c r="M304" s="743" t="s">
        <v>3712</v>
      </c>
      <c r="N304" s="620"/>
      <c r="O304" s="620"/>
      <c r="P304" s="663" t="s">
        <v>1044</v>
      </c>
      <c r="Q304" s="621" t="s">
        <v>319</v>
      </c>
      <c r="R304" s="598"/>
      <c r="S304" s="598"/>
      <c r="T304" s="598"/>
      <c r="U304" s="598" t="s">
        <v>1015</v>
      </c>
      <c r="V304" s="663" t="s">
        <v>391</v>
      </c>
      <c r="W304" s="779" t="s">
        <v>3585</v>
      </c>
      <c r="X304" s="598" t="s">
        <v>950</v>
      </c>
      <c r="Y304" s="624">
        <v>28584</v>
      </c>
      <c r="Z304" s="625">
        <f t="shared" ca="1" si="7"/>
        <v>47</v>
      </c>
      <c r="AA304" s="616" t="s">
        <v>3586</v>
      </c>
      <c r="AB304" s="598" t="s">
        <v>3587</v>
      </c>
      <c r="AC304" s="598" t="s">
        <v>996</v>
      </c>
      <c r="AD304" s="598" t="s">
        <v>1018</v>
      </c>
      <c r="AE304" s="616" t="s">
        <v>1078</v>
      </c>
      <c r="AF304" s="616" t="s">
        <v>1078</v>
      </c>
      <c r="AG304" s="616" t="s">
        <v>3578</v>
      </c>
      <c r="AH304" s="598"/>
      <c r="AI304" s="598"/>
      <c r="AJ304" s="598" t="s">
        <v>1107</v>
      </c>
      <c r="AK304" s="598" t="s">
        <v>3510</v>
      </c>
      <c r="AL304" s="626"/>
      <c r="AM304" s="626"/>
    </row>
    <row r="305" spans="3:39" ht="18" customHeight="1">
      <c r="C305" s="598">
        <v>284</v>
      </c>
      <c r="D305" s="598" t="s">
        <v>3594</v>
      </c>
      <c r="E305" s="598">
        <f t="shared" si="6"/>
        <v>271</v>
      </c>
      <c r="F305" s="616" t="s">
        <v>4978</v>
      </c>
      <c r="G305" s="616" t="s">
        <v>3713</v>
      </c>
      <c r="H305" s="618" t="s">
        <v>3505</v>
      </c>
      <c r="I305" s="618" t="s">
        <v>203</v>
      </c>
      <c r="J305" s="618" t="s">
        <v>3708</v>
      </c>
      <c r="K305" s="618" t="s">
        <v>3708</v>
      </c>
      <c r="L305" s="618" t="s">
        <v>3560</v>
      </c>
      <c r="M305" s="743" t="s">
        <v>3712</v>
      </c>
      <c r="N305" s="620"/>
      <c r="O305" s="620"/>
      <c r="P305" s="663" t="s">
        <v>1044</v>
      </c>
      <c r="Q305" s="621" t="s">
        <v>319</v>
      </c>
      <c r="R305" s="598"/>
      <c r="S305" s="598"/>
      <c r="T305" s="598"/>
      <c r="U305" s="598" t="s">
        <v>1015</v>
      </c>
      <c r="V305" s="663" t="s">
        <v>416</v>
      </c>
      <c r="W305" s="779" t="s">
        <v>3595</v>
      </c>
      <c r="X305" s="598" t="s">
        <v>950</v>
      </c>
      <c r="Y305" s="624">
        <v>26312</v>
      </c>
      <c r="Z305" s="625">
        <f t="shared" ca="1" si="7"/>
        <v>54</v>
      </c>
      <c r="AA305" s="616" t="s">
        <v>3596</v>
      </c>
      <c r="AB305" s="598" t="s">
        <v>3597</v>
      </c>
      <c r="AC305" s="598" t="s">
        <v>996</v>
      </c>
      <c r="AD305" s="598" t="s">
        <v>1018</v>
      </c>
      <c r="AE305" s="616" t="s">
        <v>1078</v>
      </c>
      <c r="AF305" s="616" t="s">
        <v>1078</v>
      </c>
      <c r="AG305" s="616" t="s">
        <v>3578</v>
      </c>
      <c r="AH305" s="598"/>
      <c r="AI305" s="598"/>
      <c r="AJ305" s="598" t="s">
        <v>1318</v>
      </c>
      <c r="AK305" s="598"/>
      <c r="AL305" s="626"/>
      <c r="AM305" s="626"/>
    </row>
    <row r="306" spans="3:39" ht="18" customHeight="1">
      <c r="C306" s="598">
        <v>285</v>
      </c>
      <c r="D306" s="598" t="s">
        <v>4668</v>
      </c>
      <c r="E306" s="598">
        <f t="shared" si="6"/>
        <v>272</v>
      </c>
      <c r="F306" s="616" t="s">
        <v>4978</v>
      </c>
      <c r="G306" s="616" t="s">
        <v>3713</v>
      </c>
      <c r="H306" s="618" t="s">
        <v>3505</v>
      </c>
      <c r="I306" s="618" t="s">
        <v>203</v>
      </c>
      <c r="J306" s="618" t="s">
        <v>3708</v>
      </c>
      <c r="K306" s="618" t="s">
        <v>3708</v>
      </c>
      <c r="L306" s="618" t="s">
        <v>3560</v>
      </c>
      <c r="M306" s="743" t="s">
        <v>3712</v>
      </c>
      <c r="N306" s="620"/>
      <c r="O306" s="620"/>
      <c r="P306" s="673" t="s">
        <v>1044</v>
      </c>
      <c r="Q306" s="621" t="s">
        <v>319</v>
      </c>
      <c r="R306" s="598"/>
      <c r="S306" s="598"/>
      <c r="T306" s="598"/>
      <c r="U306" s="598" t="s">
        <v>1015</v>
      </c>
      <c r="V306" s="673" t="s">
        <v>405</v>
      </c>
      <c r="W306" s="779" t="s">
        <v>4669</v>
      </c>
      <c r="X306" s="598" t="s">
        <v>950</v>
      </c>
      <c r="Y306" s="624">
        <v>21826</v>
      </c>
      <c r="Z306" s="625">
        <f t="shared" ca="1" si="7"/>
        <v>66</v>
      </c>
      <c r="AA306" s="616" t="s">
        <v>4670</v>
      </c>
      <c r="AB306" s="652"/>
      <c r="AC306" s="598" t="s">
        <v>996</v>
      </c>
      <c r="AD306" s="598" t="s">
        <v>1018</v>
      </c>
      <c r="AE306" s="616" t="s">
        <v>1375</v>
      </c>
      <c r="AF306" s="616" t="s">
        <v>1375</v>
      </c>
      <c r="AG306" s="616" t="s">
        <v>4671</v>
      </c>
      <c r="AH306" s="598"/>
      <c r="AI306" s="598" t="s">
        <v>1019</v>
      </c>
      <c r="AJ306" s="598" t="s">
        <v>1318</v>
      </c>
      <c r="AK306" s="598"/>
      <c r="AL306" s="626"/>
      <c r="AM306" s="626"/>
    </row>
    <row r="307" spans="3:39" ht="18" customHeight="1">
      <c r="C307" s="598">
        <v>286</v>
      </c>
      <c r="D307" s="598" t="s">
        <v>4169</v>
      </c>
      <c r="E307" s="598">
        <f t="shared" si="6"/>
        <v>272</v>
      </c>
      <c r="F307" s="616"/>
      <c r="G307" s="616" t="s">
        <v>3713</v>
      </c>
      <c r="H307" s="618" t="s">
        <v>3505</v>
      </c>
      <c r="I307" s="618" t="s">
        <v>203</v>
      </c>
      <c r="J307" s="618" t="s">
        <v>3708</v>
      </c>
      <c r="K307" s="618" t="s">
        <v>4169</v>
      </c>
      <c r="L307" s="618" t="s">
        <v>3673</v>
      </c>
      <c r="M307" s="619"/>
      <c r="N307" s="620"/>
      <c r="O307" s="620"/>
      <c r="P307" s="667" t="s">
        <v>1074</v>
      </c>
      <c r="Q307" s="621"/>
      <c r="R307" s="598" t="s">
        <v>55</v>
      </c>
      <c r="S307" s="598" t="s">
        <v>178</v>
      </c>
      <c r="T307" s="598"/>
      <c r="U307" s="598"/>
      <c r="V307" s="667" t="s">
        <v>241</v>
      </c>
      <c r="W307" s="779" t="s">
        <v>4170</v>
      </c>
      <c r="X307" s="598" t="s">
        <v>950</v>
      </c>
      <c r="Y307" s="624">
        <v>25211</v>
      </c>
      <c r="Z307" s="625">
        <f t="shared" ca="1" si="7"/>
        <v>57</v>
      </c>
      <c r="AA307" s="616" t="s">
        <v>4171</v>
      </c>
      <c r="AB307" s="598"/>
      <c r="AC307" s="598" t="s">
        <v>966</v>
      </c>
      <c r="AD307" s="598" t="s">
        <v>953</v>
      </c>
      <c r="AE307" s="616" t="s">
        <v>973</v>
      </c>
      <c r="AF307" s="616" t="s">
        <v>973</v>
      </c>
      <c r="AG307" s="616" t="s">
        <v>3509</v>
      </c>
      <c r="AH307" s="598" t="s">
        <v>955</v>
      </c>
      <c r="AI307" s="598"/>
      <c r="AJ307" s="598"/>
      <c r="AK307" s="598"/>
      <c r="AL307" s="626"/>
      <c r="AM307" s="626"/>
    </row>
    <row r="308" spans="3:39" ht="18" customHeight="1">
      <c r="C308" s="598">
        <v>287</v>
      </c>
      <c r="D308" s="598" t="s">
        <v>3667</v>
      </c>
      <c r="E308" s="598">
        <f t="shared" si="6"/>
        <v>273</v>
      </c>
      <c r="F308" s="616" t="s">
        <v>1810</v>
      </c>
      <c r="G308" s="616" t="s">
        <v>3713</v>
      </c>
      <c r="H308" s="618" t="s">
        <v>3505</v>
      </c>
      <c r="I308" s="618" t="s">
        <v>203</v>
      </c>
      <c r="J308" s="618" t="s">
        <v>3708</v>
      </c>
      <c r="K308" s="618" t="s">
        <v>4169</v>
      </c>
      <c r="L308" s="618" t="s">
        <v>3667</v>
      </c>
      <c r="M308" s="619"/>
      <c r="N308" s="620"/>
      <c r="O308" s="620"/>
      <c r="P308" s="663" t="s">
        <v>1074</v>
      </c>
      <c r="Q308" s="621"/>
      <c r="R308" s="598" t="s">
        <v>69</v>
      </c>
      <c r="S308" s="598" t="s">
        <v>562</v>
      </c>
      <c r="T308" s="598"/>
      <c r="U308" s="598" t="s">
        <v>992</v>
      </c>
      <c r="V308" s="663" t="s">
        <v>3670</v>
      </c>
      <c r="W308" s="779" t="s">
        <v>3671</v>
      </c>
      <c r="X308" s="598" t="s">
        <v>950</v>
      </c>
      <c r="Y308" s="624">
        <v>34119</v>
      </c>
      <c r="Z308" s="625">
        <f t="shared" ca="1" si="7"/>
        <v>32</v>
      </c>
      <c r="AA308" s="616" t="s">
        <v>3672</v>
      </c>
      <c r="AB308" s="598" t="s">
        <v>3673</v>
      </c>
      <c r="AC308" s="598" t="s">
        <v>996</v>
      </c>
      <c r="AD308" s="598" t="s">
        <v>1018</v>
      </c>
      <c r="AE308" s="616" t="s">
        <v>973</v>
      </c>
      <c r="AF308" s="616" t="s">
        <v>973</v>
      </c>
      <c r="AG308" s="616" t="s">
        <v>3519</v>
      </c>
      <c r="AH308" s="598"/>
      <c r="AI308" s="598"/>
      <c r="AJ308" s="598" t="s">
        <v>1114</v>
      </c>
      <c r="AK308" s="598" t="s">
        <v>3510</v>
      </c>
      <c r="AL308" s="626"/>
      <c r="AM308" s="626"/>
    </row>
    <row r="309" spans="3:39" ht="18" customHeight="1">
      <c r="C309" s="598">
        <v>288</v>
      </c>
      <c r="D309" s="598" t="s">
        <v>4672</v>
      </c>
      <c r="E309" s="598">
        <f t="shared" si="6"/>
        <v>274</v>
      </c>
      <c r="F309" s="616" t="s">
        <v>1810</v>
      </c>
      <c r="G309" s="616" t="s">
        <v>3713</v>
      </c>
      <c r="H309" s="618" t="s">
        <v>3505</v>
      </c>
      <c r="I309" s="618" t="s">
        <v>203</v>
      </c>
      <c r="J309" s="618" t="s">
        <v>3708</v>
      </c>
      <c r="K309" s="618" t="s">
        <v>4169</v>
      </c>
      <c r="L309" s="618" t="s">
        <v>3667</v>
      </c>
      <c r="M309" s="619"/>
      <c r="N309" s="620"/>
      <c r="O309" s="620"/>
      <c r="P309" s="663" t="s">
        <v>1074</v>
      </c>
      <c r="Q309" s="621"/>
      <c r="R309" s="598"/>
      <c r="S309" s="598"/>
      <c r="T309" s="598"/>
      <c r="U309" s="598" t="s">
        <v>1015</v>
      </c>
      <c r="V309" s="663" t="s">
        <v>4673</v>
      </c>
      <c r="W309" s="779" t="s">
        <v>4674</v>
      </c>
      <c r="X309" s="598" t="s">
        <v>950</v>
      </c>
      <c r="Y309" s="624">
        <v>33793</v>
      </c>
      <c r="Z309" s="625">
        <f t="shared" ca="1" si="7"/>
        <v>33</v>
      </c>
      <c r="AA309" s="616" t="s">
        <v>4675</v>
      </c>
      <c r="AB309" s="652"/>
      <c r="AC309" s="598" t="s">
        <v>996</v>
      </c>
      <c r="AD309" s="598" t="s">
        <v>1018</v>
      </c>
      <c r="AE309" s="616" t="s">
        <v>1078</v>
      </c>
      <c r="AF309" s="616" t="s">
        <v>1078</v>
      </c>
      <c r="AG309" s="616" t="s">
        <v>4676</v>
      </c>
      <c r="AH309" s="598"/>
      <c r="AI309" s="598"/>
      <c r="AJ309" s="598" t="s">
        <v>1114</v>
      </c>
      <c r="AK309" s="598" t="s">
        <v>3510</v>
      </c>
      <c r="AL309" s="626"/>
      <c r="AM309" s="626"/>
    </row>
    <row r="310" spans="3:39" ht="18" customHeight="1">
      <c r="C310" s="598">
        <v>289</v>
      </c>
      <c r="D310" s="598" t="s">
        <v>3662</v>
      </c>
      <c r="E310" s="598">
        <f t="shared" si="6"/>
        <v>275</v>
      </c>
      <c r="F310" s="616" t="s">
        <v>1810</v>
      </c>
      <c r="G310" s="616" t="s">
        <v>3713</v>
      </c>
      <c r="H310" s="618" t="s">
        <v>3505</v>
      </c>
      <c r="I310" s="618" t="s">
        <v>203</v>
      </c>
      <c r="J310" s="618" t="s">
        <v>3708</v>
      </c>
      <c r="K310" s="618" t="s">
        <v>4169</v>
      </c>
      <c r="L310" s="618" t="s">
        <v>3667</v>
      </c>
      <c r="M310" s="619"/>
      <c r="N310" s="620"/>
      <c r="O310" s="620"/>
      <c r="P310" s="663" t="s">
        <v>1074</v>
      </c>
      <c r="Q310" s="621"/>
      <c r="R310" s="598"/>
      <c r="S310" s="598"/>
      <c r="T310" s="598"/>
      <c r="U310" s="598" t="s">
        <v>1015</v>
      </c>
      <c r="V310" s="663" t="s">
        <v>3663</v>
      </c>
      <c r="W310" s="779" t="s">
        <v>3664</v>
      </c>
      <c r="X310" s="598" t="s">
        <v>950</v>
      </c>
      <c r="Y310" s="624">
        <v>34240</v>
      </c>
      <c r="Z310" s="625">
        <f t="shared" ca="1" si="7"/>
        <v>32</v>
      </c>
      <c r="AA310" s="616" t="s">
        <v>3665</v>
      </c>
      <c r="AB310" s="598" t="s">
        <v>3666</v>
      </c>
      <c r="AC310" s="598" t="s">
        <v>996</v>
      </c>
      <c r="AD310" s="598" t="s">
        <v>1018</v>
      </c>
      <c r="AE310" s="616" t="s">
        <v>1078</v>
      </c>
      <c r="AF310" s="616" t="s">
        <v>1078</v>
      </c>
      <c r="AG310" s="616" t="s">
        <v>4676</v>
      </c>
      <c r="AH310" s="598"/>
      <c r="AI310" s="598"/>
      <c r="AJ310" s="598" t="s">
        <v>1114</v>
      </c>
      <c r="AK310" s="598" t="s">
        <v>3510</v>
      </c>
      <c r="AL310" s="626"/>
      <c r="AM310" s="626"/>
    </row>
    <row r="311" spans="3:39" ht="18" customHeight="1">
      <c r="C311" s="598">
        <v>290</v>
      </c>
      <c r="D311" s="598" t="s">
        <v>3668</v>
      </c>
      <c r="E311" s="598">
        <f t="shared" si="6"/>
        <v>276</v>
      </c>
      <c r="F311" s="616" t="s">
        <v>1810</v>
      </c>
      <c r="G311" s="616" t="s">
        <v>3713</v>
      </c>
      <c r="H311" s="618" t="s">
        <v>3505</v>
      </c>
      <c r="I311" s="618" t="s">
        <v>203</v>
      </c>
      <c r="J311" s="618" t="s">
        <v>3708</v>
      </c>
      <c r="K311" s="618" t="s">
        <v>4169</v>
      </c>
      <c r="L311" s="618" t="s">
        <v>3667</v>
      </c>
      <c r="M311" s="619"/>
      <c r="N311" s="620"/>
      <c r="O311" s="620"/>
      <c r="P311" s="663" t="s">
        <v>1074</v>
      </c>
      <c r="Q311" s="621"/>
      <c r="R311" s="598"/>
      <c r="S311" s="598"/>
      <c r="T311" s="598"/>
      <c r="U311" s="598" t="s">
        <v>992</v>
      </c>
      <c r="V311" s="663" t="s">
        <v>3674</v>
      </c>
      <c r="W311" s="779" t="s">
        <v>3675</v>
      </c>
      <c r="X311" s="598" t="s">
        <v>950</v>
      </c>
      <c r="Y311" s="624">
        <v>35234</v>
      </c>
      <c r="Z311" s="625">
        <f t="shared" ca="1" si="7"/>
        <v>29</v>
      </c>
      <c r="AA311" s="616" t="s">
        <v>3676</v>
      </c>
      <c r="AB311" s="598" t="s">
        <v>3677</v>
      </c>
      <c r="AC311" s="598" t="s">
        <v>996</v>
      </c>
      <c r="AD311" s="598" t="s">
        <v>1018</v>
      </c>
      <c r="AE311" s="616" t="s">
        <v>973</v>
      </c>
      <c r="AF311" s="616" t="s">
        <v>973</v>
      </c>
      <c r="AG311" s="616" t="s">
        <v>3519</v>
      </c>
      <c r="AH311" s="598"/>
      <c r="AI311" s="598"/>
      <c r="AJ311" s="598" t="s">
        <v>1114</v>
      </c>
      <c r="AK311" s="598" t="s">
        <v>3510</v>
      </c>
      <c r="AL311" s="626"/>
      <c r="AM311" s="626"/>
    </row>
    <row r="312" spans="3:39" ht="18" customHeight="1">
      <c r="C312" s="598">
        <v>291</v>
      </c>
      <c r="D312" s="598" t="s">
        <v>3621</v>
      </c>
      <c r="E312" s="598">
        <f t="shared" si="6"/>
        <v>277</v>
      </c>
      <c r="F312" s="616" t="s">
        <v>1810</v>
      </c>
      <c r="G312" s="616" t="s">
        <v>3713</v>
      </c>
      <c r="H312" s="618" t="s">
        <v>3505</v>
      </c>
      <c r="I312" s="618" t="s">
        <v>203</v>
      </c>
      <c r="J312" s="618" t="s">
        <v>3708</v>
      </c>
      <c r="K312" s="618" t="s">
        <v>4169</v>
      </c>
      <c r="L312" s="618" t="s">
        <v>3667</v>
      </c>
      <c r="M312" s="619"/>
      <c r="N312" s="620"/>
      <c r="O312" s="620"/>
      <c r="P312" s="663" t="s">
        <v>1074</v>
      </c>
      <c r="Q312" s="621"/>
      <c r="R312" s="598"/>
      <c r="S312" s="598"/>
      <c r="T312" s="598"/>
      <c r="U312" s="598" t="s">
        <v>1015</v>
      </c>
      <c r="V312" s="663" t="s">
        <v>3622</v>
      </c>
      <c r="W312" s="779" t="s">
        <v>3623</v>
      </c>
      <c r="X312" s="598" t="s">
        <v>950</v>
      </c>
      <c r="Y312" s="624">
        <v>35316</v>
      </c>
      <c r="Z312" s="625">
        <f t="shared" ca="1" si="7"/>
        <v>29</v>
      </c>
      <c r="AA312" s="616" t="s">
        <v>3624</v>
      </c>
      <c r="AB312" s="598" t="s">
        <v>3625</v>
      </c>
      <c r="AC312" s="598" t="s">
        <v>996</v>
      </c>
      <c r="AD312" s="598" t="s">
        <v>997</v>
      </c>
      <c r="AE312" s="616" t="s">
        <v>973</v>
      </c>
      <c r="AF312" s="616" t="s">
        <v>973</v>
      </c>
      <c r="AG312" s="616" t="s">
        <v>3626</v>
      </c>
      <c r="AH312" s="598"/>
      <c r="AI312" s="598"/>
      <c r="AJ312" s="598" t="s">
        <v>1011</v>
      </c>
      <c r="AK312" s="598" t="s">
        <v>3510</v>
      </c>
      <c r="AL312" s="626"/>
      <c r="AM312" s="626"/>
    </row>
    <row r="313" spans="3:39" ht="18" customHeight="1">
      <c r="C313" s="598">
        <v>292</v>
      </c>
      <c r="D313" s="598" t="s">
        <v>4677</v>
      </c>
      <c r="E313" s="598">
        <f t="shared" si="6"/>
        <v>278</v>
      </c>
      <c r="F313" s="616" t="s">
        <v>1810</v>
      </c>
      <c r="G313" s="616" t="s">
        <v>3713</v>
      </c>
      <c r="H313" s="618" t="s">
        <v>3505</v>
      </c>
      <c r="I313" s="618" t="s">
        <v>203</v>
      </c>
      <c r="J313" s="618" t="s">
        <v>3708</v>
      </c>
      <c r="K313" s="618" t="s">
        <v>4169</v>
      </c>
      <c r="L313" s="618" t="s">
        <v>3667</v>
      </c>
      <c r="M313" s="619"/>
      <c r="N313" s="620"/>
      <c r="O313" s="620"/>
      <c r="P313" s="673" t="s">
        <v>1074</v>
      </c>
      <c r="Q313" s="621"/>
      <c r="R313" s="598"/>
      <c r="S313" s="598"/>
      <c r="T313" s="598"/>
      <c r="U313" s="598" t="s">
        <v>992</v>
      </c>
      <c r="V313" s="673" t="s">
        <v>4678</v>
      </c>
      <c r="W313" s="779" t="s">
        <v>4679</v>
      </c>
      <c r="X313" s="598" t="s">
        <v>950</v>
      </c>
      <c r="Y313" s="624">
        <v>34953</v>
      </c>
      <c r="Z313" s="625">
        <f t="shared" ca="1" si="7"/>
        <v>30</v>
      </c>
      <c r="AA313" s="654" t="s">
        <v>4680</v>
      </c>
      <c r="AB313" s="652"/>
      <c r="AC313" s="598" t="s">
        <v>996</v>
      </c>
      <c r="AD313" s="598" t="s">
        <v>1018</v>
      </c>
      <c r="AE313" s="616" t="s">
        <v>973</v>
      </c>
      <c r="AF313" s="616" t="s">
        <v>973</v>
      </c>
      <c r="AG313" s="616" t="s">
        <v>3509</v>
      </c>
      <c r="AH313" s="598"/>
      <c r="AI313" s="598" t="s">
        <v>4681</v>
      </c>
      <c r="AJ313" s="598" t="s">
        <v>1349</v>
      </c>
      <c r="AK313" s="598" t="s">
        <v>4607</v>
      </c>
      <c r="AL313" s="626"/>
      <c r="AM313" s="626"/>
    </row>
    <row r="314" spans="3:39" ht="18" customHeight="1">
      <c r="C314" s="598">
        <v>293</v>
      </c>
      <c r="D314" s="598" t="s">
        <v>3559</v>
      </c>
      <c r="E314" s="598">
        <f t="shared" si="6"/>
        <v>278</v>
      </c>
      <c r="F314" s="616"/>
      <c r="G314" s="616" t="s">
        <v>3713</v>
      </c>
      <c r="H314" s="618" t="s">
        <v>3505</v>
      </c>
      <c r="I314" s="618" t="s">
        <v>203</v>
      </c>
      <c r="J314" s="618" t="s">
        <v>3708</v>
      </c>
      <c r="K314" s="618" t="s">
        <v>3559</v>
      </c>
      <c r="L314" s="618" t="s">
        <v>959</v>
      </c>
      <c r="M314" s="619"/>
      <c r="N314" s="620"/>
      <c r="O314" s="620"/>
      <c r="P314" s="667" t="s">
        <v>1115</v>
      </c>
      <c r="Q314" s="621"/>
      <c r="R314" s="598" t="s">
        <v>55</v>
      </c>
      <c r="S314" s="598" t="s">
        <v>178</v>
      </c>
      <c r="T314" s="598"/>
      <c r="U314" s="598"/>
      <c r="V314" s="667" t="s">
        <v>222</v>
      </c>
      <c r="W314" s="779" t="s">
        <v>3561</v>
      </c>
      <c r="X314" s="598" t="s">
        <v>950</v>
      </c>
      <c r="Y314" s="624">
        <v>21600</v>
      </c>
      <c r="Z314" s="625">
        <f t="shared" ca="1" si="7"/>
        <v>66</v>
      </c>
      <c r="AA314" s="616" t="s">
        <v>3562</v>
      </c>
      <c r="AB314" s="598"/>
      <c r="AC314" s="598" t="s">
        <v>966</v>
      </c>
      <c r="AD314" s="598" t="s">
        <v>953</v>
      </c>
      <c r="AE314" s="616" t="s">
        <v>973</v>
      </c>
      <c r="AF314" s="616" t="s">
        <v>973</v>
      </c>
      <c r="AG314" s="616" t="s">
        <v>3509</v>
      </c>
      <c r="AH314" s="598" t="s">
        <v>955</v>
      </c>
      <c r="AI314" s="598"/>
      <c r="AJ314" s="598"/>
      <c r="AK314" s="598"/>
      <c r="AL314" s="626"/>
      <c r="AM314" s="626"/>
    </row>
    <row r="315" spans="3:39" ht="18" customHeight="1">
      <c r="C315" s="598">
        <v>294</v>
      </c>
      <c r="D315" s="598" t="s">
        <v>3569</v>
      </c>
      <c r="E315" s="598">
        <f t="shared" si="6"/>
        <v>279</v>
      </c>
      <c r="F315" s="616" t="s">
        <v>1810</v>
      </c>
      <c r="G315" s="616" t="s">
        <v>3713</v>
      </c>
      <c r="H315" s="618" t="s">
        <v>3505</v>
      </c>
      <c r="I315" s="618" t="s">
        <v>203</v>
      </c>
      <c r="J315" s="618" t="s">
        <v>3708</v>
      </c>
      <c r="K315" s="618" t="s">
        <v>3559</v>
      </c>
      <c r="L315" s="618" t="s">
        <v>959</v>
      </c>
      <c r="M315" s="619"/>
      <c r="N315" s="620"/>
      <c r="O315" s="620"/>
      <c r="P315" s="663" t="s">
        <v>1115</v>
      </c>
      <c r="Q315" s="621"/>
      <c r="T315" s="598"/>
      <c r="U315" s="598" t="s">
        <v>1015</v>
      </c>
      <c r="V315" s="663" t="s">
        <v>352</v>
      </c>
      <c r="W315" s="779" t="s">
        <v>3570</v>
      </c>
      <c r="X315" s="598" t="s">
        <v>950</v>
      </c>
      <c r="Y315" s="624">
        <v>22712</v>
      </c>
      <c r="Z315" s="625">
        <f t="shared" ca="1" si="7"/>
        <v>63</v>
      </c>
      <c r="AA315" s="616" t="s">
        <v>3571</v>
      </c>
      <c r="AB315" s="598" t="s">
        <v>3572</v>
      </c>
      <c r="AC315" s="598" t="s">
        <v>996</v>
      </c>
      <c r="AD315" s="598" t="s">
        <v>1018</v>
      </c>
      <c r="AE315" s="616" t="s">
        <v>1078</v>
      </c>
      <c r="AF315" s="616" t="s">
        <v>1078</v>
      </c>
      <c r="AG315" s="616" t="s">
        <v>3573</v>
      </c>
      <c r="AH315" s="598"/>
      <c r="AI315" s="598"/>
      <c r="AJ315" s="598" t="s">
        <v>1452</v>
      </c>
      <c r="AK315" s="598" t="s">
        <v>3510</v>
      </c>
      <c r="AL315" s="626"/>
      <c r="AM315" s="626"/>
    </row>
    <row r="316" spans="3:39" ht="18" customHeight="1">
      <c r="C316" s="598">
        <v>295</v>
      </c>
      <c r="D316" s="598" t="s">
        <v>3574</v>
      </c>
      <c r="E316" s="598">
        <f t="shared" si="6"/>
        <v>280</v>
      </c>
      <c r="F316" s="616" t="s">
        <v>1810</v>
      </c>
      <c r="G316" s="616" t="s">
        <v>3713</v>
      </c>
      <c r="H316" s="618" t="s">
        <v>3505</v>
      </c>
      <c r="I316" s="618" t="s">
        <v>203</v>
      </c>
      <c r="J316" s="618" t="s">
        <v>3708</v>
      </c>
      <c r="K316" s="618" t="s">
        <v>3559</v>
      </c>
      <c r="L316" s="618" t="s">
        <v>959</v>
      </c>
      <c r="M316" s="619"/>
      <c r="N316" s="620"/>
      <c r="O316" s="620"/>
      <c r="P316" s="663" t="s">
        <v>1115</v>
      </c>
      <c r="Q316" s="621"/>
      <c r="R316" s="598"/>
      <c r="S316" s="598"/>
      <c r="T316" s="598"/>
      <c r="U316" s="598" t="s">
        <v>1015</v>
      </c>
      <c r="V316" s="663" t="s">
        <v>366</v>
      </c>
      <c r="W316" s="779" t="s">
        <v>3575</v>
      </c>
      <c r="X316" s="598" t="s">
        <v>950</v>
      </c>
      <c r="Y316" s="624">
        <v>24504</v>
      </c>
      <c r="Z316" s="625">
        <f t="shared" ca="1" si="7"/>
        <v>58</v>
      </c>
      <c r="AA316" s="616" t="s">
        <v>3576</v>
      </c>
      <c r="AB316" s="598" t="s">
        <v>3577</v>
      </c>
      <c r="AC316" s="598" t="s">
        <v>996</v>
      </c>
      <c r="AD316" s="598" t="s">
        <v>1018</v>
      </c>
      <c r="AE316" s="616" t="s">
        <v>1078</v>
      </c>
      <c r="AF316" s="616" t="s">
        <v>1078</v>
      </c>
      <c r="AG316" s="616" t="s">
        <v>3578</v>
      </c>
      <c r="AH316" s="598"/>
      <c r="AI316" s="598"/>
      <c r="AJ316" s="598" t="s">
        <v>1452</v>
      </c>
      <c r="AK316" s="598" t="s">
        <v>3510</v>
      </c>
      <c r="AL316" s="626"/>
      <c r="AM316" s="626"/>
    </row>
    <row r="317" spans="3:39" ht="18" customHeight="1">
      <c r="C317" s="598">
        <v>296</v>
      </c>
      <c r="D317" s="598" t="s">
        <v>3579</v>
      </c>
      <c r="E317" s="598">
        <f t="shared" si="6"/>
        <v>281</v>
      </c>
      <c r="F317" s="616" t="s">
        <v>1810</v>
      </c>
      <c r="G317" s="616" t="s">
        <v>3713</v>
      </c>
      <c r="H317" s="618" t="s">
        <v>3505</v>
      </c>
      <c r="I317" s="618" t="s">
        <v>203</v>
      </c>
      <c r="J317" s="618" t="s">
        <v>3708</v>
      </c>
      <c r="K317" s="618" t="s">
        <v>3559</v>
      </c>
      <c r="L317" s="618" t="s">
        <v>959</v>
      </c>
      <c r="M317" s="619"/>
      <c r="N317" s="620"/>
      <c r="O317" s="620"/>
      <c r="P317" s="663" t="s">
        <v>1115</v>
      </c>
      <c r="Q317" s="621"/>
      <c r="R317" s="598"/>
      <c r="S317" s="598"/>
      <c r="T317" s="598"/>
      <c r="U317" s="598" t="s">
        <v>1015</v>
      </c>
      <c r="V317" s="663" t="s">
        <v>380</v>
      </c>
      <c r="W317" s="779" t="s">
        <v>3580</v>
      </c>
      <c r="X317" s="598" t="s">
        <v>950</v>
      </c>
      <c r="Y317" s="624">
        <v>30050</v>
      </c>
      <c r="Z317" s="625">
        <f t="shared" ca="1" si="7"/>
        <v>43</v>
      </c>
      <c r="AA317" s="616" t="s">
        <v>3581</v>
      </c>
      <c r="AB317" s="598" t="s">
        <v>3582</v>
      </c>
      <c r="AC317" s="598" t="s">
        <v>996</v>
      </c>
      <c r="AD317" s="598" t="s">
        <v>1018</v>
      </c>
      <c r="AE317" s="616" t="s">
        <v>1078</v>
      </c>
      <c r="AF317" s="616" t="s">
        <v>1078</v>
      </c>
      <c r="AG317" s="616" t="s">
        <v>3583</v>
      </c>
      <c r="AH317" s="598"/>
      <c r="AI317" s="598"/>
      <c r="AJ317" s="598" t="s">
        <v>1452</v>
      </c>
      <c r="AK317" s="598" t="s">
        <v>3510</v>
      </c>
      <c r="AL317" s="626"/>
      <c r="AM317" s="626"/>
    </row>
    <row r="318" spans="3:39" ht="18" customHeight="1">
      <c r="C318" s="598">
        <v>297</v>
      </c>
      <c r="D318" s="598" t="s">
        <v>4682</v>
      </c>
      <c r="E318" s="598">
        <f t="shared" si="6"/>
        <v>282</v>
      </c>
      <c r="F318" s="616" t="s">
        <v>1810</v>
      </c>
      <c r="G318" s="616" t="s">
        <v>3713</v>
      </c>
      <c r="H318" s="618" t="s">
        <v>3505</v>
      </c>
      <c r="I318" s="618" t="s">
        <v>203</v>
      </c>
      <c r="J318" s="618" t="s">
        <v>3708</v>
      </c>
      <c r="K318" s="618" t="s">
        <v>3559</v>
      </c>
      <c r="L318" s="618" t="s">
        <v>959</v>
      </c>
      <c r="M318" s="619"/>
      <c r="N318" s="620"/>
      <c r="O318" s="620"/>
      <c r="P318" s="673" t="s">
        <v>1115</v>
      </c>
      <c r="Q318" s="621"/>
      <c r="R318" s="598"/>
      <c r="S318" s="598"/>
      <c r="T318" s="598"/>
      <c r="U318" s="598" t="s">
        <v>1015</v>
      </c>
      <c r="V318" s="673" t="s">
        <v>393</v>
      </c>
      <c r="W318" s="779" t="s">
        <v>4683</v>
      </c>
      <c r="X318" s="598" t="s">
        <v>950</v>
      </c>
      <c r="Y318" s="624">
        <v>32103</v>
      </c>
      <c r="Z318" s="625">
        <f t="shared" ca="1" si="7"/>
        <v>38</v>
      </c>
      <c r="AA318" s="616" t="s">
        <v>4684</v>
      </c>
      <c r="AB318" s="652"/>
      <c r="AC318" s="598" t="s">
        <v>996</v>
      </c>
      <c r="AD318" s="598" t="s">
        <v>1018</v>
      </c>
      <c r="AE318" s="616" t="s">
        <v>1078</v>
      </c>
      <c r="AF318" s="616" t="s">
        <v>1078</v>
      </c>
      <c r="AG318" s="616" t="s">
        <v>4685</v>
      </c>
      <c r="AH318" s="598"/>
      <c r="AI318" s="598" t="s">
        <v>4686</v>
      </c>
      <c r="AJ318" s="598" t="s">
        <v>1452</v>
      </c>
      <c r="AK318" s="598" t="s">
        <v>4607</v>
      </c>
      <c r="AL318" s="626"/>
      <c r="AM318" s="626"/>
    </row>
    <row r="319" spans="3:39" ht="18" customHeight="1">
      <c r="C319" s="598">
        <v>298</v>
      </c>
      <c r="D319" s="598" t="s">
        <v>2623</v>
      </c>
      <c r="E319" s="598">
        <f t="shared" si="6"/>
        <v>283</v>
      </c>
      <c r="F319" s="616" t="s">
        <v>1798</v>
      </c>
      <c r="G319" s="616" t="s">
        <v>2624</v>
      </c>
      <c r="H319" s="618" t="s">
        <v>1225</v>
      </c>
      <c r="I319" s="618" t="s">
        <v>185</v>
      </c>
      <c r="J319" s="618" t="s">
        <v>2623</v>
      </c>
      <c r="K319" s="618" t="s">
        <v>2623</v>
      </c>
      <c r="L319" s="791" t="s">
        <v>2673</v>
      </c>
      <c r="M319" s="679" t="s">
        <v>2667</v>
      </c>
      <c r="N319" s="620"/>
      <c r="O319" s="620"/>
      <c r="P319" s="667" t="s">
        <v>1044</v>
      </c>
      <c r="Q319" s="621"/>
      <c r="R319" s="598" t="s">
        <v>55</v>
      </c>
      <c r="S319" s="598" t="s">
        <v>178</v>
      </c>
      <c r="T319" s="598"/>
      <c r="U319" s="598" t="s">
        <v>962</v>
      </c>
      <c r="V319" s="667" t="s">
        <v>185</v>
      </c>
      <c r="W319" s="779" t="s">
        <v>2627</v>
      </c>
      <c r="X319" s="598" t="s">
        <v>963</v>
      </c>
      <c r="Y319" s="624">
        <v>24646</v>
      </c>
      <c r="Z319" s="625">
        <f t="shared" ca="1" si="7"/>
        <v>58</v>
      </c>
      <c r="AA319" s="654" t="s">
        <v>2628</v>
      </c>
      <c r="AB319" s="598" t="s">
        <v>2629</v>
      </c>
      <c r="AC319" s="598" t="s">
        <v>966</v>
      </c>
      <c r="AD319" s="598" t="s">
        <v>953</v>
      </c>
      <c r="AE319" s="616" t="s">
        <v>1041</v>
      </c>
      <c r="AF319" s="616" t="s">
        <v>1041</v>
      </c>
      <c r="AG319" s="616" t="s">
        <v>2630</v>
      </c>
      <c r="AH319" s="598"/>
      <c r="AI319" s="598"/>
      <c r="AJ319" s="598" t="s">
        <v>1349</v>
      </c>
      <c r="AK319" s="598"/>
      <c r="AL319" s="626"/>
      <c r="AM319" s="626"/>
    </row>
    <row r="320" spans="3:39" ht="18" customHeight="1">
      <c r="C320" s="598">
        <v>299</v>
      </c>
      <c r="D320" s="598" t="s">
        <v>2673</v>
      </c>
      <c r="E320" s="598">
        <f t="shared" si="6"/>
        <v>284</v>
      </c>
      <c r="F320" s="616" t="s">
        <v>1798</v>
      </c>
      <c r="G320" s="616" t="s">
        <v>2624</v>
      </c>
      <c r="H320" s="618" t="s">
        <v>1225</v>
      </c>
      <c r="I320" s="618" t="s">
        <v>185</v>
      </c>
      <c r="J320" s="618" t="s">
        <v>2623</v>
      </c>
      <c r="K320" s="618" t="s">
        <v>2623</v>
      </c>
      <c r="L320" s="791" t="s">
        <v>2673</v>
      </c>
      <c r="M320" s="679" t="s">
        <v>2667</v>
      </c>
      <c r="N320" s="620"/>
      <c r="O320" s="620"/>
      <c r="P320" s="663" t="s">
        <v>1044</v>
      </c>
      <c r="Q320" s="621"/>
      <c r="R320" s="598" t="s">
        <v>69</v>
      </c>
      <c r="S320" s="598" t="s">
        <v>562</v>
      </c>
      <c r="T320" s="598" t="s">
        <v>2632</v>
      </c>
      <c r="U320" s="598" t="s">
        <v>962</v>
      </c>
      <c r="V320" s="663" t="s">
        <v>206</v>
      </c>
      <c r="W320" s="779" t="s">
        <v>2675</v>
      </c>
      <c r="X320" s="598" t="s">
        <v>963</v>
      </c>
      <c r="Y320" s="624">
        <v>24767</v>
      </c>
      <c r="Z320" s="625">
        <f t="shared" ca="1" si="7"/>
        <v>58</v>
      </c>
      <c r="AA320" s="616" t="s">
        <v>2676</v>
      </c>
      <c r="AB320" s="598" t="s">
        <v>2677</v>
      </c>
      <c r="AC320" s="598" t="s">
        <v>996</v>
      </c>
      <c r="AD320" s="598" t="s">
        <v>997</v>
      </c>
      <c r="AE320" s="616" t="s">
        <v>1041</v>
      </c>
      <c r="AF320" s="721" t="s">
        <v>1041</v>
      </c>
      <c r="AG320" s="616" t="s">
        <v>2678</v>
      </c>
      <c r="AH320" s="598"/>
      <c r="AI320" s="598"/>
      <c r="AJ320" s="598" t="s">
        <v>1452</v>
      </c>
      <c r="AK320" s="598"/>
      <c r="AL320" s="626"/>
      <c r="AM320" s="626"/>
    </row>
    <row r="321" spans="1:39" ht="18" customHeight="1">
      <c r="C321" s="598">
        <v>300</v>
      </c>
      <c r="D321" s="598" t="s">
        <v>2667</v>
      </c>
      <c r="E321" s="598">
        <f t="shared" si="6"/>
        <v>285</v>
      </c>
      <c r="F321" s="616" t="s">
        <v>1798</v>
      </c>
      <c r="G321" s="616" t="s">
        <v>2624</v>
      </c>
      <c r="H321" s="618" t="s">
        <v>1225</v>
      </c>
      <c r="I321" s="618" t="s">
        <v>185</v>
      </c>
      <c r="J321" s="618" t="s">
        <v>2623</v>
      </c>
      <c r="K321" s="618" t="s">
        <v>2623</v>
      </c>
      <c r="L321" s="791" t="s">
        <v>2673</v>
      </c>
      <c r="M321" s="679" t="s">
        <v>2667</v>
      </c>
      <c r="N321" s="620"/>
      <c r="O321" s="620"/>
      <c r="P321" s="663" t="s">
        <v>1044</v>
      </c>
      <c r="Q321" s="621" t="s">
        <v>319</v>
      </c>
      <c r="R321" s="598" t="s">
        <v>69</v>
      </c>
      <c r="S321" s="598" t="s">
        <v>562</v>
      </c>
      <c r="T321" s="598"/>
      <c r="U321" s="598" t="s">
        <v>962</v>
      </c>
      <c r="V321" s="663" t="s">
        <v>265</v>
      </c>
      <c r="W321" s="779" t="s">
        <v>2669</v>
      </c>
      <c r="X321" s="598" t="s">
        <v>963</v>
      </c>
      <c r="Y321" s="624">
        <v>27502</v>
      </c>
      <c r="Z321" s="625">
        <f t="shared" ca="1" si="7"/>
        <v>50</v>
      </c>
      <c r="AA321" s="616" t="s">
        <v>2670</v>
      </c>
      <c r="AB321" s="598" t="s">
        <v>2671</v>
      </c>
      <c r="AC321" s="598" t="s">
        <v>996</v>
      </c>
      <c r="AD321" s="598" t="s">
        <v>1018</v>
      </c>
      <c r="AE321" s="616" t="s">
        <v>1041</v>
      </c>
      <c r="AF321" s="721" t="s">
        <v>1041</v>
      </c>
      <c r="AG321" s="616" t="s">
        <v>2672</v>
      </c>
      <c r="AH321" s="598"/>
      <c r="AI321" s="598"/>
      <c r="AJ321" s="598" t="s">
        <v>1318</v>
      </c>
      <c r="AK321" s="598"/>
      <c r="AL321" s="626"/>
      <c r="AM321" s="626"/>
    </row>
    <row r="322" spans="1:39" ht="18" customHeight="1">
      <c r="C322" s="598">
        <v>301</v>
      </c>
      <c r="D322" s="598" t="s">
        <v>2631</v>
      </c>
      <c r="E322" s="598">
        <f t="shared" si="6"/>
        <v>286</v>
      </c>
      <c r="F322" s="616" t="s">
        <v>1798</v>
      </c>
      <c r="G322" s="616" t="s">
        <v>2624</v>
      </c>
      <c r="H322" s="618" t="s">
        <v>1225</v>
      </c>
      <c r="I322" s="618" t="s">
        <v>185</v>
      </c>
      <c r="J322" s="618" t="s">
        <v>2623</v>
      </c>
      <c r="K322" s="618" t="s">
        <v>2623</v>
      </c>
      <c r="L322" s="791" t="s">
        <v>2673</v>
      </c>
      <c r="M322" s="679" t="s">
        <v>2667</v>
      </c>
      <c r="N322" s="620"/>
      <c r="O322" s="620"/>
      <c r="P322" s="663" t="s">
        <v>1044</v>
      </c>
      <c r="Q322" s="621"/>
      <c r="R322" s="598"/>
      <c r="S322" s="598"/>
      <c r="T322" s="598" t="s">
        <v>2632</v>
      </c>
      <c r="U322" s="598" t="s">
        <v>962</v>
      </c>
      <c r="V322" s="663" t="s">
        <v>226</v>
      </c>
      <c r="W322" s="779" t="s">
        <v>2633</v>
      </c>
      <c r="X322" s="598" t="s">
        <v>963</v>
      </c>
      <c r="Y322" s="624">
        <v>28064</v>
      </c>
      <c r="Z322" s="625">
        <f t="shared" ca="1" si="7"/>
        <v>49</v>
      </c>
      <c r="AA322" s="616" t="s">
        <v>2634</v>
      </c>
      <c r="AB322" s="598"/>
      <c r="AC322" s="598" t="s">
        <v>996</v>
      </c>
      <c r="AD322" s="598" t="s">
        <v>997</v>
      </c>
      <c r="AE322" s="616" t="s">
        <v>1041</v>
      </c>
      <c r="AF322" s="721" t="s">
        <v>1041</v>
      </c>
      <c r="AG322" s="616" t="s">
        <v>2635</v>
      </c>
      <c r="AH322" s="598"/>
      <c r="AI322" s="598"/>
      <c r="AJ322" s="598" t="s">
        <v>1452</v>
      </c>
      <c r="AK322" s="598"/>
      <c r="AL322" s="626"/>
      <c r="AM322" s="626"/>
    </row>
    <row r="323" spans="1:39" ht="18" customHeight="1">
      <c r="C323" s="598">
        <v>302</v>
      </c>
      <c r="D323" s="598" t="s">
        <v>2693</v>
      </c>
      <c r="E323" s="598">
        <f t="shared" si="6"/>
        <v>287</v>
      </c>
      <c r="F323" s="616" t="s">
        <v>4978</v>
      </c>
      <c r="G323" s="616" t="s">
        <v>2624</v>
      </c>
      <c r="H323" s="618" t="s">
        <v>1225</v>
      </c>
      <c r="I323" s="618" t="s">
        <v>185</v>
      </c>
      <c r="J323" s="618" t="s">
        <v>2623</v>
      </c>
      <c r="K323" s="618" t="s">
        <v>2623</v>
      </c>
      <c r="L323" s="791" t="s">
        <v>2673</v>
      </c>
      <c r="M323" s="679" t="s">
        <v>2667</v>
      </c>
      <c r="N323" s="620"/>
      <c r="O323" s="620"/>
      <c r="P323" s="663" t="s">
        <v>1044</v>
      </c>
      <c r="Q323" s="621"/>
      <c r="R323" s="598"/>
      <c r="S323" s="598"/>
      <c r="T323" s="598"/>
      <c r="U323" s="598" t="s">
        <v>962</v>
      </c>
      <c r="V323" s="663" t="s">
        <v>245</v>
      </c>
      <c r="W323" s="779" t="s">
        <v>2694</v>
      </c>
      <c r="X323" s="598" t="s">
        <v>963</v>
      </c>
      <c r="Y323" s="624">
        <v>29343</v>
      </c>
      <c r="Z323" s="625">
        <f t="shared" ca="1" si="7"/>
        <v>45</v>
      </c>
      <c r="AA323" s="616" t="s">
        <v>2695</v>
      </c>
      <c r="AB323" s="598" t="s">
        <v>2696</v>
      </c>
      <c r="AC323" s="598" t="s">
        <v>996</v>
      </c>
      <c r="AD323" s="598" t="s">
        <v>1018</v>
      </c>
      <c r="AE323" s="616" t="s">
        <v>729</v>
      </c>
      <c r="AF323" s="616" t="s">
        <v>1041</v>
      </c>
      <c r="AG323" s="616" t="s">
        <v>2697</v>
      </c>
      <c r="AH323" s="598" t="s">
        <v>1775</v>
      </c>
      <c r="AI323" s="598" t="s">
        <v>2698</v>
      </c>
      <c r="AJ323" s="598" t="s">
        <v>1452</v>
      </c>
      <c r="AK323" s="598"/>
      <c r="AL323" s="626"/>
      <c r="AM323" s="626"/>
    </row>
    <row r="324" spans="1:39" ht="18" customHeight="1">
      <c r="A324" s="174"/>
      <c r="B324" s="174"/>
      <c r="C324" s="598">
        <v>303</v>
      </c>
      <c r="D324" s="689" t="s">
        <v>2661</v>
      </c>
      <c r="E324" s="598">
        <f t="shared" si="6"/>
        <v>288</v>
      </c>
      <c r="F324" s="689" t="s">
        <v>1798</v>
      </c>
      <c r="G324" s="616" t="s">
        <v>2624</v>
      </c>
      <c r="H324" s="618" t="s">
        <v>1225</v>
      </c>
      <c r="I324" s="618" t="s">
        <v>185</v>
      </c>
      <c r="J324" s="618" t="s">
        <v>2623</v>
      </c>
      <c r="K324" s="618" t="s">
        <v>2623</v>
      </c>
      <c r="L324" s="791" t="s">
        <v>2673</v>
      </c>
      <c r="M324" s="679" t="s">
        <v>2667</v>
      </c>
      <c r="N324" s="691"/>
      <c r="O324" s="691"/>
      <c r="P324" s="663" t="s">
        <v>1044</v>
      </c>
      <c r="Q324" s="693"/>
      <c r="R324" s="694"/>
      <c r="S324" s="694"/>
      <c r="T324" s="694"/>
      <c r="U324" s="689" t="s">
        <v>992</v>
      </c>
      <c r="V324" s="672" t="s">
        <v>2662</v>
      </c>
      <c r="W324" s="786" t="s">
        <v>2663</v>
      </c>
      <c r="X324" s="689" t="s">
        <v>963</v>
      </c>
      <c r="Y324" s="695">
        <v>35416</v>
      </c>
      <c r="Z324" s="696">
        <f t="shared" ca="1" si="7"/>
        <v>29</v>
      </c>
      <c r="AA324" s="694"/>
      <c r="AB324" s="722" t="s">
        <v>2664</v>
      </c>
      <c r="AC324" s="689" t="s">
        <v>996</v>
      </c>
      <c r="AD324" s="689" t="s">
        <v>997</v>
      </c>
      <c r="AE324" s="689" t="s">
        <v>1041</v>
      </c>
      <c r="AF324" s="689" t="s">
        <v>1041</v>
      </c>
      <c r="AG324" s="689" t="s">
        <v>2665</v>
      </c>
      <c r="AH324" s="697" t="s">
        <v>1775</v>
      </c>
      <c r="AI324" s="689" t="s">
        <v>2666</v>
      </c>
      <c r="AJ324" s="694"/>
      <c r="AK324" s="694"/>
      <c r="AL324" s="627"/>
      <c r="AM324" s="627"/>
    </row>
    <row r="325" spans="1:39" ht="18" customHeight="1">
      <c r="C325" s="598">
        <v>304</v>
      </c>
      <c r="D325" s="598" t="s">
        <v>2636</v>
      </c>
      <c r="E325" s="598">
        <f t="shared" si="6"/>
        <v>289</v>
      </c>
      <c r="F325" s="616" t="s">
        <v>4978</v>
      </c>
      <c r="G325" s="616" t="s">
        <v>2624</v>
      </c>
      <c r="H325" s="618" t="s">
        <v>1225</v>
      </c>
      <c r="I325" s="618" t="s">
        <v>185</v>
      </c>
      <c r="J325" s="618" t="s">
        <v>2623</v>
      </c>
      <c r="K325" s="618" t="s">
        <v>2623</v>
      </c>
      <c r="L325" s="791" t="s">
        <v>2673</v>
      </c>
      <c r="M325" s="679" t="s">
        <v>2667</v>
      </c>
      <c r="N325" s="620"/>
      <c r="O325" s="620"/>
      <c r="P325" s="663" t="s">
        <v>1044</v>
      </c>
      <c r="Q325" s="621" t="s">
        <v>319</v>
      </c>
      <c r="R325" s="598"/>
      <c r="S325" s="598"/>
      <c r="T325" s="598"/>
      <c r="U325" s="598" t="s">
        <v>962</v>
      </c>
      <c r="V325" s="663" t="s">
        <v>2637</v>
      </c>
      <c r="W325" s="779" t="s">
        <v>2638</v>
      </c>
      <c r="X325" s="598" t="s">
        <v>963</v>
      </c>
      <c r="Y325" s="624">
        <v>28563</v>
      </c>
      <c r="Z325" s="625">
        <f t="shared" ca="1" si="7"/>
        <v>47</v>
      </c>
      <c r="AA325" s="616" t="s">
        <v>2639</v>
      </c>
      <c r="AB325" s="598" t="s">
        <v>2640</v>
      </c>
      <c r="AC325" s="598" t="s">
        <v>996</v>
      </c>
      <c r="AD325" s="598" t="s">
        <v>1018</v>
      </c>
      <c r="AE325" s="616" t="s">
        <v>2069</v>
      </c>
      <c r="AF325" s="616" t="s">
        <v>2069</v>
      </c>
      <c r="AG325" s="616" t="s">
        <v>2641</v>
      </c>
      <c r="AH325" s="598"/>
      <c r="AI325" s="598"/>
      <c r="AJ325" s="598" t="s">
        <v>1318</v>
      </c>
      <c r="AK325" s="598"/>
      <c r="AL325" s="626"/>
      <c r="AM325" s="626"/>
    </row>
    <row r="326" spans="1:39" ht="18" customHeight="1">
      <c r="C326" s="598">
        <v>305</v>
      </c>
      <c r="D326" s="598" t="s">
        <v>2642</v>
      </c>
      <c r="E326" s="598">
        <f t="shared" si="6"/>
        <v>290</v>
      </c>
      <c r="F326" s="616" t="s">
        <v>1798</v>
      </c>
      <c r="G326" s="616" t="s">
        <v>2624</v>
      </c>
      <c r="H326" s="618" t="s">
        <v>1225</v>
      </c>
      <c r="I326" s="618" t="s">
        <v>185</v>
      </c>
      <c r="J326" s="618" t="s">
        <v>2623</v>
      </c>
      <c r="K326" s="618" t="s">
        <v>2623</v>
      </c>
      <c r="L326" s="791" t="s">
        <v>2673</v>
      </c>
      <c r="M326" s="679" t="s">
        <v>2667</v>
      </c>
      <c r="N326" s="620"/>
      <c r="O326" s="620"/>
      <c r="P326" s="663" t="s">
        <v>1044</v>
      </c>
      <c r="Q326" s="621" t="s">
        <v>319</v>
      </c>
      <c r="R326" s="598"/>
      <c r="S326" s="598"/>
      <c r="T326" s="598"/>
      <c r="U326" s="598" t="s">
        <v>962</v>
      </c>
      <c r="V326" s="663" t="s">
        <v>292</v>
      </c>
      <c r="W326" s="779" t="s">
        <v>2643</v>
      </c>
      <c r="X326" s="598" t="s">
        <v>963</v>
      </c>
      <c r="Y326" s="624">
        <v>29749</v>
      </c>
      <c r="Z326" s="625">
        <f t="shared" ca="1" si="7"/>
        <v>44</v>
      </c>
      <c r="AA326" s="616" t="s">
        <v>2644</v>
      </c>
      <c r="AB326" s="598"/>
      <c r="AC326" s="598" t="s">
        <v>996</v>
      </c>
      <c r="AD326" s="598" t="s">
        <v>1018</v>
      </c>
      <c r="AE326" s="616" t="s">
        <v>1041</v>
      </c>
      <c r="AF326" s="721" t="s">
        <v>1041</v>
      </c>
      <c r="AG326" s="616" t="s">
        <v>2645</v>
      </c>
      <c r="AH326" s="598"/>
      <c r="AI326" s="598"/>
      <c r="AJ326" s="598" t="s">
        <v>1318</v>
      </c>
      <c r="AK326" s="598"/>
      <c r="AL326" s="626"/>
      <c r="AM326" s="626"/>
    </row>
    <row r="327" spans="1:39" ht="18" customHeight="1">
      <c r="C327" s="598">
        <v>306</v>
      </c>
      <c r="D327" s="598" t="s">
        <v>2679</v>
      </c>
      <c r="E327" s="598">
        <f t="shared" si="6"/>
        <v>291</v>
      </c>
      <c r="F327" s="616" t="s">
        <v>1798</v>
      </c>
      <c r="G327" s="616" t="s">
        <v>2624</v>
      </c>
      <c r="H327" s="618" t="s">
        <v>1225</v>
      </c>
      <c r="I327" s="618" t="s">
        <v>185</v>
      </c>
      <c r="J327" s="618" t="s">
        <v>2623</v>
      </c>
      <c r="K327" s="618" t="s">
        <v>2623</v>
      </c>
      <c r="L327" s="791" t="s">
        <v>2673</v>
      </c>
      <c r="M327" s="679" t="s">
        <v>2667</v>
      </c>
      <c r="N327" s="620"/>
      <c r="O327" s="620"/>
      <c r="P327" s="663" t="s">
        <v>1044</v>
      </c>
      <c r="Q327" s="621" t="s">
        <v>319</v>
      </c>
      <c r="R327" s="598"/>
      <c r="S327" s="598"/>
      <c r="T327" s="598"/>
      <c r="U327" s="598" t="s">
        <v>962</v>
      </c>
      <c r="V327" s="663" t="s">
        <v>301</v>
      </c>
      <c r="W327" s="779" t="s">
        <v>2680</v>
      </c>
      <c r="X327" s="598" t="s">
        <v>963</v>
      </c>
      <c r="Y327" s="624">
        <v>30427</v>
      </c>
      <c r="Z327" s="625">
        <f t="shared" ca="1" si="7"/>
        <v>42</v>
      </c>
      <c r="AA327" s="616" t="s">
        <v>2681</v>
      </c>
      <c r="AB327" s="598" t="s">
        <v>2682</v>
      </c>
      <c r="AC327" s="598" t="s">
        <v>996</v>
      </c>
      <c r="AD327" s="598" t="s">
        <v>1018</v>
      </c>
      <c r="AE327" s="616" t="s">
        <v>1041</v>
      </c>
      <c r="AF327" s="721" t="s">
        <v>1041</v>
      </c>
      <c r="AG327" s="616" t="s">
        <v>2683</v>
      </c>
      <c r="AH327" s="598"/>
      <c r="AI327" s="598"/>
      <c r="AJ327" s="598" t="s">
        <v>1318</v>
      </c>
      <c r="AK327" s="598"/>
      <c r="AL327" s="626"/>
      <c r="AM327" s="626"/>
    </row>
    <row r="328" spans="1:39" ht="18" customHeight="1">
      <c r="C328" s="598">
        <v>307</v>
      </c>
      <c r="D328" s="598" t="s">
        <v>2646</v>
      </c>
      <c r="E328" s="598">
        <f t="shared" si="6"/>
        <v>292</v>
      </c>
      <c r="F328" s="616" t="s">
        <v>1798</v>
      </c>
      <c r="G328" s="616" t="s">
        <v>2624</v>
      </c>
      <c r="H328" s="618" t="s">
        <v>1225</v>
      </c>
      <c r="I328" s="618" t="s">
        <v>185</v>
      </c>
      <c r="J328" s="618" t="s">
        <v>2623</v>
      </c>
      <c r="K328" s="618" t="s">
        <v>2623</v>
      </c>
      <c r="L328" s="791" t="s">
        <v>2673</v>
      </c>
      <c r="M328" s="679" t="s">
        <v>2667</v>
      </c>
      <c r="N328" s="620"/>
      <c r="O328" s="620"/>
      <c r="P328" s="663" t="s">
        <v>1044</v>
      </c>
      <c r="Q328" s="621" t="s">
        <v>319</v>
      </c>
      <c r="R328" s="598"/>
      <c r="S328" s="598"/>
      <c r="T328" s="598"/>
      <c r="U328" s="598" t="s">
        <v>1090</v>
      </c>
      <c r="V328" s="663" t="s">
        <v>306</v>
      </c>
      <c r="W328" s="779" t="s">
        <v>2647</v>
      </c>
      <c r="X328" s="598" t="s">
        <v>963</v>
      </c>
      <c r="Y328" s="624">
        <v>18451</v>
      </c>
      <c r="Z328" s="625">
        <f t="shared" ca="1" si="7"/>
        <v>75</v>
      </c>
      <c r="AA328" s="616" t="s">
        <v>2648</v>
      </c>
      <c r="AB328" s="598"/>
      <c r="AC328" s="598" t="s">
        <v>996</v>
      </c>
      <c r="AD328" s="598" t="s">
        <v>1018</v>
      </c>
      <c r="AE328" s="616" t="s">
        <v>1041</v>
      </c>
      <c r="AF328" s="721" t="s">
        <v>1041</v>
      </c>
      <c r="AG328" s="616" t="s">
        <v>2649</v>
      </c>
      <c r="AH328" s="598"/>
      <c r="AI328" s="598"/>
      <c r="AJ328" s="634" t="s">
        <v>1359</v>
      </c>
      <c r="AK328" s="598"/>
      <c r="AL328" s="626"/>
      <c r="AM328" s="626"/>
    </row>
    <row r="329" spans="1:39" ht="18" customHeight="1">
      <c r="C329" s="598">
        <v>308</v>
      </c>
      <c r="D329" s="598" t="s">
        <v>2650</v>
      </c>
      <c r="E329" s="598">
        <f t="shared" si="6"/>
        <v>293</v>
      </c>
      <c r="F329" s="616" t="s">
        <v>1798</v>
      </c>
      <c r="G329" s="616" t="s">
        <v>2624</v>
      </c>
      <c r="H329" s="618" t="s">
        <v>1225</v>
      </c>
      <c r="I329" s="618" t="s">
        <v>185</v>
      </c>
      <c r="J329" s="618" t="s">
        <v>2623</v>
      </c>
      <c r="K329" s="618" t="s">
        <v>2623</v>
      </c>
      <c r="L329" s="791" t="s">
        <v>2673</v>
      </c>
      <c r="M329" s="679" t="s">
        <v>2667</v>
      </c>
      <c r="N329" s="620"/>
      <c r="O329" s="620"/>
      <c r="P329" s="663" t="s">
        <v>1044</v>
      </c>
      <c r="Q329" s="621" t="s">
        <v>319</v>
      </c>
      <c r="R329" s="598"/>
      <c r="S329" s="598"/>
      <c r="T329" s="598"/>
      <c r="U329" s="598" t="s">
        <v>962</v>
      </c>
      <c r="V329" s="663" t="s">
        <v>311</v>
      </c>
      <c r="W329" s="779" t="s">
        <v>2651</v>
      </c>
      <c r="X329" s="598" t="s">
        <v>963</v>
      </c>
      <c r="Y329" s="624">
        <v>25791</v>
      </c>
      <c r="Z329" s="625">
        <f t="shared" ca="1" si="7"/>
        <v>55</v>
      </c>
      <c r="AA329" s="616" t="s">
        <v>2652</v>
      </c>
      <c r="AB329" s="598" t="s">
        <v>2653</v>
      </c>
      <c r="AC329" s="598" t="s">
        <v>996</v>
      </c>
      <c r="AD329" s="598" t="s">
        <v>997</v>
      </c>
      <c r="AE329" s="616" t="s">
        <v>1041</v>
      </c>
      <c r="AF329" s="721" t="s">
        <v>1041</v>
      </c>
      <c r="AG329" s="616" t="s">
        <v>2654</v>
      </c>
      <c r="AH329" s="598"/>
      <c r="AI329" s="598"/>
      <c r="AJ329" s="634" t="s">
        <v>1359</v>
      </c>
      <c r="AK329" s="598"/>
      <c r="AL329" s="626"/>
      <c r="AM329" s="626"/>
    </row>
    <row r="330" spans="1:39" ht="18" customHeight="1">
      <c r="C330" s="598">
        <v>309</v>
      </c>
      <c r="D330" s="598" t="s">
        <v>2699</v>
      </c>
      <c r="E330" s="598">
        <f t="shared" si="6"/>
        <v>294</v>
      </c>
      <c r="F330" s="616" t="s">
        <v>1798</v>
      </c>
      <c r="G330" s="616" t="s">
        <v>2624</v>
      </c>
      <c r="H330" s="618" t="s">
        <v>1225</v>
      </c>
      <c r="I330" s="618" t="s">
        <v>185</v>
      </c>
      <c r="J330" s="618" t="s">
        <v>2623</v>
      </c>
      <c r="K330" s="618" t="s">
        <v>2699</v>
      </c>
      <c r="L330" s="618" t="s">
        <v>2700</v>
      </c>
      <c r="M330" s="619"/>
      <c r="N330" s="620"/>
      <c r="O330" s="620"/>
      <c r="P330" s="667" t="s">
        <v>1074</v>
      </c>
      <c r="Q330" s="621"/>
      <c r="R330" s="598" t="s">
        <v>55</v>
      </c>
      <c r="S330" s="598" t="s">
        <v>178</v>
      </c>
      <c r="T330" s="598"/>
      <c r="U330" s="598" t="s">
        <v>962</v>
      </c>
      <c r="V330" s="667" t="s">
        <v>2701</v>
      </c>
      <c r="W330" s="779" t="s">
        <v>2702</v>
      </c>
      <c r="X330" s="598" t="s">
        <v>963</v>
      </c>
      <c r="Y330" s="624">
        <v>26171</v>
      </c>
      <c r="Z330" s="625">
        <f t="shared" ca="1" si="7"/>
        <v>54</v>
      </c>
      <c r="AA330" s="616" t="s">
        <v>2703</v>
      </c>
      <c r="AB330" s="598" t="s">
        <v>2704</v>
      </c>
      <c r="AC330" s="598" t="s">
        <v>966</v>
      </c>
      <c r="AD330" s="598" t="s">
        <v>953</v>
      </c>
      <c r="AE330" s="616" t="s">
        <v>1041</v>
      </c>
      <c r="AF330" s="616" t="s">
        <v>1041</v>
      </c>
      <c r="AG330" s="616" t="s">
        <v>2665</v>
      </c>
      <c r="AH330" s="598"/>
      <c r="AI330" s="598"/>
      <c r="AJ330" s="598"/>
      <c r="AK330" s="598"/>
      <c r="AL330" s="626"/>
      <c r="AM330" s="626"/>
    </row>
    <row r="331" spans="1:39" ht="18" customHeight="1">
      <c r="C331" s="598">
        <v>310</v>
      </c>
      <c r="D331" s="598" t="s">
        <v>2700</v>
      </c>
      <c r="E331" s="598">
        <f t="shared" si="6"/>
        <v>295</v>
      </c>
      <c r="F331" s="616" t="s">
        <v>1798</v>
      </c>
      <c r="G331" s="616" t="s">
        <v>2624</v>
      </c>
      <c r="H331" s="618" t="s">
        <v>1225</v>
      </c>
      <c r="I331" s="618" t="s">
        <v>185</v>
      </c>
      <c r="J331" s="618" t="s">
        <v>2623</v>
      </c>
      <c r="K331" s="618" t="s">
        <v>2699</v>
      </c>
      <c r="L331" s="618" t="s">
        <v>2700</v>
      </c>
      <c r="M331" s="619"/>
      <c r="N331" s="620"/>
      <c r="O331" s="620"/>
      <c r="P331" s="663" t="s">
        <v>1074</v>
      </c>
      <c r="Q331" s="621"/>
      <c r="R331" s="598" t="s">
        <v>69</v>
      </c>
      <c r="S331" s="598" t="s">
        <v>562</v>
      </c>
      <c r="T331" s="598"/>
      <c r="U331" s="598" t="s">
        <v>962</v>
      </c>
      <c r="V331" s="663" t="s">
        <v>2705</v>
      </c>
      <c r="W331" s="779" t="s">
        <v>2706</v>
      </c>
      <c r="X331" s="598" t="s">
        <v>963</v>
      </c>
      <c r="Y331" s="624">
        <v>27634</v>
      </c>
      <c r="Z331" s="625">
        <f t="shared" ca="1" si="7"/>
        <v>50</v>
      </c>
      <c r="AA331" s="616" t="s">
        <v>2707</v>
      </c>
      <c r="AB331" s="598" t="s">
        <v>2708</v>
      </c>
      <c r="AC331" s="598" t="s">
        <v>966</v>
      </c>
      <c r="AD331" s="598" t="s">
        <v>953</v>
      </c>
      <c r="AE331" s="616" t="s">
        <v>1041</v>
      </c>
      <c r="AF331" s="616" t="s">
        <v>1041</v>
      </c>
      <c r="AG331" s="616" t="s">
        <v>2672</v>
      </c>
      <c r="AH331" s="598"/>
      <c r="AI331" s="598"/>
      <c r="AJ331" s="598" t="s">
        <v>1125</v>
      </c>
      <c r="AK331" s="598"/>
      <c r="AL331" s="626"/>
      <c r="AM331" s="626"/>
    </row>
    <row r="332" spans="1:39" ht="18" customHeight="1">
      <c r="C332" s="598">
        <v>311</v>
      </c>
      <c r="D332" s="598" t="s">
        <v>2709</v>
      </c>
      <c r="E332" s="598">
        <f t="shared" si="6"/>
        <v>296</v>
      </c>
      <c r="F332" s="616" t="s">
        <v>1798</v>
      </c>
      <c r="G332" s="616" t="s">
        <v>2624</v>
      </c>
      <c r="H332" s="618" t="s">
        <v>1225</v>
      </c>
      <c r="I332" s="618" t="s">
        <v>185</v>
      </c>
      <c r="J332" s="618" t="s">
        <v>2623</v>
      </c>
      <c r="K332" s="618" t="s">
        <v>2699</v>
      </c>
      <c r="L332" s="618" t="s">
        <v>2700</v>
      </c>
      <c r="M332" s="619"/>
      <c r="N332" s="620"/>
      <c r="O332" s="620"/>
      <c r="P332" s="663" t="s">
        <v>1074</v>
      </c>
      <c r="Q332" s="621"/>
      <c r="R332" s="598"/>
      <c r="S332" s="598"/>
      <c r="T332" s="598"/>
      <c r="U332" s="598" t="s">
        <v>962</v>
      </c>
      <c r="V332" s="663" t="s">
        <v>302</v>
      </c>
      <c r="W332" s="779" t="s">
        <v>2710</v>
      </c>
      <c r="X332" s="598" t="s">
        <v>963</v>
      </c>
      <c r="Y332" s="624">
        <v>26832</v>
      </c>
      <c r="Z332" s="625">
        <f t="shared" ca="1" si="7"/>
        <v>52</v>
      </c>
      <c r="AA332" s="616" t="s">
        <v>2711</v>
      </c>
      <c r="AB332" s="598" t="s">
        <v>2712</v>
      </c>
      <c r="AC332" s="598" t="s">
        <v>996</v>
      </c>
      <c r="AD332" s="598" t="s">
        <v>997</v>
      </c>
      <c r="AE332" s="616" t="s">
        <v>1041</v>
      </c>
      <c r="AF332" s="616" t="s">
        <v>1041</v>
      </c>
      <c r="AG332" s="616" t="s">
        <v>2713</v>
      </c>
      <c r="AH332" s="598"/>
      <c r="AI332" s="598"/>
      <c r="AJ332" s="598" t="s">
        <v>1025</v>
      </c>
      <c r="AK332" s="598"/>
      <c r="AL332" s="626"/>
      <c r="AM332" s="626"/>
    </row>
    <row r="333" spans="1:39" ht="18" customHeight="1">
      <c r="C333" s="598">
        <v>312</v>
      </c>
      <c r="D333" s="598" t="s">
        <v>3846</v>
      </c>
      <c r="E333" s="598">
        <f t="shared" si="6"/>
        <v>297</v>
      </c>
      <c r="F333" s="616" t="s">
        <v>3808</v>
      </c>
      <c r="G333" s="616" t="s">
        <v>2624</v>
      </c>
      <c r="H333" s="618" t="s">
        <v>1225</v>
      </c>
      <c r="I333" s="618" t="s">
        <v>185</v>
      </c>
      <c r="J333" s="618" t="s">
        <v>2623</v>
      </c>
      <c r="K333" s="618" t="s">
        <v>2699</v>
      </c>
      <c r="L333" s="618" t="s">
        <v>2700</v>
      </c>
      <c r="M333" s="619"/>
      <c r="N333" s="620"/>
      <c r="O333" s="620"/>
      <c r="P333" s="663" t="s">
        <v>1074</v>
      </c>
      <c r="Q333" s="621"/>
      <c r="R333" s="598"/>
      <c r="S333" s="598"/>
      <c r="T333" s="598"/>
      <c r="U333" s="598" t="s">
        <v>962</v>
      </c>
      <c r="V333" s="663" t="s">
        <v>3847</v>
      </c>
      <c r="W333" s="779" t="s">
        <v>3848</v>
      </c>
      <c r="X333" s="598" t="s">
        <v>963</v>
      </c>
      <c r="Y333" s="624">
        <v>23664</v>
      </c>
      <c r="Z333" s="625">
        <f t="shared" ca="1" si="7"/>
        <v>61</v>
      </c>
      <c r="AA333" s="616" t="s">
        <v>3849</v>
      </c>
      <c r="AB333" s="598" t="s">
        <v>3850</v>
      </c>
      <c r="AC333" s="598" t="s">
        <v>966</v>
      </c>
      <c r="AD333" s="598" t="s">
        <v>953</v>
      </c>
      <c r="AE333" s="616" t="s">
        <v>246</v>
      </c>
      <c r="AF333" s="616" t="s">
        <v>246</v>
      </c>
      <c r="AG333" s="616" t="s">
        <v>3815</v>
      </c>
      <c r="AH333" s="598"/>
      <c r="AI333" s="598"/>
      <c r="AJ333" s="598" t="s">
        <v>1125</v>
      </c>
      <c r="AK333" s="598"/>
      <c r="AL333" s="626"/>
      <c r="AM333" s="626"/>
    </row>
    <row r="334" spans="1:39" ht="18" customHeight="1">
      <c r="C334" s="598">
        <v>313</v>
      </c>
      <c r="D334" s="598" t="s">
        <v>1797</v>
      </c>
      <c r="E334" s="598">
        <f t="shared" si="6"/>
        <v>298</v>
      </c>
      <c r="F334" s="616" t="s">
        <v>1798</v>
      </c>
      <c r="G334" s="616" t="s">
        <v>2624</v>
      </c>
      <c r="H334" s="618" t="s">
        <v>1225</v>
      </c>
      <c r="I334" s="618" t="s">
        <v>185</v>
      </c>
      <c r="J334" s="618" t="s">
        <v>2623</v>
      </c>
      <c r="K334" s="618" t="s">
        <v>2699</v>
      </c>
      <c r="L334" s="618" t="s">
        <v>2700</v>
      </c>
      <c r="M334" s="619"/>
      <c r="N334" s="620"/>
      <c r="O334" s="620"/>
      <c r="P334" s="663" t="s">
        <v>1074</v>
      </c>
      <c r="Q334" s="621"/>
      <c r="R334" s="598"/>
      <c r="S334" s="598"/>
      <c r="T334" s="598"/>
      <c r="U334" s="598" t="s">
        <v>962</v>
      </c>
      <c r="V334" s="663" t="s">
        <v>1799</v>
      </c>
      <c r="W334" s="779" t="s">
        <v>1800</v>
      </c>
      <c r="X334" s="598" t="s">
        <v>963</v>
      </c>
      <c r="Y334" s="624">
        <v>31932</v>
      </c>
      <c r="Z334" s="625">
        <f t="shared" ca="1" si="7"/>
        <v>38</v>
      </c>
      <c r="AA334" s="616" t="s">
        <v>1801</v>
      </c>
      <c r="AB334" s="598" t="s">
        <v>1802</v>
      </c>
      <c r="AC334" s="598" t="s">
        <v>966</v>
      </c>
      <c r="AD334" s="598" t="s">
        <v>953</v>
      </c>
      <c r="AE334" s="616" t="s">
        <v>1494</v>
      </c>
      <c r="AF334" s="616" t="s">
        <v>1494</v>
      </c>
      <c r="AG334" s="616" t="s">
        <v>1803</v>
      </c>
      <c r="AH334" s="598"/>
      <c r="AI334" s="598"/>
      <c r="AJ334" s="598" t="s">
        <v>1125</v>
      </c>
      <c r="AK334" s="598"/>
      <c r="AL334" s="626"/>
      <c r="AM334" s="626"/>
    </row>
    <row r="335" spans="1:39" ht="18" customHeight="1">
      <c r="C335" s="598">
        <v>314</v>
      </c>
      <c r="D335" s="598" t="s">
        <v>2893</v>
      </c>
      <c r="E335" s="598">
        <f t="shared" si="6"/>
        <v>299</v>
      </c>
      <c r="F335" s="616" t="s">
        <v>1798</v>
      </c>
      <c r="G335" s="616" t="s">
        <v>2624</v>
      </c>
      <c r="H335" s="618" t="s">
        <v>1225</v>
      </c>
      <c r="I335" s="618" t="s">
        <v>185</v>
      </c>
      <c r="J335" s="618" t="s">
        <v>2623</v>
      </c>
      <c r="K335" s="618" t="s">
        <v>2699</v>
      </c>
      <c r="L335" s="618" t="s">
        <v>2700</v>
      </c>
      <c r="M335" s="619"/>
      <c r="N335" s="620"/>
      <c r="O335" s="620"/>
      <c r="P335" s="663" t="s">
        <v>1074</v>
      </c>
      <c r="Q335" s="621"/>
      <c r="R335" s="598"/>
      <c r="S335" s="598"/>
      <c r="T335" s="598"/>
      <c r="U335" s="598" t="s">
        <v>1015</v>
      </c>
      <c r="V335" s="663" t="s">
        <v>2894</v>
      </c>
      <c r="W335" s="779" t="s">
        <v>2895</v>
      </c>
      <c r="X335" s="598" t="s">
        <v>950</v>
      </c>
      <c r="Y335" s="624">
        <v>27553</v>
      </c>
      <c r="Z335" s="625">
        <f t="shared" ca="1" si="7"/>
        <v>50</v>
      </c>
      <c r="AA335" s="616" t="s">
        <v>2896</v>
      </c>
      <c r="AB335" s="598" t="s">
        <v>2897</v>
      </c>
      <c r="AC335" s="598" t="s">
        <v>996</v>
      </c>
      <c r="AD335" s="598" t="s">
        <v>997</v>
      </c>
      <c r="AE335" s="616" t="s">
        <v>1041</v>
      </c>
      <c r="AF335" s="616" t="s">
        <v>1041</v>
      </c>
      <c r="AG335" s="616" t="s">
        <v>2898</v>
      </c>
      <c r="AH335" s="598"/>
      <c r="AI335" s="598"/>
      <c r="AJ335" s="598" t="s">
        <v>1125</v>
      </c>
      <c r="AK335" s="598"/>
      <c r="AL335" s="626"/>
      <c r="AM335" s="626"/>
    </row>
    <row r="336" spans="1:39" ht="18" customHeight="1">
      <c r="C336" s="598">
        <v>315</v>
      </c>
      <c r="D336" s="598" t="s">
        <v>2813</v>
      </c>
      <c r="E336" s="598">
        <f t="shared" si="6"/>
        <v>300</v>
      </c>
      <c r="F336" s="616" t="s">
        <v>1798</v>
      </c>
      <c r="G336" s="616" t="s">
        <v>2624</v>
      </c>
      <c r="H336" s="618" t="s">
        <v>1225</v>
      </c>
      <c r="I336" s="618" t="s">
        <v>185</v>
      </c>
      <c r="J336" s="618" t="s">
        <v>2623</v>
      </c>
      <c r="K336" s="618" t="s">
        <v>2699</v>
      </c>
      <c r="L336" s="618" t="s">
        <v>2700</v>
      </c>
      <c r="M336" s="619"/>
      <c r="N336" s="620"/>
      <c r="O336" s="620"/>
      <c r="P336" s="663" t="s">
        <v>1074</v>
      </c>
      <c r="Q336" s="621"/>
      <c r="R336" s="598"/>
      <c r="S336" s="598"/>
      <c r="T336" s="598"/>
      <c r="U336" s="598" t="s">
        <v>1015</v>
      </c>
      <c r="V336" s="663" t="s">
        <v>2814</v>
      </c>
      <c r="W336" s="779" t="s">
        <v>2815</v>
      </c>
      <c r="X336" s="598" t="s">
        <v>950</v>
      </c>
      <c r="Y336" s="624">
        <v>30200</v>
      </c>
      <c r="Z336" s="625">
        <f t="shared" ca="1" si="7"/>
        <v>43</v>
      </c>
      <c r="AA336" s="616" t="s">
        <v>2816</v>
      </c>
      <c r="AB336" s="598" t="s">
        <v>2817</v>
      </c>
      <c r="AC336" s="598" t="s">
        <v>996</v>
      </c>
      <c r="AD336" s="598" t="s">
        <v>997</v>
      </c>
      <c r="AE336" s="616" t="s">
        <v>1041</v>
      </c>
      <c r="AF336" s="616" t="s">
        <v>1041</v>
      </c>
      <c r="AG336" s="616" t="s">
        <v>2672</v>
      </c>
      <c r="AH336" s="598"/>
      <c r="AI336" s="598"/>
      <c r="AJ336" s="598" t="s">
        <v>1125</v>
      </c>
      <c r="AK336" s="598"/>
      <c r="AL336" s="626"/>
      <c r="AM336" s="626"/>
    </row>
    <row r="337" spans="1:39" ht="18" customHeight="1">
      <c r="C337" s="598">
        <v>316</v>
      </c>
      <c r="D337" s="598" t="s">
        <v>2714</v>
      </c>
      <c r="E337" s="598">
        <f t="shared" si="6"/>
        <v>301</v>
      </c>
      <c r="F337" s="616" t="s">
        <v>1798</v>
      </c>
      <c r="G337" s="616" t="s">
        <v>2624</v>
      </c>
      <c r="H337" s="618" t="s">
        <v>1225</v>
      </c>
      <c r="I337" s="618" t="s">
        <v>185</v>
      </c>
      <c r="J337" s="618" t="s">
        <v>2623</v>
      </c>
      <c r="K337" s="618" t="s">
        <v>2699</v>
      </c>
      <c r="L337" s="618" t="s">
        <v>2700</v>
      </c>
      <c r="M337" s="619"/>
      <c r="N337" s="620"/>
      <c r="O337" s="620"/>
      <c r="P337" s="663" t="s">
        <v>1074</v>
      </c>
      <c r="Q337" s="621" t="s">
        <v>319</v>
      </c>
      <c r="R337" s="598"/>
      <c r="S337" s="598"/>
      <c r="T337" s="598"/>
      <c r="U337" s="598" t="s">
        <v>962</v>
      </c>
      <c r="V337" s="663" t="s">
        <v>2715</v>
      </c>
      <c r="W337" s="779" t="s">
        <v>2716</v>
      </c>
      <c r="X337" s="598" t="s">
        <v>963</v>
      </c>
      <c r="Y337" s="624">
        <v>30794</v>
      </c>
      <c r="Z337" s="625">
        <f t="shared" ca="1" si="7"/>
        <v>41</v>
      </c>
      <c r="AA337" s="616" t="s">
        <v>2717</v>
      </c>
      <c r="AB337" s="598" t="s">
        <v>2718</v>
      </c>
      <c r="AC337" s="598" t="s">
        <v>996</v>
      </c>
      <c r="AD337" s="598" t="s">
        <v>997</v>
      </c>
      <c r="AE337" s="616" t="s">
        <v>1041</v>
      </c>
      <c r="AF337" s="721" t="s">
        <v>1041</v>
      </c>
      <c r="AG337" s="616" t="s">
        <v>2672</v>
      </c>
      <c r="AH337" s="598"/>
      <c r="AI337" s="598"/>
      <c r="AJ337" s="598" t="s">
        <v>1107</v>
      </c>
      <c r="AK337" s="598"/>
      <c r="AL337" s="626"/>
      <c r="AM337" s="626"/>
    </row>
    <row r="338" spans="1:39" ht="18" customHeight="1">
      <c r="C338" s="598">
        <v>317</v>
      </c>
      <c r="D338" s="598" t="s">
        <v>2719</v>
      </c>
      <c r="E338" s="598">
        <f t="shared" si="6"/>
        <v>302</v>
      </c>
      <c r="F338" s="616" t="s">
        <v>1798</v>
      </c>
      <c r="G338" s="616" t="s">
        <v>2624</v>
      </c>
      <c r="H338" s="618" t="s">
        <v>1225</v>
      </c>
      <c r="I338" s="618" t="s">
        <v>185</v>
      </c>
      <c r="J338" s="618" t="s">
        <v>2623</v>
      </c>
      <c r="K338" s="618" t="s">
        <v>2699</v>
      </c>
      <c r="L338" s="618" t="s">
        <v>2700</v>
      </c>
      <c r="M338" s="619"/>
      <c r="N338" s="620"/>
      <c r="O338" s="620"/>
      <c r="P338" s="673" t="s">
        <v>1074</v>
      </c>
      <c r="Q338" s="621" t="s">
        <v>319</v>
      </c>
      <c r="R338" s="598"/>
      <c r="S338" s="598"/>
      <c r="T338" s="598"/>
      <c r="U338" s="598" t="s">
        <v>962</v>
      </c>
      <c r="V338" s="673" t="s">
        <v>307</v>
      </c>
      <c r="W338" s="779" t="s">
        <v>2720</v>
      </c>
      <c r="X338" s="598" t="s">
        <v>963</v>
      </c>
      <c r="Y338" s="624">
        <v>32505</v>
      </c>
      <c r="Z338" s="625">
        <f t="shared" ca="1" si="7"/>
        <v>37</v>
      </c>
      <c r="AA338" s="616" t="s">
        <v>2721</v>
      </c>
      <c r="AB338" s="598" t="s">
        <v>2722</v>
      </c>
      <c r="AC338" s="598" t="s">
        <v>996</v>
      </c>
      <c r="AD338" s="598" t="s">
        <v>1018</v>
      </c>
      <c r="AE338" s="616" t="s">
        <v>1041</v>
      </c>
      <c r="AF338" s="616" t="s">
        <v>1041</v>
      </c>
      <c r="AG338" s="616" t="s">
        <v>2672</v>
      </c>
      <c r="AH338" s="598"/>
      <c r="AI338" s="598"/>
      <c r="AJ338" s="647" t="s">
        <v>1513</v>
      </c>
      <c r="AK338" s="598"/>
      <c r="AL338" s="626"/>
      <c r="AM338" s="626"/>
    </row>
    <row r="339" spans="1:39" ht="18" customHeight="1">
      <c r="C339" s="598">
        <v>318</v>
      </c>
      <c r="D339" s="598" t="s">
        <v>2745</v>
      </c>
      <c r="E339" s="598">
        <f t="shared" si="6"/>
        <v>303</v>
      </c>
      <c r="F339" s="616" t="s">
        <v>1798</v>
      </c>
      <c r="G339" s="616" t="s">
        <v>4687</v>
      </c>
      <c r="H339" s="618" t="s">
        <v>1225</v>
      </c>
      <c r="I339" s="618" t="s">
        <v>2747</v>
      </c>
      <c r="J339" s="618" t="s">
        <v>2745</v>
      </c>
      <c r="K339" s="618" t="s">
        <v>2745</v>
      </c>
      <c r="L339" s="792" t="s">
        <v>2765</v>
      </c>
      <c r="M339" s="619"/>
      <c r="N339" s="620"/>
      <c r="O339" s="620"/>
      <c r="P339" s="667" t="s">
        <v>2625</v>
      </c>
      <c r="Q339" s="621"/>
      <c r="R339" s="598" t="s">
        <v>173</v>
      </c>
      <c r="S339" s="598" t="s">
        <v>514</v>
      </c>
      <c r="T339" s="598" t="s">
        <v>55</v>
      </c>
      <c r="U339" s="598" t="s">
        <v>1015</v>
      </c>
      <c r="V339" s="667" t="s">
        <v>2747</v>
      </c>
      <c r="W339" s="779" t="s">
        <v>2749</v>
      </c>
      <c r="X339" s="598" t="s">
        <v>950</v>
      </c>
      <c r="Y339" s="624">
        <v>25905</v>
      </c>
      <c r="Z339" s="625">
        <f t="shared" ca="1" si="7"/>
        <v>55</v>
      </c>
      <c r="AA339" s="616" t="s">
        <v>2750</v>
      </c>
      <c r="AB339" s="598" t="s">
        <v>2751</v>
      </c>
      <c r="AC339" s="598" t="s">
        <v>966</v>
      </c>
      <c r="AD339" s="598" t="s">
        <v>953</v>
      </c>
      <c r="AE339" s="616" t="s">
        <v>1041</v>
      </c>
      <c r="AF339" s="616" t="s">
        <v>1041</v>
      </c>
      <c r="AG339" s="616" t="s">
        <v>2630</v>
      </c>
      <c r="AH339" s="598"/>
      <c r="AI339" s="598"/>
      <c r="AJ339" s="598" t="s">
        <v>1440</v>
      </c>
      <c r="AK339" s="598"/>
      <c r="AL339" s="626"/>
      <c r="AM339" s="626"/>
    </row>
    <row r="340" spans="1:39" ht="18" customHeight="1">
      <c r="C340" s="598">
        <v>319</v>
      </c>
      <c r="D340" s="598" t="s">
        <v>2765</v>
      </c>
      <c r="E340" s="598">
        <f t="shared" si="6"/>
        <v>304</v>
      </c>
      <c r="F340" s="616" t="s">
        <v>1798</v>
      </c>
      <c r="G340" s="616" t="s">
        <v>4687</v>
      </c>
      <c r="H340" s="618" t="s">
        <v>1225</v>
      </c>
      <c r="I340" s="618" t="s">
        <v>2747</v>
      </c>
      <c r="J340" s="618" t="s">
        <v>2745</v>
      </c>
      <c r="K340" s="618" t="s">
        <v>2745</v>
      </c>
      <c r="L340" s="792" t="s">
        <v>2765</v>
      </c>
      <c r="M340" s="619"/>
      <c r="N340" s="620"/>
      <c r="O340" s="620"/>
      <c r="P340" s="663" t="s">
        <v>2625</v>
      </c>
      <c r="Q340" s="621"/>
      <c r="R340" s="598" t="s">
        <v>69</v>
      </c>
      <c r="S340" s="598" t="s">
        <v>562</v>
      </c>
      <c r="T340" s="598"/>
      <c r="U340" s="598" t="s">
        <v>1015</v>
      </c>
      <c r="V340" s="663" t="s">
        <v>294</v>
      </c>
      <c r="W340" s="779" t="s">
        <v>2766</v>
      </c>
      <c r="X340" s="598" t="s">
        <v>950</v>
      </c>
      <c r="Y340" s="624">
        <v>26792</v>
      </c>
      <c r="Z340" s="625">
        <f t="shared" ca="1" si="7"/>
        <v>52</v>
      </c>
      <c r="AA340" s="616" t="s">
        <v>2767</v>
      </c>
      <c r="AB340" s="598" t="s">
        <v>2768</v>
      </c>
      <c r="AC340" s="598" t="s">
        <v>996</v>
      </c>
      <c r="AD340" s="598" t="s">
        <v>1018</v>
      </c>
      <c r="AE340" s="616" t="s">
        <v>1041</v>
      </c>
      <c r="AF340" s="721" t="s">
        <v>1041</v>
      </c>
      <c r="AG340" s="616"/>
      <c r="AH340" s="598"/>
      <c r="AI340" s="598"/>
      <c r="AJ340" s="700" t="s">
        <v>1612</v>
      </c>
      <c r="AK340" s="598"/>
      <c r="AL340" s="626"/>
      <c r="AM340" s="626"/>
    </row>
    <row r="341" spans="1:39" ht="18" customHeight="1">
      <c r="C341" s="598">
        <v>320</v>
      </c>
      <c r="D341" s="598" t="s">
        <v>2785</v>
      </c>
      <c r="E341" s="598">
        <f t="shared" si="6"/>
        <v>305</v>
      </c>
      <c r="F341" s="616" t="s">
        <v>1798</v>
      </c>
      <c r="G341" s="616" t="s">
        <v>4687</v>
      </c>
      <c r="H341" s="618" t="s">
        <v>1225</v>
      </c>
      <c r="I341" s="618" t="s">
        <v>2747</v>
      </c>
      <c r="J341" s="618" t="s">
        <v>2745</v>
      </c>
      <c r="K341" s="618" t="s">
        <v>2745</v>
      </c>
      <c r="L341" s="792" t="s">
        <v>2765</v>
      </c>
      <c r="M341" s="619"/>
      <c r="N341" s="620"/>
      <c r="O341" s="620"/>
      <c r="P341" s="663" t="s">
        <v>2625</v>
      </c>
      <c r="Q341" s="621"/>
      <c r="R341" s="598"/>
      <c r="S341" s="598"/>
      <c r="T341" s="598"/>
      <c r="U341" s="598" t="s">
        <v>1015</v>
      </c>
      <c r="V341" s="663" t="s">
        <v>227</v>
      </c>
      <c r="W341" s="779" t="s">
        <v>2786</v>
      </c>
      <c r="X341" s="598" t="s">
        <v>950</v>
      </c>
      <c r="Y341" s="624">
        <v>23437</v>
      </c>
      <c r="Z341" s="625">
        <f t="shared" ca="1" si="7"/>
        <v>61</v>
      </c>
      <c r="AA341" s="616" t="s">
        <v>2787</v>
      </c>
      <c r="AB341" s="598" t="s">
        <v>2788</v>
      </c>
      <c r="AC341" s="598" t="s">
        <v>966</v>
      </c>
      <c r="AD341" s="598" t="s">
        <v>953</v>
      </c>
      <c r="AE341" s="616" t="s">
        <v>1041</v>
      </c>
      <c r="AF341" s="616" t="s">
        <v>1041</v>
      </c>
      <c r="AG341" s="616" t="s">
        <v>2789</v>
      </c>
      <c r="AH341" s="598"/>
      <c r="AI341" s="598"/>
      <c r="AJ341" s="598"/>
      <c r="AK341" s="598"/>
      <c r="AL341" s="626"/>
      <c r="AM341" s="626"/>
    </row>
    <row r="342" spans="1:39" ht="18" customHeight="1">
      <c r="C342" s="598">
        <v>321</v>
      </c>
      <c r="D342" s="598" t="s">
        <v>2775</v>
      </c>
      <c r="E342" s="598">
        <f t="shared" si="6"/>
        <v>306</v>
      </c>
      <c r="F342" s="616" t="s">
        <v>1798</v>
      </c>
      <c r="G342" s="616" t="s">
        <v>4687</v>
      </c>
      <c r="H342" s="618" t="s">
        <v>1225</v>
      </c>
      <c r="I342" s="618" t="s">
        <v>2747</v>
      </c>
      <c r="J342" s="618" t="s">
        <v>2745</v>
      </c>
      <c r="K342" s="618" t="s">
        <v>2745</v>
      </c>
      <c r="L342" s="792" t="s">
        <v>2765</v>
      </c>
      <c r="M342" s="619"/>
      <c r="N342" s="620"/>
      <c r="O342" s="620"/>
      <c r="P342" s="663" t="s">
        <v>2625</v>
      </c>
      <c r="Q342" s="621"/>
      <c r="R342" s="598" t="s">
        <v>55</v>
      </c>
      <c r="S342" s="598" t="s">
        <v>178</v>
      </c>
      <c r="T342" s="598"/>
      <c r="U342" s="598" t="s">
        <v>1015</v>
      </c>
      <c r="V342" s="663" t="s">
        <v>207</v>
      </c>
      <c r="W342" s="779" t="s">
        <v>2776</v>
      </c>
      <c r="X342" s="598" t="s">
        <v>950</v>
      </c>
      <c r="Y342" s="624">
        <v>28739</v>
      </c>
      <c r="Z342" s="625">
        <f t="shared" ca="1" si="7"/>
        <v>47</v>
      </c>
      <c r="AA342" s="616" t="s">
        <v>2777</v>
      </c>
      <c r="AB342" s="598" t="s">
        <v>2778</v>
      </c>
      <c r="AC342" s="598" t="s">
        <v>966</v>
      </c>
      <c r="AD342" s="598" t="s">
        <v>953</v>
      </c>
      <c r="AE342" s="616" t="s">
        <v>2737</v>
      </c>
      <c r="AF342" s="616" t="s">
        <v>2737</v>
      </c>
      <c r="AG342" s="616" t="s">
        <v>2779</v>
      </c>
      <c r="AH342" s="598"/>
      <c r="AI342" s="598"/>
      <c r="AJ342" s="598" t="s">
        <v>1440</v>
      </c>
      <c r="AK342" s="598"/>
      <c r="AL342" s="626"/>
      <c r="AM342" s="626"/>
    </row>
    <row r="343" spans="1:39" ht="18" customHeight="1">
      <c r="C343" s="598">
        <v>322</v>
      </c>
      <c r="D343" s="598" t="s">
        <v>2758</v>
      </c>
      <c r="E343" s="598">
        <f t="shared" si="6"/>
        <v>307</v>
      </c>
      <c r="F343" s="616" t="s">
        <v>1798</v>
      </c>
      <c r="G343" s="616" t="s">
        <v>4687</v>
      </c>
      <c r="H343" s="618" t="s">
        <v>1225</v>
      </c>
      <c r="I343" s="618" t="s">
        <v>2747</v>
      </c>
      <c r="J343" s="618" t="s">
        <v>2745</v>
      </c>
      <c r="K343" s="618" t="s">
        <v>2745</v>
      </c>
      <c r="L343" s="792" t="s">
        <v>2765</v>
      </c>
      <c r="M343" s="619"/>
      <c r="N343" s="620"/>
      <c r="O343" s="620"/>
      <c r="P343" s="663" t="s">
        <v>2625</v>
      </c>
      <c r="Q343" s="621"/>
      <c r="R343" s="598"/>
      <c r="S343" s="598"/>
      <c r="T343" s="598"/>
      <c r="U343" s="598" t="s">
        <v>1090</v>
      </c>
      <c r="V343" s="663" t="s">
        <v>247</v>
      </c>
      <c r="W343" s="779" t="s">
        <v>2759</v>
      </c>
      <c r="X343" s="598" t="s">
        <v>950</v>
      </c>
      <c r="Y343" s="624">
        <v>15634</v>
      </c>
      <c r="Z343" s="625">
        <f t="shared" ca="1" si="7"/>
        <v>83</v>
      </c>
      <c r="AA343" s="616" t="s">
        <v>2760</v>
      </c>
      <c r="AB343" s="652"/>
      <c r="AC343" s="598" t="s">
        <v>996</v>
      </c>
      <c r="AD343" s="598" t="s">
        <v>1018</v>
      </c>
      <c r="AE343" s="616" t="s">
        <v>1041</v>
      </c>
      <c r="AF343" s="721" t="s">
        <v>1041</v>
      </c>
      <c r="AG343" s="616"/>
      <c r="AH343" s="598"/>
      <c r="AI343" s="598"/>
      <c r="AJ343" s="700" t="s">
        <v>1612</v>
      </c>
      <c r="AK343" s="598"/>
      <c r="AL343" s="626"/>
      <c r="AM343" s="626"/>
    </row>
    <row r="344" spans="1:39" ht="18" customHeight="1">
      <c r="C344" s="598">
        <v>323</v>
      </c>
      <c r="D344" s="598" t="s">
        <v>2799</v>
      </c>
      <c r="E344" s="598">
        <f t="shared" si="6"/>
        <v>308</v>
      </c>
      <c r="F344" s="616" t="s">
        <v>1798</v>
      </c>
      <c r="G344" s="616" t="s">
        <v>4687</v>
      </c>
      <c r="H344" s="618" t="s">
        <v>1225</v>
      </c>
      <c r="I344" s="618" t="s">
        <v>2747</v>
      </c>
      <c r="J344" s="618" t="s">
        <v>2745</v>
      </c>
      <c r="K344" s="618" t="s">
        <v>2745</v>
      </c>
      <c r="L344" s="792" t="s">
        <v>2765</v>
      </c>
      <c r="M344" s="619"/>
      <c r="N344" s="620"/>
      <c r="O344" s="620"/>
      <c r="P344" s="663" t="s">
        <v>2625</v>
      </c>
      <c r="Q344" s="621"/>
      <c r="R344" s="598"/>
      <c r="S344" s="598"/>
      <c r="T344" s="598"/>
      <c r="U344" s="598" t="s">
        <v>1090</v>
      </c>
      <c r="V344" s="663" t="s">
        <v>266</v>
      </c>
      <c r="W344" s="779" t="s">
        <v>2800</v>
      </c>
      <c r="X344" s="598" t="s">
        <v>950</v>
      </c>
      <c r="Y344" s="624">
        <v>18124</v>
      </c>
      <c r="Z344" s="625">
        <f t="shared" ca="1" si="7"/>
        <v>76</v>
      </c>
      <c r="AA344" s="616" t="s">
        <v>2801</v>
      </c>
      <c r="AB344" s="598" t="s">
        <v>2802</v>
      </c>
      <c r="AC344" s="598" t="s">
        <v>996</v>
      </c>
      <c r="AD344" s="598" t="s">
        <v>1018</v>
      </c>
      <c r="AE344" s="616" t="s">
        <v>1041</v>
      </c>
      <c r="AF344" s="721" t="s">
        <v>1041</v>
      </c>
      <c r="AG344" s="616"/>
      <c r="AH344" s="598"/>
      <c r="AI344" s="598"/>
      <c r="AJ344" s="700" t="s">
        <v>1612</v>
      </c>
      <c r="AK344" s="598"/>
      <c r="AL344" s="626"/>
      <c r="AM344" s="626"/>
    </row>
    <row r="345" spans="1:39" ht="18" customHeight="1">
      <c r="C345" s="598">
        <v>324</v>
      </c>
      <c r="D345" s="598" t="s">
        <v>2762</v>
      </c>
      <c r="E345" s="598">
        <f t="shared" si="6"/>
        <v>309</v>
      </c>
      <c r="F345" s="616" t="s">
        <v>1798</v>
      </c>
      <c r="G345" s="616" t="s">
        <v>4687</v>
      </c>
      <c r="H345" s="618" t="s">
        <v>1225</v>
      </c>
      <c r="I345" s="618" t="s">
        <v>2747</v>
      </c>
      <c r="J345" s="618" t="s">
        <v>2745</v>
      </c>
      <c r="K345" s="618" t="s">
        <v>2745</v>
      </c>
      <c r="L345" s="792" t="s">
        <v>2765</v>
      </c>
      <c r="M345" s="619"/>
      <c r="N345" s="620"/>
      <c r="O345" s="620"/>
      <c r="P345" s="663" t="s">
        <v>2625</v>
      </c>
      <c r="Q345" s="621"/>
      <c r="R345" s="598"/>
      <c r="S345" s="598"/>
      <c r="T345" s="598"/>
      <c r="U345" s="598" t="s">
        <v>1015</v>
      </c>
      <c r="V345" s="663" t="s">
        <v>283</v>
      </c>
      <c r="W345" s="779" t="s">
        <v>2763</v>
      </c>
      <c r="X345" s="598" t="s">
        <v>950</v>
      </c>
      <c r="Y345" s="624">
        <v>25188</v>
      </c>
      <c r="Z345" s="625">
        <f t="shared" ca="1" si="7"/>
        <v>57</v>
      </c>
      <c r="AA345" s="616" t="s">
        <v>2764</v>
      </c>
      <c r="AB345" s="598"/>
      <c r="AC345" s="598" t="s">
        <v>996</v>
      </c>
      <c r="AD345" s="598" t="s">
        <v>1018</v>
      </c>
      <c r="AE345" s="616" t="s">
        <v>1041</v>
      </c>
      <c r="AF345" s="721" t="s">
        <v>1041</v>
      </c>
      <c r="AG345" s="616"/>
      <c r="AH345" s="598"/>
      <c r="AI345" s="598"/>
      <c r="AJ345" s="700" t="s">
        <v>1612</v>
      </c>
      <c r="AK345" s="598"/>
      <c r="AL345" s="626"/>
      <c r="AM345" s="626"/>
    </row>
    <row r="346" spans="1:39" ht="18" customHeight="1">
      <c r="C346" s="598">
        <v>325</v>
      </c>
      <c r="D346" s="598" t="s">
        <v>2780</v>
      </c>
      <c r="E346" s="598">
        <f t="shared" si="6"/>
        <v>310</v>
      </c>
      <c r="F346" s="616" t="s">
        <v>1798</v>
      </c>
      <c r="G346" s="616" t="s">
        <v>4687</v>
      </c>
      <c r="H346" s="618" t="s">
        <v>1225</v>
      </c>
      <c r="I346" s="618" t="s">
        <v>2747</v>
      </c>
      <c r="J346" s="618" t="s">
        <v>2745</v>
      </c>
      <c r="K346" s="618" t="s">
        <v>2745</v>
      </c>
      <c r="L346" s="792" t="s">
        <v>2765</v>
      </c>
      <c r="M346" s="619"/>
      <c r="N346" s="620"/>
      <c r="O346" s="620"/>
      <c r="P346" s="663" t="s">
        <v>2625</v>
      </c>
      <c r="Q346" s="621"/>
      <c r="R346" s="598"/>
      <c r="S346" s="598"/>
      <c r="T346" s="598"/>
      <c r="U346" s="598" t="s">
        <v>1015</v>
      </c>
      <c r="V346" s="723" t="s">
        <v>303</v>
      </c>
      <c r="W346" s="779" t="s">
        <v>2781</v>
      </c>
      <c r="X346" s="598" t="s">
        <v>950</v>
      </c>
      <c r="Y346" s="624">
        <v>22076</v>
      </c>
      <c r="Z346" s="625">
        <f t="shared" ca="1" si="7"/>
        <v>65</v>
      </c>
      <c r="AA346" s="616" t="s">
        <v>2782</v>
      </c>
      <c r="AB346" s="598" t="s">
        <v>2783</v>
      </c>
      <c r="AC346" s="598" t="s">
        <v>996</v>
      </c>
      <c r="AD346" s="598" t="s">
        <v>1018</v>
      </c>
      <c r="AE346" s="616" t="s">
        <v>1041</v>
      </c>
      <c r="AF346" s="721" t="s">
        <v>1041</v>
      </c>
      <c r="AG346" s="616"/>
      <c r="AH346" s="598"/>
      <c r="AI346" s="598"/>
      <c r="AJ346" s="700" t="s">
        <v>1612</v>
      </c>
      <c r="AK346" s="598"/>
      <c r="AL346" s="626"/>
      <c r="AM346" s="626"/>
    </row>
    <row r="347" spans="1:39" ht="18" customHeight="1">
      <c r="A347" s="174"/>
      <c r="B347" s="174"/>
      <c r="C347" s="598">
        <v>326</v>
      </c>
      <c r="D347" s="598" t="s">
        <v>4688</v>
      </c>
      <c r="E347" s="598">
        <f t="shared" si="6"/>
        <v>311</v>
      </c>
      <c r="F347" s="724" t="s">
        <v>1798</v>
      </c>
      <c r="G347" s="616" t="s">
        <v>4687</v>
      </c>
      <c r="H347" s="618" t="s">
        <v>1225</v>
      </c>
      <c r="I347" s="618" t="s">
        <v>2747</v>
      </c>
      <c r="J347" s="618" t="s">
        <v>2745</v>
      </c>
      <c r="K347" s="618" t="s">
        <v>2745</v>
      </c>
      <c r="L347" s="792" t="s">
        <v>2765</v>
      </c>
      <c r="M347" s="627"/>
      <c r="N347" s="636"/>
      <c r="O347" s="636"/>
      <c r="P347" s="663" t="s">
        <v>2625</v>
      </c>
      <c r="Q347" s="637"/>
      <c r="R347" s="627"/>
      <c r="S347" s="627"/>
      <c r="T347" s="627"/>
      <c r="U347" s="671" t="s">
        <v>992</v>
      </c>
      <c r="V347" s="725" t="s">
        <v>308</v>
      </c>
      <c r="W347" s="780" t="s">
        <v>4689</v>
      </c>
      <c r="X347" s="598" t="s">
        <v>950</v>
      </c>
      <c r="Y347" s="624">
        <v>34440</v>
      </c>
      <c r="Z347" s="625">
        <f t="shared" ca="1" si="7"/>
        <v>31</v>
      </c>
      <c r="AA347" s="598" t="s">
        <v>4690</v>
      </c>
      <c r="AB347" s="598" t="s">
        <v>4691</v>
      </c>
      <c r="AC347" s="598" t="s">
        <v>1006</v>
      </c>
      <c r="AD347" s="598" t="s">
        <v>953</v>
      </c>
      <c r="AE347" s="598" t="s">
        <v>1041</v>
      </c>
      <c r="AF347" s="598" t="s">
        <v>1041</v>
      </c>
      <c r="AG347" s="598" t="s">
        <v>2665</v>
      </c>
      <c r="AH347" s="627"/>
      <c r="AI347" s="627"/>
      <c r="AJ347" s="726"/>
      <c r="AK347" s="627"/>
      <c r="AL347" s="627"/>
      <c r="AM347" s="627"/>
    </row>
    <row r="348" spans="1:39" ht="18" customHeight="1">
      <c r="A348" s="174"/>
      <c r="B348" s="174"/>
      <c r="C348" s="598">
        <v>327</v>
      </c>
      <c r="D348" s="598" t="s">
        <v>2770</v>
      </c>
      <c r="E348" s="598">
        <f t="shared" si="6"/>
        <v>312</v>
      </c>
      <c r="F348" s="616" t="s">
        <v>4978</v>
      </c>
      <c r="G348" s="616" t="s">
        <v>4687</v>
      </c>
      <c r="H348" s="618" t="s">
        <v>1225</v>
      </c>
      <c r="I348" s="618" t="s">
        <v>2747</v>
      </c>
      <c r="J348" s="618" t="s">
        <v>2745</v>
      </c>
      <c r="K348" s="618" t="s">
        <v>2745</v>
      </c>
      <c r="L348" s="792" t="s">
        <v>2765</v>
      </c>
      <c r="M348" s="619"/>
      <c r="N348" s="620"/>
      <c r="O348" s="620"/>
      <c r="P348" s="663" t="s">
        <v>2625</v>
      </c>
      <c r="Q348" s="621" t="s">
        <v>319</v>
      </c>
      <c r="R348" s="627"/>
      <c r="S348" s="627"/>
      <c r="T348" s="627"/>
      <c r="U348" s="598" t="s">
        <v>1015</v>
      </c>
      <c r="V348" s="725" t="s">
        <v>312</v>
      </c>
      <c r="W348" s="780" t="s">
        <v>2771</v>
      </c>
      <c r="X348" s="598" t="s">
        <v>950</v>
      </c>
      <c r="Y348" s="624">
        <v>23216</v>
      </c>
      <c r="Z348" s="625">
        <f t="shared" ca="1" si="7"/>
        <v>62</v>
      </c>
      <c r="AA348" s="598" t="s">
        <v>2772</v>
      </c>
      <c r="AB348" s="598" t="s">
        <v>2773</v>
      </c>
      <c r="AC348" s="598" t="s">
        <v>996</v>
      </c>
      <c r="AD348" s="598" t="s">
        <v>1018</v>
      </c>
      <c r="AE348" s="598" t="s">
        <v>1041</v>
      </c>
      <c r="AF348" s="598" t="s">
        <v>1041</v>
      </c>
      <c r="AG348" s="598" t="s">
        <v>2774</v>
      </c>
      <c r="AH348" s="627"/>
      <c r="AI348" s="627"/>
      <c r="AJ348" s="683" t="s">
        <v>1566</v>
      </c>
      <c r="AK348" s="627"/>
      <c r="AL348" s="627"/>
      <c r="AM348" s="627"/>
    </row>
    <row r="349" spans="1:39" ht="18" customHeight="1">
      <c r="A349" s="174"/>
      <c r="B349" s="174"/>
      <c r="C349" s="598">
        <v>328</v>
      </c>
      <c r="D349" s="598" t="s">
        <v>3405</v>
      </c>
      <c r="E349" s="598">
        <f t="shared" si="6"/>
        <v>313</v>
      </c>
      <c r="F349" s="616" t="s">
        <v>4978</v>
      </c>
      <c r="G349" s="616" t="s">
        <v>4687</v>
      </c>
      <c r="H349" s="618" t="s">
        <v>1225</v>
      </c>
      <c r="I349" s="618" t="s">
        <v>2747</v>
      </c>
      <c r="J349" s="618" t="s">
        <v>2745</v>
      </c>
      <c r="K349" s="618" t="s">
        <v>2745</v>
      </c>
      <c r="L349" s="792" t="s">
        <v>2765</v>
      </c>
      <c r="M349" s="627"/>
      <c r="N349" s="636"/>
      <c r="O349" s="636"/>
      <c r="P349" s="663" t="s">
        <v>2625</v>
      </c>
      <c r="Q349" s="621" t="s">
        <v>319</v>
      </c>
      <c r="R349" s="627"/>
      <c r="S349" s="627"/>
      <c r="T349" s="627"/>
      <c r="U349" s="598" t="s">
        <v>1015</v>
      </c>
      <c r="V349" s="725" t="s">
        <v>315</v>
      </c>
      <c r="W349" s="780" t="s">
        <v>3407</v>
      </c>
      <c r="X349" s="598" t="s">
        <v>950</v>
      </c>
      <c r="Y349" s="624">
        <v>24814</v>
      </c>
      <c r="Z349" s="625">
        <f t="shared" ca="1" si="7"/>
        <v>58</v>
      </c>
      <c r="AA349" s="598" t="s">
        <v>3408</v>
      </c>
      <c r="AB349" s="598" t="s">
        <v>3409</v>
      </c>
      <c r="AC349" s="598" t="s">
        <v>996</v>
      </c>
      <c r="AD349" s="598" t="s">
        <v>1018</v>
      </c>
      <c r="AE349" s="598" t="s">
        <v>1041</v>
      </c>
      <c r="AF349" s="598" t="s">
        <v>1041</v>
      </c>
      <c r="AG349" s="598" t="s">
        <v>3410</v>
      </c>
      <c r="AH349" s="627"/>
      <c r="AI349" s="627"/>
      <c r="AJ349" s="683" t="s">
        <v>1566</v>
      </c>
      <c r="AK349" s="627"/>
      <c r="AL349" s="627"/>
      <c r="AM349" s="627"/>
    </row>
    <row r="350" spans="1:39" ht="18" customHeight="1">
      <c r="C350" s="598">
        <v>329</v>
      </c>
      <c r="D350" s="598" t="s">
        <v>2796</v>
      </c>
      <c r="E350" s="598">
        <f t="shared" si="6"/>
        <v>314</v>
      </c>
      <c r="F350" s="616" t="s">
        <v>957</v>
      </c>
      <c r="G350" s="616" t="s">
        <v>4687</v>
      </c>
      <c r="H350" s="618" t="s">
        <v>1225</v>
      </c>
      <c r="I350" s="618" t="s">
        <v>2747</v>
      </c>
      <c r="J350" s="618" t="s">
        <v>2745</v>
      </c>
      <c r="K350" s="728" t="s">
        <v>2745</v>
      </c>
      <c r="L350" s="792" t="s">
        <v>2765</v>
      </c>
      <c r="M350" s="627"/>
      <c r="N350" s="620"/>
      <c r="O350" s="620"/>
      <c r="P350" s="664" t="s">
        <v>2625</v>
      </c>
      <c r="Q350" s="621"/>
      <c r="R350" s="598"/>
      <c r="S350" s="598"/>
      <c r="T350" s="598"/>
      <c r="U350" s="598" t="s">
        <v>1015</v>
      </c>
      <c r="V350" s="673" t="s">
        <v>903</v>
      </c>
      <c r="W350" s="779" t="s">
        <v>2797</v>
      </c>
      <c r="X350" s="598" t="s">
        <v>950</v>
      </c>
      <c r="Y350" s="624">
        <v>31496</v>
      </c>
      <c r="Z350" s="625">
        <f t="shared" ca="1" si="7"/>
        <v>39</v>
      </c>
      <c r="AA350" s="616"/>
      <c r="AB350" s="598"/>
      <c r="AC350" s="598" t="s">
        <v>966</v>
      </c>
      <c r="AD350" s="598" t="s">
        <v>953</v>
      </c>
      <c r="AE350" s="616" t="s">
        <v>1041</v>
      </c>
      <c r="AF350" s="616" t="s">
        <v>2659</v>
      </c>
      <c r="AG350" s="616" t="s">
        <v>2660</v>
      </c>
      <c r="AH350" s="598" t="s">
        <v>1775</v>
      </c>
      <c r="AI350" s="598" t="s">
        <v>2798</v>
      </c>
      <c r="AJ350" s="598"/>
      <c r="AK350" s="598" t="s">
        <v>1020</v>
      </c>
      <c r="AL350" s="626"/>
      <c r="AM350" s="626"/>
    </row>
    <row r="351" spans="1:39" ht="18" customHeight="1">
      <c r="C351" s="598">
        <v>330</v>
      </c>
      <c r="D351" s="598" t="s">
        <v>2804</v>
      </c>
      <c r="E351" s="598">
        <f t="shared" si="6"/>
        <v>315</v>
      </c>
      <c r="F351" s="616" t="s">
        <v>1798</v>
      </c>
      <c r="G351" s="616" t="s">
        <v>4687</v>
      </c>
      <c r="H351" s="618" t="s">
        <v>1225</v>
      </c>
      <c r="I351" s="618" t="s">
        <v>2747</v>
      </c>
      <c r="J351" s="618" t="s">
        <v>2745</v>
      </c>
      <c r="K351" s="728" t="s">
        <v>2804</v>
      </c>
      <c r="L351" s="618"/>
      <c r="M351" s="627"/>
      <c r="N351" s="620"/>
      <c r="O351" s="620"/>
      <c r="P351" s="667" t="s">
        <v>2668</v>
      </c>
      <c r="Q351" s="621"/>
      <c r="R351" s="598" t="s">
        <v>55</v>
      </c>
      <c r="S351" s="598" t="s">
        <v>55</v>
      </c>
      <c r="T351" s="598"/>
      <c r="U351" s="598" t="s">
        <v>1015</v>
      </c>
      <c r="V351" s="663" t="s">
        <v>187</v>
      </c>
      <c r="W351" s="779" t="s">
        <v>2805</v>
      </c>
      <c r="X351" s="598" t="s">
        <v>950</v>
      </c>
      <c r="Y351" s="624">
        <v>27506</v>
      </c>
      <c r="Z351" s="625">
        <f t="shared" ca="1" si="7"/>
        <v>50</v>
      </c>
      <c r="AA351" s="616" t="s">
        <v>2806</v>
      </c>
      <c r="AB351" s="598" t="s">
        <v>2807</v>
      </c>
      <c r="AC351" s="598" t="s">
        <v>966</v>
      </c>
      <c r="AD351" s="598" t="s">
        <v>953</v>
      </c>
      <c r="AE351" s="616" t="s">
        <v>1041</v>
      </c>
      <c r="AF351" s="616" t="s">
        <v>2069</v>
      </c>
      <c r="AG351" s="616" t="s">
        <v>2808</v>
      </c>
      <c r="AH351" s="598"/>
      <c r="AI351" s="598"/>
      <c r="AJ351" s="598" t="s">
        <v>1025</v>
      </c>
      <c r="AK351" s="598"/>
      <c r="AL351" s="626"/>
      <c r="AM351" s="626"/>
    </row>
    <row r="352" spans="1:39" ht="18" customHeight="1">
      <c r="C352" s="598">
        <v>331</v>
      </c>
      <c r="D352" s="598" t="s">
        <v>2809</v>
      </c>
      <c r="E352" s="598">
        <f t="shared" si="6"/>
        <v>316</v>
      </c>
      <c r="F352" s="616" t="s">
        <v>1798</v>
      </c>
      <c r="G352" s="616" t="s">
        <v>4687</v>
      </c>
      <c r="H352" s="618" t="s">
        <v>1225</v>
      </c>
      <c r="I352" s="618" t="s">
        <v>2747</v>
      </c>
      <c r="J352" s="618" t="s">
        <v>2745</v>
      </c>
      <c r="K352" s="728" t="s">
        <v>2804</v>
      </c>
      <c r="L352" s="618"/>
      <c r="M352" s="627"/>
      <c r="N352" s="620"/>
      <c r="O352" s="620"/>
      <c r="P352" s="663" t="s">
        <v>2668</v>
      </c>
      <c r="Q352" s="621"/>
      <c r="R352" s="598"/>
      <c r="S352" s="598"/>
      <c r="T352" s="598"/>
      <c r="U352" s="598" t="s">
        <v>1015</v>
      </c>
      <c r="V352" s="663" t="s">
        <v>208</v>
      </c>
      <c r="W352" s="779" t="s">
        <v>2810</v>
      </c>
      <c r="X352" s="598" t="s">
        <v>950</v>
      </c>
      <c r="Y352" s="624">
        <v>21782</v>
      </c>
      <c r="Z352" s="625">
        <f t="shared" ca="1" si="7"/>
        <v>66</v>
      </c>
      <c r="AA352" s="729" t="s">
        <v>2811</v>
      </c>
      <c r="AB352" s="598" t="s">
        <v>2812</v>
      </c>
      <c r="AC352" s="598" t="s">
        <v>996</v>
      </c>
      <c r="AD352" s="598" t="s">
        <v>997</v>
      </c>
      <c r="AE352" s="616" t="s">
        <v>2069</v>
      </c>
      <c r="AF352" s="616" t="s">
        <v>2069</v>
      </c>
      <c r="AG352" s="616" t="s">
        <v>2641</v>
      </c>
      <c r="AH352" s="598"/>
      <c r="AI352" s="598"/>
      <c r="AJ352" s="598" t="s">
        <v>1025</v>
      </c>
      <c r="AK352" s="598"/>
      <c r="AL352" s="626"/>
      <c r="AM352" s="626"/>
    </row>
    <row r="353" spans="3:39" ht="18" customHeight="1">
      <c r="C353" s="598">
        <v>332</v>
      </c>
      <c r="D353" s="598" t="s">
        <v>2818</v>
      </c>
      <c r="E353" s="598">
        <f t="shared" si="6"/>
        <v>317</v>
      </c>
      <c r="F353" s="616" t="s">
        <v>1798</v>
      </c>
      <c r="G353" s="616" t="s">
        <v>4687</v>
      </c>
      <c r="H353" s="618" t="s">
        <v>1225</v>
      </c>
      <c r="I353" s="618" t="s">
        <v>2747</v>
      </c>
      <c r="J353" s="618" t="s">
        <v>2745</v>
      </c>
      <c r="K353" s="728" t="s">
        <v>2804</v>
      </c>
      <c r="L353" s="618"/>
      <c r="M353" s="627"/>
      <c r="N353" s="620"/>
      <c r="O353" s="620"/>
      <c r="P353" s="663" t="s">
        <v>2668</v>
      </c>
      <c r="Q353" s="621"/>
      <c r="R353" s="598"/>
      <c r="S353" s="598"/>
      <c r="T353" s="598"/>
      <c r="U353" s="598" t="s">
        <v>1015</v>
      </c>
      <c r="V353" s="663" t="s">
        <v>228</v>
      </c>
      <c r="W353" s="779" t="s">
        <v>2819</v>
      </c>
      <c r="X353" s="598" t="s">
        <v>950</v>
      </c>
      <c r="Y353" s="624">
        <v>22092</v>
      </c>
      <c r="Z353" s="625">
        <f t="shared" ca="1" si="7"/>
        <v>65</v>
      </c>
      <c r="AA353" s="729" t="s">
        <v>2820</v>
      </c>
      <c r="AB353" s="598" t="s">
        <v>2821</v>
      </c>
      <c r="AC353" s="598" t="s">
        <v>996</v>
      </c>
      <c r="AD353" s="598" t="s">
        <v>1018</v>
      </c>
      <c r="AE353" s="616" t="s">
        <v>1041</v>
      </c>
      <c r="AF353" s="616" t="s">
        <v>1041</v>
      </c>
      <c r="AG353" s="616" t="s">
        <v>2822</v>
      </c>
      <c r="AH353" s="598"/>
      <c r="AI353" s="598"/>
      <c r="AJ353" s="598" t="s">
        <v>1114</v>
      </c>
      <c r="AK353" s="598"/>
      <c r="AL353" s="626"/>
      <c r="AM353" s="626"/>
    </row>
    <row r="354" spans="3:39" ht="18" customHeight="1">
      <c r="C354" s="598">
        <v>333</v>
      </c>
      <c r="D354" s="598" t="s">
        <v>4692</v>
      </c>
      <c r="E354" s="598">
        <f t="shared" si="6"/>
        <v>318</v>
      </c>
      <c r="F354" s="616" t="s">
        <v>1798</v>
      </c>
      <c r="G354" s="616" t="s">
        <v>4687</v>
      </c>
      <c r="H354" s="618" t="s">
        <v>1225</v>
      </c>
      <c r="I354" s="618" t="s">
        <v>2747</v>
      </c>
      <c r="J354" s="618" t="s">
        <v>2745</v>
      </c>
      <c r="K354" s="728" t="s">
        <v>2804</v>
      </c>
      <c r="L354" s="618"/>
      <c r="M354" s="627"/>
      <c r="N354" s="620"/>
      <c r="O354" s="620"/>
      <c r="P354" s="663" t="s">
        <v>2668</v>
      </c>
      <c r="Q354" s="621"/>
      <c r="R354" s="598"/>
      <c r="S354" s="598"/>
      <c r="T354" s="598"/>
      <c r="U354" s="598" t="s">
        <v>1015</v>
      </c>
      <c r="V354" s="663" t="s">
        <v>4693</v>
      </c>
      <c r="W354" s="779" t="s">
        <v>4694</v>
      </c>
      <c r="X354" s="598" t="s">
        <v>950</v>
      </c>
      <c r="Y354" s="624">
        <v>34222</v>
      </c>
      <c r="Z354" s="625">
        <f t="shared" ca="1" si="7"/>
        <v>32</v>
      </c>
      <c r="AA354" s="616"/>
      <c r="AB354" s="598" t="s">
        <v>4695</v>
      </c>
      <c r="AC354" s="598" t="s">
        <v>996</v>
      </c>
      <c r="AD354" s="598" t="s">
        <v>997</v>
      </c>
      <c r="AE354" s="616" t="s">
        <v>1041</v>
      </c>
      <c r="AF354" s="616" t="s">
        <v>1041</v>
      </c>
      <c r="AG354" s="616" t="s">
        <v>2672</v>
      </c>
      <c r="AH354" s="598"/>
      <c r="AI354" s="598" t="s">
        <v>2837</v>
      </c>
      <c r="AJ354" s="598" t="s">
        <v>1440</v>
      </c>
      <c r="AK354" s="598"/>
      <c r="AL354" s="626"/>
      <c r="AM354" s="626"/>
    </row>
    <row r="355" spans="3:39" ht="18" customHeight="1">
      <c r="C355" s="598">
        <v>334</v>
      </c>
      <c r="D355" s="598" t="s">
        <v>2832</v>
      </c>
      <c r="E355" s="598">
        <f t="shared" si="6"/>
        <v>319</v>
      </c>
      <c r="F355" s="616" t="s">
        <v>1798</v>
      </c>
      <c r="G355" s="616" t="s">
        <v>4687</v>
      </c>
      <c r="H355" s="618" t="s">
        <v>1225</v>
      </c>
      <c r="I355" s="618" t="s">
        <v>2747</v>
      </c>
      <c r="J355" s="618" t="s">
        <v>2745</v>
      </c>
      <c r="K355" s="728" t="s">
        <v>2804</v>
      </c>
      <c r="L355" s="618"/>
      <c r="M355" s="627"/>
      <c r="N355" s="620"/>
      <c r="O355" s="620"/>
      <c r="P355" s="673" t="s">
        <v>2668</v>
      </c>
      <c r="Q355" s="621"/>
      <c r="R355" s="598"/>
      <c r="S355" s="598"/>
      <c r="T355" s="598"/>
      <c r="U355" s="598" t="s">
        <v>1015</v>
      </c>
      <c r="V355" s="664" t="s">
        <v>2833</v>
      </c>
      <c r="W355" s="779" t="s">
        <v>2834</v>
      </c>
      <c r="X355" s="598" t="s">
        <v>950</v>
      </c>
      <c r="Y355" s="624">
        <v>30979</v>
      </c>
      <c r="Z355" s="625">
        <f t="shared" ca="1" si="7"/>
        <v>41</v>
      </c>
      <c r="AA355" s="616" t="s">
        <v>2835</v>
      </c>
      <c r="AB355" s="598" t="s">
        <v>2836</v>
      </c>
      <c r="AC355" s="598" t="s">
        <v>996</v>
      </c>
      <c r="AD355" s="598" t="s">
        <v>1018</v>
      </c>
      <c r="AE355" s="616" t="s">
        <v>1041</v>
      </c>
      <c r="AF355" s="616" t="s">
        <v>1041</v>
      </c>
      <c r="AG355" s="616" t="s">
        <v>2713</v>
      </c>
      <c r="AH355" s="598"/>
      <c r="AI355" s="598" t="s">
        <v>2837</v>
      </c>
      <c r="AJ355" s="598" t="s">
        <v>1349</v>
      </c>
      <c r="AK355" s="598"/>
      <c r="AL355" s="626"/>
      <c r="AM355" s="626"/>
    </row>
    <row r="356" spans="3:39" ht="18" customHeight="1">
      <c r="C356" s="598">
        <v>335</v>
      </c>
      <c r="D356" s="598" t="s">
        <v>2843</v>
      </c>
      <c r="E356" s="598">
        <f t="shared" si="6"/>
        <v>320</v>
      </c>
      <c r="F356" s="616" t="s">
        <v>1798</v>
      </c>
      <c r="G356" s="616" t="s">
        <v>4687</v>
      </c>
      <c r="H356" s="618" t="s">
        <v>1225</v>
      </c>
      <c r="I356" s="618" t="s">
        <v>2747</v>
      </c>
      <c r="J356" s="618" t="s">
        <v>2745</v>
      </c>
      <c r="K356" s="793" t="s">
        <v>2843</v>
      </c>
      <c r="L356" s="618"/>
      <c r="M356" s="627"/>
      <c r="N356" s="620"/>
      <c r="O356" s="620"/>
      <c r="P356" s="667" t="s">
        <v>3101</v>
      </c>
      <c r="Q356" s="621"/>
      <c r="R356" s="598" t="s">
        <v>55</v>
      </c>
      <c r="S356" s="598" t="s">
        <v>55</v>
      </c>
      <c r="T356" s="598"/>
      <c r="U356" s="623" t="s">
        <v>992</v>
      </c>
      <c r="V356" s="667" t="s">
        <v>188</v>
      </c>
      <c r="W356" s="781" t="s">
        <v>2844</v>
      </c>
      <c r="X356" s="598" t="s">
        <v>950</v>
      </c>
      <c r="Y356" s="624">
        <v>32694</v>
      </c>
      <c r="Z356" s="625">
        <f t="shared" ca="1" si="7"/>
        <v>36</v>
      </c>
      <c r="AA356" s="616" t="s">
        <v>2845</v>
      </c>
      <c r="AB356" s="598" t="s">
        <v>2846</v>
      </c>
      <c r="AC356" s="598" t="s">
        <v>996</v>
      </c>
      <c r="AD356" s="598" t="s">
        <v>997</v>
      </c>
      <c r="AE356" s="616" t="s">
        <v>1041</v>
      </c>
      <c r="AF356" s="616" t="s">
        <v>1909</v>
      </c>
      <c r="AG356" s="616" t="s">
        <v>2847</v>
      </c>
      <c r="AH356" s="598"/>
      <c r="AI356" s="598"/>
      <c r="AJ356" s="598" t="s">
        <v>1025</v>
      </c>
      <c r="AK356" s="598"/>
      <c r="AL356" s="626"/>
      <c r="AM356" s="626"/>
    </row>
    <row r="357" spans="3:39" ht="18" customHeight="1">
      <c r="C357" s="598">
        <v>336</v>
      </c>
      <c r="D357" s="598" t="s">
        <v>2848</v>
      </c>
      <c r="E357" s="598">
        <f t="shared" si="6"/>
        <v>321</v>
      </c>
      <c r="F357" s="616" t="s">
        <v>1798</v>
      </c>
      <c r="G357" s="616" t="s">
        <v>4687</v>
      </c>
      <c r="H357" s="618" t="s">
        <v>1225</v>
      </c>
      <c r="I357" s="618" t="s">
        <v>2747</v>
      </c>
      <c r="J357" s="618" t="s">
        <v>2745</v>
      </c>
      <c r="K357" s="793" t="s">
        <v>2843</v>
      </c>
      <c r="L357" s="618"/>
      <c r="M357" s="627"/>
      <c r="N357" s="620"/>
      <c r="O357" s="620"/>
      <c r="P357" s="663" t="s">
        <v>3101</v>
      </c>
      <c r="Q357" s="621"/>
      <c r="R357" s="598"/>
      <c r="S357" s="598"/>
      <c r="T357" s="598"/>
      <c r="U357" s="623" t="s">
        <v>1090</v>
      </c>
      <c r="V357" s="663" t="s">
        <v>2849</v>
      </c>
      <c r="W357" s="781" t="s">
        <v>2850</v>
      </c>
      <c r="X357" s="598" t="s">
        <v>950</v>
      </c>
      <c r="Y357" s="624">
        <v>19460</v>
      </c>
      <c r="Z357" s="625">
        <f t="shared" ca="1" si="7"/>
        <v>72</v>
      </c>
      <c r="AA357" s="616"/>
      <c r="AB357" s="645" t="s">
        <v>2851</v>
      </c>
      <c r="AC357" s="598" t="s">
        <v>996</v>
      </c>
      <c r="AD357" s="598" t="s">
        <v>953</v>
      </c>
      <c r="AE357" s="616" t="s">
        <v>1041</v>
      </c>
      <c r="AF357" s="616" t="s">
        <v>1041</v>
      </c>
      <c r="AG357" s="616" t="s">
        <v>2852</v>
      </c>
      <c r="AH357" s="598"/>
      <c r="AI357" s="598"/>
      <c r="AJ357" s="598" t="s">
        <v>1440</v>
      </c>
      <c r="AK357" s="598"/>
      <c r="AL357" s="626"/>
      <c r="AM357" s="626"/>
    </row>
    <row r="358" spans="3:39" ht="18" customHeight="1">
      <c r="C358" s="598">
        <v>337</v>
      </c>
      <c r="D358" s="598" t="s">
        <v>2853</v>
      </c>
      <c r="E358" s="598">
        <f t="shared" si="6"/>
        <v>322</v>
      </c>
      <c r="F358" s="616" t="s">
        <v>1798</v>
      </c>
      <c r="G358" s="616" t="s">
        <v>4687</v>
      </c>
      <c r="H358" s="618" t="s">
        <v>1225</v>
      </c>
      <c r="I358" s="618" t="s">
        <v>2747</v>
      </c>
      <c r="J358" s="618" t="s">
        <v>2745</v>
      </c>
      <c r="K358" s="793" t="s">
        <v>2843</v>
      </c>
      <c r="L358" s="618"/>
      <c r="M358" s="627"/>
      <c r="N358" s="620"/>
      <c r="O358" s="620"/>
      <c r="P358" s="663" t="s">
        <v>3101</v>
      </c>
      <c r="Q358" s="621"/>
      <c r="R358" s="598"/>
      <c r="S358" s="598"/>
      <c r="T358" s="598"/>
      <c r="U358" s="623" t="s">
        <v>1090</v>
      </c>
      <c r="V358" s="663" t="s">
        <v>229</v>
      </c>
      <c r="W358" s="781" t="s">
        <v>2854</v>
      </c>
      <c r="X358" s="598" t="s">
        <v>950</v>
      </c>
      <c r="Y358" s="624">
        <v>17662</v>
      </c>
      <c r="Z358" s="625">
        <f t="shared" ca="1" si="7"/>
        <v>77</v>
      </c>
      <c r="AA358" s="616" t="s">
        <v>2855</v>
      </c>
      <c r="AB358" s="598" t="s">
        <v>2856</v>
      </c>
      <c r="AC358" s="598" t="s">
        <v>966</v>
      </c>
      <c r="AD358" s="598" t="s">
        <v>953</v>
      </c>
      <c r="AE358" s="616" t="s">
        <v>1041</v>
      </c>
      <c r="AF358" s="616" t="s">
        <v>1041</v>
      </c>
      <c r="AG358" s="616" t="s">
        <v>2857</v>
      </c>
      <c r="AH358" s="598"/>
      <c r="AI358" s="598"/>
      <c r="AJ358" s="598" t="s">
        <v>1025</v>
      </c>
      <c r="AK358" s="598"/>
      <c r="AL358" s="626"/>
      <c r="AM358" s="626"/>
    </row>
    <row r="359" spans="3:39" ht="18" customHeight="1">
      <c r="C359" s="598">
        <v>338</v>
      </c>
      <c r="D359" s="598" t="s">
        <v>2864</v>
      </c>
      <c r="E359" s="598">
        <f t="shared" si="6"/>
        <v>323</v>
      </c>
      <c r="F359" s="616" t="s">
        <v>1798</v>
      </c>
      <c r="G359" s="616" t="s">
        <v>4687</v>
      </c>
      <c r="H359" s="618" t="s">
        <v>1225</v>
      </c>
      <c r="I359" s="618" t="s">
        <v>2747</v>
      </c>
      <c r="J359" s="618" t="s">
        <v>2745</v>
      </c>
      <c r="K359" s="793" t="s">
        <v>2843</v>
      </c>
      <c r="L359" s="618"/>
      <c r="M359" s="627"/>
      <c r="N359" s="620"/>
      <c r="O359" s="620"/>
      <c r="P359" s="663" t="s">
        <v>3101</v>
      </c>
      <c r="Q359" s="621"/>
      <c r="R359" s="598"/>
      <c r="S359" s="598"/>
      <c r="T359" s="598"/>
      <c r="U359" s="623" t="s">
        <v>1015</v>
      </c>
      <c r="V359" s="663" t="s">
        <v>250</v>
      </c>
      <c r="W359" s="781" t="s">
        <v>2865</v>
      </c>
      <c r="X359" s="598" t="s">
        <v>950</v>
      </c>
      <c r="Y359" s="624">
        <v>29101</v>
      </c>
      <c r="Z359" s="625">
        <f t="shared" ca="1" si="7"/>
        <v>46</v>
      </c>
      <c r="AA359" s="616" t="s">
        <v>2866</v>
      </c>
      <c r="AB359" s="598" t="s">
        <v>2867</v>
      </c>
      <c r="AC359" s="598" t="s">
        <v>966</v>
      </c>
      <c r="AD359" s="598" t="s">
        <v>953</v>
      </c>
      <c r="AE359" s="616" t="s">
        <v>1041</v>
      </c>
      <c r="AF359" s="616" t="s">
        <v>2147</v>
      </c>
      <c r="AG359" s="616" t="s">
        <v>2868</v>
      </c>
      <c r="AH359" s="598"/>
      <c r="AI359" s="598"/>
      <c r="AJ359" s="598" t="s">
        <v>1025</v>
      </c>
      <c r="AK359" s="598"/>
      <c r="AL359" s="626"/>
      <c r="AM359" s="626"/>
    </row>
    <row r="360" spans="3:39" ht="18" customHeight="1">
      <c r="C360" s="598">
        <v>339</v>
      </c>
      <c r="D360" s="598" t="s">
        <v>2879</v>
      </c>
      <c r="E360" s="598">
        <f t="shared" si="6"/>
        <v>324</v>
      </c>
      <c r="F360" s="616" t="s">
        <v>1798</v>
      </c>
      <c r="G360" s="616" t="s">
        <v>4687</v>
      </c>
      <c r="H360" s="618" t="s">
        <v>1225</v>
      </c>
      <c r="I360" s="618" t="s">
        <v>2747</v>
      </c>
      <c r="J360" s="618" t="s">
        <v>2745</v>
      </c>
      <c r="K360" s="793" t="s">
        <v>2843</v>
      </c>
      <c r="L360" s="618"/>
      <c r="M360" s="627"/>
      <c r="N360" s="620"/>
      <c r="O360" s="620"/>
      <c r="P360" s="673" t="s">
        <v>3101</v>
      </c>
      <c r="Q360" s="621"/>
      <c r="R360" s="598"/>
      <c r="S360" s="598"/>
      <c r="T360" s="598"/>
      <c r="U360" s="623" t="s">
        <v>1015</v>
      </c>
      <c r="V360" s="673" t="s">
        <v>2880</v>
      </c>
      <c r="W360" s="781" t="s">
        <v>2881</v>
      </c>
      <c r="X360" s="598" t="s">
        <v>950</v>
      </c>
      <c r="Y360" s="624">
        <v>30956</v>
      </c>
      <c r="Z360" s="625">
        <f t="shared" ca="1" si="7"/>
        <v>41</v>
      </c>
      <c r="AA360" s="616" t="s">
        <v>2882</v>
      </c>
      <c r="AB360" s="598" t="s">
        <v>2883</v>
      </c>
      <c r="AC360" s="598" t="s">
        <v>996</v>
      </c>
      <c r="AD360" s="598" t="s">
        <v>997</v>
      </c>
      <c r="AE360" s="616" t="s">
        <v>1041</v>
      </c>
      <c r="AF360" s="616" t="s">
        <v>1041</v>
      </c>
      <c r="AG360" s="616" t="s">
        <v>2884</v>
      </c>
      <c r="AH360" s="598"/>
      <c r="AI360" s="598"/>
      <c r="AJ360" s="598" t="s">
        <v>1125</v>
      </c>
      <c r="AK360" s="598"/>
      <c r="AL360" s="626"/>
      <c r="AM360" s="626"/>
    </row>
    <row r="361" spans="3:39" ht="18" customHeight="1">
      <c r="C361" s="598">
        <v>340</v>
      </c>
      <c r="D361" s="598" t="s">
        <v>2885</v>
      </c>
      <c r="E361" s="598">
        <f t="shared" si="6"/>
        <v>325</v>
      </c>
      <c r="F361" s="616" t="s">
        <v>1798</v>
      </c>
      <c r="G361" s="616" t="s">
        <v>4687</v>
      </c>
      <c r="H361" s="618" t="s">
        <v>1225</v>
      </c>
      <c r="I361" s="618" t="s">
        <v>2747</v>
      </c>
      <c r="J361" s="618" t="s">
        <v>2745</v>
      </c>
      <c r="K361" s="618" t="s">
        <v>2885</v>
      </c>
      <c r="L361" s="618" t="s">
        <v>2886</v>
      </c>
      <c r="M361" s="619"/>
      <c r="N361" s="620"/>
      <c r="O361" s="620"/>
      <c r="P361" s="669" t="s">
        <v>1074</v>
      </c>
      <c r="Q361" s="621"/>
      <c r="R361" s="598" t="s">
        <v>55</v>
      </c>
      <c r="S361" s="598" t="s">
        <v>178</v>
      </c>
      <c r="T361" s="598"/>
      <c r="U361" s="598" t="s">
        <v>1015</v>
      </c>
      <c r="V361" s="667" t="s">
        <v>189</v>
      </c>
      <c r="W361" s="779" t="s">
        <v>2887</v>
      </c>
      <c r="X361" s="598" t="s">
        <v>950</v>
      </c>
      <c r="Y361" s="624">
        <v>23890</v>
      </c>
      <c r="Z361" s="625">
        <f t="shared" ca="1" si="7"/>
        <v>60</v>
      </c>
      <c r="AA361" s="616" t="s">
        <v>2888</v>
      </c>
      <c r="AB361" s="598" t="s">
        <v>2889</v>
      </c>
      <c r="AC361" s="598" t="s">
        <v>966</v>
      </c>
      <c r="AD361" s="598" t="s">
        <v>953</v>
      </c>
      <c r="AE361" s="616" t="s">
        <v>729</v>
      </c>
      <c r="AF361" s="616" t="s">
        <v>1041</v>
      </c>
      <c r="AG361" s="616" t="s">
        <v>2713</v>
      </c>
      <c r="AH361" s="598"/>
      <c r="AI361" s="598"/>
      <c r="AJ361" s="598" t="s">
        <v>1440</v>
      </c>
      <c r="AK361" s="598"/>
      <c r="AL361" s="626"/>
      <c r="AM361" s="626"/>
    </row>
    <row r="362" spans="3:39" ht="18" customHeight="1">
      <c r="C362" s="598">
        <v>341</v>
      </c>
      <c r="D362" s="598" t="s">
        <v>2886</v>
      </c>
      <c r="E362" s="598">
        <f t="shared" si="6"/>
        <v>326</v>
      </c>
      <c r="F362" s="616" t="s">
        <v>1798</v>
      </c>
      <c r="G362" s="616" t="s">
        <v>4687</v>
      </c>
      <c r="H362" s="618" t="s">
        <v>1225</v>
      </c>
      <c r="I362" s="618" t="s">
        <v>2747</v>
      </c>
      <c r="J362" s="618" t="s">
        <v>2745</v>
      </c>
      <c r="K362" s="618" t="s">
        <v>2885</v>
      </c>
      <c r="L362" s="618" t="s">
        <v>2886</v>
      </c>
      <c r="M362" s="619"/>
      <c r="N362" s="620"/>
      <c r="O362" s="620"/>
      <c r="P362" s="663" t="s">
        <v>1074</v>
      </c>
      <c r="Q362" s="621" t="s">
        <v>319</v>
      </c>
      <c r="R362" s="598" t="s">
        <v>69</v>
      </c>
      <c r="S362" s="598" t="s">
        <v>562</v>
      </c>
      <c r="T362" s="598"/>
      <c r="U362" s="598" t="s">
        <v>1015</v>
      </c>
      <c r="V362" s="663" t="s">
        <v>209</v>
      </c>
      <c r="W362" s="779" t="s">
        <v>2890</v>
      </c>
      <c r="X362" s="598" t="s">
        <v>950</v>
      </c>
      <c r="Y362" s="624">
        <v>21150</v>
      </c>
      <c r="Z362" s="625">
        <f t="shared" ca="1" si="7"/>
        <v>68</v>
      </c>
      <c r="AA362" s="616" t="s">
        <v>2891</v>
      </c>
      <c r="AB362" s="598" t="s">
        <v>2892</v>
      </c>
      <c r="AC362" s="598" t="s">
        <v>996</v>
      </c>
      <c r="AD362" s="598" t="s">
        <v>997</v>
      </c>
      <c r="AE362" s="616" t="s">
        <v>1041</v>
      </c>
      <c r="AF362" s="721" t="s">
        <v>1041</v>
      </c>
      <c r="AG362" s="616" t="s">
        <v>1382</v>
      </c>
      <c r="AH362" s="598"/>
      <c r="AI362" s="598"/>
      <c r="AJ362" s="598" t="s">
        <v>1452</v>
      </c>
      <c r="AK362" s="598"/>
      <c r="AL362" s="626"/>
      <c r="AM362" s="626"/>
    </row>
    <row r="363" spans="3:39" ht="18" customHeight="1">
      <c r="C363" s="598">
        <v>342</v>
      </c>
      <c r="D363" s="598" t="s">
        <v>2899</v>
      </c>
      <c r="E363" s="598">
        <f t="shared" si="6"/>
        <v>327</v>
      </c>
      <c r="F363" s="616" t="s">
        <v>1798</v>
      </c>
      <c r="G363" s="616" t="s">
        <v>4687</v>
      </c>
      <c r="H363" s="618" t="s">
        <v>1225</v>
      </c>
      <c r="I363" s="618" t="s">
        <v>2747</v>
      </c>
      <c r="J363" s="618" t="s">
        <v>2745</v>
      </c>
      <c r="K363" s="618" t="s">
        <v>2885</v>
      </c>
      <c r="L363" s="618" t="s">
        <v>2886</v>
      </c>
      <c r="M363" s="619"/>
      <c r="N363" s="620"/>
      <c r="O363" s="620"/>
      <c r="P363" s="663" t="s">
        <v>1074</v>
      </c>
      <c r="Q363" s="621" t="s">
        <v>319</v>
      </c>
      <c r="R363" s="598"/>
      <c r="S363" s="598"/>
      <c r="T363" s="598"/>
      <c r="U363" s="598" t="s">
        <v>1015</v>
      </c>
      <c r="V363" s="663" t="s">
        <v>230</v>
      </c>
      <c r="W363" s="779" t="s">
        <v>2900</v>
      </c>
      <c r="X363" s="598" t="s">
        <v>950</v>
      </c>
      <c r="Y363" s="624">
        <v>21259</v>
      </c>
      <c r="Z363" s="625">
        <f t="shared" ca="1" si="7"/>
        <v>67</v>
      </c>
      <c r="AA363" s="616" t="s">
        <v>2901</v>
      </c>
      <c r="AB363" s="598" t="s">
        <v>2902</v>
      </c>
      <c r="AC363" s="598" t="s">
        <v>996</v>
      </c>
      <c r="AD363" s="598" t="s">
        <v>997</v>
      </c>
      <c r="AE363" s="616" t="s">
        <v>1041</v>
      </c>
      <c r="AF363" s="721" t="s">
        <v>1041</v>
      </c>
      <c r="AG363" s="616" t="s">
        <v>2903</v>
      </c>
      <c r="AH363" s="598"/>
      <c r="AI363" s="598"/>
      <c r="AJ363" s="598" t="s">
        <v>1452</v>
      </c>
      <c r="AK363" s="598"/>
      <c r="AL363" s="626"/>
      <c r="AM363" s="626"/>
    </row>
    <row r="364" spans="3:39" ht="18" customHeight="1">
      <c r="C364" s="598">
        <v>343</v>
      </c>
      <c r="D364" s="598" t="s">
        <v>2904</v>
      </c>
      <c r="E364" s="598">
        <f t="shared" si="6"/>
        <v>328</v>
      </c>
      <c r="F364" s="616" t="s">
        <v>1798</v>
      </c>
      <c r="G364" s="616" t="s">
        <v>4687</v>
      </c>
      <c r="H364" s="618" t="s">
        <v>1225</v>
      </c>
      <c r="I364" s="618" t="s">
        <v>2747</v>
      </c>
      <c r="J364" s="618" t="s">
        <v>2745</v>
      </c>
      <c r="K364" s="618" t="s">
        <v>2885</v>
      </c>
      <c r="L364" s="618" t="s">
        <v>2886</v>
      </c>
      <c r="M364" s="619"/>
      <c r="N364" s="620"/>
      <c r="O364" s="620"/>
      <c r="P364" s="663" t="s">
        <v>1074</v>
      </c>
      <c r="Q364" s="621" t="s">
        <v>319</v>
      </c>
      <c r="R364" s="598"/>
      <c r="S364" s="598"/>
      <c r="T364" s="598"/>
      <c r="U364" s="598" t="s">
        <v>1015</v>
      </c>
      <c r="V364" s="663" t="s">
        <v>251</v>
      </c>
      <c r="W364" s="779" t="s">
        <v>2905</v>
      </c>
      <c r="X364" s="598" t="s">
        <v>950</v>
      </c>
      <c r="Y364" s="624">
        <v>21707</v>
      </c>
      <c r="Z364" s="625">
        <f t="shared" ca="1" si="7"/>
        <v>66</v>
      </c>
      <c r="AA364" s="616" t="s">
        <v>2906</v>
      </c>
      <c r="AB364" s="598" t="s">
        <v>2907</v>
      </c>
      <c r="AC364" s="598" t="s">
        <v>996</v>
      </c>
      <c r="AD364" s="598" t="s">
        <v>997</v>
      </c>
      <c r="AE364" s="616" t="s">
        <v>1041</v>
      </c>
      <c r="AF364" s="640" t="s">
        <v>729</v>
      </c>
      <c r="AG364" s="616" t="s">
        <v>2908</v>
      </c>
      <c r="AH364" s="598"/>
      <c r="AI364" s="598"/>
      <c r="AJ364" s="598" t="s">
        <v>1452</v>
      </c>
      <c r="AK364" s="598"/>
      <c r="AL364" s="626"/>
      <c r="AM364" s="626"/>
    </row>
    <row r="365" spans="3:39" ht="18" customHeight="1">
      <c r="C365" s="598">
        <v>344</v>
      </c>
      <c r="D365" s="598" t="s">
        <v>4698</v>
      </c>
      <c r="E365" s="598">
        <f t="shared" si="6"/>
        <v>329</v>
      </c>
      <c r="F365" s="616" t="s">
        <v>1798</v>
      </c>
      <c r="G365" s="616" t="s">
        <v>4687</v>
      </c>
      <c r="H365" s="618" t="s">
        <v>1225</v>
      </c>
      <c r="I365" s="618" t="s">
        <v>2747</v>
      </c>
      <c r="J365" s="618" t="s">
        <v>2745</v>
      </c>
      <c r="K365" s="618" t="s">
        <v>2885</v>
      </c>
      <c r="L365" s="618" t="s">
        <v>2886</v>
      </c>
      <c r="M365" s="619"/>
      <c r="N365" s="620"/>
      <c r="O365" s="620"/>
      <c r="P365" s="663" t="s">
        <v>1074</v>
      </c>
      <c r="Q365" s="621" t="s">
        <v>319</v>
      </c>
      <c r="R365" s="598"/>
      <c r="S365" s="598"/>
      <c r="T365" s="598"/>
      <c r="U365" s="598" t="s">
        <v>1015</v>
      </c>
      <c r="V365" s="663" t="s">
        <v>268</v>
      </c>
      <c r="W365" s="779" t="s">
        <v>4699</v>
      </c>
      <c r="X365" s="598" t="s">
        <v>950</v>
      </c>
      <c r="Y365" s="624">
        <v>26474</v>
      </c>
      <c r="Z365" s="625">
        <f t="shared" ca="1" si="7"/>
        <v>53</v>
      </c>
      <c r="AA365" s="616" t="s">
        <v>4700</v>
      </c>
      <c r="AB365" s="652"/>
      <c r="AC365" s="598" t="s">
        <v>996</v>
      </c>
      <c r="AD365" s="598" t="s">
        <v>1018</v>
      </c>
      <c r="AE365" s="616" t="s">
        <v>1041</v>
      </c>
      <c r="AF365" s="721" t="s">
        <v>1041</v>
      </c>
      <c r="AG365" s="616" t="s">
        <v>4701</v>
      </c>
      <c r="AH365" s="598"/>
      <c r="AI365" s="598" t="s">
        <v>4702</v>
      </c>
      <c r="AJ365" s="598" t="s">
        <v>1452</v>
      </c>
      <c r="AK365" s="598"/>
      <c r="AL365" s="626"/>
      <c r="AM365" s="626"/>
    </row>
    <row r="366" spans="3:39" ht="18" customHeight="1">
      <c r="C366" s="598">
        <v>345</v>
      </c>
      <c r="D366" s="598" t="s">
        <v>4703</v>
      </c>
      <c r="E366" s="598">
        <f t="shared" si="6"/>
        <v>330</v>
      </c>
      <c r="F366" s="616" t="s">
        <v>1798</v>
      </c>
      <c r="G366" s="616" t="s">
        <v>4687</v>
      </c>
      <c r="H366" s="618" t="s">
        <v>1225</v>
      </c>
      <c r="I366" s="618" t="s">
        <v>2747</v>
      </c>
      <c r="J366" s="618" t="s">
        <v>2745</v>
      </c>
      <c r="K366" s="618" t="s">
        <v>2885</v>
      </c>
      <c r="L366" s="618" t="s">
        <v>2886</v>
      </c>
      <c r="M366" s="619"/>
      <c r="N366" s="620"/>
      <c r="O366" s="620"/>
      <c r="P366" s="663" t="s">
        <v>1074</v>
      </c>
      <c r="Q366" s="621" t="s">
        <v>319</v>
      </c>
      <c r="R366" s="598"/>
      <c r="S366" s="598"/>
      <c r="T366" s="598"/>
      <c r="U366" s="598" t="s">
        <v>1015</v>
      </c>
      <c r="V366" s="663" t="s">
        <v>284</v>
      </c>
      <c r="W366" s="779" t="s">
        <v>4704</v>
      </c>
      <c r="X366" s="598" t="s">
        <v>950</v>
      </c>
      <c r="Y366" s="624">
        <v>30766</v>
      </c>
      <c r="Z366" s="625">
        <f t="shared" ca="1" si="7"/>
        <v>41</v>
      </c>
      <c r="AA366" s="616" t="s">
        <v>4705</v>
      </c>
      <c r="AB366" s="652"/>
      <c r="AC366" s="598" t="s">
        <v>996</v>
      </c>
      <c r="AD366" s="598" t="s">
        <v>1018</v>
      </c>
      <c r="AE366" s="616" t="s">
        <v>1041</v>
      </c>
      <c r="AF366" s="721" t="s">
        <v>1041</v>
      </c>
      <c r="AG366" s="616" t="s">
        <v>4706</v>
      </c>
      <c r="AH366" s="598"/>
      <c r="AI366" s="598"/>
      <c r="AJ366" s="598" t="s">
        <v>1452</v>
      </c>
      <c r="AK366" s="598"/>
      <c r="AL366" s="626"/>
      <c r="AM366" s="626"/>
    </row>
    <row r="367" spans="3:39" ht="18" customHeight="1">
      <c r="C367" s="598">
        <v>346</v>
      </c>
      <c r="D367" s="598" t="s">
        <v>2909</v>
      </c>
      <c r="E367" s="598">
        <f t="shared" si="6"/>
        <v>331</v>
      </c>
      <c r="F367" s="616" t="s">
        <v>1798</v>
      </c>
      <c r="G367" s="616" t="s">
        <v>4687</v>
      </c>
      <c r="H367" s="618" t="s">
        <v>1225</v>
      </c>
      <c r="I367" s="618" t="s">
        <v>2747</v>
      </c>
      <c r="J367" s="618" t="s">
        <v>2745</v>
      </c>
      <c r="K367" s="618" t="s">
        <v>2885</v>
      </c>
      <c r="L367" s="618" t="s">
        <v>2886</v>
      </c>
      <c r="M367" s="619"/>
      <c r="N367" s="620"/>
      <c r="O367" s="620"/>
      <c r="P367" s="673" t="s">
        <v>1074</v>
      </c>
      <c r="Q367" s="621" t="s">
        <v>319</v>
      </c>
      <c r="R367" s="598"/>
      <c r="S367" s="598"/>
      <c r="T367" s="598"/>
      <c r="U367" s="598" t="s">
        <v>1015</v>
      </c>
      <c r="V367" s="673" t="s">
        <v>295</v>
      </c>
      <c r="W367" s="779" t="s">
        <v>2910</v>
      </c>
      <c r="X367" s="598" t="s">
        <v>950</v>
      </c>
      <c r="Y367" s="624">
        <v>31673</v>
      </c>
      <c r="Z367" s="625">
        <f t="shared" ca="1" si="7"/>
        <v>39</v>
      </c>
      <c r="AA367" s="616" t="s">
        <v>2911</v>
      </c>
      <c r="AB367" s="598" t="s">
        <v>2912</v>
      </c>
      <c r="AC367" s="598" t="s">
        <v>996</v>
      </c>
      <c r="AD367" s="598" t="s">
        <v>997</v>
      </c>
      <c r="AE367" s="616" t="s">
        <v>1041</v>
      </c>
      <c r="AF367" s="721" t="s">
        <v>1041</v>
      </c>
      <c r="AG367" s="616" t="s">
        <v>2683</v>
      </c>
      <c r="AH367" s="598"/>
      <c r="AI367" s="598"/>
      <c r="AJ367" s="598" t="s">
        <v>1452</v>
      </c>
      <c r="AK367" s="598"/>
      <c r="AL367" s="626"/>
      <c r="AM367" s="626"/>
    </row>
    <row r="368" spans="3:39" ht="18" customHeight="1">
      <c r="C368" s="598">
        <v>347</v>
      </c>
      <c r="D368" s="598" t="s">
        <v>2926</v>
      </c>
      <c r="E368" s="598">
        <f t="shared" si="6"/>
        <v>332</v>
      </c>
      <c r="F368" s="616" t="s">
        <v>1798</v>
      </c>
      <c r="G368" s="616" t="s">
        <v>4687</v>
      </c>
      <c r="H368" s="618" t="s">
        <v>1225</v>
      </c>
      <c r="I368" s="618" t="s">
        <v>2747</v>
      </c>
      <c r="J368" s="618" t="s">
        <v>2745</v>
      </c>
      <c r="K368" s="618" t="s">
        <v>2926</v>
      </c>
      <c r="L368" s="618" t="s">
        <v>3647</v>
      </c>
      <c r="M368" s="679" t="s">
        <v>2927</v>
      </c>
      <c r="N368" s="620"/>
      <c r="O368" s="620"/>
      <c r="P368" s="663" t="s">
        <v>1115</v>
      </c>
      <c r="Q368" s="621"/>
      <c r="R368" s="598" t="s">
        <v>55</v>
      </c>
      <c r="S368" s="598" t="s">
        <v>178</v>
      </c>
      <c r="T368" s="598"/>
      <c r="U368" s="598" t="s">
        <v>1015</v>
      </c>
      <c r="V368" s="663" t="s">
        <v>190</v>
      </c>
      <c r="W368" s="779" t="s">
        <v>2928</v>
      </c>
      <c r="X368" s="598" t="s">
        <v>950</v>
      </c>
      <c r="Y368" s="624">
        <v>25699</v>
      </c>
      <c r="Z368" s="625">
        <f t="shared" ca="1" si="7"/>
        <v>55</v>
      </c>
      <c r="AA368" s="616" t="s">
        <v>2929</v>
      </c>
      <c r="AB368" s="598" t="s">
        <v>2930</v>
      </c>
      <c r="AC368" s="598" t="s">
        <v>966</v>
      </c>
      <c r="AD368" s="598" t="s">
        <v>953</v>
      </c>
      <c r="AE368" s="616" t="s">
        <v>1041</v>
      </c>
      <c r="AF368" s="721" t="s">
        <v>1041</v>
      </c>
      <c r="AG368" s="616" t="s">
        <v>2784</v>
      </c>
      <c r="AH368" s="598"/>
      <c r="AI368" s="598"/>
      <c r="AJ368" s="598" t="s">
        <v>1125</v>
      </c>
      <c r="AK368" s="598"/>
      <c r="AL368" s="626"/>
      <c r="AM368" s="626"/>
    </row>
    <row r="369" spans="1:39" ht="18" customHeight="1">
      <c r="C369" s="598">
        <v>348</v>
      </c>
      <c r="D369" s="598" t="s">
        <v>3647</v>
      </c>
      <c r="E369" s="598">
        <f t="shared" si="6"/>
        <v>333</v>
      </c>
      <c r="F369" s="616" t="s">
        <v>4978</v>
      </c>
      <c r="G369" s="616" t="s">
        <v>4687</v>
      </c>
      <c r="H369" s="618" t="s">
        <v>1225</v>
      </c>
      <c r="I369" s="618" t="s">
        <v>2747</v>
      </c>
      <c r="J369" s="618" t="s">
        <v>2745</v>
      </c>
      <c r="K369" s="618" t="s">
        <v>2926</v>
      </c>
      <c r="L369" s="618" t="s">
        <v>3647</v>
      </c>
      <c r="M369" s="679" t="s">
        <v>2927</v>
      </c>
      <c r="N369" s="620"/>
      <c r="O369" s="620"/>
      <c r="P369" s="663" t="s">
        <v>1115</v>
      </c>
      <c r="Q369" s="621"/>
      <c r="R369" s="598"/>
      <c r="S369" s="598"/>
      <c r="T369" s="598"/>
      <c r="U369" s="598" t="s">
        <v>1090</v>
      </c>
      <c r="V369" s="663" t="s">
        <v>210</v>
      </c>
      <c r="W369" s="779" t="s">
        <v>3648</v>
      </c>
      <c r="X369" s="598" t="s">
        <v>950</v>
      </c>
      <c r="Y369" s="624">
        <v>19481</v>
      </c>
      <c r="Z369" s="625">
        <f t="shared" ca="1" si="7"/>
        <v>72</v>
      </c>
      <c r="AA369" s="616" t="s">
        <v>3649</v>
      </c>
      <c r="AB369" s="645" t="s">
        <v>3650</v>
      </c>
      <c r="AC369" s="598" t="s">
        <v>996</v>
      </c>
      <c r="AD369" s="598" t="s">
        <v>1018</v>
      </c>
      <c r="AE369" s="616" t="s">
        <v>1078</v>
      </c>
      <c r="AF369" s="616" t="s">
        <v>3651</v>
      </c>
      <c r="AG369" s="616" t="s">
        <v>3652</v>
      </c>
      <c r="AH369" s="598"/>
      <c r="AI369" s="598"/>
      <c r="AJ369" s="598" t="s">
        <v>1318</v>
      </c>
      <c r="AK369" s="598"/>
      <c r="AL369" s="626"/>
      <c r="AM369" s="626"/>
    </row>
    <row r="370" spans="1:39" ht="18" customHeight="1">
      <c r="A370" s="174"/>
      <c r="B370" s="174"/>
      <c r="C370" s="598">
        <v>349</v>
      </c>
      <c r="D370" s="598" t="s">
        <v>2927</v>
      </c>
      <c r="E370" s="598">
        <f>SUBTOTAL(103,$U$21:U370)</f>
        <v>334</v>
      </c>
      <c r="F370" s="616" t="s">
        <v>1798</v>
      </c>
      <c r="G370" s="598" t="s">
        <v>4687</v>
      </c>
      <c r="H370" s="618" t="s">
        <v>1225</v>
      </c>
      <c r="I370" s="618" t="s">
        <v>2747</v>
      </c>
      <c r="J370" s="618" t="s">
        <v>2745</v>
      </c>
      <c r="K370" s="618" t="s">
        <v>2926</v>
      </c>
      <c r="L370" s="618" t="s">
        <v>3647</v>
      </c>
      <c r="M370" s="679" t="s">
        <v>2927</v>
      </c>
      <c r="N370" s="636"/>
      <c r="O370" s="636"/>
      <c r="P370" s="672" t="s">
        <v>1115</v>
      </c>
      <c r="Q370" s="621" t="s">
        <v>319</v>
      </c>
      <c r="R370" s="598" t="s">
        <v>69</v>
      </c>
      <c r="S370" s="598" t="s">
        <v>562</v>
      </c>
      <c r="T370" s="627"/>
      <c r="U370" s="703" t="s">
        <v>1015</v>
      </c>
      <c r="V370" s="672" t="s">
        <v>252</v>
      </c>
      <c r="W370" s="780" t="s">
        <v>2931</v>
      </c>
      <c r="X370" s="598" t="s">
        <v>950</v>
      </c>
      <c r="Y370" s="624">
        <v>23880</v>
      </c>
      <c r="Z370" s="625">
        <f t="shared" ca="1" si="7"/>
        <v>60</v>
      </c>
      <c r="AA370" s="598" t="s">
        <v>2932</v>
      </c>
      <c r="AB370" s="598" t="s">
        <v>2933</v>
      </c>
      <c r="AC370" s="598" t="s">
        <v>996</v>
      </c>
      <c r="AD370" s="598" t="s">
        <v>1018</v>
      </c>
      <c r="AE370" s="598" t="s">
        <v>1041</v>
      </c>
      <c r="AF370" s="598" t="s">
        <v>2934</v>
      </c>
      <c r="AG370" s="598" t="s">
        <v>2935</v>
      </c>
      <c r="AH370" s="627"/>
      <c r="AI370" s="627"/>
      <c r="AJ370" s="598" t="s">
        <v>1318</v>
      </c>
      <c r="AK370" s="627"/>
      <c r="AL370" s="627"/>
      <c r="AM370" s="627"/>
    </row>
    <row r="371" spans="1:39" ht="18" customHeight="1">
      <c r="C371" s="598">
        <v>350</v>
      </c>
      <c r="D371" s="598" t="s">
        <v>2936</v>
      </c>
      <c r="E371" s="598">
        <f t="shared" ref="E371:E373" si="8">SUBTOTAL(103,$U$21:U371)</f>
        <v>335</v>
      </c>
      <c r="F371" s="616" t="s">
        <v>1798</v>
      </c>
      <c r="G371" s="616" t="s">
        <v>4687</v>
      </c>
      <c r="H371" s="618" t="s">
        <v>1225</v>
      </c>
      <c r="I371" s="618" t="s">
        <v>2747</v>
      </c>
      <c r="J371" s="618" t="s">
        <v>2745</v>
      </c>
      <c r="K371" s="618" t="s">
        <v>2926</v>
      </c>
      <c r="L371" s="618" t="s">
        <v>3647</v>
      </c>
      <c r="M371" s="679" t="s">
        <v>2927</v>
      </c>
      <c r="N371" s="620"/>
      <c r="O371" s="620"/>
      <c r="P371" s="663" t="s">
        <v>1115</v>
      </c>
      <c r="Q371" s="621" t="s">
        <v>319</v>
      </c>
      <c r="R371" s="598"/>
      <c r="S371" s="598"/>
      <c r="T371" s="598"/>
      <c r="U371" s="598" t="s">
        <v>1090</v>
      </c>
      <c r="V371" s="663" t="s">
        <v>231</v>
      </c>
      <c r="W371" s="779" t="s">
        <v>2937</v>
      </c>
      <c r="X371" s="598" t="s">
        <v>950</v>
      </c>
      <c r="Y371" s="624">
        <v>19809</v>
      </c>
      <c r="Z371" s="625">
        <f t="shared" ca="1" si="7"/>
        <v>71</v>
      </c>
      <c r="AA371" s="616" t="s">
        <v>2938</v>
      </c>
      <c r="AB371" s="598" t="s">
        <v>2939</v>
      </c>
      <c r="AC371" s="598" t="s">
        <v>996</v>
      </c>
      <c r="AD371" s="598" t="s">
        <v>1018</v>
      </c>
      <c r="AE371" s="616" t="s">
        <v>1041</v>
      </c>
      <c r="AF371" s="721" t="s">
        <v>1041</v>
      </c>
      <c r="AG371" s="616" t="s">
        <v>1382</v>
      </c>
      <c r="AH371" s="598"/>
      <c r="AI371" s="598"/>
      <c r="AJ371" s="598" t="s">
        <v>1318</v>
      </c>
      <c r="AK371" s="598"/>
      <c r="AL371" s="626"/>
      <c r="AM371" s="626"/>
    </row>
    <row r="372" spans="1:39" ht="18" customHeight="1">
      <c r="C372" s="598">
        <v>351</v>
      </c>
      <c r="D372" s="598" t="s">
        <v>2946</v>
      </c>
      <c r="E372" s="598">
        <f t="shared" si="8"/>
        <v>336</v>
      </c>
      <c r="F372" s="616" t="s">
        <v>1798</v>
      </c>
      <c r="G372" s="616" t="s">
        <v>4687</v>
      </c>
      <c r="H372" s="618" t="s">
        <v>1225</v>
      </c>
      <c r="I372" s="618" t="s">
        <v>2747</v>
      </c>
      <c r="J372" s="618" t="s">
        <v>2745</v>
      </c>
      <c r="K372" s="618" t="s">
        <v>2926</v>
      </c>
      <c r="L372" s="618" t="s">
        <v>3647</v>
      </c>
      <c r="M372" s="679" t="s">
        <v>2927</v>
      </c>
      <c r="N372" s="620"/>
      <c r="O372" s="620"/>
      <c r="P372" s="673" t="s">
        <v>1115</v>
      </c>
      <c r="Q372" s="621" t="s">
        <v>319</v>
      </c>
      <c r="R372" s="598"/>
      <c r="S372" s="598"/>
      <c r="T372" s="631"/>
      <c r="U372" s="598" t="s">
        <v>1015</v>
      </c>
      <c r="V372" s="673" t="s">
        <v>269</v>
      </c>
      <c r="W372" s="779" t="s">
        <v>2947</v>
      </c>
      <c r="X372" s="598" t="s">
        <v>950</v>
      </c>
      <c r="Y372" s="624">
        <v>26431</v>
      </c>
      <c r="Z372" s="625">
        <f t="shared" ca="1" si="7"/>
        <v>53</v>
      </c>
      <c r="AA372" s="616" t="s">
        <v>2948</v>
      </c>
      <c r="AB372" s="730" t="s">
        <v>2949</v>
      </c>
      <c r="AC372" s="598" t="s">
        <v>996</v>
      </c>
      <c r="AD372" s="598" t="s">
        <v>1018</v>
      </c>
      <c r="AE372" s="616" t="s">
        <v>1041</v>
      </c>
      <c r="AF372" s="721" t="s">
        <v>1041</v>
      </c>
      <c r="AG372" s="616" t="s">
        <v>2683</v>
      </c>
      <c r="AH372" s="598"/>
      <c r="AI372" s="598"/>
      <c r="AJ372" s="598" t="s">
        <v>1318</v>
      </c>
      <c r="AK372" s="598"/>
      <c r="AL372" s="626"/>
      <c r="AM372" s="626"/>
    </row>
    <row r="373" spans="1:39" ht="18" customHeight="1">
      <c r="C373" s="598">
        <v>352</v>
      </c>
      <c r="D373" s="598" t="s">
        <v>1303</v>
      </c>
      <c r="E373" s="598">
        <f t="shared" si="8"/>
        <v>336</v>
      </c>
      <c r="F373" s="616"/>
      <c r="G373" s="616" t="s">
        <v>4687</v>
      </c>
      <c r="H373" s="618" t="s">
        <v>1225</v>
      </c>
      <c r="I373" s="618" t="s">
        <v>2747</v>
      </c>
      <c r="J373" s="618" t="s">
        <v>1195</v>
      </c>
      <c r="K373" s="618" t="s">
        <v>1303</v>
      </c>
      <c r="L373" s="791" t="s">
        <v>3002</v>
      </c>
      <c r="M373" s="679" t="s">
        <v>3001</v>
      </c>
      <c r="N373" s="620"/>
      <c r="O373" s="620"/>
      <c r="P373" s="667" t="s">
        <v>1127</v>
      </c>
      <c r="Q373" s="621"/>
      <c r="R373" s="598" t="s">
        <v>55</v>
      </c>
      <c r="S373" s="598" t="s">
        <v>55</v>
      </c>
      <c r="T373" s="598"/>
      <c r="U373" s="598"/>
      <c r="V373" s="667" t="s">
        <v>176</v>
      </c>
      <c r="W373" s="779" t="s">
        <v>1305</v>
      </c>
      <c r="X373" s="598" t="s">
        <v>950</v>
      </c>
      <c r="Y373" s="624">
        <v>21384</v>
      </c>
      <c r="Z373" s="625">
        <f t="shared" ca="1" si="7"/>
        <v>67</v>
      </c>
      <c r="AA373" s="616" t="s">
        <v>1306</v>
      </c>
      <c r="AB373" s="598"/>
      <c r="AC373" s="598" t="s">
        <v>996</v>
      </c>
      <c r="AD373" s="598" t="s">
        <v>953</v>
      </c>
      <c r="AE373" s="616" t="s">
        <v>729</v>
      </c>
      <c r="AF373" s="616" t="s">
        <v>1239</v>
      </c>
      <c r="AG373" s="616" t="s">
        <v>1258</v>
      </c>
      <c r="AH373" s="598" t="s">
        <v>955</v>
      </c>
      <c r="AI373" s="598"/>
      <c r="AJ373" s="598"/>
      <c r="AK373" s="598"/>
      <c r="AL373" s="626"/>
      <c r="AM373" s="626"/>
    </row>
    <row r="374" spans="1:39" ht="18" customHeight="1">
      <c r="A374" s="174"/>
      <c r="B374" s="174"/>
      <c r="C374" s="598">
        <v>353</v>
      </c>
      <c r="D374" s="598" t="s">
        <v>3002</v>
      </c>
      <c r="E374" s="598">
        <f>SUBTOTAL(103,$U$21:U374)</f>
        <v>337</v>
      </c>
      <c r="F374" s="616" t="s">
        <v>1798</v>
      </c>
      <c r="G374" s="598" t="s">
        <v>4687</v>
      </c>
      <c r="H374" s="618" t="s">
        <v>1225</v>
      </c>
      <c r="I374" s="618" t="s">
        <v>2747</v>
      </c>
      <c r="J374" s="618" t="s">
        <v>1195</v>
      </c>
      <c r="K374" s="618" t="s">
        <v>1303</v>
      </c>
      <c r="L374" s="791" t="s">
        <v>3002</v>
      </c>
      <c r="M374" s="679" t="s">
        <v>3001</v>
      </c>
      <c r="N374" s="636"/>
      <c r="O374" s="636"/>
      <c r="P374" s="672" t="s">
        <v>1127</v>
      </c>
      <c r="Q374" s="621" t="s">
        <v>319</v>
      </c>
      <c r="R374" s="598" t="s">
        <v>69</v>
      </c>
      <c r="S374" s="598" t="s">
        <v>562</v>
      </c>
      <c r="T374" s="627"/>
      <c r="U374" s="703" t="s">
        <v>1015</v>
      </c>
      <c r="V374" s="672" t="s">
        <v>253</v>
      </c>
      <c r="W374" s="780" t="s">
        <v>3006</v>
      </c>
      <c r="X374" s="598" t="s">
        <v>950</v>
      </c>
      <c r="Y374" s="624">
        <v>25424</v>
      </c>
      <c r="Z374" s="625">
        <f t="shared" ca="1" si="7"/>
        <v>56</v>
      </c>
      <c r="AA374" s="598" t="s">
        <v>3007</v>
      </c>
      <c r="AB374" s="598" t="s">
        <v>3008</v>
      </c>
      <c r="AC374" s="598" t="s">
        <v>996</v>
      </c>
      <c r="AD374" s="598" t="s">
        <v>1018</v>
      </c>
      <c r="AE374" s="598" t="s">
        <v>1041</v>
      </c>
      <c r="AF374" s="721" t="s">
        <v>1041</v>
      </c>
      <c r="AG374" s="598" t="s">
        <v>1473</v>
      </c>
      <c r="AH374" s="627"/>
      <c r="AI374" s="627"/>
      <c r="AJ374" s="629" t="s">
        <v>1359</v>
      </c>
      <c r="AK374" s="627"/>
      <c r="AL374" s="627"/>
      <c r="AM374" s="627"/>
    </row>
    <row r="375" spans="1:39" ht="18" customHeight="1">
      <c r="C375" s="598">
        <v>354</v>
      </c>
      <c r="D375" s="598" t="s">
        <v>3001</v>
      </c>
      <c r="E375" s="598">
        <f t="shared" ref="E375:E542" si="9">SUBTOTAL(103,$U$21:U375)</f>
        <v>338</v>
      </c>
      <c r="F375" s="616" t="s">
        <v>1798</v>
      </c>
      <c r="G375" s="616" t="s">
        <v>4687</v>
      </c>
      <c r="H375" s="618" t="s">
        <v>1225</v>
      </c>
      <c r="I375" s="618" t="s">
        <v>2747</v>
      </c>
      <c r="J375" s="618" t="s">
        <v>1195</v>
      </c>
      <c r="K375" s="618" t="s">
        <v>1303</v>
      </c>
      <c r="L375" s="791" t="s">
        <v>3002</v>
      </c>
      <c r="M375" s="679" t="s">
        <v>3001</v>
      </c>
      <c r="N375" s="620"/>
      <c r="O375" s="620"/>
      <c r="P375" s="663" t="s">
        <v>1127</v>
      </c>
      <c r="Q375" s="621" t="s">
        <v>319</v>
      </c>
      <c r="R375" s="598" t="s">
        <v>69</v>
      </c>
      <c r="S375" s="598" t="s">
        <v>562</v>
      </c>
      <c r="T375" s="598"/>
      <c r="U375" s="598" t="s">
        <v>1015</v>
      </c>
      <c r="V375" s="663" t="s">
        <v>296</v>
      </c>
      <c r="W375" s="779" t="s">
        <v>3003</v>
      </c>
      <c r="X375" s="598" t="s">
        <v>950</v>
      </c>
      <c r="Y375" s="624">
        <v>25965</v>
      </c>
      <c r="Z375" s="625">
        <f t="shared" ca="1" si="7"/>
        <v>54</v>
      </c>
      <c r="AA375" s="616" t="s">
        <v>3004</v>
      </c>
      <c r="AB375" s="598" t="s">
        <v>3005</v>
      </c>
      <c r="AC375" s="598" t="s">
        <v>996</v>
      </c>
      <c r="AD375" s="598" t="s">
        <v>1018</v>
      </c>
      <c r="AE375" s="616" t="s">
        <v>1041</v>
      </c>
      <c r="AF375" s="721" t="s">
        <v>1041</v>
      </c>
      <c r="AG375" s="616" t="s">
        <v>2645</v>
      </c>
      <c r="AH375" s="598"/>
      <c r="AI375" s="598"/>
      <c r="AJ375" s="634" t="s">
        <v>1359</v>
      </c>
      <c r="AK375" s="598"/>
      <c r="AL375" s="626"/>
      <c r="AM375" s="626"/>
    </row>
    <row r="376" spans="1:39" ht="18" customHeight="1">
      <c r="C376" s="598">
        <v>355</v>
      </c>
      <c r="D376" s="598" t="s">
        <v>2992</v>
      </c>
      <c r="E376" s="598">
        <f t="shared" si="9"/>
        <v>339</v>
      </c>
      <c r="F376" s="616" t="s">
        <v>1798</v>
      </c>
      <c r="G376" s="616" t="s">
        <v>4687</v>
      </c>
      <c r="H376" s="618" t="s">
        <v>1225</v>
      </c>
      <c r="I376" s="618" t="s">
        <v>2747</v>
      </c>
      <c r="J376" s="618" t="s">
        <v>1195</v>
      </c>
      <c r="K376" s="618" t="s">
        <v>1303</v>
      </c>
      <c r="L376" s="791" t="s">
        <v>3002</v>
      </c>
      <c r="M376" s="679" t="s">
        <v>3001</v>
      </c>
      <c r="N376" s="620"/>
      <c r="O376" s="620"/>
      <c r="P376" s="663" t="s">
        <v>1127</v>
      </c>
      <c r="Q376" s="621" t="s">
        <v>319</v>
      </c>
      <c r="R376" s="598"/>
      <c r="S376" s="598"/>
      <c r="T376" s="598"/>
      <c r="U376" s="598" t="s">
        <v>1015</v>
      </c>
      <c r="V376" s="663" t="s">
        <v>211</v>
      </c>
      <c r="W376" s="779" t="s">
        <v>2993</v>
      </c>
      <c r="X376" s="598" t="s">
        <v>950</v>
      </c>
      <c r="Y376" s="624">
        <v>21961</v>
      </c>
      <c r="Z376" s="625">
        <f t="shared" ca="1" si="7"/>
        <v>65</v>
      </c>
      <c r="AA376" s="616" t="s">
        <v>2994</v>
      </c>
      <c r="AB376" s="598" t="s">
        <v>2995</v>
      </c>
      <c r="AC376" s="598" t="s">
        <v>996</v>
      </c>
      <c r="AD376" s="598" t="s">
        <v>1018</v>
      </c>
      <c r="AE376" s="616" t="s">
        <v>1041</v>
      </c>
      <c r="AF376" s="721" t="s">
        <v>1041</v>
      </c>
      <c r="AG376" s="616" t="s">
        <v>1473</v>
      </c>
      <c r="AH376" s="598"/>
      <c r="AI376" s="598"/>
      <c r="AJ376" s="634" t="s">
        <v>1359</v>
      </c>
      <c r="AK376" s="598"/>
      <c r="AL376" s="626"/>
      <c r="AM376" s="626"/>
    </row>
    <row r="377" spans="1:39" ht="18" customHeight="1">
      <c r="C377" s="598">
        <v>356</v>
      </c>
      <c r="D377" s="598" t="s">
        <v>3013</v>
      </c>
      <c r="E377" s="598">
        <f t="shared" si="9"/>
        <v>340</v>
      </c>
      <c r="F377" s="616" t="s">
        <v>1798</v>
      </c>
      <c r="G377" s="616" t="s">
        <v>4687</v>
      </c>
      <c r="H377" s="618" t="s">
        <v>1225</v>
      </c>
      <c r="I377" s="618" t="s">
        <v>2747</v>
      </c>
      <c r="J377" s="618" t="s">
        <v>1195</v>
      </c>
      <c r="K377" s="618" t="s">
        <v>1303</v>
      </c>
      <c r="L377" s="791" t="s">
        <v>3002</v>
      </c>
      <c r="M377" s="679" t="s">
        <v>3001</v>
      </c>
      <c r="N377" s="620"/>
      <c r="O377" s="620"/>
      <c r="P377" s="663" t="s">
        <v>1127</v>
      </c>
      <c r="Q377" s="621" t="s">
        <v>319</v>
      </c>
      <c r="R377" s="598"/>
      <c r="S377" s="598"/>
      <c r="T377" s="598"/>
      <c r="U377" s="598" t="s">
        <v>1015</v>
      </c>
      <c r="V377" s="663" t="s">
        <v>232</v>
      </c>
      <c r="W377" s="779" t="s">
        <v>3014</v>
      </c>
      <c r="X377" s="598" t="s">
        <v>950</v>
      </c>
      <c r="Y377" s="624">
        <v>22297</v>
      </c>
      <c r="Z377" s="625">
        <f t="shared" ca="1" si="7"/>
        <v>65</v>
      </c>
      <c r="AA377" s="616" t="s">
        <v>3015</v>
      </c>
      <c r="AB377" s="598" t="s">
        <v>3016</v>
      </c>
      <c r="AC377" s="598" t="s">
        <v>996</v>
      </c>
      <c r="AD377" s="598" t="s">
        <v>1018</v>
      </c>
      <c r="AE377" s="616" t="s">
        <v>1041</v>
      </c>
      <c r="AF377" s="721" t="s">
        <v>1041</v>
      </c>
      <c r="AG377" s="616" t="s">
        <v>3017</v>
      </c>
      <c r="AH377" s="598"/>
      <c r="AI377" s="598"/>
      <c r="AJ377" s="634" t="s">
        <v>1359</v>
      </c>
      <c r="AK377" s="598"/>
      <c r="AL377" s="626"/>
      <c r="AM377" s="626"/>
    </row>
    <row r="378" spans="1:39" ht="18" customHeight="1">
      <c r="C378" s="598">
        <v>357</v>
      </c>
      <c r="D378" s="598" t="s">
        <v>3018</v>
      </c>
      <c r="E378" s="598">
        <f t="shared" si="9"/>
        <v>341</v>
      </c>
      <c r="F378" s="616" t="s">
        <v>1798</v>
      </c>
      <c r="G378" s="616" t="s">
        <v>4687</v>
      </c>
      <c r="H378" s="618" t="s">
        <v>1225</v>
      </c>
      <c r="I378" s="618" t="s">
        <v>2747</v>
      </c>
      <c r="J378" s="618" t="s">
        <v>1195</v>
      </c>
      <c r="K378" s="618" t="s">
        <v>1303</v>
      </c>
      <c r="L378" s="791" t="s">
        <v>3002</v>
      </c>
      <c r="M378" s="679" t="s">
        <v>3001</v>
      </c>
      <c r="N378" s="620"/>
      <c r="O378" s="620"/>
      <c r="P378" s="663" t="s">
        <v>1127</v>
      </c>
      <c r="Q378" s="621" t="s">
        <v>319</v>
      </c>
      <c r="R378" s="598"/>
      <c r="S378" s="598"/>
      <c r="T378" s="598"/>
      <c r="U378" s="598" t="s">
        <v>1015</v>
      </c>
      <c r="V378" s="663" t="s">
        <v>270</v>
      </c>
      <c r="W378" s="779" t="s">
        <v>3019</v>
      </c>
      <c r="X378" s="598" t="s">
        <v>950</v>
      </c>
      <c r="Y378" s="624">
        <v>25568</v>
      </c>
      <c r="Z378" s="625">
        <f t="shared" ca="1" si="7"/>
        <v>56</v>
      </c>
      <c r="AA378" s="616" t="s">
        <v>3020</v>
      </c>
      <c r="AB378" s="598" t="s">
        <v>3021</v>
      </c>
      <c r="AC378" s="598" t="s">
        <v>996</v>
      </c>
      <c r="AD378" s="598" t="s">
        <v>1018</v>
      </c>
      <c r="AE378" s="616" t="s">
        <v>1041</v>
      </c>
      <c r="AF378" s="721" t="s">
        <v>1041</v>
      </c>
      <c r="AG378" s="616" t="s">
        <v>2654</v>
      </c>
      <c r="AH378" s="598"/>
      <c r="AI378" s="598"/>
      <c r="AJ378" s="634" t="s">
        <v>1359</v>
      </c>
      <c r="AK378" s="598"/>
      <c r="AL378" s="626"/>
      <c r="AM378" s="626"/>
    </row>
    <row r="379" spans="1:39" ht="18" customHeight="1">
      <c r="C379" s="598">
        <v>358</v>
      </c>
      <c r="D379" s="598" t="s">
        <v>3009</v>
      </c>
      <c r="E379" s="598">
        <f t="shared" si="9"/>
        <v>342</v>
      </c>
      <c r="F379" s="616" t="s">
        <v>1798</v>
      </c>
      <c r="G379" s="616" t="s">
        <v>4687</v>
      </c>
      <c r="H379" s="618" t="s">
        <v>1225</v>
      </c>
      <c r="I379" s="618" t="s">
        <v>2747</v>
      </c>
      <c r="J379" s="618" t="s">
        <v>1195</v>
      </c>
      <c r="K379" s="618" t="s">
        <v>1303</v>
      </c>
      <c r="L379" s="791" t="s">
        <v>3002</v>
      </c>
      <c r="M379" s="679" t="s">
        <v>3001</v>
      </c>
      <c r="N379" s="620"/>
      <c r="O379" s="620"/>
      <c r="P379" s="663" t="s">
        <v>1127</v>
      </c>
      <c r="Q379" s="621" t="s">
        <v>319</v>
      </c>
      <c r="R379" s="598"/>
      <c r="S379" s="598"/>
      <c r="T379" s="598"/>
      <c r="U379" s="598" t="s">
        <v>1015</v>
      </c>
      <c r="V379" s="663" t="s">
        <v>285</v>
      </c>
      <c r="W379" s="779" t="s">
        <v>3010</v>
      </c>
      <c r="X379" s="598" t="s">
        <v>950</v>
      </c>
      <c r="Y379" s="624">
        <v>25925</v>
      </c>
      <c r="Z379" s="625">
        <f t="shared" ca="1" si="7"/>
        <v>55</v>
      </c>
      <c r="AA379" s="616" t="s">
        <v>3011</v>
      </c>
      <c r="AB379" s="598" t="s">
        <v>3012</v>
      </c>
      <c r="AC379" s="598" t="s">
        <v>996</v>
      </c>
      <c r="AD379" s="598" t="s">
        <v>1018</v>
      </c>
      <c r="AE379" s="616" t="s">
        <v>1041</v>
      </c>
      <c r="AF379" s="721" t="s">
        <v>1041</v>
      </c>
      <c r="AG379" s="616" t="s">
        <v>2654</v>
      </c>
      <c r="AH379" s="598"/>
      <c r="AI379" s="598"/>
      <c r="AJ379" s="634" t="s">
        <v>1359</v>
      </c>
      <c r="AK379" s="598"/>
      <c r="AL379" s="626"/>
      <c r="AM379" s="626"/>
    </row>
    <row r="380" spans="1:39" ht="18" customHeight="1">
      <c r="C380" s="598">
        <v>359</v>
      </c>
      <c r="D380" s="598" t="s">
        <v>4707</v>
      </c>
      <c r="E380" s="598">
        <f t="shared" si="9"/>
        <v>343</v>
      </c>
      <c r="F380" s="616" t="s">
        <v>4978</v>
      </c>
      <c r="G380" s="616" t="s">
        <v>4687</v>
      </c>
      <c r="H380" s="618" t="s">
        <v>1225</v>
      </c>
      <c r="I380" s="618" t="s">
        <v>2747</v>
      </c>
      <c r="J380" s="618" t="s">
        <v>1195</v>
      </c>
      <c r="K380" s="618" t="s">
        <v>1303</v>
      </c>
      <c r="L380" s="791" t="s">
        <v>3002</v>
      </c>
      <c r="M380" s="679" t="s">
        <v>3001</v>
      </c>
      <c r="N380" s="620"/>
      <c r="O380" s="620"/>
      <c r="P380" s="663" t="s">
        <v>1127</v>
      </c>
      <c r="Q380" s="621" t="s">
        <v>319</v>
      </c>
      <c r="R380" s="598"/>
      <c r="S380" s="598"/>
      <c r="T380" s="598"/>
      <c r="U380" s="598" t="s">
        <v>1015</v>
      </c>
      <c r="V380" s="663" t="s">
        <v>4708</v>
      </c>
      <c r="W380" s="779" t="s">
        <v>4709</v>
      </c>
      <c r="X380" s="598" t="s">
        <v>950</v>
      </c>
      <c r="Y380" s="624">
        <v>26507</v>
      </c>
      <c r="Z380" s="625">
        <f t="shared" ca="1" si="7"/>
        <v>53</v>
      </c>
      <c r="AA380" s="616" t="s">
        <v>4710</v>
      </c>
      <c r="AB380" s="652"/>
      <c r="AC380" s="598" t="s">
        <v>996</v>
      </c>
      <c r="AD380" s="598" t="s">
        <v>1018</v>
      </c>
      <c r="AE380" s="616" t="s">
        <v>2069</v>
      </c>
      <c r="AF380" s="616" t="s">
        <v>2069</v>
      </c>
      <c r="AG380" s="616" t="s">
        <v>4711</v>
      </c>
      <c r="AH380" s="598"/>
      <c r="AI380" s="598" t="s">
        <v>2310</v>
      </c>
      <c r="AJ380" s="634" t="s">
        <v>1359</v>
      </c>
      <c r="AK380" s="598" t="s">
        <v>1020</v>
      </c>
      <c r="AL380" s="626"/>
      <c r="AM380" s="626"/>
    </row>
    <row r="381" spans="1:39" ht="18" customHeight="1">
      <c r="C381" s="598">
        <v>360</v>
      </c>
      <c r="D381" s="598" t="s">
        <v>3022</v>
      </c>
      <c r="E381" s="598">
        <f t="shared" si="9"/>
        <v>344</v>
      </c>
      <c r="F381" s="616" t="s">
        <v>1798</v>
      </c>
      <c r="G381" s="616" t="s">
        <v>4687</v>
      </c>
      <c r="H381" s="618" t="s">
        <v>1225</v>
      </c>
      <c r="I381" s="618" t="s">
        <v>2747</v>
      </c>
      <c r="J381" s="618" t="s">
        <v>1195</v>
      </c>
      <c r="K381" s="618" t="s">
        <v>1303</v>
      </c>
      <c r="L381" s="791" t="s">
        <v>3002</v>
      </c>
      <c r="M381" s="679" t="s">
        <v>3001</v>
      </c>
      <c r="N381" s="620"/>
      <c r="O381" s="620"/>
      <c r="P381" s="663" t="s">
        <v>1127</v>
      </c>
      <c r="Q381" s="621" t="s">
        <v>319</v>
      </c>
      <c r="R381" s="598"/>
      <c r="S381" s="598"/>
      <c r="T381" s="598"/>
      <c r="U381" s="598" t="s">
        <v>1015</v>
      </c>
      <c r="V381" s="663" t="s">
        <v>309</v>
      </c>
      <c r="W381" s="779" t="s">
        <v>3023</v>
      </c>
      <c r="X381" s="598" t="s">
        <v>950</v>
      </c>
      <c r="Y381" s="624">
        <v>29212</v>
      </c>
      <c r="Z381" s="625">
        <f t="shared" ca="1" si="7"/>
        <v>46</v>
      </c>
      <c r="AA381" s="616" t="s">
        <v>3024</v>
      </c>
      <c r="AB381" s="598" t="s">
        <v>3025</v>
      </c>
      <c r="AC381" s="598" t="s">
        <v>996</v>
      </c>
      <c r="AD381" s="598" t="s">
        <v>997</v>
      </c>
      <c r="AE381" s="616" t="s">
        <v>1041</v>
      </c>
      <c r="AF381" s="616" t="s">
        <v>3026</v>
      </c>
      <c r="AG381" s="616" t="s">
        <v>3027</v>
      </c>
      <c r="AH381" s="598"/>
      <c r="AI381" s="598"/>
      <c r="AJ381" s="634" t="s">
        <v>1359</v>
      </c>
      <c r="AK381" s="598"/>
      <c r="AL381" s="626"/>
      <c r="AM381" s="626"/>
    </row>
    <row r="382" spans="1:39" ht="18" customHeight="1">
      <c r="C382" s="598">
        <v>361</v>
      </c>
      <c r="D382" s="598" t="s">
        <v>2748</v>
      </c>
      <c r="E382" s="598">
        <f t="shared" si="9"/>
        <v>345</v>
      </c>
      <c r="F382" s="616" t="s">
        <v>1798</v>
      </c>
      <c r="G382" s="616" t="s">
        <v>4687</v>
      </c>
      <c r="H382" s="618" t="s">
        <v>1225</v>
      </c>
      <c r="I382" s="618" t="s">
        <v>2747</v>
      </c>
      <c r="J382" s="618" t="s">
        <v>1195</v>
      </c>
      <c r="K382" s="618" t="s">
        <v>1303</v>
      </c>
      <c r="L382" s="791" t="s">
        <v>3002</v>
      </c>
      <c r="M382" s="679" t="s">
        <v>3001</v>
      </c>
      <c r="N382" s="620"/>
      <c r="O382" s="620"/>
      <c r="P382" s="673" t="s">
        <v>1127</v>
      </c>
      <c r="Q382" s="621" t="s">
        <v>319</v>
      </c>
      <c r="R382" s="598"/>
      <c r="S382" s="598"/>
      <c r="T382" s="598"/>
      <c r="U382" s="598" t="s">
        <v>1015</v>
      </c>
      <c r="V382" s="673" t="s">
        <v>313</v>
      </c>
      <c r="W382" s="779" t="s">
        <v>2752</v>
      </c>
      <c r="X382" s="598" t="s">
        <v>950</v>
      </c>
      <c r="Y382" s="624">
        <v>31483</v>
      </c>
      <c r="Z382" s="625">
        <f t="shared" ca="1" si="7"/>
        <v>39</v>
      </c>
      <c r="AA382" s="616" t="s">
        <v>2753</v>
      </c>
      <c r="AB382" s="598" t="s">
        <v>2754</v>
      </c>
      <c r="AC382" s="598" t="s">
        <v>996</v>
      </c>
      <c r="AD382" s="598" t="s">
        <v>997</v>
      </c>
      <c r="AE382" s="616" t="s">
        <v>1041</v>
      </c>
      <c r="AF382" s="721" t="s">
        <v>1041</v>
      </c>
      <c r="AG382" s="616" t="s">
        <v>2649</v>
      </c>
      <c r="AH382" s="598"/>
      <c r="AI382" s="598"/>
      <c r="AJ382" s="634" t="s">
        <v>1359</v>
      </c>
      <c r="AK382" s="598"/>
      <c r="AL382" s="626"/>
      <c r="AM382" s="626"/>
    </row>
    <row r="383" spans="1:39" ht="18" customHeight="1">
      <c r="C383" s="598">
        <v>362</v>
      </c>
      <c r="D383" s="598" t="s">
        <v>1225</v>
      </c>
      <c r="E383" s="598">
        <f t="shared" si="9"/>
        <v>345</v>
      </c>
      <c r="F383" s="616"/>
      <c r="G383" s="616" t="s">
        <v>1226</v>
      </c>
      <c r="H383" s="618" t="s">
        <v>1225</v>
      </c>
      <c r="I383" s="618" t="s">
        <v>114</v>
      </c>
      <c r="J383" s="618" t="s">
        <v>1225</v>
      </c>
      <c r="K383" s="618" t="s">
        <v>4688</v>
      </c>
      <c r="L383" s="618" t="s">
        <v>959</v>
      </c>
      <c r="M383" s="619" t="s">
        <v>959</v>
      </c>
      <c r="N383" s="620"/>
      <c r="O383" s="620"/>
      <c r="P383" s="667" t="s">
        <v>1044</v>
      </c>
      <c r="Q383" s="621"/>
      <c r="R383" s="598" t="s">
        <v>173</v>
      </c>
      <c r="S383" s="598" t="s">
        <v>1228</v>
      </c>
      <c r="T383" s="598" t="s">
        <v>55</v>
      </c>
      <c r="U383" s="598"/>
      <c r="V383" s="667" t="s">
        <v>114</v>
      </c>
      <c r="W383" s="779" t="s">
        <v>1229</v>
      </c>
      <c r="X383" s="598" t="s">
        <v>950</v>
      </c>
      <c r="Y383" s="616"/>
      <c r="Z383" s="616"/>
      <c r="AA383" s="616"/>
      <c r="AB383" s="598"/>
      <c r="AC383" s="598"/>
      <c r="AD383" s="598"/>
      <c r="AE383" s="598"/>
      <c r="AF383" s="598"/>
      <c r="AG383" s="598"/>
      <c r="AH383" s="598" t="s">
        <v>955</v>
      </c>
      <c r="AI383" s="598"/>
      <c r="AJ383" s="598"/>
      <c r="AK383" s="598"/>
      <c r="AL383" s="626"/>
      <c r="AM383" s="626"/>
    </row>
    <row r="384" spans="1:39" ht="18" customHeight="1">
      <c r="C384" s="598">
        <v>363</v>
      </c>
      <c r="D384" s="598" t="s">
        <v>3092</v>
      </c>
      <c r="E384" s="598">
        <f t="shared" si="9"/>
        <v>346</v>
      </c>
      <c r="F384" s="616" t="s">
        <v>1798</v>
      </c>
      <c r="G384" s="616" t="s">
        <v>1226</v>
      </c>
      <c r="H384" s="618" t="s">
        <v>1225</v>
      </c>
      <c r="I384" s="618" t="s">
        <v>114</v>
      </c>
      <c r="J384" s="618" t="s">
        <v>1225</v>
      </c>
      <c r="K384" s="618" t="s">
        <v>4688</v>
      </c>
      <c r="L384" s="618" t="s">
        <v>959</v>
      </c>
      <c r="M384" s="619"/>
      <c r="N384" s="620"/>
      <c r="O384" s="620"/>
      <c r="P384" s="663" t="s">
        <v>1044</v>
      </c>
      <c r="Q384" s="621"/>
      <c r="R384" s="598"/>
      <c r="S384" s="598"/>
      <c r="T384" s="598"/>
      <c r="U384" s="598" t="s">
        <v>992</v>
      </c>
      <c r="V384" s="663" t="s">
        <v>3093</v>
      </c>
      <c r="W384" s="779" t="s">
        <v>3094</v>
      </c>
      <c r="X384" s="598" t="s">
        <v>950</v>
      </c>
      <c r="Y384" s="624">
        <v>35049</v>
      </c>
      <c r="Z384" s="625">
        <f t="shared" ref="Z384:Z574" ca="1" si="10">DATEDIF(Y384,TODAY(),"Y")</f>
        <v>30</v>
      </c>
      <c r="AA384" s="616"/>
      <c r="AB384" s="598"/>
      <c r="AC384" s="598" t="s">
        <v>996</v>
      </c>
      <c r="AD384" s="598" t="s">
        <v>953</v>
      </c>
      <c r="AE384" s="616" t="s">
        <v>1041</v>
      </c>
      <c r="AF384" s="616" t="s">
        <v>1041</v>
      </c>
      <c r="AG384" s="616" t="s">
        <v>2665</v>
      </c>
      <c r="AH384" s="598"/>
      <c r="AI384" s="598" t="s">
        <v>2837</v>
      </c>
      <c r="AJ384" s="598"/>
      <c r="AK384" s="598"/>
      <c r="AL384" s="626"/>
      <c r="AM384" s="626"/>
    </row>
    <row r="385" spans="3:39" ht="18" customHeight="1">
      <c r="C385" s="598">
        <v>364</v>
      </c>
      <c r="D385" s="598" t="s">
        <v>2920</v>
      </c>
      <c r="E385" s="598">
        <f t="shared" si="9"/>
        <v>347</v>
      </c>
      <c r="F385" s="616" t="s">
        <v>1798</v>
      </c>
      <c r="G385" s="616" t="s">
        <v>1226</v>
      </c>
      <c r="H385" s="618" t="s">
        <v>1225</v>
      </c>
      <c r="I385" s="618" t="s">
        <v>114</v>
      </c>
      <c r="J385" s="618" t="s">
        <v>1225</v>
      </c>
      <c r="K385" s="618" t="s">
        <v>4688</v>
      </c>
      <c r="L385" s="618" t="s">
        <v>959</v>
      </c>
      <c r="M385" s="619"/>
      <c r="N385" s="620"/>
      <c r="O385" s="620"/>
      <c r="P385" s="663" t="s">
        <v>1044</v>
      </c>
      <c r="Q385" s="621"/>
      <c r="R385" s="598"/>
      <c r="S385" s="598"/>
      <c r="T385" s="598"/>
      <c r="U385" s="598" t="s">
        <v>1015</v>
      </c>
      <c r="V385" s="663" t="s">
        <v>2921</v>
      </c>
      <c r="W385" s="779" t="s">
        <v>2922</v>
      </c>
      <c r="X385" s="598" t="s">
        <v>950</v>
      </c>
      <c r="Y385" s="624">
        <v>29815</v>
      </c>
      <c r="Z385" s="625">
        <f t="shared" ca="1" si="10"/>
        <v>44</v>
      </c>
      <c r="AA385" s="616" t="s">
        <v>2923</v>
      </c>
      <c r="AB385" s="598"/>
      <c r="AC385" s="598" t="s">
        <v>996</v>
      </c>
      <c r="AD385" s="598" t="s">
        <v>953</v>
      </c>
      <c r="AE385" s="616" t="s">
        <v>1041</v>
      </c>
      <c r="AF385" s="616" t="s">
        <v>1041</v>
      </c>
      <c r="AG385" s="616" t="s">
        <v>2924</v>
      </c>
      <c r="AH385" s="598"/>
      <c r="AI385" s="598" t="s">
        <v>2925</v>
      </c>
      <c r="AJ385" s="598"/>
      <c r="AK385" s="598"/>
      <c r="AL385" s="626"/>
      <c r="AM385" s="626"/>
    </row>
    <row r="386" spans="3:39" ht="18" customHeight="1">
      <c r="C386" s="598">
        <v>365</v>
      </c>
      <c r="D386" s="598" t="s">
        <v>3095</v>
      </c>
      <c r="E386" s="598">
        <f t="shared" si="9"/>
        <v>348</v>
      </c>
      <c r="F386" s="616" t="s">
        <v>1798</v>
      </c>
      <c r="G386" s="616" t="s">
        <v>1226</v>
      </c>
      <c r="H386" s="618" t="s">
        <v>1225</v>
      </c>
      <c r="I386" s="618" t="s">
        <v>114</v>
      </c>
      <c r="J386" s="618" t="s">
        <v>1225</v>
      </c>
      <c r="K386" s="618" t="s">
        <v>4688</v>
      </c>
      <c r="L386" s="618" t="s">
        <v>959</v>
      </c>
      <c r="M386" s="619"/>
      <c r="N386" s="620"/>
      <c r="O386" s="620"/>
      <c r="P386" s="673" t="s">
        <v>1044</v>
      </c>
      <c r="Q386" s="621"/>
      <c r="R386" s="598"/>
      <c r="S386" s="598"/>
      <c r="T386" s="598"/>
      <c r="U386" s="598" t="s">
        <v>992</v>
      </c>
      <c r="V386" s="673" t="s">
        <v>3096</v>
      </c>
      <c r="W386" s="779" t="s">
        <v>3097</v>
      </c>
      <c r="X386" s="598" t="s">
        <v>950</v>
      </c>
      <c r="Y386" s="624">
        <v>38225</v>
      </c>
      <c r="Z386" s="625">
        <f t="shared" ca="1" si="10"/>
        <v>21</v>
      </c>
      <c r="AA386" s="616" t="s">
        <v>3098</v>
      </c>
      <c r="AB386" s="598"/>
      <c r="AC386" s="598" t="s">
        <v>996</v>
      </c>
      <c r="AD386" s="598" t="s">
        <v>1018</v>
      </c>
      <c r="AE386" s="616" t="s">
        <v>1041</v>
      </c>
      <c r="AF386" s="616" t="s">
        <v>1041</v>
      </c>
      <c r="AG386" s="616" t="s">
        <v>3099</v>
      </c>
      <c r="AH386" s="598"/>
      <c r="AI386" s="663"/>
      <c r="AJ386" s="598" t="s">
        <v>1125</v>
      </c>
      <c r="AK386" s="598"/>
      <c r="AL386" s="626"/>
      <c r="AM386" s="626"/>
    </row>
    <row r="387" spans="3:39" ht="18" customHeight="1">
      <c r="C387" s="598">
        <v>366</v>
      </c>
      <c r="D387" s="598" t="s">
        <v>3028</v>
      </c>
      <c r="E387" s="598">
        <f t="shared" si="9"/>
        <v>349</v>
      </c>
      <c r="F387" s="616" t="s">
        <v>1798</v>
      </c>
      <c r="G387" s="616" t="s">
        <v>1226</v>
      </c>
      <c r="H387" s="618" t="s">
        <v>1225</v>
      </c>
      <c r="I387" s="618" t="s">
        <v>114</v>
      </c>
      <c r="J387" s="618" t="s">
        <v>1225</v>
      </c>
      <c r="K387" s="618" t="s">
        <v>3028</v>
      </c>
      <c r="L387" s="618" t="s">
        <v>3074</v>
      </c>
      <c r="M387" s="619" t="s">
        <v>3029</v>
      </c>
      <c r="N387" s="620"/>
      <c r="O387" s="620"/>
      <c r="P387" s="667" t="s">
        <v>1074</v>
      </c>
      <c r="Q387" s="621"/>
      <c r="R387" s="598" t="s">
        <v>55</v>
      </c>
      <c r="S387" s="598" t="s">
        <v>178</v>
      </c>
      <c r="T387" s="598"/>
      <c r="U387" s="598" t="s">
        <v>992</v>
      </c>
      <c r="V387" s="667" t="s">
        <v>340</v>
      </c>
      <c r="W387" s="779" t="s">
        <v>3030</v>
      </c>
      <c r="X387" s="598" t="s">
        <v>963</v>
      </c>
      <c r="Y387" s="624">
        <v>37769</v>
      </c>
      <c r="Z387" s="625">
        <f t="shared" ca="1" si="10"/>
        <v>22</v>
      </c>
      <c r="AA387" s="616" t="s">
        <v>3031</v>
      </c>
      <c r="AB387" s="598" t="s">
        <v>3032</v>
      </c>
      <c r="AC387" s="598" t="s">
        <v>996</v>
      </c>
      <c r="AD387" s="598" t="s">
        <v>953</v>
      </c>
      <c r="AE387" s="616" t="s">
        <v>1041</v>
      </c>
      <c r="AF387" s="616" t="s">
        <v>1041</v>
      </c>
      <c r="AG387" s="616" t="s">
        <v>1473</v>
      </c>
      <c r="AH387" s="598"/>
      <c r="AI387" s="598"/>
      <c r="AJ387" s="598" t="s">
        <v>1440</v>
      </c>
      <c r="AK387" s="598"/>
      <c r="AL387" s="626"/>
      <c r="AM387" s="626"/>
    </row>
    <row r="388" spans="3:39" ht="18" customHeight="1">
      <c r="C388" s="598">
        <v>367</v>
      </c>
      <c r="D388" s="598" t="s">
        <v>3074</v>
      </c>
      <c r="E388" s="598">
        <f t="shared" si="9"/>
        <v>350</v>
      </c>
      <c r="F388" s="616" t="s">
        <v>1798</v>
      </c>
      <c r="G388" s="616" t="s">
        <v>1226</v>
      </c>
      <c r="H388" s="618" t="s">
        <v>1225</v>
      </c>
      <c r="I388" s="618" t="s">
        <v>114</v>
      </c>
      <c r="J388" s="618" t="s">
        <v>1225</v>
      </c>
      <c r="K388" s="618" t="s">
        <v>3028</v>
      </c>
      <c r="L388" s="618" t="s">
        <v>3074</v>
      </c>
      <c r="M388" s="619" t="s">
        <v>3029</v>
      </c>
      <c r="N388" s="620"/>
      <c r="O388" s="620"/>
      <c r="P388" s="663" t="s">
        <v>1074</v>
      </c>
      <c r="Q388" s="621"/>
      <c r="R388" s="598" t="s">
        <v>69</v>
      </c>
      <c r="S388" s="598" t="s">
        <v>562</v>
      </c>
      <c r="T388" s="598"/>
      <c r="U388" s="598" t="s">
        <v>992</v>
      </c>
      <c r="V388" s="663" t="s">
        <v>354</v>
      </c>
      <c r="W388" s="779" t="s">
        <v>3075</v>
      </c>
      <c r="X388" s="598" t="s">
        <v>950</v>
      </c>
      <c r="Y388" s="624">
        <v>37727</v>
      </c>
      <c r="Z388" s="625">
        <f t="shared" ca="1" si="10"/>
        <v>22</v>
      </c>
      <c r="AA388" s="616" t="s">
        <v>3076</v>
      </c>
      <c r="AB388" s="598" t="s">
        <v>3077</v>
      </c>
      <c r="AC388" s="598" t="s">
        <v>1006</v>
      </c>
      <c r="AD388" s="598" t="s">
        <v>953</v>
      </c>
      <c r="AE388" s="616" t="s">
        <v>1041</v>
      </c>
      <c r="AF388" s="616" t="s">
        <v>1041</v>
      </c>
      <c r="AG388" s="616" t="s">
        <v>2645</v>
      </c>
      <c r="AH388" s="598"/>
      <c r="AI388" s="598"/>
      <c r="AJ388" s="598" t="s">
        <v>1025</v>
      </c>
      <c r="AK388" s="598"/>
      <c r="AL388" s="626"/>
      <c r="AM388" s="626"/>
    </row>
    <row r="389" spans="3:39" ht="18" customHeight="1">
      <c r="C389" s="598">
        <v>368</v>
      </c>
      <c r="D389" s="598" t="s">
        <v>3029</v>
      </c>
      <c r="E389" s="598">
        <f t="shared" si="9"/>
        <v>351</v>
      </c>
      <c r="F389" s="616" t="s">
        <v>1798</v>
      </c>
      <c r="G389" s="616" t="s">
        <v>1226</v>
      </c>
      <c r="H389" s="618" t="s">
        <v>1225</v>
      </c>
      <c r="I389" s="618" t="s">
        <v>114</v>
      </c>
      <c r="J389" s="618" t="s">
        <v>1225</v>
      </c>
      <c r="K389" s="618" t="s">
        <v>3028</v>
      </c>
      <c r="L389" s="618" t="s">
        <v>3074</v>
      </c>
      <c r="M389" s="619" t="s">
        <v>3029</v>
      </c>
      <c r="N389" s="620"/>
      <c r="O389" s="620"/>
      <c r="P389" s="663" t="s">
        <v>1074</v>
      </c>
      <c r="Q389" s="621"/>
      <c r="R389" s="598" t="s">
        <v>69</v>
      </c>
      <c r="S389" s="598" t="s">
        <v>562</v>
      </c>
      <c r="T389" s="598"/>
      <c r="U389" s="598" t="s">
        <v>992</v>
      </c>
      <c r="V389" s="663" t="s">
        <v>3033</v>
      </c>
      <c r="W389" s="779" t="s">
        <v>3034</v>
      </c>
      <c r="X389" s="598" t="s">
        <v>963</v>
      </c>
      <c r="Y389" s="624">
        <v>38733</v>
      </c>
      <c r="Z389" s="625">
        <f t="shared" ca="1" si="10"/>
        <v>20</v>
      </c>
      <c r="AA389" s="616" t="s">
        <v>3035</v>
      </c>
      <c r="AB389" s="598" t="s">
        <v>3036</v>
      </c>
      <c r="AC389" s="598" t="s">
        <v>996</v>
      </c>
      <c r="AD389" s="598" t="s">
        <v>953</v>
      </c>
      <c r="AE389" s="616" t="s">
        <v>1041</v>
      </c>
      <c r="AF389" s="616" t="s">
        <v>1250</v>
      </c>
      <c r="AG389" s="616"/>
      <c r="AH389" s="598"/>
      <c r="AI389" s="598"/>
      <c r="AJ389" s="598" t="s">
        <v>1125</v>
      </c>
      <c r="AK389" s="598"/>
      <c r="AL389" s="626"/>
      <c r="AM389" s="626"/>
    </row>
    <row r="390" spans="3:39" ht="18" customHeight="1">
      <c r="C390" s="598">
        <v>369</v>
      </c>
      <c r="D390" s="598" t="s">
        <v>3043</v>
      </c>
      <c r="E390" s="598">
        <f t="shared" si="9"/>
        <v>352</v>
      </c>
      <c r="F390" s="616" t="s">
        <v>1798</v>
      </c>
      <c r="G390" s="616" t="s">
        <v>1226</v>
      </c>
      <c r="H390" s="618" t="s">
        <v>1225</v>
      </c>
      <c r="I390" s="618" t="s">
        <v>114</v>
      </c>
      <c r="J390" s="618" t="s">
        <v>1225</v>
      </c>
      <c r="K390" s="618" t="s">
        <v>3028</v>
      </c>
      <c r="L390" s="618" t="s">
        <v>3074</v>
      </c>
      <c r="M390" s="619" t="s">
        <v>3029</v>
      </c>
      <c r="N390" s="620"/>
      <c r="O390" s="620"/>
      <c r="P390" s="663" t="s">
        <v>1074</v>
      </c>
      <c r="Q390" s="621"/>
      <c r="R390" s="598"/>
      <c r="S390" s="598"/>
      <c r="T390" s="598"/>
      <c r="U390" s="598" t="s">
        <v>992</v>
      </c>
      <c r="V390" s="663" t="s">
        <v>381</v>
      </c>
      <c r="W390" s="779" t="s">
        <v>3044</v>
      </c>
      <c r="X390" s="598" t="s">
        <v>963</v>
      </c>
      <c r="Y390" s="624">
        <v>36875</v>
      </c>
      <c r="Z390" s="625">
        <f t="shared" ca="1" si="10"/>
        <v>25</v>
      </c>
      <c r="AA390" s="654" t="s">
        <v>3045</v>
      </c>
      <c r="AB390" s="598" t="s">
        <v>3046</v>
      </c>
      <c r="AC390" s="598" t="s">
        <v>996</v>
      </c>
      <c r="AD390" s="598" t="s">
        <v>953</v>
      </c>
      <c r="AE390" s="616" t="s">
        <v>1041</v>
      </c>
      <c r="AF390" s="616" t="s">
        <v>1041</v>
      </c>
      <c r="AG390" s="616" t="s">
        <v>2665</v>
      </c>
      <c r="AH390" s="598"/>
      <c r="AI390" s="598"/>
      <c r="AJ390" s="598"/>
      <c r="AK390" s="598"/>
      <c r="AL390" s="626"/>
      <c r="AM390" s="626"/>
    </row>
    <row r="391" spans="3:39" ht="18" customHeight="1">
      <c r="C391" s="598">
        <v>370</v>
      </c>
      <c r="D391" s="598" t="s">
        <v>3047</v>
      </c>
      <c r="E391" s="598">
        <f t="shared" si="9"/>
        <v>353</v>
      </c>
      <c r="F391" s="616" t="s">
        <v>1798</v>
      </c>
      <c r="G391" s="616" t="s">
        <v>1226</v>
      </c>
      <c r="H391" s="618" t="s">
        <v>1225</v>
      </c>
      <c r="I391" s="618" t="s">
        <v>114</v>
      </c>
      <c r="J391" s="618" t="s">
        <v>1225</v>
      </c>
      <c r="K391" s="618" t="s">
        <v>3028</v>
      </c>
      <c r="L391" s="618" t="s">
        <v>3074</v>
      </c>
      <c r="M391" s="619" t="s">
        <v>3029</v>
      </c>
      <c r="N391" s="620"/>
      <c r="O391" s="620"/>
      <c r="P391" s="663" t="s">
        <v>1074</v>
      </c>
      <c r="Q391" s="621"/>
      <c r="R391" s="598"/>
      <c r="S391" s="598"/>
      <c r="T391" s="598"/>
      <c r="U391" s="598" t="s">
        <v>992</v>
      </c>
      <c r="V391" s="663" t="s">
        <v>394</v>
      </c>
      <c r="W391" s="779" t="s">
        <v>3048</v>
      </c>
      <c r="X391" s="598" t="s">
        <v>963</v>
      </c>
      <c r="Y391" s="624">
        <v>36083</v>
      </c>
      <c r="Z391" s="625">
        <f t="shared" ca="1" si="10"/>
        <v>27</v>
      </c>
      <c r="AA391" s="616" t="s">
        <v>3049</v>
      </c>
      <c r="AB391" s="598" t="s">
        <v>3050</v>
      </c>
      <c r="AC391" s="598" t="s">
        <v>1006</v>
      </c>
      <c r="AD391" s="598" t="s">
        <v>953</v>
      </c>
      <c r="AE391" s="616" t="s">
        <v>1041</v>
      </c>
      <c r="AF391" s="616" t="s">
        <v>2985</v>
      </c>
      <c r="AG391" s="616" t="s">
        <v>2986</v>
      </c>
      <c r="AH391" s="598"/>
      <c r="AI391" s="598"/>
      <c r="AJ391" s="598" t="s">
        <v>1011</v>
      </c>
      <c r="AK391" s="598"/>
      <c r="AL391" s="626"/>
      <c r="AM391" s="626"/>
    </row>
    <row r="392" spans="3:39" ht="18" customHeight="1">
      <c r="C392" s="598">
        <v>371</v>
      </c>
      <c r="D392" s="598" t="s">
        <v>3078</v>
      </c>
      <c r="E392" s="598">
        <f t="shared" si="9"/>
        <v>354</v>
      </c>
      <c r="F392" s="616" t="s">
        <v>1798</v>
      </c>
      <c r="G392" s="616" t="s">
        <v>1226</v>
      </c>
      <c r="H392" s="618" t="s">
        <v>1225</v>
      </c>
      <c r="I392" s="618" t="s">
        <v>114</v>
      </c>
      <c r="J392" s="618" t="s">
        <v>1225</v>
      </c>
      <c r="K392" s="618" t="s">
        <v>3028</v>
      </c>
      <c r="L392" s="618" t="s">
        <v>3074</v>
      </c>
      <c r="M392" s="619" t="s">
        <v>3029</v>
      </c>
      <c r="N392" s="620"/>
      <c r="O392" s="620"/>
      <c r="P392" s="663" t="s">
        <v>1074</v>
      </c>
      <c r="Q392" s="621"/>
      <c r="R392" s="598"/>
      <c r="S392" s="598"/>
      <c r="T392" s="598"/>
      <c r="U392" s="598" t="s">
        <v>992</v>
      </c>
      <c r="V392" s="663" t="s">
        <v>406</v>
      </c>
      <c r="W392" s="779" t="s">
        <v>3079</v>
      </c>
      <c r="X392" s="598" t="s">
        <v>950</v>
      </c>
      <c r="Y392" s="624">
        <v>37305</v>
      </c>
      <c r="Z392" s="625">
        <f t="shared" ca="1" si="10"/>
        <v>23</v>
      </c>
      <c r="AA392" s="616" t="s">
        <v>3080</v>
      </c>
      <c r="AB392" s="598" t="s">
        <v>3081</v>
      </c>
      <c r="AC392" s="598" t="s">
        <v>1006</v>
      </c>
      <c r="AD392" s="598" t="s">
        <v>953</v>
      </c>
      <c r="AE392" s="616" t="s">
        <v>1041</v>
      </c>
      <c r="AF392" s="616" t="s">
        <v>2325</v>
      </c>
      <c r="AG392" s="616" t="s">
        <v>2945</v>
      </c>
      <c r="AH392" s="598"/>
      <c r="AI392" s="598"/>
      <c r="AJ392" s="598" t="s">
        <v>1025</v>
      </c>
      <c r="AK392" s="598"/>
      <c r="AL392" s="626"/>
      <c r="AM392" s="626"/>
    </row>
    <row r="393" spans="3:39" ht="18" customHeight="1">
      <c r="C393" s="598">
        <v>372</v>
      </c>
      <c r="D393" s="598" t="s">
        <v>3082</v>
      </c>
      <c r="E393" s="598">
        <f t="shared" si="9"/>
        <v>355</v>
      </c>
      <c r="F393" s="616" t="s">
        <v>1798</v>
      </c>
      <c r="G393" s="616" t="s">
        <v>1226</v>
      </c>
      <c r="H393" s="618" t="s">
        <v>1225</v>
      </c>
      <c r="I393" s="618" t="s">
        <v>114</v>
      </c>
      <c r="J393" s="618" t="s">
        <v>1225</v>
      </c>
      <c r="K393" s="618" t="s">
        <v>3028</v>
      </c>
      <c r="L393" s="618" t="s">
        <v>3074</v>
      </c>
      <c r="M393" s="619" t="s">
        <v>3029</v>
      </c>
      <c r="N393" s="620"/>
      <c r="O393" s="620"/>
      <c r="P393" s="663" t="s">
        <v>1074</v>
      </c>
      <c r="Q393" s="621"/>
      <c r="R393" s="598"/>
      <c r="S393" s="598"/>
      <c r="T393" s="598"/>
      <c r="U393" s="598" t="s">
        <v>992</v>
      </c>
      <c r="V393" s="663" t="s">
        <v>418</v>
      </c>
      <c r="W393" s="779" t="s">
        <v>3083</v>
      </c>
      <c r="X393" s="598" t="s">
        <v>950</v>
      </c>
      <c r="Y393" s="624">
        <v>37780</v>
      </c>
      <c r="Z393" s="625">
        <f t="shared" ca="1" si="10"/>
        <v>22</v>
      </c>
      <c r="AA393" s="616" t="s">
        <v>3084</v>
      </c>
      <c r="AB393" s="598" t="s">
        <v>3085</v>
      </c>
      <c r="AC393" s="598" t="s">
        <v>996</v>
      </c>
      <c r="AD393" s="598" t="s">
        <v>953</v>
      </c>
      <c r="AE393" s="616" t="s">
        <v>1041</v>
      </c>
      <c r="AF393" s="616" t="s">
        <v>1041</v>
      </c>
      <c r="AG393" s="616" t="s">
        <v>3086</v>
      </c>
      <c r="AH393" s="598"/>
      <c r="AI393" s="598"/>
      <c r="AJ393" s="598" t="s">
        <v>1025</v>
      </c>
      <c r="AK393" s="598"/>
      <c r="AL393" s="626"/>
      <c r="AM393" s="626"/>
    </row>
    <row r="394" spans="3:39" ht="18" customHeight="1">
      <c r="C394" s="598">
        <v>373</v>
      </c>
      <c r="D394" s="598" t="s">
        <v>3062</v>
      </c>
      <c r="E394" s="598">
        <f t="shared" si="9"/>
        <v>356</v>
      </c>
      <c r="F394" s="616" t="s">
        <v>1798</v>
      </c>
      <c r="G394" s="616" t="s">
        <v>1226</v>
      </c>
      <c r="H394" s="618" t="s">
        <v>1225</v>
      </c>
      <c r="I394" s="618" t="s">
        <v>114</v>
      </c>
      <c r="J394" s="618" t="s">
        <v>1225</v>
      </c>
      <c r="K394" s="618" t="s">
        <v>3028</v>
      </c>
      <c r="L394" s="618" t="s">
        <v>3074</v>
      </c>
      <c r="M394" s="619" t="s">
        <v>3029</v>
      </c>
      <c r="N394" s="620"/>
      <c r="O394" s="620"/>
      <c r="P394" s="663" t="s">
        <v>1074</v>
      </c>
      <c r="Q394" s="621"/>
      <c r="R394" s="598"/>
      <c r="S394" s="598"/>
      <c r="T394" s="598"/>
      <c r="U394" s="598" t="s">
        <v>1705</v>
      </c>
      <c r="V394" s="663" t="s">
        <v>3063</v>
      </c>
      <c r="W394" s="779" t="s">
        <v>3064</v>
      </c>
      <c r="X394" s="598" t="s">
        <v>963</v>
      </c>
      <c r="Y394" s="624">
        <v>39172</v>
      </c>
      <c r="Z394" s="625">
        <f t="shared" ca="1" si="10"/>
        <v>18</v>
      </c>
      <c r="AA394" s="616" t="s">
        <v>3065</v>
      </c>
      <c r="AB394" s="598" t="s">
        <v>3066</v>
      </c>
      <c r="AC394" s="598" t="s">
        <v>996</v>
      </c>
      <c r="AD394" s="598" t="s">
        <v>997</v>
      </c>
      <c r="AE394" s="616" t="s">
        <v>1041</v>
      </c>
      <c r="AF394" s="616" t="s">
        <v>1041</v>
      </c>
      <c r="AG394" s="616" t="s">
        <v>3067</v>
      </c>
      <c r="AH394" s="598"/>
      <c r="AI394" s="598"/>
      <c r="AJ394" s="598" t="s">
        <v>1125</v>
      </c>
      <c r="AK394" s="598"/>
      <c r="AL394" s="626"/>
      <c r="AM394" s="626"/>
    </row>
    <row r="395" spans="3:39" ht="18" customHeight="1">
      <c r="C395" s="598">
        <v>374</v>
      </c>
      <c r="D395" s="598" t="s">
        <v>3051</v>
      </c>
      <c r="E395" s="598">
        <f t="shared" si="9"/>
        <v>357</v>
      </c>
      <c r="F395" s="616" t="s">
        <v>1798</v>
      </c>
      <c r="G395" s="616" t="s">
        <v>1226</v>
      </c>
      <c r="H395" s="618" t="s">
        <v>1225</v>
      </c>
      <c r="I395" s="618" t="s">
        <v>114</v>
      </c>
      <c r="J395" s="618" t="s">
        <v>1225</v>
      </c>
      <c r="K395" s="618" t="s">
        <v>3028</v>
      </c>
      <c r="L395" s="618" t="s">
        <v>3074</v>
      </c>
      <c r="M395" s="619" t="s">
        <v>3029</v>
      </c>
      <c r="N395" s="620"/>
      <c r="O395" s="620"/>
      <c r="P395" s="663" t="s">
        <v>1074</v>
      </c>
      <c r="Q395" s="621" t="s">
        <v>319</v>
      </c>
      <c r="R395" s="598"/>
      <c r="S395" s="598"/>
      <c r="T395" s="598"/>
      <c r="U395" s="598" t="s">
        <v>992</v>
      </c>
      <c r="V395" s="663" t="s">
        <v>434</v>
      </c>
      <c r="W395" s="779" t="s">
        <v>3052</v>
      </c>
      <c r="X395" s="598" t="s">
        <v>963</v>
      </c>
      <c r="Y395" s="624">
        <v>38008</v>
      </c>
      <c r="Z395" s="625">
        <f t="shared" ca="1" si="10"/>
        <v>22</v>
      </c>
      <c r="AA395" s="616" t="s">
        <v>3053</v>
      </c>
      <c r="AB395" s="598" t="s">
        <v>3054</v>
      </c>
      <c r="AC395" s="598" t="s">
        <v>996</v>
      </c>
      <c r="AD395" s="598" t="s">
        <v>1018</v>
      </c>
      <c r="AE395" s="616" t="s">
        <v>1041</v>
      </c>
      <c r="AF395" s="721" t="s">
        <v>1041</v>
      </c>
      <c r="AG395" s="616" t="s">
        <v>2803</v>
      </c>
      <c r="AH395" s="598"/>
      <c r="AI395" s="598"/>
      <c r="AJ395" s="700" t="s">
        <v>1612</v>
      </c>
      <c r="AK395" s="598"/>
      <c r="AL395" s="626"/>
      <c r="AM395" s="626"/>
    </row>
    <row r="396" spans="3:39" ht="18" customHeight="1">
      <c r="C396" s="598">
        <v>375</v>
      </c>
      <c r="D396" s="598" t="s">
        <v>3055</v>
      </c>
      <c r="E396" s="598">
        <f t="shared" si="9"/>
        <v>358</v>
      </c>
      <c r="F396" s="616" t="s">
        <v>1798</v>
      </c>
      <c r="G396" s="616" t="s">
        <v>1226</v>
      </c>
      <c r="H396" s="618" t="s">
        <v>1225</v>
      </c>
      <c r="I396" s="618" t="s">
        <v>114</v>
      </c>
      <c r="J396" s="618" t="s">
        <v>1225</v>
      </c>
      <c r="K396" s="618" t="s">
        <v>3028</v>
      </c>
      <c r="L396" s="618" t="s">
        <v>3074</v>
      </c>
      <c r="M396" s="619" t="s">
        <v>3029</v>
      </c>
      <c r="N396" s="620"/>
      <c r="O396" s="620"/>
      <c r="P396" s="663" t="s">
        <v>1074</v>
      </c>
      <c r="Q396" s="621" t="s">
        <v>319</v>
      </c>
      <c r="R396" s="598"/>
      <c r="S396" s="598"/>
      <c r="T396" s="598"/>
      <c r="U396" s="598" t="s">
        <v>992</v>
      </c>
      <c r="V396" s="663" t="s">
        <v>442</v>
      </c>
      <c r="W396" s="779" t="s">
        <v>3056</v>
      </c>
      <c r="X396" s="598" t="s">
        <v>963</v>
      </c>
      <c r="Y396" s="624">
        <v>37580</v>
      </c>
      <c r="Z396" s="625">
        <f t="shared" ca="1" si="10"/>
        <v>23</v>
      </c>
      <c r="AA396" s="616" t="s">
        <v>3057</v>
      </c>
      <c r="AB396" s="598" t="s">
        <v>3058</v>
      </c>
      <c r="AC396" s="598" t="s">
        <v>996</v>
      </c>
      <c r="AD396" s="598" t="s">
        <v>1018</v>
      </c>
      <c r="AE396" s="616" t="s">
        <v>1041</v>
      </c>
      <c r="AF396" s="721" t="s">
        <v>1041</v>
      </c>
      <c r="AG396" s="616" t="s">
        <v>2803</v>
      </c>
      <c r="AH396" s="598"/>
      <c r="AI396" s="598"/>
      <c r="AJ396" s="700" t="s">
        <v>1612</v>
      </c>
      <c r="AK396" s="598"/>
      <c r="AL396" s="626"/>
      <c r="AM396" s="626"/>
    </row>
    <row r="397" spans="3:39" ht="18" customHeight="1">
      <c r="C397" s="598">
        <v>376</v>
      </c>
      <c r="D397" s="598" t="s">
        <v>3059</v>
      </c>
      <c r="E397" s="598">
        <f t="shared" si="9"/>
        <v>359</v>
      </c>
      <c r="F397" s="616" t="s">
        <v>1798</v>
      </c>
      <c r="G397" s="616" t="s">
        <v>1226</v>
      </c>
      <c r="H397" s="618" t="s">
        <v>1225</v>
      </c>
      <c r="I397" s="618" t="s">
        <v>114</v>
      </c>
      <c r="J397" s="618" t="s">
        <v>1225</v>
      </c>
      <c r="K397" s="618" t="s">
        <v>3028</v>
      </c>
      <c r="L397" s="618" t="s">
        <v>3074</v>
      </c>
      <c r="M397" s="619" t="s">
        <v>3029</v>
      </c>
      <c r="N397" s="620"/>
      <c r="O397" s="620"/>
      <c r="P397" s="663" t="s">
        <v>1074</v>
      </c>
      <c r="Q397" s="621" t="s">
        <v>319</v>
      </c>
      <c r="R397" s="598"/>
      <c r="S397" s="598"/>
      <c r="T397" s="598"/>
      <c r="U397" s="598" t="s">
        <v>992</v>
      </c>
      <c r="V397" s="663" t="s">
        <v>446</v>
      </c>
      <c r="W397" s="779" t="s">
        <v>3060</v>
      </c>
      <c r="X397" s="598" t="s">
        <v>963</v>
      </c>
      <c r="Y397" s="624">
        <v>37196</v>
      </c>
      <c r="Z397" s="625">
        <f t="shared" ca="1" si="10"/>
        <v>24</v>
      </c>
      <c r="AA397" s="616" t="s">
        <v>3061</v>
      </c>
      <c r="AB397" s="598"/>
      <c r="AC397" s="598" t="s">
        <v>996</v>
      </c>
      <c r="AD397" s="598" t="s">
        <v>1018</v>
      </c>
      <c r="AE397" s="616" t="s">
        <v>1041</v>
      </c>
      <c r="AF397" s="721" t="s">
        <v>1041</v>
      </c>
      <c r="AG397" s="616" t="s">
        <v>2803</v>
      </c>
      <c r="AH397" s="598"/>
      <c r="AI397" s="598"/>
      <c r="AJ397" s="700" t="s">
        <v>1612</v>
      </c>
      <c r="AK397" s="598"/>
      <c r="AL397" s="626"/>
      <c r="AM397" s="626"/>
    </row>
    <row r="398" spans="3:39" ht="18" customHeight="1">
      <c r="C398" s="598">
        <v>377</v>
      </c>
      <c r="D398" s="598" t="s">
        <v>4712</v>
      </c>
      <c r="E398" s="598">
        <f t="shared" si="9"/>
        <v>360</v>
      </c>
      <c r="F398" s="616" t="s">
        <v>1351</v>
      </c>
      <c r="G398" s="616" t="s">
        <v>1226</v>
      </c>
      <c r="H398" s="618" t="s">
        <v>1225</v>
      </c>
      <c r="I398" s="618" t="s">
        <v>114</v>
      </c>
      <c r="J398" s="618" t="s">
        <v>1225</v>
      </c>
      <c r="K398" s="618" t="s">
        <v>3028</v>
      </c>
      <c r="L398" s="618" t="s">
        <v>3074</v>
      </c>
      <c r="M398" s="619" t="s">
        <v>3029</v>
      </c>
      <c r="N398" s="620"/>
      <c r="O398" s="620"/>
      <c r="P398" s="663" t="s">
        <v>1074</v>
      </c>
      <c r="Q398" s="621" t="s">
        <v>319</v>
      </c>
      <c r="R398" s="598"/>
      <c r="S398" s="598"/>
      <c r="T398" s="598"/>
      <c r="U398" s="598" t="s">
        <v>1705</v>
      </c>
      <c r="V398" s="663" t="s">
        <v>448</v>
      </c>
      <c r="W398" s="779" t="s">
        <v>4713</v>
      </c>
      <c r="X398" s="598" t="s">
        <v>963</v>
      </c>
      <c r="Y398" s="624">
        <v>39093</v>
      </c>
      <c r="Z398" s="625">
        <f t="shared" ca="1" si="10"/>
        <v>19</v>
      </c>
      <c r="AA398" s="616" t="s">
        <v>4714</v>
      </c>
      <c r="AB398" s="598" t="s">
        <v>4715</v>
      </c>
      <c r="AC398" s="598" t="s">
        <v>996</v>
      </c>
      <c r="AD398" s="598" t="s">
        <v>1018</v>
      </c>
      <c r="AE398" s="616" t="s">
        <v>729</v>
      </c>
      <c r="AF398" s="616" t="s">
        <v>729</v>
      </c>
      <c r="AG398" s="616" t="s">
        <v>1774</v>
      </c>
      <c r="AH398" s="598"/>
      <c r="AI398" s="598"/>
      <c r="AJ398" s="598" t="s">
        <v>1318</v>
      </c>
      <c r="AK398" s="598"/>
      <c r="AL398" s="626"/>
      <c r="AM398" s="626"/>
    </row>
    <row r="399" spans="3:39" ht="18" customHeight="1">
      <c r="C399" s="598">
        <v>378</v>
      </c>
      <c r="D399" s="598" t="s">
        <v>3697</v>
      </c>
      <c r="E399" s="598">
        <f t="shared" si="9"/>
        <v>361</v>
      </c>
      <c r="F399" s="616" t="s">
        <v>1351</v>
      </c>
      <c r="G399" s="616" t="s">
        <v>1226</v>
      </c>
      <c r="H399" s="618" t="s">
        <v>1225</v>
      </c>
      <c r="I399" s="618" t="s">
        <v>114</v>
      </c>
      <c r="J399" s="618" t="s">
        <v>1225</v>
      </c>
      <c r="K399" s="618" t="s">
        <v>3028</v>
      </c>
      <c r="L399" s="618" t="s">
        <v>3074</v>
      </c>
      <c r="M399" s="619" t="s">
        <v>3029</v>
      </c>
      <c r="N399" s="620"/>
      <c r="O399" s="620"/>
      <c r="P399" s="663" t="s">
        <v>1074</v>
      </c>
      <c r="Q399" s="621" t="s">
        <v>319</v>
      </c>
      <c r="R399" s="598"/>
      <c r="S399" s="598"/>
      <c r="T399" s="598"/>
      <c r="U399" s="598" t="s">
        <v>1705</v>
      </c>
      <c r="V399" s="663" t="s">
        <v>450</v>
      </c>
      <c r="W399" s="779" t="s">
        <v>3698</v>
      </c>
      <c r="X399" s="598" t="s">
        <v>963</v>
      </c>
      <c r="Y399" s="624">
        <v>40221</v>
      </c>
      <c r="Z399" s="625">
        <f t="shared" ca="1" si="10"/>
        <v>15</v>
      </c>
      <c r="AA399" s="616" t="s">
        <v>3699</v>
      </c>
      <c r="AB399" s="598" t="s">
        <v>3700</v>
      </c>
      <c r="AC399" s="598" t="s">
        <v>996</v>
      </c>
      <c r="AD399" s="598" t="s">
        <v>1018</v>
      </c>
      <c r="AE399" s="616" t="s">
        <v>973</v>
      </c>
      <c r="AF399" s="616" t="s">
        <v>973</v>
      </c>
      <c r="AG399" s="616" t="s">
        <v>3509</v>
      </c>
      <c r="AH399" s="598"/>
      <c r="AI399" s="598"/>
      <c r="AJ399" s="598" t="s">
        <v>1318</v>
      </c>
      <c r="AK399" s="598"/>
      <c r="AL399" s="626"/>
      <c r="AM399" s="626"/>
    </row>
    <row r="400" spans="3:39" ht="18" customHeight="1">
      <c r="C400" s="598">
        <v>379</v>
      </c>
      <c r="D400" s="598" t="s">
        <v>4716</v>
      </c>
      <c r="E400" s="598">
        <f t="shared" si="9"/>
        <v>362</v>
      </c>
      <c r="F400" s="616" t="s">
        <v>1798</v>
      </c>
      <c r="G400" s="616" t="s">
        <v>1226</v>
      </c>
      <c r="H400" s="618" t="s">
        <v>1225</v>
      </c>
      <c r="I400" s="618" t="s">
        <v>114</v>
      </c>
      <c r="J400" s="618" t="s">
        <v>1225</v>
      </c>
      <c r="K400" s="618" t="s">
        <v>3028</v>
      </c>
      <c r="L400" s="618" t="s">
        <v>3074</v>
      </c>
      <c r="M400" s="619" t="s">
        <v>3029</v>
      </c>
      <c r="N400" s="620"/>
      <c r="O400" s="620"/>
      <c r="P400" s="663" t="s">
        <v>1074</v>
      </c>
      <c r="Q400" s="621"/>
      <c r="R400" s="598"/>
      <c r="S400" s="598"/>
      <c r="T400" s="598"/>
      <c r="U400" s="598" t="s">
        <v>992</v>
      </c>
      <c r="V400" s="663" t="s">
        <v>452</v>
      </c>
      <c r="W400" s="779" t="s">
        <v>4717</v>
      </c>
      <c r="X400" s="598" t="s">
        <v>963</v>
      </c>
      <c r="Y400" s="624">
        <v>36480</v>
      </c>
      <c r="Z400" s="625">
        <f t="shared" ca="1" si="10"/>
        <v>26</v>
      </c>
      <c r="AA400" s="616" t="s">
        <v>4718</v>
      </c>
      <c r="AB400" s="598" t="s">
        <v>4719</v>
      </c>
      <c r="AC400" s="598" t="s">
        <v>996</v>
      </c>
      <c r="AD400" s="598" t="s">
        <v>997</v>
      </c>
      <c r="AE400" s="616" t="s">
        <v>1041</v>
      </c>
      <c r="AF400" s="616" t="s">
        <v>1791</v>
      </c>
      <c r="AG400" s="616" t="s">
        <v>4720</v>
      </c>
      <c r="AH400" s="598"/>
      <c r="AI400" s="598"/>
      <c r="AJ400" s="598" t="s">
        <v>1025</v>
      </c>
      <c r="AK400" s="598"/>
      <c r="AL400" s="626"/>
      <c r="AM400" s="626"/>
    </row>
    <row r="401" spans="3:39" ht="18" customHeight="1">
      <c r="C401" s="598">
        <v>380</v>
      </c>
      <c r="D401" s="598" t="s">
        <v>4721</v>
      </c>
      <c r="E401" s="598">
        <f t="shared" si="9"/>
        <v>363</v>
      </c>
      <c r="F401" s="616" t="s">
        <v>1798</v>
      </c>
      <c r="G401" s="616" t="s">
        <v>1226</v>
      </c>
      <c r="H401" s="618" t="s">
        <v>1225</v>
      </c>
      <c r="I401" s="618" t="s">
        <v>114</v>
      </c>
      <c r="J401" s="618" t="s">
        <v>1225</v>
      </c>
      <c r="K401" s="618" t="s">
        <v>3028</v>
      </c>
      <c r="L401" s="618" t="s">
        <v>3074</v>
      </c>
      <c r="M401" s="619" t="s">
        <v>3029</v>
      </c>
      <c r="N401" s="620"/>
      <c r="O401" s="620"/>
      <c r="P401" s="663" t="s">
        <v>1074</v>
      </c>
      <c r="Q401" s="621"/>
      <c r="R401" s="598"/>
      <c r="S401" s="598"/>
      <c r="T401" s="598"/>
      <c r="U401" s="598" t="s">
        <v>992</v>
      </c>
      <c r="V401" s="663" t="s">
        <v>4722</v>
      </c>
      <c r="W401" s="779" t="s">
        <v>4723</v>
      </c>
      <c r="X401" s="598" t="s">
        <v>963</v>
      </c>
      <c r="Y401" s="624">
        <v>31601</v>
      </c>
      <c r="Z401" s="625">
        <f t="shared" ca="1" si="10"/>
        <v>39</v>
      </c>
      <c r="AA401" s="616" t="s">
        <v>4724</v>
      </c>
      <c r="AB401" s="731"/>
      <c r="AC401" s="598" t="s">
        <v>996</v>
      </c>
      <c r="AD401" s="598" t="s">
        <v>1018</v>
      </c>
      <c r="AE401" s="616" t="s">
        <v>1041</v>
      </c>
      <c r="AF401" s="616" t="s">
        <v>1041</v>
      </c>
      <c r="AG401" s="616" t="s">
        <v>2654</v>
      </c>
      <c r="AH401" s="598"/>
      <c r="AI401" s="598" t="s">
        <v>4725</v>
      </c>
      <c r="AJ401" s="598" t="s">
        <v>1025</v>
      </c>
      <c r="AK401" s="598"/>
      <c r="AL401" s="626"/>
      <c r="AM401" s="626"/>
    </row>
    <row r="402" spans="3:39" ht="18" customHeight="1">
      <c r="C402" s="598">
        <v>381</v>
      </c>
      <c r="D402" s="598" t="s">
        <v>4726</v>
      </c>
      <c r="E402" s="598">
        <f t="shared" si="9"/>
        <v>364</v>
      </c>
      <c r="F402" s="616" t="s">
        <v>1798</v>
      </c>
      <c r="G402" s="616" t="s">
        <v>1226</v>
      </c>
      <c r="H402" s="618" t="s">
        <v>1225</v>
      </c>
      <c r="I402" s="618" t="s">
        <v>114</v>
      </c>
      <c r="J402" s="618" t="s">
        <v>1225</v>
      </c>
      <c r="K402" s="618" t="s">
        <v>3028</v>
      </c>
      <c r="L402" s="618" t="s">
        <v>3074</v>
      </c>
      <c r="M402" s="619" t="s">
        <v>3029</v>
      </c>
      <c r="N402" s="620"/>
      <c r="O402" s="620"/>
      <c r="P402" s="663" t="s">
        <v>1074</v>
      </c>
      <c r="Q402" s="621"/>
      <c r="R402" s="598"/>
      <c r="S402" s="598"/>
      <c r="T402" s="598"/>
      <c r="U402" s="598" t="s">
        <v>992</v>
      </c>
      <c r="V402" s="663" t="s">
        <v>4727</v>
      </c>
      <c r="W402" s="779" t="s">
        <v>4728</v>
      </c>
      <c r="X402" s="598" t="s">
        <v>950</v>
      </c>
      <c r="Y402" s="624">
        <v>37074</v>
      </c>
      <c r="Z402" s="625">
        <f t="shared" ca="1" si="10"/>
        <v>24</v>
      </c>
      <c r="AA402" s="616" t="s">
        <v>4729</v>
      </c>
      <c r="AB402" s="598" t="s">
        <v>4730</v>
      </c>
      <c r="AC402" s="598" t="s">
        <v>996</v>
      </c>
      <c r="AD402" s="598" t="s">
        <v>1018</v>
      </c>
      <c r="AE402" s="616" t="s">
        <v>1494</v>
      </c>
      <c r="AF402" s="616" t="s">
        <v>1494</v>
      </c>
      <c r="AG402" s="616" t="s">
        <v>1495</v>
      </c>
      <c r="AH402" s="598"/>
      <c r="AI402" s="598" t="s">
        <v>4731</v>
      </c>
      <c r="AJ402" s="598" t="s">
        <v>1025</v>
      </c>
      <c r="AK402" s="598"/>
      <c r="AL402" s="626"/>
      <c r="AM402" s="626"/>
    </row>
    <row r="403" spans="3:39" ht="18" customHeight="1">
      <c r="C403" s="598">
        <v>382</v>
      </c>
      <c r="D403" s="598" t="s">
        <v>4732</v>
      </c>
      <c r="E403" s="598">
        <f t="shared" si="9"/>
        <v>365</v>
      </c>
      <c r="F403" s="616" t="s">
        <v>1810</v>
      </c>
      <c r="G403" s="616" t="s">
        <v>1226</v>
      </c>
      <c r="H403" s="618" t="s">
        <v>1225</v>
      </c>
      <c r="I403" s="618" t="s">
        <v>114</v>
      </c>
      <c r="J403" s="618" t="s">
        <v>1225</v>
      </c>
      <c r="K403" s="618" t="s">
        <v>3028</v>
      </c>
      <c r="L403" s="618" t="s">
        <v>3074</v>
      </c>
      <c r="M403" s="619" t="s">
        <v>3029</v>
      </c>
      <c r="N403" s="620"/>
      <c r="O403" s="620"/>
      <c r="P403" s="663" t="s">
        <v>1074</v>
      </c>
      <c r="Q403" s="621"/>
      <c r="R403" s="598"/>
      <c r="S403" s="598"/>
      <c r="T403" s="598"/>
      <c r="U403" s="598" t="s">
        <v>992</v>
      </c>
      <c r="V403" s="663" t="s">
        <v>4733</v>
      </c>
      <c r="W403" s="779" t="s">
        <v>4734</v>
      </c>
      <c r="X403" s="598" t="s">
        <v>963</v>
      </c>
      <c r="Y403" s="624">
        <v>37324</v>
      </c>
      <c r="Z403" s="625">
        <f t="shared" ca="1" si="10"/>
        <v>23</v>
      </c>
      <c r="AA403" s="616" t="s">
        <v>4735</v>
      </c>
      <c r="AB403" s="652"/>
      <c r="AC403" s="598" t="s">
        <v>996</v>
      </c>
      <c r="AD403" s="598" t="s">
        <v>1018</v>
      </c>
      <c r="AE403" s="616" t="s">
        <v>1868</v>
      </c>
      <c r="AF403" s="616" t="s">
        <v>1868</v>
      </c>
      <c r="AG403" s="616" t="s">
        <v>4736</v>
      </c>
      <c r="AH403" s="598"/>
      <c r="AI403" s="598" t="s">
        <v>2837</v>
      </c>
      <c r="AJ403" s="598" t="s">
        <v>1025</v>
      </c>
      <c r="AK403" s="598" t="s">
        <v>4607</v>
      </c>
      <c r="AL403" s="626"/>
      <c r="AM403" s="626"/>
    </row>
    <row r="404" spans="3:39" ht="18" customHeight="1">
      <c r="C404" s="598">
        <v>383</v>
      </c>
      <c r="D404" s="598" t="s">
        <v>4738</v>
      </c>
      <c r="E404" s="598">
        <f t="shared" si="9"/>
        <v>366</v>
      </c>
      <c r="F404" s="616" t="s">
        <v>1810</v>
      </c>
      <c r="G404" s="616" t="s">
        <v>1226</v>
      </c>
      <c r="H404" s="618" t="s">
        <v>1225</v>
      </c>
      <c r="I404" s="618" t="s">
        <v>114</v>
      </c>
      <c r="J404" s="618" t="s">
        <v>1225</v>
      </c>
      <c r="K404" s="618" t="s">
        <v>3028</v>
      </c>
      <c r="L404" s="618" t="s">
        <v>3074</v>
      </c>
      <c r="M404" s="619" t="s">
        <v>3029</v>
      </c>
      <c r="N404" s="620"/>
      <c r="O404" s="620"/>
      <c r="P404" s="663" t="s">
        <v>1074</v>
      </c>
      <c r="Q404" s="621"/>
      <c r="R404" s="598"/>
      <c r="S404" s="598"/>
      <c r="T404" s="598"/>
      <c r="U404" s="598" t="s">
        <v>992</v>
      </c>
      <c r="V404" s="663" t="s">
        <v>4739</v>
      </c>
      <c r="W404" s="779" t="s">
        <v>4740</v>
      </c>
      <c r="X404" s="598" t="s">
        <v>950</v>
      </c>
      <c r="Y404" s="624">
        <v>37492</v>
      </c>
      <c r="Z404" s="625">
        <f t="shared" ca="1" si="10"/>
        <v>23</v>
      </c>
      <c r="AA404" s="616" t="s">
        <v>4741</v>
      </c>
      <c r="AB404" s="652"/>
      <c r="AC404" s="598" t="s">
        <v>996</v>
      </c>
      <c r="AD404" s="598" t="s">
        <v>1018</v>
      </c>
      <c r="AE404" s="616" t="s">
        <v>1868</v>
      </c>
      <c r="AF404" s="616" t="s">
        <v>1868</v>
      </c>
      <c r="AG404" s="616" t="s">
        <v>4736</v>
      </c>
      <c r="AH404" s="598"/>
      <c r="AI404" s="598" t="s">
        <v>2837</v>
      </c>
      <c r="AJ404" s="598" t="s">
        <v>1025</v>
      </c>
      <c r="AK404" s="598" t="s">
        <v>4607</v>
      </c>
      <c r="AL404" s="626"/>
      <c r="AM404" s="626"/>
    </row>
    <row r="405" spans="3:39" ht="18" customHeight="1">
      <c r="C405" s="598">
        <v>384</v>
      </c>
      <c r="D405" s="598" t="s">
        <v>4742</v>
      </c>
      <c r="E405" s="598">
        <f t="shared" si="9"/>
        <v>367</v>
      </c>
      <c r="F405" s="616" t="s">
        <v>1810</v>
      </c>
      <c r="G405" s="616" t="s">
        <v>1226</v>
      </c>
      <c r="H405" s="618" t="s">
        <v>1225</v>
      </c>
      <c r="I405" s="618" t="s">
        <v>114</v>
      </c>
      <c r="J405" s="618" t="s">
        <v>1225</v>
      </c>
      <c r="K405" s="618" t="s">
        <v>3028</v>
      </c>
      <c r="L405" s="618" t="s">
        <v>3074</v>
      </c>
      <c r="M405" s="619" t="s">
        <v>3029</v>
      </c>
      <c r="N405" s="620"/>
      <c r="O405" s="620"/>
      <c r="P405" s="673" t="s">
        <v>1074</v>
      </c>
      <c r="Q405" s="621"/>
      <c r="R405" s="598"/>
      <c r="S405" s="598"/>
      <c r="T405" s="598"/>
      <c r="U405" s="598" t="s">
        <v>992</v>
      </c>
      <c r="V405" s="673" t="s">
        <v>4743</v>
      </c>
      <c r="W405" s="779" t="s">
        <v>4744</v>
      </c>
      <c r="X405" s="598" t="s">
        <v>963</v>
      </c>
      <c r="Y405" s="624">
        <v>37852</v>
      </c>
      <c r="Z405" s="625">
        <f t="shared" ca="1" si="10"/>
        <v>22</v>
      </c>
      <c r="AA405" s="616" t="s">
        <v>4745</v>
      </c>
      <c r="AB405" s="652"/>
      <c r="AC405" s="598" t="s">
        <v>996</v>
      </c>
      <c r="AD405" s="598" t="s">
        <v>1018</v>
      </c>
      <c r="AE405" s="616" t="s">
        <v>1868</v>
      </c>
      <c r="AF405" s="616" t="s">
        <v>1868</v>
      </c>
      <c r="AG405" s="616" t="s">
        <v>4736</v>
      </c>
      <c r="AH405" s="598"/>
      <c r="AI405" s="598" t="s">
        <v>2837</v>
      </c>
      <c r="AJ405" s="598" t="s">
        <v>1025</v>
      </c>
      <c r="AK405" s="680" t="s">
        <v>4505</v>
      </c>
      <c r="AL405" s="626"/>
      <c r="AM405" s="626"/>
    </row>
    <row r="406" spans="3:39" ht="18" customHeight="1">
      <c r="C406" s="598">
        <v>385</v>
      </c>
      <c r="D406" s="598" t="s">
        <v>3132</v>
      </c>
      <c r="E406" s="598">
        <f t="shared" si="9"/>
        <v>368</v>
      </c>
      <c r="F406" s="616" t="s">
        <v>1798</v>
      </c>
      <c r="G406" s="616" t="s">
        <v>1226</v>
      </c>
      <c r="H406" s="618" t="s">
        <v>1225</v>
      </c>
      <c r="I406" s="618" t="s">
        <v>114</v>
      </c>
      <c r="J406" s="618" t="s">
        <v>1225</v>
      </c>
      <c r="K406" s="618" t="s">
        <v>3132</v>
      </c>
      <c r="L406" s="618" t="s">
        <v>3110</v>
      </c>
      <c r="M406" s="619" t="s">
        <v>3133</v>
      </c>
      <c r="N406" s="620"/>
      <c r="O406" s="620"/>
      <c r="P406" s="667" t="s">
        <v>1115</v>
      </c>
      <c r="Q406" s="621"/>
      <c r="R406" s="598" t="s">
        <v>55</v>
      </c>
      <c r="S406" s="598" t="s">
        <v>178</v>
      </c>
      <c r="T406" s="598"/>
      <c r="U406" s="598" t="s">
        <v>992</v>
      </c>
      <c r="V406" s="667" t="s">
        <v>3134</v>
      </c>
      <c r="W406" s="779" t="s">
        <v>3135</v>
      </c>
      <c r="X406" s="598" t="s">
        <v>950</v>
      </c>
      <c r="Y406" s="624">
        <v>37703</v>
      </c>
      <c r="Z406" s="625">
        <f t="shared" ca="1" si="10"/>
        <v>22</v>
      </c>
      <c r="AA406" s="616" t="s">
        <v>3136</v>
      </c>
      <c r="AB406" s="598" t="s">
        <v>3137</v>
      </c>
      <c r="AC406" s="598" t="s">
        <v>996</v>
      </c>
      <c r="AD406" s="598" t="s">
        <v>997</v>
      </c>
      <c r="AE406" s="616" t="s">
        <v>1041</v>
      </c>
      <c r="AF406" s="616" t="s">
        <v>1250</v>
      </c>
      <c r="AG406" s="616" t="s">
        <v>3138</v>
      </c>
      <c r="AH406" s="598"/>
      <c r="AI406" s="598"/>
      <c r="AJ406" s="598" t="s">
        <v>1125</v>
      </c>
      <c r="AK406" s="598"/>
      <c r="AL406" s="626"/>
      <c r="AM406" s="626"/>
    </row>
    <row r="407" spans="3:39" ht="18" customHeight="1">
      <c r="C407" s="598">
        <v>386</v>
      </c>
      <c r="D407" s="598" t="s">
        <v>3110</v>
      </c>
      <c r="E407" s="598">
        <f t="shared" si="9"/>
        <v>369</v>
      </c>
      <c r="F407" s="616" t="s">
        <v>1798</v>
      </c>
      <c r="G407" s="616" t="s">
        <v>1226</v>
      </c>
      <c r="H407" s="618" t="s">
        <v>1225</v>
      </c>
      <c r="I407" s="618" t="s">
        <v>114</v>
      </c>
      <c r="J407" s="618" t="s">
        <v>1225</v>
      </c>
      <c r="K407" s="618" t="s">
        <v>3132</v>
      </c>
      <c r="L407" s="618" t="s">
        <v>3110</v>
      </c>
      <c r="M407" s="619" t="s">
        <v>3133</v>
      </c>
      <c r="N407" s="620"/>
      <c r="O407" s="620"/>
      <c r="P407" s="663" t="s">
        <v>1115</v>
      </c>
      <c r="Q407" s="621"/>
      <c r="R407" s="598"/>
      <c r="S407" s="598" t="s">
        <v>562</v>
      </c>
      <c r="T407" s="598"/>
      <c r="U407" s="598" t="s">
        <v>1705</v>
      </c>
      <c r="V407" s="663" t="s">
        <v>3111</v>
      </c>
      <c r="W407" s="779" t="s">
        <v>3112</v>
      </c>
      <c r="X407" s="598" t="s">
        <v>950</v>
      </c>
      <c r="Y407" s="624">
        <v>39645</v>
      </c>
      <c r="Z407" s="625">
        <f t="shared" ca="1" si="10"/>
        <v>17</v>
      </c>
      <c r="AA407" s="616" t="s">
        <v>3113</v>
      </c>
      <c r="AB407" s="598" t="s">
        <v>3114</v>
      </c>
      <c r="AC407" s="598" t="s">
        <v>996</v>
      </c>
      <c r="AD407" s="598" t="s">
        <v>953</v>
      </c>
      <c r="AE407" s="616" t="s">
        <v>1041</v>
      </c>
      <c r="AF407" s="616" t="s">
        <v>3115</v>
      </c>
      <c r="AG407" s="616"/>
      <c r="AH407" s="598"/>
      <c r="AI407" s="598"/>
      <c r="AJ407" s="598" t="s">
        <v>1125</v>
      </c>
      <c r="AK407" s="598"/>
      <c r="AL407" s="626"/>
      <c r="AM407" s="626"/>
    </row>
    <row r="408" spans="3:39" ht="18" customHeight="1">
      <c r="C408" s="598">
        <v>387</v>
      </c>
      <c r="D408" s="598" t="s">
        <v>3133</v>
      </c>
      <c r="E408" s="598">
        <f t="shared" si="9"/>
        <v>370</v>
      </c>
      <c r="F408" s="616" t="s">
        <v>4978</v>
      </c>
      <c r="G408" s="616" t="s">
        <v>1226</v>
      </c>
      <c r="H408" s="618" t="s">
        <v>1225</v>
      </c>
      <c r="I408" s="618" t="s">
        <v>114</v>
      </c>
      <c r="J408" s="618" t="s">
        <v>1225</v>
      </c>
      <c r="K408" s="618" t="s">
        <v>3132</v>
      </c>
      <c r="L408" s="618" t="s">
        <v>3110</v>
      </c>
      <c r="M408" s="619" t="s">
        <v>3133</v>
      </c>
      <c r="N408" s="620"/>
      <c r="O408" s="620"/>
      <c r="P408" s="663" t="s">
        <v>1115</v>
      </c>
      <c r="Q408" s="621" t="s">
        <v>319</v>
      </c>
      <c r="R408" s="598" t="s">
        <v>69</v>
      </c>
      <c r="S408" s="598" t="s">
        <v>562</v>
      </c>
      <c r="T408" s="598"/>
      <c r="U408" s="598" t="s">
        <v>992</v>
      </c>
      <c r="V408" s="663" t="s">
        <v>368</v>
      </c>
      <c r="W408" s="779" t="s">
        <v>3139</v>
      </c>
      <c r="X408" s="598" t="s">
        <v>950</v>
      </c>
      <c r="Y408" s="624">
        <v>37883</v>
      </c>
      <c r="Z408" s="625">
        <f t="shared" ca="1" si="10"/>
        <v>22</v>
      </c>
      <c r="AA408" s="616" t="s">
        <v>3140</v>
      </c>
      <c r="AB408" s="598" t="s">
        <v>3141</v>
      </c>
      <c r="AC408" s="598" t="s">
        <v>996</v>
      </c>
      <c r="AD408" s="598" t="s">
        <v>997</v>
      </c>
      <c r="AE408" s="616" t="s">
        <v>729</v>
      </c>
      <c r="AF408" s="640" t="s">
        <v>729</v>
      </c>
      <c r="AG408" s="616" t="s">
        <v>2683</v>
      </c>
      <c r="AH408" s="598"/>
      <c r="AI408" s="598"/>
      <c r="AJ408" s="598" t="s">
        <v>1318</v>
      </c>
      <c r="AK408" s="598"/>
      <c r="AL408" s="626"/>
      <c r="AM408" s="626"/>
    </row>
    <row r="409" spans="3:39" ht="18" customHeight="1">
      <c r="C409" s="598">
        <v>388</v>
      </c>
      <c r="D409" s="598" t="s">
        <v>2209</v>
      </c>
      <c r="E409" s="598">
        <f t="shared" si="9"/>
        <v>371</v>
      </c>
      <c r="F409" s="616" t="s">
        <v>1798</v>
      </c>
      <c r="G409" s="616" t="s">
        <v>1226</v>
      </c>
      <c r="H409" s="618" t="s">
        <v>1225</v>
      </c>
      <c r="I409" s="618" t="s">
        <v>114</v>
      </c>
      <c r="J409" s="618" t="s">
        <v>1225</v>
      </c>
      <c r="K409" s="618" t="s">
        <v>3132</v>
      </c>
      <c r="L409" s="618" t="s">
        <v>3110</v>
      </c>
      <c r="M409" s="619" t="s">
        <v>3133</v>
      </c>
      <c r="N409" s="620"/>
      <c r="O409" s="620"/>
      <c r="P409" s="663" t="s">
        <v>1115</v>
      </c>
      <c r="Q409" s="621"/>
      <c r="R409" s="598"/>
      <c r="S409" s="598"/>
      <c r="T409" s="598"/>
      <c r="U409" s="598" t="s">
        <v>992</v>
      </c>
      <c r="V409" s="663" t="s">
        <v>3147</v>
      </c>
      <c r="W409" s="779" t="s">
        <v>3148</v>
      </c>
      <c r="X409" s="598" t="s">
        <v>950</v>
      </c>
      <c r="Y409" s="624">
        <v>36932</v>
      </c>
      <c r="Z409" s="625">
        <f t="shared" ca="1" si="10"/>
        <v>24</v>
      </c>
      <c r="AA409" s="616"/>
      <c r="AB409" s="598" t="s">
        <v>3149</v>
      </c>
      <c r="AC409" s="598" t="s">
        <v>996</v>
      </c>
      <c r="AD409" s="598" t="s">
        <v>997</v>
      </c>
      <c r="AE409" s="616" t="s">
        <v>1041</v>
      </c>
      <c r="AF409" s="616" t="s">
        <v>3150</v>
      </c>
      <c r="AG409" s="616" t="s">
        <v>3151</v>
      </c>
      <c r="AH409" s="598"/>
      <c r="AI409" s="598"/>
      <c r="AJ409" s="598" t="s">
        <v>1011</v>
      </c>
      <c r="AK409" s="598"/>
      <c r="AL409" s="626"/>
      <c r="AM409" s="626"/>
    </row>
    <row r="410" spans="3:39" ht="18" customHeight="1">
      <c r="C410" s="598">
        <v>389</v>
      </c>
      <c r="D410" s="598" t="s">
        <v>3156</v>
      </c>
      <c r="E410" s="598">
        <f t="shared" si="9"/>
        <v>372</v>
      </c>
      <c r="F410" s="616" t="s">
        <v>1798</v>
      </c>
      <c r="G410" s="616" t="s">
        <v>1226</v>
      </c>
      <c r="H410" s="618" t="s">
        <v>1225</v>
      </c>
      <c r="I410" s="618" t="s">
        <v>114</v>
      </c>
      <c r="J410" s="618" t="s">
        <v>1225</v>
      </c>
      <c r="K410" s="618" t="s">
        <v>3132</v>
      </c>
      <c r="L410" s="618" t="s">
        <v>3110</v>
      </c>
      <c r="M410" s="619" t="s">
        <v>3133</v>
      </c>
      <c r="N410" s="620"/>
      <c r="O410" s="620"/>
      <c r="P410" s="663" t="s">
        <v>1115</v>
      </c>
      <c r="Q410" s="621"/>
      <c r="R410" s="598"/>
      <c r="S410" s="598"/>
      <c r="T410" s="598"/>
      <c r="U410" s="598" t="s">
        <v>992</v>
      </c>
      <c r="V410" s="663" t="s">
        <v>3157</v>
      </c>
      <c r="W410" s="779" t="s">
        <v>3158</v>
      </c>
      <c r="X410" s="598" t="s">
        <v>950</v>
      </c>
      <c r="Y410" s="624">
        <v>36693</v>
      </c>
      <c r="Z410" s="625">
        <f t="shared" ca="1" si="10"/>
        <v>25</v>
      </c>
      <c r="AA410" s="616" t="s">
        <v>3159</v>
      </c>
      <c r="AB410" s="598" t="s">
        <v>3160</v>
      </c>
      <c r="AC410" s="598" t="s">
        <v>996</v>
      </c>
      <c r="AD410" s="598" t="s">
        <v>1018</v>
      </c>
      <c r="AE410" s="616" t="s">
        <v>1041</v>
      </c>
      <c r="AF410" s="616" t="s">
        <v>1250</v>
      </c>
      <c r="AG410" s="616" t="s">
        <v>3161</v>
      </c>
      <c r="AH410" s="598"/>
      <c r="AI410" s="598"/>
      <c r="AJ410" s="598" t="s">
        <v>1125</v>
      </c>
      <c r="AK410" s="598"/>
      <c r="AL410" s="626"/>
      <c r="AM410" s="626"/>
    </row>
    <row r="411" spans="3:39" ht="18" customHeight="1">
      <c r="C411" s="598">
        <v>390</v>
      </c>
      <c r="D411" s="598" t="s">
        <v>3142</v>
      </c>
      <c r="E411" s="598">
        <f t="shared" si="9"/>
        <v>373</v>
      </c>
      <c r="F411" s="616" t="s">
        <v>1798</v>
      </c>
      <c r="G411" s="616" t="s">
        <v>1226</v>
      </c>
      <c r="H411" s="618" t="s">
        <v>1225</v>
      </c>
      <c r="I411" s="618" t="s">
        <v>114</v>
      </c>
      <c r="J411" s="618" t="s">
        <v>1225</v>
      </c>
      <c r="K411" s="618" t="s">
        <v>3132</v>
      </c>
      <c r="L411" s="618" t="s">
        <v>3110</v>
      </c>
      <c r="M411" s="619" t="s">
        <v>3133</v>
      </c>
      <c r="N411" s="620"/>
      <c r="O411" s="620"/>
      <c r="P411" s="663" t="s">
        <v>1115</v>
      </c>
      <c r="Q411" s="621"/>
      <c r="R411" s="598"/>
      <c r="S411" s="598"/>
      <c r="T411" s="598"/>
      <c r="U411" s="598" t="s">
        <v>992</v>
      </c>
      <c r="V411" s="663" t="s">
        <v>3143</v>
      </c>
      <c r="W411" s="779" t="s">
        <v>3144</v>
      </c>
      <c r="X411" s="598" t="s">
        <v>950</v>
      </c>
      <c r="Y411" s="624">
        <v>37525</v>
      </c>
      <c r="Z411" s="625">
        <f t="shared" ca="1" si="10"/>
        <v>23</v>
      </c>
      <c r="AA411" s="616" t="s">
        <v>3145</v>
      </c>
      <c r="AB411" s="598" t="s">
        <v>3146</v>
      </c>
      <c r="AC411" s="598" t="s">
        <v>996</v>
      </c>
      <c r="AD411" s="598" t="s">
        <v>997</v>
      </c>
      <c r="AE411" s="616" t="s">
        <v>1041</v>
      </c>
      <c r="AF411" s="616" t="s">
        <v>1041</v>
      </c>
      <c r="AG411" s="616" t="s">
        <v>2672</v>
      </c>
      <c r="AH411" s="598"/>
      <c r="AI411" s="598"/>
      <c r="AJ411" s="598" t="s">
        <v>1125</v>
      </c>
      <c r="AK411" s="598"/>
      <c r="AL411" s="626"/>
      <c r="AM411" s="626"/>
    </row>
    <row r="412" spans="3:39" ht="18" customHeight="1">
      <c r="C412" s="598">
        <v>391</v>
      </c>
      <c r="D412" s="598" t="s">
        <v>3087</v>
      </c>
      <c r="E412" s="598">
        <f t="shared" si="9"/>
        <v>374</v>
      </c>
      <c r="F412" s="616" t="s">
        <v>1798</v>
      </c>
      <c r="G412" s="616" t="s">
        <v>1226</v>
      </c>
      <c r="H412" s="618" t="s">
        <v>1225</v>
      </c>
      <c r="I412" s="618" t="s">
        <v>114</v>
      </c>
      <c r="J412" s="618" t="s">
        <v>1225</v>
      </c>
      <c r="K412" s="618" t="s">
        <v>3132</v>
      </c>
      <c r="L412" s="618" t="s">
        <v>3110</v>
      </c>
      <c r="M412" s="619" t="s">
        <v>3133</v>
      </c>
      <c r="N412" s="620"/>
      <c r="O412" s="620"/>
      <c r="P412" s="663" t="s">
        <v>1115</v>
      </c>
      <c r="Q412" s="621"/>
      <c r="R412" s="598"/>
      <c r="S412" s="598"/>
      <c r="T412" s="598"/>
      <c r="U412" s="598" t="s">
        <v>992</v>
      </c>
      <c r="V412" s="663" t="s">
        <v>3088</v>
      </c>
      <c r="W412" s="779" t="s">
        <v>3089</v>
      </c>
      <c r="X412" s="598" t="s">
        <v>950</v>
      </c>
      <c r="Y412" s="624">
        <v>37583</v>
      </c>
      <c r="Z412" s="625">
        <f t="shared" ca="1" si="10"/>
        <v>23</v>
      </c>
      <c r="AA412" s="616" t="s">
        <v>3090</v>
      </c>
      <c r="AB412" s="598" t="s">
        <v>3091</v>
      </c>
      <c r="AC412" s="598" t="s">
        <v>996</v>
      </c>
      <c r="AD412" s="598" t="s">
        <v>997</v>
      </c>
      <c r="AE412" s="616" t="s">
        <v>1041</v>
      </c>
      <c r="AF412" s="616" t="s">
        <v>1041</v>
      </c>
      <c r="AG412" s="616" t="s">
        <v>2672</v>
      </c>
      <c r="AH412" s="598"/>
      <c r="AI412" s="598"/>
      <c r="AJ412" s="598" t="s">
        <v>1125</v>
      </c>
      <c r="AK412" s="598"/>
      <c r="AL412" s="626"/>
      <c r="AM412" s="626"/>
    </row>
    <row r="413" spans="3:39" ht="18" customHeight="1">
      <c r="C413" s="598">
        <v>392</v>
      </c>
      <c r="D413" s="598" t="s">
        <v>3162</v>
      </c>
      <c r="E413" s="598">
        <f t="shared" si="9"/>
        <v>375</v>
      </c>
      <c r="F413" s="616" t="s">
        <v>1798</v>
      </c>
      <c r="G413" s="616" t="s">
        <v>1226</v>
      </c>
      <c r="H413" s="618" t="s">
        <v>1225</v>
      </c>
      <c r="I413" s="618" t="s">
        <v>114</v>
      </c>
      <c r="J413" s="618" t="s">
        <v>1225</v>
      </c>
      <c r="K413" s="618" t="s">
        <v>3132</v>
      </c>
      <c r="L413" s="618" t="s">
        <v>3110</v>
      </c>
      <c r="M413" s="619" t="s">
        <v>3133</v>
      </c>
      <c r="N413" s="620"/>
      <c r="O413" s="620"/>
      <c r="P413" s="663" t="s">
        <v>1115</v>
      </c>
      <c r="Q413" s="621"/>
      <c r="R413" s="598"/>
      <c r="S413" s="598"/>
      <c r="T413" s="598"/>
      <c r="U413" s="598" t="s">
        <v>992</v>
      </c>
      <c r="V413" s="663" t="s">
        <v>3163</v>
      </c>
      <c r="W413" s="779" t="s">
        <v>3164</v>
      </c>
      <c r="X413" s="598" t="s">
        <v>950</v>
      </c>
      <c r="Y413" s="624">
        <v>38675</v>
      </c>
      <c r="Z413" s="625">
        <f t="shared" ca="1" si="10"/>
        <v>20</v>
      </c>
      <c r="AA413" s="616" t="s">
        <v>3165</v>
      </c>
      <c r="AB413" s="598" t="s">
        <v>3166</v>
      </c>
      <c r="AC413" s="598" t="s">
        <v>996</v>
      </c>
      <c r="AD413" s="598" t="s">
        <v>1018</v>
      </c>
      <c r="AE413" s="616" t="s">
        <v>1041</v>
      </c>
      <c r="AF413" s="616" t="s">
        <v>1041</v>
      </c>
      <c r="AG413" s="616" t="s">
        <v>2784</v>
      </c>
      <c r="AH413" s="598"/>
      <c r="AI413" s="598"/>
      <c r="AJ413" s="598" t="s">
        <v>1125</v>
      </c>
      <c r="AK413" s="598"/>
      <c r="AL413" s="626"/>
      <c r="AM413" s="626"/>
    </row>
    <row r="414" spans="3:39" ht="18" customHeight="1">
      <c r="C414" s="598">
        <v>393</v>
      </c>
      <c r="D414" s="598" t="s">
        <v>4746</v>
      </c>
      <c r="E414" s="598">
        <f t="shared" si="9"/>
        <v>376</v>
      </c>
      <c r="F414" s="616" t="s">
        <v>1798</v>
      </c>
      <c r="G414" s="616" t="s">
        <v>1226</v>
      </c>
      <c r="H414" s="618" t="s">
        <v>1225</v>
      </c>
      <c r="I414" s="618" t="s">
        <v>114</v>
      </c>
      <c r="J414" s="618" t="s">
        <v>1225</v>
      </c>
      <c r="K414" s="618" t="s">
        <v>3132</v>
      </c>
      <c r="L414" s="618" t="s">
        <v>3110</v>
      </c>
      <c r="M414" s="619" t="s">
        <v>3133</v>
      </c>
      <c r="N414" s="620"/>
      <c r="O414" s="620"/>
      <c r="P414" s="663" t="s">
        <v>1115</v>
      </c>
      <c r="Q414" s="621"/>
      <c r="R414" s="598"/>
      <c r="S414" s="598"/>
      <c r="T414" s="598"/>
      <c r="U414" s="598" t="s">
        <v>992</v>
      </c>
      <c r="V414" s="663" t="s">
        <v>4747</v>
      </c>
      <c r="W414" s="779" t="s">
        <v>4748</v>
      </c>
      <c r="X414" s="598" t="s">
        <v>950</v>
      </c>
      <c r="Y414" s="624">
        <v>37348</v>
      </c>
      <c r="Z414" s="625">
        <f t="shared" ca="1" si="10"/>
        <v>23</v>
      </c>
      <c r="AA414" s="616" t="s">
        <v>4749</v>
      </c>
      <c r="AB414" s="598" t="s">
        <v>4750</v>
      </c>
      <c r="AC414" s="598" t="s">
        <v>996</v>
      </c>
      <c r="AD414" s="598" t="s">
        <v>1018</v>
      </c>
      <c r="AE414" s="616" t="s">
        <v>1041</v>
      </c>
      <c r="AF414" s="616" t="s">
        <v>1041</v>
      </c>
      <c r="AG414" s="616" t="s">
        <v>2687</v>
      </c>
      <c r="AH414" s="598"/>
      <c r="AI414" s="598"/>
      <c r="AJ414" s="598" t="s">
        <v>1125</v>
      </c>
      <c r="AK414" s="598"/>
      <c r="AL414" s="626"/>
      <c r="AM414" s="626"/>
    </row>
    <row r="415" spans="3:39" ht="18" customHeight="1">
      <c r="C415" s="598">
        <v>394</v>
      </c>
      <c r="D415" s="598" t="s">
        <v>3152</v>
      </c>
      <c r="E415" s="598">
        <f t="shared" si="9"/>
        <v>377</v>
      </c>
      <c r="F415" s="616" t="s">
        <v>1798</v>
      </c>
      <c r="G415" s="616" t="s">
        <v>1226</v>
      </c>
      <c r="H415" s="618" t="s">
        <v>1225</v>
      </c>
      <c r="I415" s="618" t="s">
        <v>114</v>
      </c>
      <c r="J415" s="618" t="s">
        <v>1225</v>
      </c>
      <c r="K415" s="618" t="s">
        <v>3132</v>
      </c>
      <c r="L415" s="618" t="s">
        <v>3110</v>
      </c>
      <c r="M415" s="619" t="s">
        <v>3133</v>
      </c>
      <c r="N415" s="620"/>
      <c r="O415" s="620"/>
      <c r="P415" s="663" t="s">
        <v>1115</v>
      </c>
      <c r="Q415" s="621" t="s">
        <v>319</v>
      </c>
      <c r="R415" s="598"/>
      <c r="S415" s="598"/>
      <c r="T415" s="598"/>
      <c r="U415" s="598" t="s">
        <v>992</v>
      </c>
      <c r="V415" s="663" t="s">
        <v>435</v>
      </c>
      <c r="W415" s="779" t="s">
        <v>3153</v>
      </c>
      <c r="X415" s="598" t="s">
        <v>950</v>
      </c>
      <c r="Y415" s="624">
        <v>37194</v>
      </c>
      <c r="Z415" s="625">
        <f t="shared" ca="1" si="10"/>
        <v>24</v>
      </c>
      <c r="AA415" s="616" t="s">
        <v>3154</v>
      </c>
      <c r="AB415" s="598" t="s">
        <v>3155</v>
      </c>
      <c r="AC415" s="598" t="s">
        <v>996</v>
      </c>
      <c r="AD415" s="598" t="s">
        <v>997</v>
      </c>
      <c r="AE415" s="616" t="s">
        <v>1041</v>
      </c>
      <c r="AF415" s="721" t="s">
        <v>1041</v>
      </c>
      <c r="AG415" s="616" t="s">
        <v>3099</v>
      </c>
      <c r="AH415" s="598"/>
      <c r="AI415" s="598"/>
      <c r="AJ415" s="598" t="s">
        <v>1318</v>
      </c>
      <c r="AK415" s="598"/>
      <c r="AL415" s="626"/>
      <c r="AM415" s="626"/>
    </row>
    <row r="416" spans="3:39" ht="18" customHeight="1">
      <c r="C416" s="598">
        <v>395</v>
      </c>
      <c r="D416" s="598" t="s">
        <v>3117</v>
      </c>
      <c r="E416" s="598">
        <f t="shared" si="9"/>
        <v>378</v>
      </c>
      <c r="F416" s="616" t="s">
        <v>1351</v>
      </c>
      <c r="G416" s="616" t="s">
        <v>1226</v>
      </c>
      <c r="H416" s="618" t="s">
        <v>1225</v>
      </c>
      <c r="I416" s="618" t="s">
        <v>114</v>
      </c>
      <c r="J416" s="618" t="s">
        <v>1225</v>
      </c>
      <c r="K416" s="618" t="s">
        <v>3132</v>
      </c>
      <c r="L416" s="618" t="s">
        <v>3110</v>
      </c>
      <c r="M416" s="619" t="s">
        <v>3133</v>
      </c>
      <c r="N416" s="620"/>
      <c r="O416" s="620"/>
      <c r="P416" s="663" t="s">
        <v>1115</v>
      </c>
      <c r="Q416" s="621" t="s">
        <v>319</v>
      </c>
      <c r="R416" s="598"/>
      <c r="S416" s="598"/>
      <c r="T416" s="598"/>
      <c r="U416" s="598" t="s">
        <v>1705</v>
      </c>
      <c r="V416" s="663" t="s">
        <v>443</v>
      </c>
      <c r="W416" s="779" t="s">
        <v>3118</v>
      </c>
      <c r="X416" s="598" t="s">
        <v>950</v>
      </c>
      <c r="Y416" s="624">
        <v>39601</v>
      </c>
      <c r="Z416" s="625">
        <f t="shared" ca="1" si="10"/>
        <v>17</v>
      </c>
      <c r="AA416" s="616" t="s">
        <v>3119</v>
      </c>
      <c r="AB416" s="598" t="s">
        <v>3120</v>
      </c>
      <c r="AC416" s="598" t="s">
        <v>996</v>
      </c>
      <c r="AD416" s="598" t="s">
        <v>1018</v>
      </c>
      <c r="AE416" s="616" t="s">
        <v>1041</v>
      </c>
      <c r="AF416" s="616" t="s">
        <v>1041</v>
      </c>
      <c r="AG416" s="616" t="s">
        <v>3121</v>
      </c>
      <c r="AH416" s="598"/>
      <c r="AI416" s="598"/>
      <c r="AJ416" s="598" t="s">
        <v>1318</v>
      </c>
      <c r="AK416" s="598"/>
      <c r="AL416" s="626"/>
      <c r="AM416" s="626"/>
    </row>
    <row r="417" spans="3:39" ht="18" customHeight="1">
      <c r="C417" s="598">
        <v>396</v>
      </c>
      <c r="D417" s="598" t="s">
        <v>3167</v>
      </c>
      <c r="E417" s="598">
        <f t="shared" si="9"/>
        <v>379</v>
      </c>
      <c r="F417" s="616" t="s">
        <v>1798</v>
      </c>
      <c r="G417" s="616" t="s">
        <v>1226</v>
      </c>
      <c r="H417" s="618" t="s">
        <v>1225</v>
      </c>
      <c r="I417" s="618" t="s">
        <v>114</v>
      </c>
      <c r="J417" s="618" t="s">
        <v>1225</v>
      </c>
      <c r="K417" s="618" t="s">
        <v>3132</v>
      </c>
      <c r="L417" s="618" t="s">
        <v>3110</v>
      </c>
      <c r="M417" s="619" t="s">
        <v>3133</v>
      </c>
      <c r="N417" s="620"/>
      <c r="O417" s="620"/>
      <c r="P417" s="663" t="s">
        <v>1115</v>
      </c>
      <c r="Q417" s="621"/>
      <c r="R417" s="598"/>
      <c r="S417" s="598"/>
      <c r="T417" s="598"/>
      <c r="U417" s="598" t="s">
        <v>992</v>
      </c>
      <c r="V417" s="663" t="s">
        <v>3168</v>
      </c>
      <c r="W417" s="779" t="s">
        <v>3169</v>
      </c>
      <c r="X417" s="598" t="s">
        <v>950</v>
      </c>
      <c r="Y417" s="624">
        <v>37308</v>
      </c>
      <c r="Z417" s="625">
        <f t="shared" ca="1" si="10"/>
        <v>23</v>
      </c>
      <c r="AA417" s="616" t="s">
        <v>3170</v>
      </c>
      <c r="AB417" s="598" t="s">
        <v>3171</v>
      </c>
      <c r="AC417" s="598" t="s">
        <v>996</v>
      </c>
      <c r="AD417" s="598" t="s">
        <v>1018</v>
      </c>
      <c r="AE417" s="616" t="s">
        <v>1041</v>
      </c>
      <c r="AF417" s="616" t="s">
        <v>1791</v>
      </c>
      <c r="AG417" s="616" t="s">
        <v>3172</v>
      </c>
      <c r="AH417" s="598"/>
      <c r="AI417" s="598" t="s">
        <v>3173</v>
      </c>
      <c r="AJ417" s="598" t="s">
        <v>1125</v>
      </c>
      <c r="AK417" s="598" t="s">
        <v>1020</v>
      </c>
      <c r="AL417" s="626"/>
      <c r="AM417" s="626"/>
    </row>
    <row r="418" spans="3:39" ht="18" customHeight="1">
      <c r="C418" s="598">
        <v>397</v>
      </c>
      <c r="D418" s="598" t="s">
        <v>3174</v>
      </c>
      <c r="E418" s="598">
        <f t="shared" si="9"/>
        <v>380</v>
      </c>
      <c r="F418" s="616" t="s">
        <v>1798</v>
      </c>
      <c r="G418" s="616" t="s">
        <v>1226</v>
      </c>
      <c r="H418" s="618" t="s">
        <v>1225</v>
      </c>
      <c r="I418" s="618" t="s">
        <v>114</v>
      </c>
      <c r="J418" s="618" t="s">
        <v>1225</v>
      </c>
      <c r="K418" s="618" t="s">
        <v>3132</v>
      </c>
      <c r="L418" s="618" t="s">
        <v>3110</v>
      </c>
      <c r="M418" s="619" t="s">
        <v>3133</v>
      </c>
      <c r="N418" s="620"/>
      <c r="O418" s="620"/>
      <c r="P418" s="663" t="s">
        <v>1115</v>
      </c>
      <c r="Q418" s="621"/>
      <c r="R418" s="598"/>
      <c r="S418" s="598"/>
      <c r="T418" s="598"/>
      <c r="U418" s="598" t="s">
        <v>992</v>
      </c>
      <c r="V418" s="663" t="s">
        <v>3175</v>
      </c>
      <c r="W418" s="779" t="s">
        <v>3176</v>
      </c>
      <c r="X418" s="598" t="s">
        <v>950</v>
      </c>
      <c r="Y418" s="624">
        <v>37265</v>
      </c>
      <c r="Z418" s="625">
        <f t="shared" ca="1" si="10"/>
        <v>24</v>
      </c>
      <c r="AA418" s="616" t="s">
        <v>3177</v>
      </c>
      <c r="AB418" s="598" t="s">
        <v>3178</v>
      </c>
      <c r="AC418" s="598" t="s">
        <v>996</v>
      </c>
      <c r="AD418" s="598" t="s">
        <v>1018</v>
      </c>
      <c r="AE418" s="616" t="s">
        <v>1041</v>
      </c>
      <c r="AF418" s="616" t="s">
        <v>3179</v>
      </c>
      <c r="AG418" s="616" t="s">
        <v>3179</v>
      </c>
      <c r="AH418" s="598"/>
      <c r="AI418" s="598" t="s">
        <v>2837</v>
      </c>
      <c r="AJ418" s="598" t="s">
        <v>1125</v>
      </c>
      <c r="AK418" s="598"/>
      <c r="AL418" s="626"/>
      <c r="AM418" s="626"/>
    </row>
    <row r="419" spans="3:39" ht="18" customHeight="1">
      <c r="C419" s="598">
        <v>398</v>
      </c>
      <c r="D419" s="598" t="s">
        <v>4751</v>
      </c>
      <c r="E419" s="598">
        <f t="shared" si="9"/>
        <v>381</v>
      </c>
      <c r="F419" s="616" t="s">
        <v>1798</v>
      </c>
      <c r="G419" s="616" t="s">
        <v>1226</v>
      </c>
      <c r="H419" s="618" t="s">
        <v>1225</v>
      </c>
      <c r="I419" s="618" t="s">
        <v>114</v>
      </c>
      <c r="J419" s="618" t="s">
        <v>1225</v>
      </c>
      <c r="K419" s="618" t="s">
        <v>3132</v>
      </c>
      <c r="L419" s="618" t="s">
        <v>3110</v>
      </c>
      <c r="M419" s="619" t="s">
        <v>3133</v>
      </c>
      <c r="N419" s="620"/>
      <c r="O419" s="620"/>
      <c r="P419" s="663" t="s">
        <v>1115</v>
      </c>
      <c r="Q419" s="621"/>
      <c r="R419" s="598"/>
      <c r="S419" s="598"/>
      <c r="T419" s="598"/>
      <c r="U419" s="598" t="s">
        <v>992</v>
      </c>
      <c r="V419" s="663" t="s">
        <v>4752</v>
      </c>
      <c r="W419" s="779" t="s">
        <v>4753</v>
      </c>
      <c r="X419" s="598" t="s">
        <v>950</v>
      </c>
      <c r="Y419" s="624">
        <v>38907</v>
      </c>
      <c r="Z419" s="625">
        <f t="shared" ca="1" si="10"/>
        <v>19</v>
      </c>
      <c r="AA419" s="616" t="s">
        <v>4754</v>
      </c>
      <c r="AB419" s="598" t="s">
        <v>4755</v>
      </c>
      <c r="AC419" s="598" t="s">
        <v>996</v>
      </c>
      <c r="AD419" s="598" t="s">
        <v>1018</v>
      </c>
      <c r="AE419" s="616" t="s">
        <v>1041</v>
      </c>
      <c r="AF419" s="616" t="s">
        <v>1041</v>
      </c>
      <c r="AG419" s="616" t="s">
        <v>4756</v>
      </c>
      <c r="AH419" s="598"/>
      <c r="AI419" s="598" t="s">
        <v>4642</v>
      </c>
      <c r="AJ419" s="598" t="s">
        <v>1125</v>
      </c>
      <c r="AK419" s="598"/>
      <c r="AL419" s="626"/>
      <c r="AM419" s="626"/>
    </row>
    <row r="420" spans="3:39" ht="18" customHeight="1">
      <c r="C420" s="598">
        <v>399</v>
      </c>
      <c r="D420" s="598" t="s">
        <v>4757</v>
      </c>
      <c r="E420" s="598">
        <f t="shared" si="9"/>
        <v>382</v>
      </c>
      <c r="F420" s="616" t="s">
        <v>1798</v>
      </c>
      <c r="G420" s="616" t="s">
        <v>1226</v>
      </c>
      <c r="H420" s="618" t="s">
        <v>1225</v>
      </c>
      <c r="I420" s="618" t="s">
        <v>114</v>
      </c>
      <c r="J420" s="618" t="s">
        <v>1225</v>
      </c>
      <c r="K420" s="618" t="s">
        <v>3132</v>
      </c>
      <c r="L420" s="618" t="s">
        <v>3110</v>
      </c>
      <c r="M420" s="619" t="s">
        <v>3133</v>
      </c>
      <c r="N420" s="620"/>
      <c r="O420" s="620"/>
      <c r="P420" s="663" t="s">
        <v>1115</v>
      </c>
      <c r="Q420" s="621"/>
      <c r="R420" s="598"/>
      <c r="S420" s="598"/>
      <c r="T420" s="598"/>
      <c r="U420" s="598" t="s">
        <v>992</v>
      </c>
      <c r="V420" s="663" t="s">
        <v>451</v>
      </c>
      <c r="W420" s="779" t="s">
        <v>4758</v>
      </c>
      <c r="X420" s="598" t="s">
        <v>950</v>
      </c>
      <c r="Y420" s="624" t="s">
        <v>4759</v>
      </c>
      <c r="Z420" s="625">
        <f t="shared" ca="1" si="10"/>
        <v>24</v>
      </c>
      <c r="AA420" s="616" t="s">
        <v>4760</v>
      </c>
      <c r="AB420" s="598" t="s">
        <v>4761</v>
      </c>
      <c r="AC420" s="598" t="s">
        <v>996</v>
      </c>
      <c r="AD420" s="598" t="s">
        <v>1018</v>
      </c>
      <c r="AE420" s="616" t="s">
        <v>1494</v>
      </c>
      <c r="AF420" s="616" t="s">
        <v>1494</v>
      </c>
      <c r="AG420" s="616" t="s">
        <v>1892</v>
      </c>
      <c r="AH420" s="598"/>
      <c r="AI420" s="598" t="s">
        <v>4731</v>
      </c>
      <c r="AJ420" s="598" t="s">
        <v>1114</v>
      </c>
      <c r="AK420" s="598"/>
      <c r="AL420" s="626"/>
      <c r="AM420" s="626"/>
    </row>
    <row r="421" spans="3:39" ht="18" customHeight="1">
      <c r="C421" s="598">
        <v>400</v>
      </c>
      <c r="D421" s="732" t="s">
        <v>4762</v>
      </c>
      <c r="E421" s="598">
        <f t="shared" si="9"/>
        <v>383</v>
      </c>
      <c r="F421" s="733" t="s">
        <v>1798</v>
      </c>
      <c r="G421" s="733" t="s">
        <v>1226</v>
      </c>
      <c r="H421" s="734" t="s">
        <v>1225</v>
      </c>
      <c r="I421" s="734" t="s">
        <v>114</v>
      </c>
      <c r="J421" s="734" t="s">
        <v>1225</v>
      </c>
      <c r="K421" s="734" t="s">
        <v>3132</v>
      </c>
      <c r="L421" s="734" t="s">
        <v>3110</v>
      </c>
      <c r="M421" s="735" t="s">
        <v>3133</v>
      </c>
      <c r="N421" s="736"/>
      <c r="O421" s="736"/>
      <c r="P421" s="737" t="s">
        <v>1115</v>
      </c>
      <c r="Q421" s="738"/>
      <c r="R421" s="732"/>
      <c r="S421" s="732"/>
      <c r="T421" s="732"/>
      <c r="U421" s="732" t="s">
        <v>1015</v>
      </c>
      <c r="V421" s="737" t="s">
        <v>4763</v>
      </c>
      <c r="W421" s="794" t="s">
        <v>4764</v>
      </c>
      <c r="X421" s="732" t="s">
        <v>950</v>
      </c>
      <c r="Y421" s="739">
        <v>37308</v>
      </c>
      <c r="Z421" s="740">
        <f t="shared" ca="1" si="10"/>
        <v>23</v>
      </c>
      <c r="AA421" s="733" t="s">
        <v>3170</v>
      </c>
      <c r="AB421" s="741"/>
      <c r="AC421" s="732" t="s">
        <v>996</v>
      </c>
      <c r="AD421" s="732" t="s">
        <v>1018</v>
      </c>
      <c r="AE421" s="733" t="s">
        <v>1041</v>
      </c>
      <c r="AF421" s="733" t="s">
        <v>1791</v>
      </c>
      <c r="AG421" s="733" t="s">
        <v>3172</v>
      </c>
      <c r="AH421" s="732"/>
      <c r="AI421" s="732" t="s">
        <v>4229</v>
      </c>
      <c r="AJ421" s="732" t="s">
        <v>1125</v>
      </c>
      <c r="AK421" s="680" t="s">
        <v>4505</v>
      </c>
      <c r="AL421" s="732"/>
      <c r="AM421" s="732"/>
    </row>
    <row r="422" spans="3:39" ht="18" customHeight="1">
      <c r="C422" s="598">
        <v>401</v>
      </c>
      <c r="D422" s="598" t="s">
        <v>3181</v>
      </c>
      <c r="E422" s="598">
        <f t="shared" si="9"/>
        <v>384</v>
      </c>
      <c r="F422" s="616" t="s">
        <v>1798</v>
      </c>
      <c r="G422" s="616" t="s">
        <v>1226</v>
      </c>
      <c r="H422" s="618" t="s">
        <v>1225</v>
      </c>
      <c r="I422" s="618" t="s">
        <v>114</v>
      </c>
      <c r="J422" s="618" t="s">
        <v>1225</v>
      </c>
      <c r="K422" s="618" t="s">
        <v>3181</v>
      </c>
      <c r="L422" s="618" t="s">
        <v>3182</v>
      </c>
      <c r="M422" s="619"/>
      <c r="N422" s="620"/>
      <c r="O422" s="620"/>
      <c r="P422" s="667" t="s">
        <v>1127</v>
      </c>
      <c r="Q422" s="621"/>
      <c r="R422" s="598" t="s">
        <v>55</v>
      </c>
      <c r="S422" s="598" t="s">
        <v>178</v>
      </c>
      <c r="T422" s="598"/>
      <c r="U422" s="598" t="s">
        <v>1015</v>
      </c>
      <c r="V422" s="667" t="s">
        <v>341</v>
      </c>
      <c r="W422" s="779" t="s">
        <v>3183</v>
      </c>
      <c r="X422" s="598" t="s">
        <v>950</v>
      </c>
      <c r="Y422" s="624">
        <v>36536</v>
      </c>
      <c r="Z422" s="625">
        <f t="shared" ca="1" si="10"/>
        <v>26</v>
      </c>
      <c r="AA422" s="616" t="s">
        <v>3184</v>
      </c>
      <c r="AB422" s="598" t="s">
        <v>3185</v>
      </c>
      <c r="AC422" s="598" t="s">
        <v>996</v>
      </c>
      <c r="AD422" s="598" t="s">
        <v>1018</v>
      </c>
      <c r="AE422" s="616" t="s">
        <v>1041</v>
      </c>
      <c r="AF422" s="616" t="s">
        <v>2985</v>
      </c>
      <c r="AG422" s="616" t="s">
        <v>2986</v>
      </c>
      <c r="AH422" s="598"/>
      <c r="AI422" s="598"/>
      <c r="AJ422" s="598" t="s">
        <v>1011</v>
      </c>
      <c r="AK422" s="598"/>
      <c r="AL422" s="626"/>
      <c r="AM422" s="626"/>
    </row>
    <row r="423" spans="3:39" ht="18" customHeight="1">
      <c r="C423" s="598">
        <v>402</v>
      </c>
      <c r="D423" s="598" t="s">
        <v>3182</v>
      </c>
      <c r="E423" s="598">
        <f t="shared" si="9"/>
        <v>385</v>
      </c>
      <c r="F423" s="616" t="s">
        <v>1798</v>
      </c>
      <c r="G423" s="616" t="s">
        <v>1226</v>
      </c>
      <c r="H423" s="618" t="s">
        <v>1225</v>
      </c>
      <c r="I423" s="618" t="s">
        <v>114</v>
      </c>
      <c r="J423" s="618" t="s">
        <v>1225</v>
      </c>
      <c r="K423" s="618" t="s">
        <v>3181</v>
      </c>
      <c r="L423" s="618" t="s">
        <v>3182</v>
      </c>
      <c r="M423" s="619"/>
      <c r="N423" s="620"/>
      <c r="O423" s="620"/>
      <c r="P423" s="663" t="s">
        <v>1127</v>
      </c>
      <c r="Q423" s="621"/>
      <c r="R423" s="598" t="s">
        <v>69</v>
      </c>
      <c r="S423" s="598" t="s">
        <v>562</v>
      </c>
      <c r="T423" s="598"/>
      <c r="U423" s="598" t="s">
        <v>1015</v>
      </c>
      <c r="V423" s="663" t="s">
        <v>355</v>
      </c>
      <c r="W423" s="779" t="s">
        <v>3186</v>
      </c>
      <c r="X423" s="598" t="s">
        <v>950</v>
      </c>
      <c r="Y423" s="624">
        <v>35989</v>
      </c>
      <c r="Z423" s="625">
        <f t="shared" ca="1" si="10"/>
        <v>27</v>
      </c>
      <c r="AA423" s="616" t="s">
        <v>3187</v>
      </c>
      <c r="AB423" s="598" t="s">
        <v>3188</v>
      </c>
      <c r="AC423" s="598" t="s">
        <v>996</v>
      </c>
      <c r="AD423" s="598" t="s">
        <v>997</v>
      </c>
      <c r="AE423" s="616" t="s">
        <v>1041</v>
      </c>
      <c r="AF423" s="721" t="s">
        <v>1041</v>
      </c>
      <c r="AG423" s="616" t="s">
        <v>2784</v>
      </c>
      <c r="AH423" s="598"/>
      <c r="AI423" s="598"/>
      <c r="AJ423" s="598" t="s">
        <v>1114</v>
      </c>
      <c r="AK423" s="598"/>
      <c r="AL423" s="626"/>
      <c r="AM423" s="626"/>
    </row>
    <row r="424" spans="3:39" ht="18" customHeight="1">
      <c r="C424" s="598">
        <v>403</v>
      </c>
      <c r="D424" s="598" t="s">
        <v>3189</v>
      </c>
      <c r="E424" s="598">
        <f t="shared" si="9"/>
        <v>386</v>
      </c>
      <c r="F424" s="616" t="s">
        <v>1798</v>
      </c>
      <c r="G424" s="616" t="s">
        <v>1226</v>
      </c>
      <c r="H424" s="618" t="s">
        <v>1225</v>
      </c>
      <c r="I424" s="618" t="s">
        <v>114</v>
      </c>
      <c r="J424" s="618" t="s">
        <v>1225</v>
      </c>
      <c r="K424" s="618" t="s">
        <v>3181</v>
      </c>
      <c r="L424" s="618" t="s">
        <v>3182</v>
      </c>
      <c r="M424" s="619"/>
      <c r="N424" s="620"/>
      <c r="O424" s="620"/>
      <c r="P424" s="663" t="s">
        <v>1127</v>
      </c>
      <c r="Q424" s="621"/>
      <c r="R424" s="598"/>
      <c r="S424" s="598"/>
      <c r="T424" s="598"/>
      <c r="U424" s="598" t="s">
        <v>1015</v>
      </c>
      <c r="V424" s="663" t="s">
        <v>3190</v>
      </c>
      <c r="W424" s="779" t="s">
        <v>3191</v>
      </c>
      <c r="X424" s="598" t="s">
        <v>950</v>
      </c>
      <c r="Y424" s="624">
        <v>31694</v>
      </c>
      <c r="Z424" s="625">
        <f t="shared" ca="1" si="10"/>
        <v>39</v>
      </c>
      <c r="AA424" s="616" t="s">
        <v>3192</v>
      </c>
      <c r="AB424" s="598" t="s">
        <v>3193</v>
      </c>
      <c r="AC424" s="598" t="s">
        <v>996</v>
      </c>
      <c r="AD424" s="598" t="s">
        <v>997</v>
      </c>
      <c r="AE424" s="616" t="s">
        <v>1041</v>
      </c>
      <c r="AF424" s="616" t="s">
        <v>3194</v>
      </c>
      <c r="AG424" s="616"/>
      <c r="AH424" s="598"/>
      <c r="AI424" s="598"/>
      <c r="AJ424" s="598" t="s">
        <v>1114</v>
      </c>
      <c r="AK424" s="598"/>
      <c r="AL424" s="626"/>
      <c r="AM424" s="626"/>
    </row>
    <row r="425" spans="3:39" ht="18" customHeight="1">
      <c r="C425" s="598">
        <v>404</v>
      </c>
      <c r="D425" s="598" t="s">
        <v>3196</v>
      </c>
      <c r="E425" s="598">
        <f t="shared" si="9"/>
        <v>387</v>
      </c>
      <c r="F425" s="616" t="s">
        <v>1798</v>
      </c>
      <c r="G425" s="616" t="s">
        <v>1226</v>
      </c>
      <c r="H425" s="618" t="s">
        <v>1225</v>
      </c>
      <c r="I425" s="618" t="s">
        <v>114</v>
      </c>
      <c r="J425" s="618" t="s">
        <v>1225</v>
      </c>
      <c r="K425" s="618" t="s">
        <v>3181</v>
      </c>
      <c r="L425" s="618" t="s">
        <v>3182</v>
      </c>
      <c r="M425" s="619"/>
      <c r="N425" s="620"/>
      <c r="O425" s="620"/>
      <c r="P425" s="663" t="s">
        <v>1127</v>
      </c>
      <c r="Q425" s="621"/>
      <c r="R425" s="598"/>
      <c r="S425" s="598"/>
      <c r="T425" s="598"/>
      <c r="U425" s="598" t="s">
        <v>1015</v>
      </c>
      <c r="V425" s="663" t="s">
        <v>382</v>
      </c>
      <c r="W425" s="779" t="s">
        <v>3197</v>
      </c>
      <c r="X425" s="598" t="s">
        <v>950</v>
      </c>
      <c r="Y425" s="624">
        <v>33359</v>
      </c>
      <c r="Z425" s="625">
        <f t="shared" ca="1" si="10"/>
        <v>34</v>
      </c>
      <c r="AA425" s="616" t="s">
        <v>3198</v>
      </c>
      <c r="AB425" s="598"/>
      <c r="AC425" s="598" t="s">
        <v>996</v>
      </c>
      <c r="AD425" s="598" t="s">
        <v>1018</v>
      </c>
      <c r="AE425" s="616" t="s">
        <v>1041</v>
      </c>
      <c r="AF425" s="721" t="s">
        <v>1041</v>
      </c>
      <c r="AG425" s="616" t="s">
        <v>2784</v>
      </c>
      <c r="AH425" s="598"/>
      <c r="AI425" s="598"/>
      <c r="AJ425" s="598" t="s">
        <v>1114</v>
      </c>
      <c r="AK425" s="598"/>
      <c r="AL425" s="626"/>
      <c r="AM425" s="626"/>
    </row>
    <row r="426" spans="3:39" ht="18" customHeight="1">
      <c r="C426" s="598">
        <v>405</v>
      </c>
      <c r="D426" s="598" t="s">
        <v>3199</v>
      </c>
      <c r="E426" s="598">
        <f t="shared" si="9"/>
        <v>388</v>
      </c>
      <c r="F426" s="616" t="s">
        <v>1798</v>
      </c>
      <c r="G426" s="616" t="s">
        <v>1226</v>
      </c>
      <c r="H426" s="618" t="s">
        <v>1225</v>
      </c>
      <c r="I426" s="618" t="s">
        <v>114</v>
      </c>
      <c r="J426" s="618" t="s">
        <v>1225</v>
      </c>
      <c r="K426" s="618" t="s">
        <v>3181</v>
      </c>
      <c r="L426" s="618" t="s">
        <v>3182</v>
      </c>
      <c r="M426" s="619"/>
      <c r="N426" s="620"/>
      <c r="O426" s="620"/>
      <c r="P426" s="663" t="s">
        <v>1127</v>
      </c>
      <c r="Q426" s="621"/>
      <c r="R426" s="598"/>
      <c r="S426" s="598"/>
      <c r="T426" s="598"/>
      <c r="U426" s="598" t="s">
        <v>1015</v>
      </c>
      <c r="V426" s="663" t="s">
        <v>395</v>
      </c>
      <c r="W426" s="779" t="s">
        <v>3200</v>
      </c>
      <c r="X426" s="598" t="s">
        <v>950</v>
      </c>
      <c r="Y426" s="624">
        <v>34616</v>
      </c>
      <c r="Z426" s="625">
        <f t="shared" ca="1" si="10"/>
        <v>31</v>
      </c>
      <c r="AA426" s="616" t="s">
        <v>3201</v>
      </c>
      <c r="AB426" s="598" t="s">
        <v>3202</v>
      </c>
      <c r="AC426" s="598" t="s">
        <v>996</v>
      </c>
      <c r="AD426" s="598" t="s">
        <v>997</v>
      </c>
      <c r="AE426" s="616" t="s">
        <v>1041</v>
      </c>
      <c r="AF426" s="721" t="s">
        <v>1041</v>
      </c>
      <c r="AG426" s="616" t="s">
        <v>2784</v>
      </c>
      <c r="AH426" s="598"/>
      <c r="AI426" s="598"/>
      <c r="AJ426" s="598" t="s">
        <v>1114</v>
      </c>
      <c r="AK426" s="598"/>
      <c r="AL426" s="626"/>
      <c r="AM426" s="626"/>
    </row>
    <row r="427" spans="3:39" ht="18" customHeight="1">
      <c r="C427" s="598">
        <v>406</v>
      </c>
      <c r="D427" s="598" t="s">
        <v>3203</v>
      </c>
      <c r="E427" s="598">
        <f t="shared" si="9"/>
        <v>389</v>
      </c>
      <c r="F427" s="616" t="s">
        <v>1798</v>
      </c>
      <c r="G427" s="616" t="s">
        <v>1226</v>
      </c>
      <c r="H427" s="618" t="s">
        <v>1225</v>
      </c>
      <c r="I427" s="618" t="s">
        <v>114</v>
      </c>
      <c r="J427" s="618" t="s">
        <v>1225</v>
      </c>
      <c r="K427" s="618" t="s">
        <v>3181</v>
      </c>
      <c r="L427" s="618" t="s">
        <v>3182</v>
      </c>
      <c r="M427" s="619"/>
      <c r="N427" s="620"/>
      <c r="O427" s="620"/>
      <c r="P427" s="663" t="s">
        <v>1127</v>
      </c>
      <c r="Q427" s="621"/>
      <c r="R427" s="598"/>
      <c r="S427" s="598"/>
      <c r="T427" s="598"/>
      <c r="U427" s="598" t="s">
        <v>992</v>
      </c>
      <c r="V427" s="663" t="s">
        <v>407</v>
      </c>
      <c r="W427" s="779" t="s">
        <v>3204</v>
      </c>
      <c r="X427" s="598" t="s">
        <v>950</v>
      </c>
      <c r="Y427" s="624">
        <v>35621</v>
      </c>
      <c r="Z427" s="625">
        <f t="shared" ca="1" si="10"/>
        <v>28</v>
      </c>
      <c r="AA427" s="616" t="s">
        <v>3205</v>
      </c>
      <c r="AB427" s="598" t="s">
        <v>3206</v>
      </c>
      <c r="AC427" s="598" t="s">
        <v>996</v>
      </c>
      <c r="AD427" s="598" t="s">
        <v>997</v>
      </c>
      <c r="AE427" s="616" t="s">
        <v>1041</v>
      </c>
      <c r="AF427" s="616" t="s">
        <v>3207</v>
      </c>
      <c r="AG427" s="616"/>
      <c r="AH427" s="598"/>
      <c r="AI427" s="598"/>
      <c r="AJ427" s="598" t="s">
        <v>1114</v>
      </c>
      <c r="AK427" s="598"/>
      <c r="AL427" s="626"/>
      <c r="AM427" s="626"/>
    </row>
    <row r="428" spans="3:39" ht="18" customHeight="1">
      <c r="C428" s="598">
        <v>407</v>
      </c>
      <c r="D428" s="598" t="s">
        <v>3209</v>
      </c>
      <c r="E428" s="598">
        <f t="shared" si="9"/>
        <v>390</v>
      </c>
      <c r="F428" s="616" t="s">
        <v>1798</v>
      </c>
      <c r="G428" s="616" t="s">
        <v>1226</v>
      </c>
      <c r="H428" s="618" t="s">
        <v>1225</v>
      </c>
      <c r="I428" s="618" t="s">
        <v>114</v>
      </c>
      <c r="J428" s="618" t="s">
        <v>1225</v>
      </c>
      <c r="K428" s="618" t="s">
        <v>3181</v>
      </c>
      <c r="L428" s="618" t="s">
        <v>3182</v>
      </c>
      <c r="M428" s="619"/>
      <c r="N428" s="620"/>
      <c r="O428" s="620"/>
      <c r="P428" s="663" t="s">
        <v>1127</v>
      </c>
      <c r="Q428" s="621"/>
      <c r="R428" s="598"/>
      <c r="S428" s="598"/>
      <c r="T428" s="598"/>
      <c r="U428" s="598" t="s">
        <v>992</v>
      </c>
      <c r="V428" s="663" t="s">
        <v>419</v>
      </c>
      <c r="W428" s="779" t="s">
        <v>3210</v>
      </c>
      <c r="X428" s="598" t="s">
        <v>950</v>
      </c>
      <c r="Y428" s="624" t="s">
        <v>3211</v>
      </c>
      <c r="Z428" s="625">
        <f t="shared" ca="1" si="10"/>
        <v>24</v>
      </c>
      <c r="AA428" s="616" t="s">
        <v>3212</v>
      </c>
      <c r="AB428" s="598" t="s">
        <v>3213</v>
      </c>
      <c r="AC428" s="598" t="s">
        <v>996</v>
      </c>
      <c r="AD428" s="598" t="s">
        <v>997</v>
      </c>
      <c r="AE428" s="616" t="s">
        <v>1041</v>
      </c>
      <c r="AF428" s="721" t="s">
        <v>1041</v>
      </c>
      <c r="AG428" s="616" t="s">
        <v>3214</v>
      </c>
      <c r="AH428" s="598"/>
      <c r="AI428" s="598"/>
      <c r="AJ428" s="598" t="s">
        <v>1114</v>
      </c>
      <c r="AK428" s="598"/>
      <c r="AL428" s="626"/>
      <c r="AM428" s="626"/>
    </row>
    <row r="429" spans="3:39" ht="18" customHeight="1">
      <c r="C429" s="598">
        <v>408</v>
      </c>
      <c r="D429" s="598" t="s">
        <v>3215</v>
      </c>
      <c r="E429" s="598">
        <f t="shared" si="9"/>
        <v>391</v>
      </c>
      <c r="F429" s="616" t="s">
        <v>1351</v>
      </c>
      <c r="G429" s="616" t="s">
        <v>1226</v>
      </c>
      <c r="H429" s="618" t="s">
        <v>1225</v>
      </c>
      <c r="I429" s="618" t="s">
        <v>114</v>
      </c>
      <c r="J429" s="618" t="s">
        <v>1225</v>
      </c>
      <c r="K429" s="618" t="s">
        <v>3181</v>
      </c>
      <c r="L429" s="618" t="s">
        <v>3182</v>
      </c>
      <c r="M429" s="619"/>
      <c r="N429" s="620"/>
      <c r="O429" s="620"/>
      <c r="P429" s="663" t="s">
        <v>1127</v>
      </c>
      <c r="Q429" s="621"/>
      <c r="R429" s="598"/>
      <c r="S429" s="598"/>
      <c r="T429" s="598"/>
      <c r="U429" s="598" t="s">
        <v>992</v>
      </c>
      <c r="V429" s="663" t="s">
        <v>428</v>
      </c>
      <c r="W429" s="779" t="s">
        <v>3216</v>
      </c>
      <c r="X429" s="598" t="s">
        <v>950</v>
      </c>
      <c r="Y429" s="624" t="s">
        <v>3217</v>
      </c>
      <c r="Z429" s="625">
        <f t="shared" ca="1" si="10"/>
        <v>19</v>
      </c>
      <c r="AA429" s="616" t="s">
        <v>3218</v>
      </c>
      <c r="AB429" s="598" t="s">
        <v>3219</v>
      </c>
      <c r="AC429" s="598" t="s">
        <v>996</v>
      </c>
      <c r="AD429" s="598" t="s">
        <v>1018</v>
      </c>
      <c r="AE429" s="616" t="s">
        <v>1041</v>
      </c>
      <c r="AF429" s="616" t="s">
        <v>1041</v>
      </c>
      <c r="AG429" s="616" t="s">
        <v>3220</v>
      </c>
      <c r="AH429" s="598"/>
      <c r="AI429" s="598"/>
      <c r="AJ429" s="598" t="s">
        <v>1114</v>
      </c>
      <c r="AK429" s="598"/>
      <c r="AL429" s="626"/>
      <c r="AM429" s="626"/>
    </row>
    <row r="430" spans="3:39" ht="18" customHeight="1">
      <c r="C430" s="598">
        <v>409</v>
      </c>
      <c r="D430" s="598" t="s">
        <v>3221</v>
      </c>
      <c r="E430" s="598">
        <f t="shared" si="9"/>
        <v>392</v>
      </c>
      <c r="F430" s="616" t="s">
        <v>1798</v>
      </c>
      <c r="G430" s="616" t="s">
        <v>1226</v>
      </c>
      <c r="H430" s="618" t="s">
        <v>1225</v>
      </c>
      <c r="I430" s="618" t="s">
        <v>114</v>
      </c>
      <c r="J430" s="618" t="s">
        <v>1225</v>
      </c>
      <c r="K430" s="618" t="s">
        <v>3181</v>
      </c>
      <c r="L430" s="618" t="s">
        <v>3182</v>
      </c>
      <c r="M430" s="619"/>
      <c r="N430" s="620"/>
      <c r="O430" s="620"/>
      <c r="P430" s="673" t="s">
        <v>1127</v>
      </c>
      <c r="Q430" s="621" t="s">
        <v>319</v>
      </c>
      <c r="R430" s="598"/>
      <c r="S430" s="598"/>
      <c r="T430" s="598"/>
      <c r="U430" s="598" t="s">
        <v>1015</v>
      </c>
      <c r="V430" s="664" t="s">
        <v>3222</v>
      </c>
      <c r="W430" s="779" t="s">
        <v>3223</v>
      </c>
      <c r="X430" s="598" t="s">
        <v>950</v>
      </c>
      <c r="Y430" s="624">
        <v>35825</v>
      </c>
      <c r="Z430" s="625">
        <f t="shared" ca="1" si="10"/>
        <v>28</v>
      </c>
      <c r="AA430" s="616" t="s">
        <v>3224</v>
      </c>
      <c r="AB430" s="598"/>
      <c r="AC430" s="598" t="s">
        <v>996</v>
      </c>
      <c r="AD430" s="598" t="s">
        <v>1018</v>
      </c>
      <c r="AE430" s="616" t="s">
        <v>1041</v>
      </c>
      <c r="AF430" s="721" t="s">
        <v>1041</v>
      </c>
      <c r="AG430" s="616" t="s">
        <v>1473</v>
      </c>
      <c r="AH430" s="598"/>
      <c r="AI430" s="598"/>
      <c r="AJ430" s="598" t="s">
        <v>1107</v>
      </c>
      <c r="AK430" s="598"/>
      <c r="AL430" s="626"/>
      <c r="AM430" s="626"/>
    </row>
    <row r="431" spans="3:39" ht="18" customHeight="1">
      <c r="C431" s="598">
        <v>410</v>
      </c>
      <c r="D431" s="598" t="s">
        <v>3225</v>
      </c>
      <c r="E431" s="598">
        <f t="shared" si="9"/>
        <v>393</v>
      </c>
      <c r="F431" s="616" t="s">
        <v>1798</v>
      </c>
      <c r="G431" s="616" t="s">
        <v>1226</v>
      </c>
      <c r="H431" s="618" t="s">
        <v>1225</v>
      </c>
      <c r="I431" s="618" t="s">
        <v>114</v>
      </c>
      <c r="J431" s="618" t="s">
        <v>1225</v>
      </c>
      <c r="K431" s="618" t="s">
        <v>3225</v>
      </c>
      <c r="L431" s="618" t="s">
        <v>3226</v>
      </c>
      <c r="M431" s="743" t="s">
        <v>3227</v>
      </c>
      <c r="N431" s="620"/>
      <c r="O431" s="620"/>
      <c r="P431" s="667" t="s">
        <v>4765</v>
      </c>
      <c r="Q431" s="621"/>
      <c r="R431" s="598" t="s">
        <v>55</v>
      </c>
      <c r="S431" s="598" t="s">
        <v>178</v>
      </c>
      <c r="T431" s="598"/>
      <c r="U431" s="623" t="s">
        <v>992</v>
      </c>
      <c r="V431" s="667" t="s">
        <v>343</v>
      </c>
      <c r="W431" s="781" t="s">
        <v>3229</v>
      </c>
      <c r="X431" s="598" t="s">
        <v>950</v>
      </c>
      <c r="Y431" s="624">
        <v>32520</v>
      </c>
      <c r="Z431" s="625">
        <f t="shared" ca="1" si="10"/>
        <v>37</v>
      </c>
      <c r="AA431" s="616" t="s">
        <v>3230</v>
      </c>
      <c r="AB431" s="598" t="s">
        <v>3231</v>
      </c>
      <c r="AC431" s="598" t="s">
        <v>1006</v>
      </c>
      <c r="AD431" s="598" t="s">
        <v>953</v>
      </c>
      <c r="AE431" s="616" t="s">
        <v>1041</v>
      </c>
      <c r="AF431" s="616" t="s">
        <v>3194</v>
      </c>
      <c r="AG431" s="616" t="s">
        <v>3232</v>
      </c>
      <c r="AH431" s="598"/>
      <c r="AI431" s="598"/>
      <c r="AJ431" s="598" t="s">
        <v>1349</v>
      </c>
      <c r="AK431" s="598"/>
      <c r="AL431" s="626"/>
      <c r="AM431" s="626"/>
    </row>
    <row r="432" spans="3:39" ht="18" customHeight="1">
      <c r="C432" s="598">
        <v>411</v>
      </c>
      <c r="D432" s="598" t="s">
        <v>3226</v>
      </c>
      <c r="E432" s="598">
        <f t="shared" si="9"/>
        <v>394</v>
      </c>
      <c r="F432" s="616" t="s">
        <v>1798</v>
      </c>
      <c r="G432" s="616" t="s">
        <v>1226</v>
      </c>
      <c r="H432" s="618" t="s">
        <v>1225</v>
      </c>
      <c r="I432" s="618" t="s">
        <v>114</v>
      </c>
      <c r="J432" s="618" t="s">
        <v>1225</v>
      </c>
      <c r="K432" s="618" t="s">
        <v>3225</v>
      </c>
      <c r="L432" s="618" t="s">
        <v>3226</v>
      </c>
      <c r="M432" s="743" t="s">
        <v>3227</v>
      </c>
      <c r="N432" s="620"/>
      <c r="O432" s="620"/>
      <c r="P432" s="663" t="s">
        <v>4765</v>
      </c>
      <c r="Q432" s="621"/>
      <c r="R432" s="598" t="s">
        <v>69</v>
      </c>
      <c r="S432" s="598" t="s">
        <v>562</v>
      </c>
      <c r="T432" s="598"/>
      <c r="U432" s="623" t="s">
        <v>1015</v>
      </c>
      <c r="V432" s="663" t="s">
        <v>356</v>
      </c>
      <c r="W432" s="781" t="s">
        <v>3233</v>
      </c>
      <c r="X432" s="598" t="s">
        <v>950</v>
      </c>
      <c r="Y432" s="624">
        <v>35366</v>
      </c>
      <c r="Z432" s="625">
        <f t="shared" ca="1" si="10"/>
        <v>29</v>
      </c>
      <c r="AA432" s="616" t="s">
        <v>3234</v>
      </c>
      <c r="AB432" s="598" t="s">
        <v>3235</v>
      </c>
      <c r="AC432" s="598" t="s">
        <v>996</v>
      </c>
      <c r="AD432" s="598" t="s">
        <v>997</v>
      </c>
      <c r="AE432" s="616" t="s">
        <v>1041</v>
      </c>
      <c r="AF432" s="721" t="s">
        <v>1041</v>
      </c>
      <c r="AG432" s="616" t="s">
        <v>3236</v>
      </c>
      <c r="AH432" s="598"/>
      <c r="AI432" s="598"/>
      <c r="AJ432" s="598" t="s">
        <v>1452</v>
      </c>
      <c r="AK432" s="598"/>
      <c r="AL432" s="626"/>
      <c r="AM432" s="626"/>
    </row>
    <row r="433" spans="3:39" ht="18" customHeight="1">
      <c r="C433" s="598">
        <v>412</v>
      </c>
      <c r="D433" s="598" t="s">
        <v>3227</v>
      </c>
      <c r="E433" s="598">
        <f t="shared" si="9"/>
        <v>395</v>
      </c>
      <c r="F433" s="616" t="s">
        <v>1351</v>
      </c>
      <c r="G433" s="616" t="s">
        <v>1226</v>
      </c>
      <c r="H433" s="618" t="s">
        <v>1225</v>
      </c>
      <c r="I433" s="618" t="s">
        <v>114</v>
      </c>
      <c r="J433" s="618" t="s">
        <v>1225</v>
      </c>
      <c r="K433" s="618" t="s">
        <v>3225</v>
      </c>
      <c r="L433" s="618" t="s">
        <v>3226</v>
      </c>
      <c r="M433" s="743" t="s">
        <v>3227</v>
      </c>
      <c r="N433" s="620"/>
      <c r="O433" s="620"/>
      <c r="P433" s="663" t="s">
        <v>4765</v>
      </c>
      <c r="Q433" s="621"/>
      <c r="R433" s="598" t="s">
        <v>69</v>
      </c>
      <c r="S433" s="598" t="s">
        <v>562</v>
      </c>
      <c r="T433" s="598"/>
      <c r="U433" s="623" t="s">
        <v>992</v>
      </c>
      <c r="V433" s="668" t="s">
        <v>437</v>
      </c>
      <c r="W433" s="781" t="s">
        <v>3237</v>
      </c>
      <c r="X433" s="598" t="s">
        <v>950</v>
      </c>
      <c r="Y433" s="624">
        <v>38451</v>
      </c>
      <c r="Z433" s="625">
        <f t="shared" ca="1" si="10"/>
        <v>20</v>
      </c>
      <c r="AA433" s="616" t="s">
        <v>3238</v>
      </c>
      <c r="AB433" s="598" t="s">
        <v>3239</v>
      </c>
      <c r="AC433" s="598" t="s">
        <v>996</v>
      </c>
      <c r="AD433" s="598" t="s">
        <v>997</v>
      </c>
      <c r="AE433" s="616" t="s">
        <v>1041</v>
      </c>
      <c r="AF433" s="616" t="s">
        <v>1250</v>
      </c>
      <c r="AG433" s="616" t="s">
        <v>3240</v>
      </c>
      <c r="AH433" s="598"/>
      <c r="AI433" s="598"/>
      <c r="AJ433" s="598" t="s">
        <v>1452</v>
      </c>
      <c r="AK433" s="598"/>
      <c r="AL433" s="626"/>
      <c r="AM433" s="626"/>
    </row>
    <row r="434" spans="3:39" ht="18" customHeight="1">
      <c r="C434" s="598">
        <v>413</v>
      </c>
      <c r="D434" s="598" t="s">
        <v>3241</v>
      </c>
      <c r="E434" s="598">
        <f t="shared" si="9"/>
        <v>396</v>
      </c>
      <c r="F434" s="616" t="s">
        <v>1798</v>
      </c>
      <c r="G434" s="616" t="s">
        <v>1226</v>
      </c>
      <c r="H434" s="618" t="s">
        <v>1225</v>
      </c>
      <c r="I434" s="618" t="s">
        <v>114</v>
      </c>
      <c r="J434" s="618" t="s">
        <v>1225</v>
      </c>
      <c r="K434" s="618" t="s">
        <v>3225</v>
      </c>
      <c r="L434" s="618" t="s">
        <v>3226</v>
      </c>
      <c r="M434" s="743" t="s">
        <v>3227</v>
      </c>
      <c r="N434" s="620"/>
      <c r="O434" s="620"/>
      <c r="P434" s="663" t="s">
        <v>4765</v>
      </c>
      <c r="Q434" s="621"/>
      <c r="R434" s="598"/>
      <c r="S434" s="598"/>
      <c r="T434" s="598"/>
      <c r="U434" s="623" t="s">
        <v>1015</v>
      </c>
      <c r="V434" s="669" t="s">
        <v>370</v>
      </c>
      <c r="W434" s="781" t="s">
        <v>3242</v>
      </c>
      <c r="X434" s="598" t="s">
        <v>950</v>
      </c>
      <c r="Y434" s="624">
        <v>33267</v>
      </c>
      <c r="Z434" s="625">
        <f t="shared" ca="1" si="10"/>
        <v>35</v>
      </c>
      <c r="AA434" s="616" t="s">
        <v>3243</v>
      </c>
      <c r="AB434" s="598" t="s">
        <v>3244</v>
      </c>
      <c r="AC434" s="598" t="s">
        <v>996</v>
      </c>
      <c r="AD434" s="598" t="s">
        <v>997</v>
      </c>
      <c r="AE434" s="616" t="s">
        <v>1041</v>
      </c>
      <c r="AF434" s="721" t="s">
        <v>1041</v>
      </c>
      <c r="AG434" s="616" t="s">
        <v>3245</v>
      </c>
      <c r="AH434" s="598"/>
      <c r="AI434" s="598"/>
      <c r="AJ434" s="598" t="s">
        <v>1452</v>
      </c>
      <c r="AK434" s="598"/>
      <c r="AL434" s="626"/>
      <c r="AM434" s="626"/>
    </row>
    <row r="435" spans="3:39" ht="18" customHeight="1">
      <c r="C435" s="598">
        <v>414</v>
      </c>
      <c r="D435" s="598" t="s">
        <v>3246</v>
      </c>
      <c r="E435" s="598">
        <f t="shared" si="9"/>
        <v>397</v>
      </c>
      <c r="F435" s="616" t="s">
        <v>1798</v>
      </c>
      <c r="G435" s="616" t="s">
        <v>1226</v>
      </c>
      <c r="H435" s="618" t="s">
        <v>1225</v>
      </c>
      <c r="I435" s="618" t="s">
        <v>114</v>
      </c>
      <c r="J435" s="618" t="s">
        <v>1225</v>
      </c>
      <c r="K435" s="618" t="s">
        <v>3225</v>
      </c>
      <c r="L435" s="618" t="s">
        <v>3226</v>
      </c>
      <c r="M435" s="743" t="s">
        <v>3227</v>
      </c>
      <c r="N435" s="620"/>
      <c r="O435" s="620"/>
      <c r="P435" s="663" t="s">
        <v>4765</v>
      </c>
      <c r="Q435" s="621"/>
      <c r="R435" s="598"/>
      <c r="S435" s="598"/>
      <c r="T435" s="598"/>
      <c r="U435" s="623" t="s">
        <v>1015</v>
      </c>
      <c r="V435" s="663" t="s">
        <v>383</v>
      </c>
      <c r="W435" s="781" t="s">
        <v>3247</v>
      </c>
      <c r="X435" s="598" t="s">
        <v>950</v>
      </c>
      <c r="Y435" s="624">
        <v>33415</v>
      </c>
      <c r="Z435" s="625">
        <f t="shared" ca="1" si="10"/>
        <v>34</v>
      </c>
      <c r="AA435" s="616" t="s">
        <v>3248</v>
      </c>
      <c r="AB435" s="598" t="s">
        <v>3249</v>
      </c>
      <c r="AC435" s="598" t="s">
        <v>996</v>
      </c>
      <c r="AD435" s="598" t="s">
        <v>997</v>
      </c>
      <c r="AE435" s="616" t="s">
        <v>1041</v>
      </c>
      <c r="AF435" s="721" t="s">
        <v>1041</v>
      </c>
      <c r="AG435" s="616" t="s">
        <v>3250</v>
      </c>
      <c r="AH435" s="598" t="s">
        <v>1775</v>
      </c>
      <c r="AI435" s="598" t="s">
        <v>5000</v>
      </c>
      <c r="AJ435" s="598" t="s">
        <v>1452</v>
      </c>
      <c r="AK435" s="598"/>
      <c r="AL435" s="626"/>
      <c r="AM435" s="626"/>
    </row>
    <row r="436" spans="3:39" ht="18" customHeight="1">
      <c r="C436" s="598">
        <v>415</v>
      </c>
      <c r="D436" s="598" t="s">
        <v>3252</v>
      </c>
      <c r="E436" s="598">
        <f t="shared" si="9"/>
        <v>398</v>
      </c>
      <c r="F436" s="616" t="s">
        <v>1798</v>
      </c>
      <c r="G436" s="616" t="s">
        <v>1226</v>
      </c>
      <c r="H436" s="618" t="s">
        <v>1225</v>
      </c>
      <c r="I436" s="618" t="s">
        <v>114</v>
      </c>
      <c r="J436" s="618" t="s">
        <v>1225</v>
      </c>
      <c r="K436" s="618" t="s">
        <v>3225</v>
      </c>
      <c r="L436" s="618" t="s">
        <v>3226</v>
      </c>
      <c r="M436" s="743" t="s">
        <v>3227</v>
      </c>
      <c r="N436" s="620"/>
      <c r="O436" s="620"/>
      <c r="P436" s="663" t="s">
        <v>4765</v>
      </c>
      <c r="Q436" s="621"/>
      <c r="R436" s="598"/>
      <c r="S436" s="598"/>
      <c r="T436" s="598"/>
      <c r="U436" s="623" t="s">
        <v>1015</v>
      </c>
      <c r="V436" s="663" t="s">
        <v>396</v>
      </c>
      <c r="W436" s="781" t="s">
        <v>3253</v>
      </c>
      <c r="X436" s="598" t="s">
        <v>950</v>
      </c>
      <c r="Y436" s="624">
        <v>35523</v>
      </c>
      <c r="Z436" s="625">
        <f t="shared" ca="1" si="10"/>
        <v>28</v>
      </c>
      <c r="AA436" s="616" t="s">
        <v>3254</v>
      </c>
      <c r="AB436" s="598" t="s">
        <v>3255</v>
      </c>
      <c r="AC436" s="598" t="s">
        <v>996</v>
      </c>
      <c r="AD436" s="598" t="s">
        <v>997</v>
      </c>
      <c r="AE436" s="616" t="s">
        <v>1041</v>
      </c>
      <c r="AF436" s="616" t="s">
        <v>3256</v>
      </c>
      <c r="AG436" s="616" t="s">
        <v>3257</v>
      </c>
      <c r="AH436" s="598"/>
      <c r="AI436" s="598"/>
      <c r="AJ436" s="598" t="s">
        <v>1452</v>
      </c>
      <c r="AK436" s="598"/>
      <c r="AL436" s="626"/>
      <c r="AM436" s="626"/>
    </row>
    <row r="437" spans="3:39" ht="18" customHeight="1">
      <c r="C437" s="598">
        <v>416</v>
      </c>
      <c r="D437" s="598" t="s">
        <v>3258</v>
      </c>
      <c r="E437" s="598">
        <f t="shared" si="9"/>
        <v>399</v>
      </c>
      <c r="F437" s="616" t="s">
        <v>1798</v>
      </c>
      <c r="G437" s="616" t="s">
        <v>1226</v>
      </c>
      <c r="H437" s="618" t="s">
        <v>1225</v>
      </c>
      <c r="I437" s="618" t="s">
        <v>114</v>
      </c>
      <c r="J437" s="618" t="s">
        <v>1225</v>
      </c>
      <c r="K437" s="618" t="s">
        <v>3225</v>
      </c>
      <c r="L437" s="618" t="s">
        <v>3226</v>
      </c>
      <c r="M437" s="743" t="s">
        <v>3227</v>
      </c>
      <c r="N437" s="620"/>
      <c r="O437" s="620"/>
      <c r="P437" s="663" t="s">
        <v>4765</v>
      </c>
      <c r="Q437" s="621"/>
      <c r="R437" s="598"/>
      <c r="S437" s="598"/>
      <c r="T437" s="598"/>
      <c r="U437" s="623" t="s">
        <v>1015</v>
      </c>
      <c r="V437" s="663" t="s">
        <v>408</v>
      </c>
      <c r="W437" s="781" t="s">
        <v>3259</v>
      </c>
      <c r="X437" s="598" t="s">
        <v>950</v>
      </c>
      <c r="Y437" s="624">
        <v>35944</v>
      </c>
      <c r="Z437" s="625">
        <f t="shared" ca="1" si="10"/>
        <v>27</v>
      </c>
      <c r="AA437" s="616" t="s">
        <v>3260</v>
      </c>
      <c r="AB437" s="598" t="s">
        <v>3261</v>
      </c>
      <c r="AC437" s="598" t="s">
        <v>996</v>
      </c>
      <c r="AD437" s="598" t="s">
        <v>1018</v>
      </c>
      <c r="AE437" s="616" t="s">
        <v>1041</v>
      </c>
      <c r="AF437" s="616" t="s">
        <v>1250</v>
      </c>
      <c r="AG437" s="616" t="s">
        <v>3262</v>
      </c>
      <c r="AH437" s="598"/>
      <c r="AI437" s="598"/>
      <c r="AJ437" s="598" t="s">
        <v>1452</v>
      </c>
      <c r="AK437" s="598"/>
      <c r="AL437" s="626"/>
      <c r="AM437" s="626"/>
    </row>
    <row r="438" spans="3:39" ht="18" customHeight="1">
      <c r="C438" s="598">
        <v>417</v>
      </c>
      <c r="D438" s="598" t="s">
        <v>3263</v>
      </c>
      <c r="E438" s="598">
        <f t="shared" si="9"/>
        <v>400</v>
      </c>
      <c r="F438" s="616" t="s">
        <v>1798</v>
      </c>
      <c r="G438" s="616" t="s">
        <v>1226</v>
      </c>
      <c r="H438" s="618" t="s">
        <v>1225</v>
      </c>
      <c r="I438" s="618" t="s">
        <v>114</v>
      </c>
      <c r="J438" s="618" t="s">
        <v>1225</v>
      </c>
      <c r="K438" s="618" t="s">
        <v>3225</v>
      </c>
      <c r="L438" s="618" t="s">
        <v>3226</v>
      </c>
      <c r="M438" s="743" t="s">
        <v>3227</v>
      </c>
      <c r="N438" s="620"/>
      <c r="O438" s="620"/>
      <c r="P438" s="663" t="s">
        <v>4765</v>
      </c>
      <c r="Q438" s="621"/>
      <c r="R438" s="598"/>
      <c r="S438" s="598"/>
      <c r="T438" s="598"/>
      <c r="U438" s="623" t="s">
        <v>1015</v>
      </c>
      <c r="V438" s="663" t="s">
        <v>420</v>
      </c>
      <c r="W438" s="781" t="s">
        <v>3265</v>
      </c>
      <c r="X438" s="598" t="s">
        <v>950</v>
      </c>
      <c r="Y438" s="624">
        <v>36800</v>
      </c>
      <c r="Z438" s="625">
        <f t="shared" ca="1" si="10"/>
        <v>25</v>
      </c>
      <c r="AA438" s="616" t="s">
        <v>3266</v>
      </c>
      <c r="AB438" s="598" t="s">
        <v>3267</v>
      </c>
      <c r="AC438" s="598" t="s">
        <v>996</v>
      </c>
      <c r="AD438" s="598" t="s">
        <v>997</v>
      </c>
      <c r="AE438" s="616" t="s">
        <v>1041</v>
      </c>
      <c r="AF438" s="616" t="s">
        <v>1791</v>
      </c>
      <c r="AG438" s="616" t="s">
        <v>3268</v>
      </c>
      <c r="AH438" s="598"/>
      <c r="AI438" s="598"/>
      <c r="AJ438" s="598" t="s">
        <v>1452</v>
      </c>
      <c r="AK438" s="598"/>
      <c r="AL438" s="626"/>
      <c r="AM438" s="626"/>
    </row>
    <row r="439" spans="3:39" ht="18" customHeight="1">
      <c r="C439" s="598">
        <v>418</v>
      </c>
      <c r="D439" s="598" t="s">
        <v>3269</v>
      </c>
      <c r="E439" s="598">
        <f t="shared" si="9"/>
        <v>401</v>
      </c>
      <c r="F439" s="616" t="s">
        <v>1798</v>
      </c>
      <c r="G439" s="616" t="s">
        <v>1226</v>
      </c>
      <c r="H439" s="618" t="s">
        <v>1225</v>
      </c>
      <c r="I439" s="618" t="s">
        <v>114</v>
      </c>
      <c r="J439" s="618" t="s">
        <v>1225</v>
      </c>
      <c r="K439" s="618" t="s">
        <v>3225</v>
      </c>
      <c r="L439" s="618" t="s">
        <v>3226</v>
      </c>
      <c r="M439" s="743" t="s">
        <v>3227</v>
      </c>
      <c r="N439" s="620"/>
      <c r="O439" s="620"/>
      <c r="P439" s="663" t="s">
        <v>4765</v>
      </c>
      <c r="Q439" s="621"/>
      <c r="R439" s="598"/>
      <c r="S439" s="598"/>
      <c r="T439" s="598"/>
      <c r="U439" s="623" t="s">
        <v>992</v>
      </c>
      <c r="V439" s="673" t="s">
        <v>429</v>
      </c>
      <c r="W439" s="781" t="s">
        <v>3270</v>
      </c>
      <c r="X439" s="598" t="s">
        <v>950</v>
      </c>
      <c r="Y439" s="624">
        <v>37404</v>
      </c>
      <c r="Z439" s="625">
        <f t="shared" ca="1" si="10"/>
        <v>23</v>
      </c>
      <c r="AA439" s="616" t="s">
        <v>3271</v>
      </c>
      <c r="AB439" s="598" t="s">
        <v>3272</v>
      </c>
      <c r="AC439" s="598" t="s">
        <v>996</v>
      </c>
      <c r="AD439" s="598" t="s">
        <v>997</v>
      </c>
      <c r="AE439" s="616" t="s">
        <v>1041</v>
      </c>
      <c r="AF439" s="616" t="s">
        <v>1250</v>
      </c>
      <c r="AG439" s="616" t="s">
        <v>3273</v>
      </c>
      <c r="AH439" s="598"/>
      <c r="AI439" s="598"/>
      <c r="AJ439" s="598" t="s">
        <v>1452</v>
      </c>
      <c r="AK439" s="598"/>
      <c r="AL439" s="626"/>
      <c r="AM439" s="626"/>
    </row>
    <row r="440" spans="3:39" ht="18" customHeight="1">
      <c r="C440" s="598">
        <v>419</v>
      </c>
      <c r="D440" s="598" t="s">
        <v>3225</v>
      </c>
      <c r="E440" s="598">
        <f t="shared" si="9"/>
        <v>401</v>
      </c>
      <c r="F440" s="616"/>
      <c r="G440" s="616" t="s">
        <v>1226</v>
      </c>
      <c r="H440" s="618" t="s">
        <v>1225</v>
      </c>
      <c r="I440" s="618" t="s">
        <v>114</v>
      </c>
      <c r="J440" s="618" t="s">
        <v>1225</v>
      </c>
      <c r="K440" s="618" t="s">
        <v>3225</v>
      </c>
      <c r="L440" s="618" t="s">
        <v>3274</v>
      </c>
      <c r="M440" s="619"/>
      <c r="N440" s="620"/>
      <c r="O440" s="620"/>
      <c r="P440" s="667" t="s">
        <v>4767</v>
      </c>
      <c r="Q440" s="621"/>
      <c r="R440" s="598" t="s">
        <v>55</v>
      </c>
      <c r="S440" s="598" t="s">
        <v>178</v>
      </c>
      <c r="T440" s="598"/>
      <c r="U440" s="598"/>
      <c r="V440" s="669" t="s">
        <v>343</v>
      </c>
      <c r="W440" s="779" t="s">
        <v>3229</v>
      </c>
      <c r="X440" s="598" t="s">
        <v>950</v>
      </c>
      <c r="Y440" s="624">
        <v>32520</v>
      </c>
      <c r="Z440" s="625">
        <f t="shared" ca="1" si="10"/>
        <v>37</v>
      </c>
      <c r="AA440" s="616"/>
      <c r="AB440" s="598"/>
      <c r="AC440" s="598" t="s">
        <v>1006</v>
      </c>
      <c r="AD440" s="598" t="s">
        <v>953</v>
      </c>
      <c r="AE440" s="616" t="s">
        <v>1041</v>
      </c>
      <c r="AF440" s="616" t="s">
        <v>3194</v>
      </c>
      <c r="AG440" s="616" t="s">
        <v>3232</v>
      </c>
      <c r="AH440" s="598" t="s">
        <v>955</v>
      </c>
      <c r="AI440" s="598"/>
      <c r="AJ440" s="598"/>
      <c r="AK440" s="598"/>
      <c r="AL440" s="626"/>
      <c r="AM440" s="626"/>
    </row>
    <row r="441" spans="3:39" ht="18" customHeight="1">
      <c r="C441" s="598">
        <v>420</v>
      </c>
      <c r="D441" s="598" t="s">
        <v>3274</v>
      </c>
      <c r="E441" s="598">
        <f t="shared" si="9"/>
        <v>402</v>
      </c>
      <c r="F441" s="616" t="s">
        <v>1798</v>
      </c>
      <c r="G441" s="616" t="s">
        <v>1226</v>
      </c>
      <c r="H441" s="618" t="s">
        <v>1225</v>
      </c>
      <c r="I441" s="618" t="s">
        <v>114</v>
      </c>
      <c r="J441" s="618" t="s">
        <v>1225</v>
      </c>
      <c r="K441" s="618" t="s">
        <v>3225</v>
      </c>
      <c r="L441" s="618" t="s">
        <v>3274</v>
      </c>
      <c r="M441" s="619"/>
      <c r="N441" s="620"/>
      <c r="O441" s="620"/>
      <c r="P441" s="663" t="s">
        <v>4767</v>
      </c>
      <c r="Q441" s="621" t="s">
        <v>319</v>
      </c>
      <c r="R441" s="598" t="s">
        <v>69</v>
      </c>
      <c r="S441" s="598" t="s">
        <v>562</v>
      </c>
      <c r="T441" s="598"/>
      <c r="U441" s="598" t="s">
        <v>1015</v>
      </c>
      <c r="V441" s="663" t="s">
        <v>357</v>
      </c>
      <c r="W441" s="779" t="s">
        <v>3276</v>
      </c>
      <c r="X441" s="598" t="s">
        <v>950</v>
      </c>
      <c r="Y441" s="624">
        <v>33996</v>
      </c>
      <c r="Z441" s="625">
        <f t="shared" ca="1" si="10"/>
        <v>33</v>
      </c>
      <c r="AA441" s="616" t="s">
        <v>3277</v>
      </c>
      <c r="AB441" s="598" t="s">
        <v>3278</v>
      </c>
      <c r="AC441" s="598" t="s">
        <v>996</v>
      </c>
      <c r="AD441" s="598" t="s">
        <v>997</v>
      </c>
      <c r="AE441" s="616" t="s">
        <v>1041</v>
      </c>
      <c r="AF441" s="721" t="s">
        <v>1041</v>
      </c>
      <c r="AG441" s="616" t="s">
        <v>3279</v>
      </c>
      <c r="AH441" s="598"/>
      <c r="AI441" s="598"/>
      <c r="AJ441" s="598" t="s">
        <v>1318</v>
      </c>
      <c r="AK441" s="598"/>
      <c r="AL441" s="626"/>
      <c r="AM441" s="626"/>
    </row>
    <row r="442" spans="3:39" ht="18" customHeight="1">
      <c r="C442" s="598">
        <v>421</v>
      </c>
      <c r="D442" s="598" t="s">
        <v>3298</v>
      </c>
      <c r="E442" s="598">
        <f t="shared" si="9"/>
        <v>403</v>
      </c>
      <c r="F442" s="616" t="s">
        <v>1798</v>
      </c>
      <c r="G442" s="616" t="s">
        <v>1226</v>
      </c>
      <c r="H442" s="618" t="s">
        <v>1225</v>
      </c>
      <c r="I442" s="618" t="s">
        <v>114</v>
      </c>
      <c r="J442" s="618" t="s">
        <v>1225</v>
      </c>
      <c r="K442" s="618" t="s">
        <v>3225</v>
      </c>
      <c r="L442" s="618" t="s">
        <v>3274</v>
      </c>
      <c r="M442" s="619"/>
      <c r="N442" s="620"/>
      <c r="O442" s="620"/>
      <c r="P442" s="663" t="s">
        <v>4767</v>
      </c>
      <c r="Q442" s="621"/>
      <c r="R442" s="598"/>
      <c r="S442" s="598"/>
      <c r="T442" s="598"/>
      <c r="U442" s="598" t="s">
        <v>992</v>
      </c>
      <c r="V442" s="663" t="s">
        <v>421</v>
      </c>
      <c r="W442" s="779" t="s">
        <v>3299</v>
      </c>
      <c r="X442" s="598" t="s">
        <v>950</v>
      </c>
      <c r="Y442" s="624">
        <v>36875</v>
      </c>
      <c r="Z442" s="625">
        <f t="shared" ca="1" si="10"/>
        <v>25</v>
      </c>
      <c r="AA442" s="616" t="s">
        <v>2923</v>
      </c>
      <c r="AB442" s="598" t="s">
        <v>3300</v>
      </c>
      <c r="AC442" s="598" t="s">
        <v>996</v>
      </c>
      <c r="AD442" s="598" t="s">
        <v>953</v>
      </c>
      <c r="AE442" s="616" t="s">
        <v>1041</v>
      </c>
      <c r="AF442" s="616" t="s">
        <v>3301</v>
      </c>
      <c r="AG442" s="616" t="s">
        <v>3302</v>
      </c>
      <c r="AH442" s="598"/>
      <c r="AI442" s="598"/>
      <c r="AJ442" s="598"/>
      <c r="AK442" s="598"/>
      <c r="AL442" s="626"/>
      <c r="AM442" s="626"/>
    </row>
    <row r="443" spans="3:39" ht="18" customHeight="1">
      <c r="C443" s="598">
        <v>422</v>
      </c>
      <c r="D443" s="598" t="s">
        <v>3303</v>
      </c>
      <c r="E443" s="598">
        <f t="shared" si="9"/>
        <v>404</v>
      </c>
      <c r="F443" s="616" t="s">
        <v>1798</v>
      </c>
      <c r="G443" s="616" t="s">
        <v>1226</v>
      </c>
      <c r="H443" s="618" t="s">
        <v>1225</v>
      </c>
      <c r="I443" s="618" t="s">
        <v>114</v>
      </c>
      <c r="J443" s="618" t="s">
        <v>1225</v>
      </c>
      <c r="K443" s="618" t="s">
        <v>3225</v>
      </c>
      <c r="L443" s="618" t="s">
        <v>3274</v>
      </c>
      <c r="M443" s="619"/>
      <c r="N443" s="620"/>
      <c r="O443" s="620"/>
      <c r="P443" s="663" t="s">
        <v>4767</v>
      </c>
      <c r="Q443" s="621"/>
      <c r="R443" s="598"/>
      <c r="S443" s="598"/>
      <c r="T443" s="598"/>
      <c r="U443" s="598" t="s">
        <v>992</v>
      </c>
      <c r="V443" s="663" t="s">
        <v>3304</v>
      </c>
      <c r="W443" s="779" t="s">
        <v>3305</v>
      </c>
      <c r="X443" s="598" t="s">
        <v>950</v>
      </c>
      <c r="Y443" s="624">
        <v>35773</v>
      </c>
      <c r="Z443" s="625">
        <f t="shared" ca="1" si="10"/>
        <v>28</v>
      </c>
      <c r="AA443" s="616"/>
      <c r="AB443" s="598" t="s">
        <v>3306</v>
      </c>
      <c r="AC443" s="598" t="s">
        <v>996</v>
      </c>
      <c r="AD443" s="598" t="s">
        <v>997</v>
      </c>
      <c r="AE443" s="616" t="s">
        <v>1041</v>
      </c>
      <c r="AF443" s="616" t="s">
        <v>1041</v>
      </c>
      <c r="AG443" s="616" t="s">
        <v>3307</v>
      </c>
      <c r="AH443" s="598"/>
      <c r="AI443" s="598"/>
      <c r="AJ443" s="598" t="s">
        <v>1349</v>
      </c>
      <c r="AK443" s="598"/>
      <c r="AL443" s="626"/>
      <c r="AM443" s="626"/>
    </row>
    <row r="444" spans="3:39" ht="18" customHeight="1">
      <c r="C444" s="598">
        <v>423</v>
      </c>
      <c r="D444" s="598" t="s">
        <v>3280</v>
      </c>
      <c r="E444" s="598">
        <f t="shared" si="9"/>
        <v>405</v>
      </c>
      <c r="F444" s="616" t="s">
        <v>4978</v>
      </c>
      <c r="G444" s="616" t="s">
        <v>1226</v>
      </c>
      <c r="H444" s="618" t="s">
        <v>1225</v>
      </c>
      <c r="I444" s="618" t="s">
        <v>114</v>
      </c>
      <c r="J444" s="618" t="s">
        <v>1225</v>
      </c>
      <c r="K444" s="618" t="s">
        <v>3225</v>
      </c>
      <c r="L444" s="618" t="s">
        <v>3274</v>
      </c>
      <c r="M444" s="619"/>
      <c r="N444" s="620"/>
      <c r="O444" s="620"/>
      <c r="P444" s="663" t="s">
        <v>4767</v>
      </c>
      <c r="Q444" s="621" t="s">
        <v>319</v>
      </c>
      <c r="R444" s="598"/>
      <c r="S444" s="598"/>
      <c r="T444" s="598"/>
      <c r="U444" s="598" t="s">
        <v>992</v>
      </c>
      <c r="V444" s="663" t="s">
        <v>371</v>
      </c>
      <c r="W444" s="779" t="s">
        <v>3281</v>
      </c>
      <c r="X444" s="598" t="s">
        <v>950</v>
      </c>
      <c r="Y444" s="624">
        <v>35880</v>
      </c>
      <c r="Z444" s="625">
        <f t="shared" ca="1" si="10"/>
        <v>27</v>
      </c>
      <c r="AA444" s="616" t="s">
        <v>3282</v>
      </c>
      <c r="AB444" s="598" t="s">
        <v>3283</v>
      </c>
      <c r="AC444" s="598" t="s">
        <v>996</v>
      </c>
      <c r="AD444" s="598" t="s">
        <v>1018</v>
      </c>
      <c r="AE444" s="616" t="s">
        <v>973</v>
      </c>
      <c r="AF444" s="616" t="s">
        <v>1250</v>
      </c>
      <c r="AG444" s="616" t="s">
        <v>3284</v>
      </c>
      <c r="AH444" s="598"/>
      <c r="AI444" s="598"/>
      <c r="AJ444" s="598" t="s">
        <v>1318</v>
      </c>
      <c r="AK444" s="598"/>
      <c r="AL444" s="626"/>
      <c r="AM444" s="626"/>
    </row>
    <row r="445" spans="3:39" ht="18" customHeight="1">
      <c r="C445" s="598">
        <v>424</v>
      </c>
      <c r="D445" s="598" t="s">
        <v>3285</v>
      </c>
      <c r="E445" s="598">
        <f t="shared" si="9"/>
        <v>406</v>
      </c>
      <c r="F445" s="616" t="s">
        <v>1798</v>
      </c>
      <c r="G445" s="616" t="s">
        <v>1226</v>
      </c>
      <c r="H445" s="618" t="s">
        <v>1225</v>
      </c>
      <c r="I445" s="618" t="s">
        <v>114</v>
      </c>
      <c r="J445" s="618" t="s">
        <v>1225</v>
      </c>
      <c r="K445" s="618" t="s">
        <v>3225</v>
      </c>
      <c r="L445" s="618" t="s">
        <v>3274</v>
      </c>
      <c r="M445" s="619"/>
      <c r="N445" s="620"/>
      <c r="O445" s="620"/>
      <c r="P445" s="663" t="s">
        <v>4767</v>
      </c>
      <c r="Q445" s="621" t="s">
        <v>319</v>
      </c>
      <c r="R445" s="598"/>
      <c r="S445" s="598"/>
      <c r="T445" s="598"/>
      <c r="U445" s="598" t="s">
        <v>992</v>
      </c>
      <c r="V445" s="663" t="s">
        <v>384</v>
      </c>
      <c r="W445" s="779" t="s">
        <v>3286</v>
      </c>
      <c r="X445" s="598" t="s">
        <v>950</v>
      </c>
      <c r="Y445" s="624">
        <v>36847</v>
      </c>
      <c r="Z445" s="625">
        <f t="shared" ca="1" si="10"/>
        <v>25</v>
      </c>
      <c r="AA445" s="616" t="s">
        <v>3287</v>
      </c>
      <c r="AB445" s="598" t="s">
        <v>3288</v>
      </c>
      <c r="AC445" s="598" t="s">
        <v>996</v>
      </c>
      <c r="AD445" s="598" t="s">
        <v>1018</v>
      </c>
      <c r="AE445" s="616" t="s">
        <v>1041</v>
      </c>
      <c r="AF445" s="616" t="s">
        <v>1250</v>
      </c>
      <c r="AG445" s="616" t="s">
        <v>1684</v>
      </c>
      <c r="AH445" s="598"/>
      <c r="AI445" s="598"/>
      <c r="AJ445" s="598" t="s">
        <v>1318</v>
      </c>
      <c r="AK445" s="598"/>
      <c r="AL445" s="626"/>
      <c r="AM445" s="626"/>
    </row>
    <row r="446" spans="3:39" ht="18" customHeight="1">
      <c r="C446" s="598">
        <v>425</v>
      </c>
      <c r="D446" s="598" t="s">
        <v>3289</v>
      </c>
      <c r="E446" s="598">
        <f t="shared" si="9"/>
        <v>407</v>
      </c>
      <c r="F446" s="616" t="s">
        <v>1798</v>
      </c>
      <c r="G446" s="616" t="s">
        <v>1226</v>
      </c>
      <c r="H446" s="618" t="s">
        <v>1225</v>
      </c>
      <c r="I446" s="618" t="s">
        <v>114</v>
      </c>
      <c r="J446" s="618" t="s">
        <v>1225</v>
      </c>
      <c r="K446" s="618" t="s">
        <v>3225</v>
      </c>
      <c r="L446" s="618" t="s">
        <v>3274</v>
      </c>
      <c r="M446" s="619"/>
      <c r="N446" s="620"/>
      <c r="O446" s="620"/>
      <c r="P446" s="663" t="s">
        <v>4767</v>
      </c>
      <c r="Q446" s="621" t="s">
        <v>319</v>
      </c>
      <c r="R446" s="598"/>
      <c r="S446" s="598"/>
      <c r="T446" s="598"/>
      <c r="U446" s="598" t="s">
        <v>992</v>
      </c>
      <c r="V446" s="663" t="s">
        <v>397</v>
      </c>
      <c r="W446" s="779" t="s">
        <v>3290</v>
      </c>
      <c r="X446" s="598" t="s">
        <v>950</v>
      </c>
      <c r="Y446" s="624">
        <v>36970</v>
      </c>
      <c r="Z446" s="625">
        <f t="shared" ca="1" si="10"/>
        <v>24</v>
      </c>
      <c r="AA446" s="616" t="s">
        <v>3291</v>
      </c>
      <c r="AB446" s="598" t="s">
        <v>3292</v>
      </c>
      <c r="AC446" s="598" t="s">
        <v>996</v>
      </c>
      <c r="AD446" s="598" t="s">
        <v>1018</v>
      </c>
      <c r="AE446" s="616" t="s">
        <v>1041</v>
      </c>
      <c r="AF446" s="616" t="s">
        <v>1041</v>
      </c>
      <c r="AG446" s="616" t="s">
        <v>2980</v>
      </c>
      <c r="AH446" s="598"/>
      <c r="AI446" s="598"/>
      <c r="AJ446" s="647" t="s">
        <v>1513</v>
      </c>
      <c r="AK446" s="598"/>
      <c r="AL446" s="626"/>
      <c r="AM446" s="626"/>
    </row>
    <row r="447" spans="3:39" ht="18" customHeight="1">
      <c r="C447" s="598">
        <v>426</v>
      </c>
      <c r="D447" s="598" t="s">
        <v>3293</v>
      </c>
      <c r="E447" s="598">
        <f t="shared" si="9"/>
        <v>408</v>
      </c>
      <c r="F447" s="616" t="s">
        <v>1798</v>
      </c>
      <c r="G447" s="616" t="s">
        <v>1226</v>
      </c>
      <c r="H447" s="618" t="s">
        <v>1225</v>
      </c>
      <c r="I447" s="618" t="s">
        <v>114</v>
      </c>
      <c r="J447" s="618" t="s">
        <v>1225</v>
      </c>
      <c r="K447" s="618" t="s">
        <v>3225</v>
      </c>
      <c r="L447" s="618" t="s">
        <v>3274</v>
      </c>
      <c r="M447" s="619"/>
      <c r="N447" s="620"/>
      <c r="O447" s="620"/>
      <c r="P447" s="673" t="s">
        <v>4767</v>
      </c>
      <c r="Q447" s="621" t="s">
        <v>319</v>
      </c>
      <c r="R447" s="598"/>
      <c r="S447" s="598"/>
      <c r="T447" s="598"/>
      <c r="U447" s="598" t="s">
        <v>992</v>
      </c>
      <c r="V447" s="673" t="s">
        <v>409</v>
      </c>
      <c r="W447" s="779" t="s">
        <v>3294</v>
      </c>
      <c r="X447" s="598" t="s">
        <v>950</v>
      </c>
      <c r="Y447" s="624">
        <v>37663</v>
      </c>
      <c r="Z447" s="625">
        <f t="shared" ca="1" si="10"/>
        <v>22</v>
      </c>
      <c r="AA447" s="616" t="s">
        <v>3295</v>
      </c>
      <c r="AB447" s="598" t="s">
        <v>3296</v>
      </c>
      <c r="AC447" s="598" t="s">
        <v>996</v>
      </c>
      <c r="AD447" s="598" t="s">
        <v>1018</v>
      </c>
      <c r="AE447" s="616" t="s">
        <v>1041</v>
      </c>
      <c r="AF447" s="616" t="s">
        <v>1041</v>
      </c>
      <c r="AG447" s="616" t="s">
        <v>3297</v>
      </c>
      <c r="AH447" s="598"/>
      <c r="AI447" s="598"/>
      <c r="AJ447" s="647" t="s">
        <v>1513</v>
      </c>
      <c r="AK447" s="598"/>
      <c r="AL447" s="626"/>
      <c r="AM447" s="626"/>
    </row>
    <row r="448" spans="3:39" ht="18" customHeight="1">
      <c r="C448" s="598">
        <v>427</v>
      </c>
      <c r="D448" s="598" t="s">
        <v>3810</v>
      </c>
      <c r="E448" s="598">
        <f t="shared" si="9"/>
        <v>409</v>
      </c>
      <c r="F448" s="616" t="s">
        <v>3808</v>
      </c>
      <c r="G448" s="616" t="s">
        <v>246</v>
      </c>
      <c r="H448" s="618" t="s">
        <v>3810</v>
      </c>
      <c r="I448" s="618" t="s">
        <v>470</v>
      </c>
      <c r="J448" s="618" t="s">
        <v>3810</v>
      </c>
      <c r="K448" s="618" t="s">
        <v>3810</v>
      </c>
      <c r="L448" s="618" t="s">
        <v>959</v>
      </c>
      <c r="M448" s="619"/>
      <c r="N448" s="620"/>
      <c r="O448" s="620"/>
      <c r="P448" s="667" t="s">
        <v>1044</v>
      </c>
      <c r="Q448" s="621"/>
      <c r="R448" s="598" t="s">
        <v>1227</v>
      </c>
      <c r="S448" s="598" t="s">
        <v>173</v>
      </c>
      <c r="T448" s="598"/>
      <c r="U448" s="598" t="s">
        <v>1015</v>
      </c>
      <c r="V448" s="667" t="s">
        <v>470</v>
      </c>
      <c r="W448" s="779" t="s">
        <v>4158</v>
      </c>
      <c r="X448" s="598" t="s">
        <v>950</v>
      </c>
      <c r="Y448" s="624">
        <v>25002</v>
      </c>
      <c r="Z448" s="625">
        <f t="shared" ca="1" si="10"/>
        <v>57</v>
      </c>
      <c r="AA448" s="616" t="s">
        <v>4159</v>
      </c>
      <c r="AB448" s="598" t="s">
        <v>4160</v>
      </c>
      <c r="AC448" s="598" t="s">
        <v>966</v>
      </c>
      <c r="AD448" s="598" t="s">
        <v>953</v>
      </c>
      <c r="AE448" s="616" t="s">
        <v>246</v>
      </c>
      <c r="AF448" s="616" t="s">
        <v>246</v>
      </c>
      <c r="AG448" s="616" t="s">
        <v>3815</v>
      </c>
      <c r="AH448" s="598"/>
      <c r="AI448" s="598"/>
      <c r="AJ448" s="598"/>
      <c r="AK448" s="598"/>
      <c r="AL448" s="626"/>
      <c r="AM448" s="626"/>
    </row>
    <row r="449" spans="3:39" ht="18" customHeight="1">
      <c r="C449" s="598">
        <v>428</v>
      </c>
      <c r="D449" s="598" t="s">
        <v>3914</v>
      </c>
      <c r="E449" s="598">
        <f t="shared" si="9"/>
        <v>410</v>
      </c>
      <c r="F449" s="616" t="s">
        <v>3808</v>
      </c>
      <c r="G449" s="616" t="s">
        <v>246</v>
      </c>
      <c r="H449" s="618" t="s">
        <v>3810</v>
      </c>
      <c r="I449" s="618" t="s">
        <v>470</v>
      </c>
      <c r="J449" s="618" t="s">
        <v>3810</v>
      </c>
      <c r="K449" s="618" t="s">
        <v>3810</v>
      </c>
      <c r="L449" s="618" t="s">
        <v>959</v>
      </c>
      <c r="M449" s="619"/>
      <c r="N449" s="620"/>
      <c r="O449" s="620"/>
      <c r="P449" s="663" t="s">
        <v>1044</v>
      </c>
      <c r="Q449" s="621"/>
      <c r="R449" s="598" t="s">
        <v>55</v>
      </c>
      <c r="S449" s="598" t="s">
        <v>178</v>
      </c>
      <c r="T449" s="598"/>
      <c r="U449" s="598" t="s">
        <v>1090</v>
      </c>
      <c r="V449" s="663" t="s">
        <v>477</v>
      </c>
      <c r="W449" s="779" t="s">
        <v>3915</v>
      </c>
      <c r="X449" s="598" t="s">
        <v>950</v>
      </c>
      <c r="Y449" s="624">
        <v>19177</v>
      </c>
      <c r="Z449" s="625">
        <f t="shared" ca="1" si="10"/>
        <v>73</v>
      </c>
      <c r="AA449" s="616" t="s">
        <v>3916</v>
      </c>
      <c r="AB449" s="598" t="s">
        <v>3917</v>
      </c>
      <c r="AC449" s="598" t="s">
        <v>966</v>
      </c>
      <c r="AD449" s="598" t="s">
        <v>953</v>
      </c>
      <c r="AE449" s="616" t="s">
        <v>246</v>
      </c>
      <c r="AF449" s="616" t="s">
        <v>246</v>
      </c>
      <c r="AG449" s="616" t="s">
        <v>3815</v>
      </c>
      <c r="AH449" s="598"/>
      <c r="AI449" s="598"/>
      <c r="AJ449" s="598"/>
      <c r="AK449" s="598"/>
      <c r="AL449" s="626"/>
      <c r="AM449" s="626"/>
    </row>
    <row r="450" spans="3:39" ht="18" customHeight="1">
      <c r="C450" s="598">
        <v>429</v>
      </c>
      <c r="D450" s="598" t="s">
        <v>4161</v>
      </c>
      <c r="E450" s="598">
        <f t="shared" si="9"/>
        <v>411</v>
      </c>
      <c r="F450" s="616" t="s">
        <v>3808</v>
      </c>
      <c r="G450" s="616" t="s">
        <v>246</v>
      </c>
      <c r="H450" s="618" t="s">
        <v>3810</v>
      </c>
      <c r="I450" s="618" t="s">
        <v>470</v>
      </c>
      <c r="J450" s="618" t="s">
        <v>3810</v>
      </c>
      <c r="K450" s="618" t="s">
        <v>3810</v>
      </c>
      <c r="L450" s="618" t="s">
        <v>959</v>
      </c>
      <c r="M450" s="619"/>
      <c r="N450" s="620"/>
      <c r="O450" s="620"/>
      <c r="P450" s="663" t="s">
        <v>1044</v>
      </c>
      <c r="Q450" s="621"/>
      <c r="R450" s="598" t="s">
        <v>55</v>
      </c>
      <c r="S450" s="598" t="s">
        <v>178</v>
      </c>
      <c r="T450" s="598"/>
      <c r="U450" s="598" t="s">
        <v>1090</v>
      </c>
      <c r="V450" s="663" t="s">
        <v>484</v>
      </c>
      <c r="W450" s="779" t="s">
        <v>4162</v>
      </c>
      <c r="X450" s="598" t="s">
        <v>950</v>
      </c>
      <c r="Y450" s="624">
        <v>18523</v>
      </c>
      <c r="Z450" s="625">
        <f t="shared" ca="1" si="10"/>
        <v>75</v>
      </c>
      <c r="AA450" s="616" t="s">
        <v>4163</v>
      </c>
      <c r="AB450" s="598" t="s">
        <v>4164</v>
      </c>
      <c r="AC450" s="598" t="s">
        <v>966</v>
      </c>
      <c r="AD450" s="598" t="s">
        <v>953</v>
      </c>
      <c r="AE450" s="616" t="s">
        <v>246</v>
      </c>
      <c r="AF450" s="616" t="s">
        <v>246</v>
      </c>
      <c r="AG450" s="616" t="s">
        <v>3815</v>
      </c>
      <c r="AH450" s="598"/>
      <c r="AI450" s="598"/>
      <c r="AJ450" s="598"/>
      <c r="AK450" s="598"/>
      <c r="AL450" s="626"/>
      <c r="AM450" s="626"/>
    </row>
    <row r="451" spans="3:39" ht="18" customHeight="1">
      <c r="C451" s="598">
        <v>430</v>
      </c>
      <c r="D451" s="598" t="s">
        <v>4042</v>
      </c>
      <c r="E451" s="598">
        <f t="shared" si="9"/>
        <v>412</v>
      </c>
      <c r="F451" s="616" t="s">
        <v>3808</v>
      </c>
      <c r="G451" s="616" t="s">
        <v>246</v>
      </c>
      <c r="H451" s="618" t="s">
        <v>3810</v>
      </c>
      <c r="I451" s="618" t="s">
        <v>470</v>
      </c>
      <c r="J451" s="618" t="s">
        <v>3810</v>
      </c>
      <c r="K451" s="618" t="s">
        <v>3810</v>
      </c>
      <c r="L451" s="618" t="s">
        <v>959</v>
      </c>
      <c r="M451" s="619"/>
      <c r="N451" s="620"/>
      <c r="O451" s="620"/>
      <c r="P451" s="663" t="s">
        <v>1044</v>
      </c>
      <c r="Q451" s="621"/>
      <c r="R451" s="598" t="s">
        <v>55</v>
      </c>
      <c r="S451" s="598" t="s">
        <v>55</v>
      </c>
      <c r="T451" s="598"/>
      <c r="U451" s="598" t="s">
        <v>1015</v>
      </c>
      <c r="V451" s="663" t="s">
        <v>487</v>
      </c>
      <c r="W451" s="779" t="s">
        <v>4044</v>
      </c>
      <c r="X451" s="598" t="s">
        <v>950</v>
      </c>
      <c r="Y451" s="624">
        <v>22938</v>
      </c>
      <c r="Z451" s="625">
        <f t="shared" ca="1" si="10"/>
        <v>63</v>
      </c>
      <c r="AA451" s="616" t="s">
        <v>4045</v>
      </c>
      <c r="AB451" s="598" t="s">
        <v>4046</v>
      </c>
      <c r="AC451" s="598" t="s">
        <v>966</v>
      </c>
      <c r="AD451" s="598" t="s">
        <v>953</v>
      </c>
      <c r="AE451" s="616" t="s">
        <v>246</v>
      </c>
      <c r="AF451" s="616" t="s">
        <v>246</v>
      </c>
      <c r="AG451" s="616" t="s">
        <v>3815</v>
      </c>
      <c r="AH451" s="598"/>
      <c r="AI451" s="598"/>
      <c r="AJ451" s="598"/>
      <c r="AK451" s="598"/>
      <c r="AL451" s="626"/>
      <c r="AM451" s="626"/>
    </row>
    <row r="452" spans="3:39" ht="18" customHeight="1">
      <c r="C452" s="598">
        <v>431</v>
      </c>
      <c r="D452" s="598" t="s">
        <v>4165</v>
      </c>
      <c r="E452" s="598">
        <f t="shared" si="9"/>
        <v>413</v>
      </c>
      <c r="F452" s="616" t="s">
        <v>3808</v>
      </c>
      <c r="G452" s="616" t="s">
        <v>246</v>
      </c>
      <c r="H452" s="618" t="s">
        <v>3810</v>
      </c>
      <c r="I452" s="618" t="s">
        <v>470</v>
      </c>
      <c r="J452" s="618" t="s">
        <v>3810</v>
      </c>
      <c r="K452" s="618" t="s">
        <v>3810</v>
      </c>
      <c r="L452" s="618" t="s">
        <v>959</v>
      </c>
      <c r="M452" s="619"/>
      <c r="N452" s="620"/>
      <c r="O452" s="620"/>
      <c r="P452" s="663" t="s">
        <v>1044</v>
      </c>
      <c r="Q452" s="621"/>
      <c r="R452" s="598" t="s">
        <v>55</v>
      </c>
      <c r="S452" s="598" t="s">
        <v>178</v>
      </c>
      <c r="T452" s="598"/>
      <c r="U452" s="598" t="s">
        <v>1015</v>
      </c>
      <c r="V452" s="663" t="s">
        <v>492</v>
      </c>
      <c r="W452" s="779" t="s">
        <v>4166</v>
      </c>
      <c r="X452" s="598" t="s">
        <v>950</v>
      </c>
      <c r="Y452" s="624">
        <v>23418</v>
      </c>
      <c r="Z452" s="625">
        <f t="shared" ca="1" si="10"/>
        <v>61</v>
      </c>
      <c r="AA452" s="616" t="s">
        <v>4167</v>
      </c>
      <c r="AB452" s="598" t="s">
        <v>4168</v>
      </c>
      <c r="AC452" s="598" t="s">
        <v>966</v>
      </c>
      <c r="AD452" s="598" t="s">
        <v>953</v>
      </c>
      <c r="AE452" s="616" t="s">
        <v>246</v>
      </c>
      <c r="AF452" s="616" t="s">
        <v>246</v>
      </c>
      <c r="AG452" s="616" t="s">
        <v>3815</v>
      </c>
      <c r="AH452" s="598"/>
      <c r="AI452" s="598"/>
      <c r="AJ452" s="598"/>
      <c r="AK452" s="598"/>
      <c r="AL452" s="626"/>
      <c r="AM452" s="626"/>
    </row>
    <row r="453" spans="3:39" ht="18" customHeight="1">
      <c r="C453" s="598">
        <v>432</v>
      </c>
      <c r="D453" s="598" t="s">
        <v>3811</v>
      </c>
      <c r="E453" s="598">
        <f t="shared" si="9"/>
        <v>414</v>
      </c>
      <c r="F453" s="616" t="s">
        <v>3808</v>
      </c>
      <c r="G453" s="616" t="s">
        <v>246</v>
      </c>
      <c r="H453" s="618" t="s">
        <v>3810</v>
      </c>
      <c r="I453" s="618" t="s">
        <v>470</v>
      </c>
      <c r="J453" s="618" t="s">
        <v>3810</v>
      </c>
      <c r="K453" s="618" t="s">
        <v>3810</v>
      </c>
      <c r="L453" s="618" t="s">
        <v>959</v>
      </c>
      <c r="M453" s="619"/>
      <c r="N453" s="620"/>
      <c r="O453" s="620"/>
      <c r="P453" s="673" t="s">
        <v>1044</v>
      </c>
      <c r="Q453" s="621"/>
      <c r="R453" s="598" t="s">
        <v>173</v>
      </c>
      <c r="S453" s="598" t="s">
        <v>514</v>
      </c>
      <c r="T453" s="598"/>
      <c r="U453" s="598" t="s">
        <v>1015</v>
      </c>
      <c r="V453" s="673" t="s">
        <v>512</v>
      </c>
      <c r="W453" s="779" t="s">
        <v>4173</v>
      </c>
      <c r="X453" s="598" t="s">
        <v>950</v>
      </c>
      <c r="Y453" s="624">
        <v>22147</v>
      </c>
      <c r="Z453" s="625">
        <f t="shared" ca="1" si="10"/>
        <v>65</v>
      </c>
      <c r="AA453" s="616" t="s">
        <v>4174</v>
      </c>
      <c r="AB453" s="598" t="s">
        <v>4175</v>
      </c>
      <c r="AC453" s="598" t="s">
        <v>966</v>
      </c>
      <c r="AD453" s="598" t="s">
        <v>953</v>
      </c>
      <c r="AE453" s="616" t="s">
        <v>246</v>
      </c>
      <c r="AF453" s="616" t="s">
        <v>246</v>
      </c>
      <c r="AG453" s="616" t="s">
        <v>3815</v>
      </c>
      <c r="AH453" s="598"/>
      <c r="AI453" s="598"/>
      <c r="AJ453" s="598"/>
      <c r="AK453" s="598"/>
      <c r="AL453" s="626"/>
      <c r="AM453" s="626"/>
    </row>
    <row r="454" spans="3:39" ht="18" customHeight="1">
      <c r="C454" s="598">
        <v>433</v>
      </c>
      <c r="D454" s="598" t="s">
        <v>3807</v>
      </c>
      <c r="E454" s="598">
        <f t="shared" si="9"/>
        <v>414</v>
      </c>
      <c r="F454" s="616"/>
      <c r="G454" s="616" t="s">
        <v>246</v>
      </c>
      <c r="H454" s="618" t="s">
        <v>3810</v>
      </c>
      <c r="I454" s="618" t="s">
        <v>470</v>
      </c>
      <c r="J454" s="618" t="s">
        <v>3810</v>
      </c>
      <c r="K454" s="618" t="s">
        <v>3807</v>
      </c>
      <c r="L454" s="618" t="s">
        <v>3812</v>
      </c>
      <c r="M454" s="619" t="s">
        <v>3819</v>
      </c>
      <c r="N454" s="620"/>
      <c r="O454" s="620"/>
      <c r="P454" s="667" t="s">
        <v>1074</v>
      </c>
      <c r="Q454" s="621"/>
      <c r="R454" s="598" t="s">
        <v>55</v>
      </c>
      <c r="S454" s="598" t="s">
        <v>55</v>
      </c>
      <c r="T454" s="598"/>
      <c r="U454" s="598"/>
      <c r="V454" s="667" t="s">
        <v>82</v>
      </c>
      <c r="W454" s="779" t="s">
        <v>3813</v>
      </c>
      <c r="X454" s="598" t="s">
        <v>963</v>
      </c>
      <c r="Y454" s="624">
        <v>19202</v>
      </c>
      <c r="Z454" s="625">
        <f t="shared" ca="1" si="10"/>
        <v>73</v>
      </c>
      <c r="AA454" s="616" t="s">
        <v>3814</v>
      </c>
      <c r="AB454" s="598" t="s">
        <v>5001</v>
      </c>
      <c r="AC454" s="598" t="s">
        <v>966</v>
      </c>
      <c r="AD454" s="598" t="s">
        <v>953</v>
      </c>
      <c r="AE454" s="616" t="s">
        <v>973</v>
      </c>
      <c r="AF454" s="616" t="s">
        <v>954</v>
      </c>
      <c r="AG454" s="616" t="s">
        <v>968</v>
      </c>
      <c r="AH454" s="598" t="s">
        <v>955</v>
      </c>
      <c r="AI454" s="598"/>
      <c r="AJ454" s="598"/>
      <c r="AK454" s="598"/>
      <c r="AL454" s="626"/>
      <c r="AM454" s="626"/>
    </row>
    <row r="455" spans="3:39" ht="18" customHeight="1">
      <c r="C455" s="598">
        <v>434</v>
      </c>
      <c r="D455" s="598" t="s">
        <v>3812</v>
      </c>
      <c r="E455" s="598">
        <f t="shared" si="9"/>
        <v>415</v>
      </c>
      <c r="F455" s="616" t="s">
        <v>3808</v>
      </c>
      <c r="G455" s="616" t="s">
        <v>246</v>
      </c>
      <c r="H455" s="618" t="s">
        <v>3810</v>
      </c>
      <c r="I455" s="618" t="s">
        <v>470</v>
      </c>
      <c r="J455" s="618" t="s">
        <v>3810</v>
      </c>
      <c r="K455" s="618" t="s">
        <v>3807</v>
      </c>
      <c r="L455" s="618" t="s">
        <v>3812</v>
      </c>
      <c r="M455" s="619" t="s">
        <v>3819</v>
      </c>
      <c r="N455" s="620"/>
      <c r="O455" s="620"/>
      <c r="P455" s="663" t="s">
        <v>1074</v>
      </c>
      <c r="Q455" s="621"/>
      <c r="R455" s="598" t="s">
        <v>69</v>
      </c>
      <c r="S455" s="598" t="s">
        <v>69</v>
      </c>
      <c r="T455" s="598"/>
      <c r="U455" s="598" t="s">
        <v>1090</v>
      </c>
      <c r="V455" s="663" t="s">
        <v>478</v>
      </c>
      <c r="W455" s="779" t="s">
        <v>3816</v>
      </c>
      <c r="X455" s="598" t="s">
        <v>963</v>
      </c>
      <c r="Y455" s="624">
        <v>19613</v>
      </c>
      <c r="Z455" s="625">
        <f t="shared" ca="1" si="10"/>
        <v>72</v>
      </c>
      <c r="AA455" s="616" t="s">
        <v>3817</v>
      </c>
      <c r="AB455" s="598" t="s">
        <v>3818</v>
      </c>
      <c r="AC455" s="598" t="s">
        <v>966</v>
      </c>
      <c r="AD455" s="598" t="s">
        <v>953</v>
      </c>
      <c r="AE455" s="616" t="s">
        <v>246</v>
      </c>
      <c r="AF455" s="616" t="s">
        <v>246</v>
      </c>
      <c r="AG455" s="616" t="s">
        <v>3815</v>
      </c>
      <c r="AH455" s="598"/>
      <c r="AI455" s="598"/>
      <c r="AJ455" s="598"/>
      <c r="AK455" s="598"/>
      <c r="AL455" s="626"/>
      <c r="AM455" s="626"/>
    </row>
    <row r="456" spans="3:39" ht="18" customHeight="1">
      <c r="C456" s="598">
        <v>435</v>
      </c>
      <c r="D456" s="598" t="s">
        <v>3819</v>
      </c>
      <c r="E456" s="598">
        <f t="shared" si="9"/>
        <v>416</v>
      </c>
      <c r="F456" s="616" t="s">
        <v>3808</v>
      </c>
      <c r="G456" s="616" t="s">
        <v>246</v>
      </c>
      <c r="H456" s="618" t="s">
        <v>3810</v>
      </c>
      <c r="I456" s="618" t="s">
        <v>470</v>
      </c>
      <c r="J456" s="618" t="s">
        <v>3810</v>
      </c>
      <c r="K456" s="618" t="s">
        <v>3807</v>
      </c>
      <c r="L456" s="618" t="s">
        <v>3812</v>
      </c>
      <c r="M456" s="619" t="s">
        <v>3819</v>
      </c>
      <c r="N456" s="620"/>
      <c r="O456" s="620"/>
      <c r="P456" s="663" t="s">
        <v>1074</v>
      </c>
      <c r="Q456" s="621"/>
      <c r="R456" s="598" t="s">
        <v>69</v>
      </c>
      <c r="S456" s="598" t="s">
        <v>69</v>
      </c>
      <c r="T456" s="598"/>
      <c r="U456" s="598" t="s">
        <v>1090</v>
      </c>
      <c r="V456" s="663" t="s">
        <v>3820</v>
      </c>
      <c r="W456" s="779" t="s">
        <v>3821</v>
      </c>
      <c r="X456" s="598" t="s">
        <v>963</v>
      </c>
      <c r="Y456" s="624">
        <v>19281</v>
      </c>
      <c r="Z456" s="625">
        <f t="shared" ca="1" si="10"/>
        <v>73</v>
      </c>
      <c r="AA456" s="616" t="s">
        <v>3822</v>
      </c>
      <c r="AB456" s="598" t="s">
        <v>3823</v>
      </c>
      <c r="AC456" s="598" t="s">
        <v>966</v>
      </c>
      <c r="AD456" s="598" t="s">
        <v>953</v>
      </c>
      <c r="AE456" s="616" t="s">
        <v>246</v>
      </c>
      <c r="AF456" s="616" t="s">
        <v>246</v>
      </c>
      <c r="AG456" s="653" t="s">
        <v>3824</v>
      </c>
      <c r="AH456" s="598"/>
      <c r="AI456" s="598"/>
      <c r="AJ456" s="598" t="s">
        <v>1440</v>
      </c>
      <c r="AK456" s="598"/>
      <c r="AL456" s="626"/>
      <c r="AM456" s="626"/>
    </row>
    <row r="457" spans="3:39" ht="18" customHeight="1">
      <c r="C457" s="598">
        <v>436</v>
      </c>
      <c r="D457" s="598" t="s">
        <v>3830</v>
      </c>
      <c r="E457" s="598">
        <f t="shared" si="9"/>
        <v>417</v>
      </c>
      <c r="F457" s="616" t="s">
        <v>3808</v>
      </c>
      <c r="G457" s="616" t="s">
        <v>246</v>
      </c>
      <c r="H457" s="618" t="s">
        <v>3810</v>
      </c>
      <c r="I457" s="618" t="s">
        <v>470</v>
      </c>
      <c r="J457" s="618" t="s">
        <v>3810</v>
      </c>
      <c r="K457" s="618" t="s">
        <v>3807</v>
      </c>
      <c r="L457" s="618" t="s">
        <v>3812</v>
      </c>
      <c r="M457" s="619" t="s">
        <v>3819</v>
      </c>
      <c r="N457" s="620"/>
      <c r="O457" s="620"/>
      <c r="P457" s="663" t="s">
        <v>1074</v>
      </c>
      <c r="Q457" s="621"/>
      <c r="R457" s="598"/>
      <c r="S457" s="598"/>
      <c r="T457" s="598"/>
      <c r="U457" s="598" t="s">
        <v>962</v>
      </c>
      <c r="V457" s="663" t="s">
        <v>488</v>
      </c>
      <c r="W457" s="779" t="s">
        <v>3831</v>
      </c>
      <c r="X457" s="598" t="s">
        <v>963</v>
      </c>
      <c r="Y457" s="624">
        <v>30981</v>
      </c>
      <c r="Z457" s="625">
        <f t="shared" ca="1" si="10"/>
        <v>41</v>
      </c>
      <c r="AA457" s="654" t="s">
        <v>3832</v>
      </c>
      <c r="AB457" s="598" t="s">
        <v>3833</v>
      </c>
      <c r="AC457" s="598" t="s">
        <v>3834</v>
      </c>
      <c r="AD457" s="598" t="s">
        <v>953</v>
      </c>
      <c r="AE457" s="616" t="s">
        <v>246</v>
      </c>
      <c r="AF457" s="616" t="s">
        <v>246</v>
      </c>
      <c r="AG457" s="616" t="s">
        <v>3815</v>
      </c>
      <c r="AH457" s="598"/>
      <c r="AI457" s="598"/>
      <c r="AJ457" s="598"/>
      <c r="AK457" s="598"/>
      <c r="AL457" s="626"/>
      <c r="AM457" s="626"/>
    </row>
    <row r="458" spans="3:39" ht="18" customHeight="1">
      <c r="C458" s="598">
        <v>437</v>
      </c>
      <c r="D458" s="598" t="s">
        <v>3835</v>
      </c>
      <c r="E458" s="598">
        <f t="shared" si="9"/>
        <v>418</v>
      </c>
      <c r="F458" s="616" t="s">
        <v>3808</v>
      </c>
      <c r="G458" s="616" t="s">
        <v>246</v>
      </c>
      <c r="H458" s="618" t="s">
        <v>3810</v>
      </c>
      <c r="I458" s="618" t="s">
        <v>470</v>
      </c>
      <c r="J458" s="618" t="s">
        <v>3810</v>
      </c>
      <c r="K458" s="618" t="s">
        <v>3807</v>
      </c>
      <c r="L458" s="618" t="s">
        <v>3812</v>
      </c>
      <c r="M458" s="619" t="s">
        <v>3819</v>
      </c>
      <c r="N458" s="620"/>
      <c r="O458" s="620"/>
      <c r="P458" s="663" t="s">
        <v>1074</v>
      </c>
      <c r="Q458" s="621"/>
      <c r="R458" s="598"/>
      <c r="S458" s="598"/>
      <c r="T458" s="598"/>
      <c r="U458" s="598" t="s">
        <v>962</v>
      </c>
      <c r="V458" s="663" t="s">
        <v>3836</v>
      </c>
      <c r="W458" s="779" t="s">
        <v>3837</v>
      </c>
      <c r="X458" s="598" t="s">
        <v>963</v>
      </c>
      <c r="Y458" s="624">
        <v>26339</v>
      </c>
      <c r="Z458" s="625">
        <f t="shared" ca="1" si="10"/>
        <v>53</v>
      </c>
      <c r="AA458" s="616" t="s">
        <v>3838</v>
      </c>
      <c r="AB458" s="598" t="s">
        <v>3839</v>
      </c>
      <c r="AC458" s="598" t="s">
        <v>966</v>
      </c>
      <c r="AD458" s="598" t="s">
        <v>953</v>
      </c>
      <c r="AE458" s="616" t="s">
        <v>246</v>
      </c>
      <c r="AF458" s="616" t="s">
        <v>246</v>
      </c>
      <c r="AG458" s="616" t="s">
        <v>3815</v>
      </c>
      <c r="AH458" s="598"/>
      <c r="AI458" s="598"/>
      <c r="AJ458" s="598" t="s">
        <v>1011</v>
      </c>
      <c r="AK458" s="598"/>
      <c r="AL458" s="626"/>
      <c r="AM458" s="626"/>
    </row>
    <row r="459" spans="3:39" ht="18" customHeight="1">
      <c r="C459" s="598">
        <v>438</v>
      </c>
      <c r="D459" s="598" t="s">
        <v>3868</v>
      </c>
      <c r="E459" s="598">
        <f t="shared" si="9"/>
        <v>419</v>
      </c>
      <c r="F459" s="616" t="s">
        <v>1810</v>
      </c>
      <c r="G459" s="616" t="s">
        <v>246</v>
      </c>
      <c r="H459" s="618" t="s">
        <v>3810</v>
      </c>
      <c r="I459" s="618" t="s">
        <v>470</v>
      </c>
      <c r="J459" s="618" t="s">
        <v>3810</v>
      </c>
      <c r="K459" s="618" t="s">
        <v>3807</v>
      </c>
      <c r="L459" s="618" t="s">
        <v>3812</v>
      </c>
      <c r="M459" s="619" t="s">
        <v>3819</v>
      </c>
      <c r="N459" s="620"/>
      <c r="O459" s="620"/>
      <c r="P459" s="663" t="s">
        <v>1074</v>
      </c>
      <c r="Q459" s="621"/>
      <c r="R459" s="598"/>
      <c r="S459" s="598"/>
      <c r="T459" s="598"/>
      <c r="U459" s="598" t="s">
        <v>962</v>
      </c>
      <c r="V459" s="663" t="s">
        <v>3869</v>
      </c>
      <c r="W459" s="779" t="s">
        <v>3870</v>
      </c>
      <c r="X459" s="598" t="s">
        <v>963</v>
      </c>
      <c r="Y459" s="624">
        <v>22088</v>
      </c>
      <c r="Z459" s="625">
        <f t="shared" ca="1" si="10"/>
        <v>65</v>
      </c>
      <c r="AA459" s="616" t="s">
        <v>3871</v>
      </c>
      <c r="AB459" s="598" t="s">
        <v>3872</v>
      </c>
      <c r="AC459" s="598" t="s">
        <v>996</v>
      </c>
      <c r="AD459" s="598" t="s">
        <v>997</v>
      </c>
      <c r="AE459" s="616" t="s">
        <v>973</v>
      </c>
      <c r="AF459" s="616" t="s">
        <v>973</v>
      </c>
      <c r="AG459" s="616" t="s">
        <v>3509</v>
      </c>
      <c r="AH459" s="598"/>
      <c r="AI459" s="598"/>
      <c r="AJ459" s="598" t="s">
        <v>1440</v>
      </c>
      <c r="AK459" s="598" t="s">
        <v>3510</v>
      </c>
      <c r="AL459" s="626"/>
      <c r="AM459" s="626"/>
    </row>
    <row r="460" spans="3:39" ht="18" customHeight="1">
      <c r="C460" s="598">
        <v>439</v>
      </c>
      <c r="D460" s="598" t="s">
        <v>4768</v>
      </c>
      <c r="E460" s="598">
        <f t="shared" si="9"/>
        <v>420</v>
      </c>
      <c r="F460" s="616" t="s">
        <v>3808</v>
      </c>
      <c r="G460" s="616" t="s">
        <v>246</v>
      </c>
      <c r="H460" s="618" t="s">
        <v>3810</v>
      </c>
      <c r="I460" s="618" t="s">
        <v>470</v>
      </c>
      <c r="J460" s="618" t="s">
        <v>3810</v>
      </c>
      <c r="K460" s="618" t="s">
        <v>3807</v>
      </c>
      <c r="L460" s="618" t="s">
        <v>3812</v>
      </c>
      <c r="M460" s="619" t="s">
        <v>3819</v>
      </c>
      <c r="N460" s="620"/>
      <c r="O460" s="620"/>
      <c r="P460" s="663" t="s">
        <v>1074</v>
      </c>
      <c r="Q460" s="621"/>
      <c r="R460" s="598"/>
      <c r="S460" s="598"/>
      <c r="T460" s="598"/>
      <c r="U460" s="598" t="s">
        <v>962</v>
      </c>
      <c r="V460" s="663" t="s">
        <v>4769</v>
      </c>
      <c r="W460" s="779" t="s">
        <v>4770</v>
      </c>
      <c r="X460" s="598" t="s">
        <v>963</v>
      </c>
      <c r="Y460" s="624">
        <v>31482</v>
      </c>
      <c r="Z460" s="625">
        <f t="shared" ca="1" si="10"/>
        <v>39</v>
      </c>
      <c r="AA460" s="654" t="s">
        <v>4771</v>
      </c>
      <c r="AB460" s="598"/>
      <c r="AC460" s="598" t="s">
        <v>996</v>
      </c>
      <c r="AD460" s="598" t="s">
        <v>1018</v>
      </c>
      <c r="AE460" s="616" t="s">
        <v>246</v>
      </c>
      <c r="AF460" s="616" t="s">
        <v>246</v>
      </c>
      <c r="AG460" s="616" t="s">
        <v>3815</v>
      </c>
      <c r="AH460" s="598"/>
      <c r="AI460" s="598" t="s">
        <v>3845</v>
      </c>
      <c r="AJ460" s="598"/>
      <c r="AK460" s="598" t="s">
        <v>1020</v>
      </c>
      <c r="AL460" s="626"/>
      <c r="AM460" s="626"/>
    </row>
    <row r="461" spans="3:39" ht="18" customHeight="1">
      <c r="C461" s="598">
        <v>440</v>
      </c>
      <c r="D461" s="598" t="s">
        <v>4772</v>
      </c>
      <c r="E461" s="598">
        <f t="shared" si="9"/>
        <v>421</v>
      </c>
      <c r="F461" s="616" t="s">
        <v>3808</v>
      </c>
      <c r="G461" s="616" t="s">
        <v>246</v>
      </c>
      <c r="H461" s="618" t="s">
        <v>3810</v>
      </c>
      <c r="I461" s="618" t="s">
        <v>470</v>
      </c>
      <c r="J461" s="618" t="s">
        <v>3810</v>
      </c>
      <c r="K461" s="618" t="s">
        <v>3807</v>
      </c>
      <c r="L461" s="618" t="s">
        <v>3812</v>
      </c>
      <c r="M461" s="619" t="s">
        <v>3819</v>
      </c>
      <c r="N461" s="620"/>
      <c r="O461" s="620"/>
      <c r="P461" s="663" t="s">
        <v>1074</v>
      </c>
      <c r="Q461" s="621"/>
      <c r="R461" s="598"/>
      <c r="S461" s="598"/>
      <c r="T461" s="598"/>
      <c r="U461" s="598" t="s">
        <v>962</v>
      </c>
      <c r="V461" s="663" t="s">
        <v>4773</v>
      </c>
      <c r="W461" s="779" t="s">
        <v>4774</v>
      </c>
      <c r="X461" s="598" t="s">
        <v>963</v>
      </c>
      <c r="Y461" s="624">
        <v>32188</v>
      </c>
      <c r="Z461" s="625">
        <f t="shared" ca="1" si="10"/>
        <v>37</v>
      </c>
      <c r="AA461" s="616" t="s">
        <v>4775</v>
      </c>
      <c r="AB461" s="598"/>
      <c r="AC461" s="598" t="s">
        <v>996</v>
      </c>
      <c r="AD461" s="598" t="s">
        <v>1018</v>
      </c>
      <c r="AE461" s="616" t="s">
        <v>246</v>
      </c>
      <c r="AF461" s="616" t="s">
        <v>2934</v>
      </c>
      <c r="AG461" s="616" t="s">
        <v>2069</v>
      </c>
      <c r="AH461" s="598"/>
      <c r="AI461" s="598" t="s">
        <v>3845</v>
      </c>
      <c r="AJ461" s="598" t="s">
        <v>1440</v>
      </c>
      <c r="AK461" s="598" t="s">
        <v>1020</v>
      </c>
      <c r="AL461" s="626"/>
      <c r="AM461" s="626"/>
    </row>
    <row r="462" spans="3:39" ht="18" customHeight="1">
      <c r="C462" s="598">
        <v>441</v>
      </c>
      <c r="D462" s="598" t="s">
        <v>3840</v>
      </c>
      <c r="E462" s="598">
        <f t="shared" si="9"/>
        <v>422</v>
      </c>
      <c r="F462" s="616" t="s">
        <v>3808</v>
      </c>
      <c r="G462" s="616" t="s">
        <v>246</v>
      </c>
      <c r="H462" s="618" t="s">
        <v>3810</v>
      </c>
      <c r="I462" s="618" t="s">
        <v>470</v>
      </c>
      <c r="J462" s="618" t="s">
        <v>3810</v>
      </c>
      <c r="K462" s="618" t="s">
        <v>3807</v>
      </c>
      <c r="L462" s="618" t="s">
        <v>3812</v>
      </c>
      <c r="M462" s="619" t="s">
        <v>3819</v>
      </c>
      <c r="N462" s="620"/>
      <c r="O462" s="620"/>
      <c r="P462" s="663" t="s">
        <v>1074</v>
      </c>
      <c r="Q462" s="621"/>
      <c r="R462" s="598"/>
      <c r="S462" s="598"/>
      <c r="T462" s="598"/>
      <c r="U462" s="598" t="s">
        <v>962</v>
      </c>
      <c r="V462" s="663" t="s">
        <v>3841</v>
      </c>
      <c r="W462" s="779" t="s">
        <v>3842</v>
      </c>
      <c r="X462" s="598" t="s">
        <v>963</v>
      </c>
      <c r="Y462" s="624">
        <v>26922</v>
      </c>
      <c r="Z462" s="625">
        <f t="shared" ca="1" si="10"/>
        <v>52</v>
      </c>
      <c r="AA462" s="616" t="s">
        <v>3843</v>
      </c>
      <c r="AB462" s="598" t="s">
        <v>3844</v>
      </c>
      <c r="AC462" s="598" t="s">
        <v>996</v>
      </c>
      <c r="AD462" s="598" t="s">
        <v>953</v>
      </c>
      <c r="AE462" s="616" t="s">
        <v>246</v>
      </c>
      <c r="AF462" s="616" t="s">
        <v>246</v>
      </c>
      <c r="AG462" s="616" t="s">
        <v>3815</v>
      </c>
      <c r="AH462" s="598"/>
      <c r="AI462" s="598" t="s">
        <v>3845</v>
      </c>
      <c r="AJ462" s="598"/>
      <c r="AK462" s="598" t="s">
        <v>1020</v>
      </c>
      <c r="AL462" s="626"/>
      <c r="AM462" s="626"/>
    </row>
    <row r="463" spans="3:39" ht="18" customHeight="1">
      <c r="C463" s="598">
        <v>442</v>
      </c>
      <c r="D463" s="598" t="s">
        <v>4776</v>
      </c>
      <c r="E463" s="598">
        <f t="shared" si="9"/>
        <v>423</v>
      </c>
      <c r="F463" s="616" t="s">
        <v>3808</v>
      </c>
      <c r="G463" s="616" t="s">
        <v>246</v>
      </c>
      <c r="H463" s="618" t="s">
        <v>3810</v>
      </c>
      <c r="I463" s="618" t="s">
        <v>470</v>
      </c>
      <c r="J463" s="618" t="s">
        <v>3810</v>
      </c>
      <c r="K463" s="618" t="s">
        <v>3807</v>
      </c>
      <c r="L463" s="618" t="s">
        <v>3812</v>
      </c>
      <c r="M463" s="619" t="s">
        <v>3819</v>
      </c>
      <c r="N463" s="620"/>
      <c r="O463" s="620"/>
      <c r="P463" s="673" t="s">
        <v>1074</v>
      </c>
      <c r="Q463" s="621"/>
      <c r="R463" s="598"/>
      <c r="S463" s="598"/>
      <c r="T463" s="598"/>
      <c r="U463" s="598" t="s">
        <v>962</v>
      </c>
      <c r="V463" s="673" t="s">
        <v>4777</v>
      </c>
      <c r="W463" s="779" t="s">
        <v>4778</v>
      </c>
      <c r="X463" s="598" t="s">
        <v>963</v>
      </c>
      <c r="Y463" s="624">
        <v>27828</v>
      </c>
      <c r="Z463" s="625">
        <f t="shared" ca="1" si="10"/>
        <v>49</v>
      </c>
      <c r="AA463" s="616" t="s">
        <v>4779</v>
      </c>
      <c r="AB463" s="598"/>
      <c r="AC463" s="598" t="s">
        <v>996</v>
      </c>
      <c r="AD463" s="598" t="s">
        <v>997</v>
      </c>
      <c r="AE463" s="616" t="s">
        <v>246</v>
      </c>
      <c r="AF463" s="616" t="s">
        <v>246</v>
      </c>
      <c r="AG463" s="616" t="s">
        <v>3815</v>
      </c>
      <c r="AH463" s="598"/>
      <c r="AI463" s="598" t="s">
        <v>3845</v>
      </c>
      <c r="AJ463" s="598"/>
      <c r="AK463" s="598" t="s">
        <v>1020</v>
      </c>
      <c r="AL463" s="626"/>
      <c r="AM463" s="626"/>
    </row>
    <row r="464" spans="3:39" ht="18" customHeight="1">
      <c r="C464" s="598">
        <v>443</v>
      </c>
      <c r="D464" s="598" t="s">
        <v>3886</v>
      </c>
      <c r="E464" s="598">
        <f t="shared" si="9"/>
        <v>424</v>
      </c>
      <c r="F464" s="616" t="s">
        <v>3808</v>
      </c>
      <c r="G464" s="616" t="s">
        <v>246</v>
      </c>
      <c r="H464" s="618" t="s">
        <v>3810</v>
      </c>
      <c r="I464" s="618" t="s">
        <v>470</v>
      </c>
      <c r="J464" s="618" t="s">
        <v>3810</v>
      </c>
      <c r="K464" s="618" t="s">
        <v>3886</v>
      </c>
      <c r="L464" s="618" t="s">
        <v>3887</v>
      </c>
      <c r="M464" s="619" t="s">
        <v>3888</v>
      </c>
      <c r="N464" s="620" t="s">
        <v>3956</v>
      </c>
      <c r="O464" s="620"/>
      <c r="P464" s="667" t="s">
        <v>1115</v>
      </c>
      <c r="Q464" s="621"/>
      <c r="R464" s="598" t="s">
        <v>55</v>
      </c>
      <c r="S464" s="598" t="s">
        <v>55</v>
      </c>
      <c r="T464" s="598"/>
      <c r="U464" s="598" t="s">
        <v>1090</v>
      </c>
      <c r="V464" s="667" t="s">
        <v>471</v>
      </c>
      <c r="W464" s="779" t="s">
        <v>3889</v>
      </c>
      <c r="X464" s="598" t="s">
        <v>950</v>
      </c>
      <c r="Y464" s="624">
        <v>17838</v>
      </c>
      <c r="Z464" s="625">
        <f t="shared" ca="1" si="10"/>
        <v>77</v>
      </c>
      <c r="AA464" s="616" t="s">
        <v>3890</v>
      </c>
      <c r="AB464" s="598" t="s">
        <v>3891</v>
      </c>
      <c r="AC464" s="598" t="s">
        <v>966</v>
      </c>
      <c r="AD464" s="598" t="s">
        <v>953</v>
      </c>
      <c r="AE464" s="616" t="s">
        <v>246</v>
      </c>
      <c r="AF464" s="616" t="s">
        <v>246</v>
      </c>
      <c r="AG464" s="616" t="s">
        <v>3815</v>
      </c>
      <c r="AH464" s="598"/>
      <c r="AI464" s="598"/>
      <c r="AJ464" s="598"/>
      <c r="AK464" s="598"/>
      <c r="AL464" s="626"/>
      <c r="AM464" s="626"/>
    </row>
    <row r="465" spans="3:39" ht="18" customHeight="1">
      <c r="C465" s="598">
        <v>444</v>
      </c>
      <c r="D465" s="598" t="s">
        <v>3887</v>
      </c>
      <c r="E465" s="598">
        <f t="shared" si="9"/>
        <v>425</v>
      </c>
      <c r="F465" s="616" t="s">
        <v>3808</v>
      </c>
      <c r="G465" s="616" t="s">
        <v>246</v>
      </c>
      <c r="H465" s="618" t="s">
        <v>3810</v>
      </c>
      <c r="I465" s="618" t="s">
        <v>470</v>
      </c>
      <c r="J465" s="618" t="s">
        <v>3810</v>
      </c>
      <c r="K465" s="618" t="s">
        <v>3886</v>
      </c>
      <c r="L465" s="618" t="s">
        <v>3887</v>
      </c>
      <c r="M465" s="619" t="s">
        <v>3888</v>
      </c>
      <c r="N465" s="620" t="s">
        <v>3956</v>
      </c>
      <c r="O465" s="620"/>
      <c r="P465" s="663" t="s">
        <v>1115</v>
      </c>
      <c r="Q465" s="621"/>
      <c r="R465" s="598" t="s">
        <v>69</v>
      </c>
      <c r="S465" s="598" t="s">
        <v>69</v>
      </c>
      <c r="T465" s="598"/>
      <c r="U465" s="598" t="s">
        <v>1090</v>
      </c>
      <c r="V465" s="663" t="s">
        <v>479</v>
      </c>
      <c r="W465" s="779" t="s">
        <v>3892</v>
      </c>
      <c r="X465" s="598" t="s">
        <v>950</v>
      </c>
      <c r="Y465" s="624">
        <v>19108</v>
      </c>
      <c r="Z465" s="625">
        <f t="shared" ca="1" si="10"/>
        <v>73</v>
      </c>
      <c r="AA465" s="616" t="s">
        <v>3893</v>
      </c>
      <c r="AB465" s="598" t="s">
        <v>3894</v>
      </c>
      <c r="AC465" s="598" t="s">
        <v>966</v>
      </c>
      <c r="AD465" s="598" t="s">
        <v>953</v>
      </c>
      <c r="AE465" s="616" t="s">
        <v>246</v>
      </c>
      <c r="AF465" s="616" t="s">
        <v>246</v>
      </c>
      <c r="AG465" s="616" t="s">
        <v>3815</v>
      </c>
      <c r="AH465" s="598"/>
      <c r="AI465" s="598"/>
      <c r="AJ465" s="598"/>
      <c r="AK465" s="598"/>
      <c r="AL465" s="626"/>
      <c r="AM465" s="626"/>
    </row>
    <row r="466" spans="3:39" ht="18" customHeight="1">
      <c r="C466" s="598">
        <v>445</v>
      </c>
      <c r="D466" s="598" t="s">
        <v>3888</v>
      </c>
      <c r="E466" s="598">
        <f t="shared" si="9"/>
        <v>425</v>
      </c>
      <c r="F466" s="616"/>
      <c r="G466" s="616" t="s">
        <v>246</v>
      </c>
      <c r="H466" s="618" t="s">
        <v>3810</v>
      </c>
      <c r="I466" s="618" t="s">
        <v>470</v>
      </c>
      <c r="J466" s="618" t="s">
        <v>3810</v>
      </c>
      <c r="K466" s="618" t="s">
        <v>3886</v>
      </c>
      <c r="L466" s="618" t="s">
        <v>3887</v>
      </c>
      <c r="M466" s="619" t="s">
        <v>3888</v>
      </c>
      <c r="N466" s="620" t="s">
        <v>3956</v>
      </c>
      <c r="O466" s="620"/>
      <c r="P466" s="663" t="s">
        <v>1115</v>
      </c>
      <c r="Q466" s="621"/>
      <c r="R466" s="598" t="s">
        <v>69</v>
      </c>
      <c r="S466" s="598" t="s">
        <v>69</v>
      </c>
      <c r="T466" s="598"/>
      <c r="U466" s="598"/>
      <c r="V466" s="663" t="s">
        <v>94</v>
      </c>
      <c r="W466" s="779" t="s">
        <v>3895</v>
      </c>
      <c r="X466" s="598" t="s">
        <v>950</v>
      </c>
      <c r="Y466" s="624">
        <v>19466</v>
      </c>
      <c r="Z466" s="625">
        <f t="shared" ca="1" si="10"/>
        <v>72</v>
      </c>
      <c r="AA466" s="616" t="s">
        <v>3896</v>
      </c>
      <c r="AB466" s="598" t="s">
        <v>3897</v>
      </c>
      <c r="AC466" s="598" t="s">
        <v>966</v>
      </c>
      <c r="AD466" s="598" t="s">
        <v>953</v>
      </c>
      <c r="AE466" s="616" t="s">
        <v>973</v>
      </c>
      <c r="AF466" s="616" t="s">
        <v>954</v>
      </c>
      <c r="AG466" s="616" t="s">
        <v>968</v>
      </c>
      <c r="AH466" s="598" t="s">
        <v>955</v>
      </c>
      <c r="AI466" s="598"/>
      <c r="AJ466" s="598"/>
      <c r="AK466" s="598"/>
      <c r="AL466" s="626"/>
      <c r="AM466" s="626"/>
    </row>
    <row r="467" spans="3:39" ht="18" customHeight="1">
      <c r="C467" s="598">
        <v>446</v>
      </c>
      <c r="D467" s="598" t="s">
        <v>3956</v>
      </c>
      <c r="E467" s="598">
        <f t="shared" si="9"/>
        <v>426</v>
      </c>
      <c r="F467" s="616" t="s">
        <v>3808</v>
      </c>
      <c r="G467" s="616" t="s">
        <v>246</v>
      </c>
      <c r="H467" s="618" t="s">
        <v>3810</v>
      </c>
      <c r="I467" s="618" t="s">
        <v>470</v>
      </c>
      <c r="J467" s="618" t="s">
        <v>3810</v>
      </c>
      <c r="K467" s="618" t="s">
        <v>3886</v>
      </c>
      <c r="L467" s="618" t="s">
        <v>3887</v>
      </c>
      <c r="M467" s="619" t="s">
        <v>3888</v>
      </c>
      <c r="N467" s="620" t="s">
        <v>3956</v>
      </c>
      <c r="O467" s="620"/>
      <c r="P467" s="663" t="s">
        <v>1115</v>
      </c>
      <c r="Q467" s="621"/>
      <c r="R467" s="598" t="s">
        <v>69</v>
      </c>
      <c r="S467" s="598" t="s">
        <v>69</v>
      </c>
      <c r="T467" s="598"/>
      <c r="U467" s="598" t="s">
        <v>1015</v>
      </c>
      <c r="V467" s="663" t="s">
        <v>489</v>
      </c>
      <c r="W467" s="779" t="s">
        <v>3960</v>
      </c>
      <c r="X467" s="598" t="s">
        <v>950</v>
      </c>
      <c r="Y467" s="624">
        <v>22921</v>
      </c>
      <c r="Z467" s="625">
        <f t="shared" ca="1" si="10"/>
        <v>63</v>
      </c>
      <c r="AA467" s="616" t="s">
        <v>3961</v>
      </c>
      <c r="AB467" s="598" t="s">
        <v>3962</v>
      </c>
      <c r="AC467" s="598" t="s">
        <v>966</v>
      </c>
      <c r="AD467" s="598" t="s">
        <v>953</v>
      </c>
      <c r="AE467" s="616" t="s">
        <v>246</v>
      </c>
      <c r="AF467" s="616" t="s">
        <v>246</v>
      </c>
      <c r="AG467" s="616" t="s">
        <v>3815</v>
      </c>
      <c r="AH467" s="598"/>
      <c r="AI467" s="598"/>
      <c r="AJ467" s="598"/>
      <c r="AK467" s="598"/>
      <c r="AL467" s="626"/>
      <c r="AM467" s="626"/>
    </row>
    <row r="468" spans="3:39" ht="18" customHeight="1">
      <c r="C468" s="598">
        <v>447</v>
      </c>
      <c r="D468" s="598" t="s">
        <v>3898</v>
      </c>
      <c r="E468" s="598">
        <f t="shared" si="9"/>
        <v>427</v>
      </c>
      <c r="F468" s="616" t="s">
        <v>3808</v>
      </c>
      <c r="G468" s="616" t="s">
        <v>246</v>
      </c>
      <c r="H468" s="618" t="s">
        <v>3810</v>
      </c>
      <c r="I468" s="618" t="s">
        <v>470</v>
      </c>
      <c r="J468" s="618" t="s">
        <v>3810</v>
      </c>
      <c r="K468" s="618" t="s">
        <v>3886</v>
      </c>
      <c r="L468" s="618" t="s">
        <v>3887</v>
      </c>
      <c r="M468" s="619" t="s">
        <v>3888</v>
      </c>
      <c r="N468" s="620" t="s">
        <v>3956</v>
      </c>
      <c r="O468" s="620"/>
      <c r="P468" s="663" t="s">
        <v>1115</v>
      </c>
      <c r="Q468" s="621"/>
      <c r="R468" s="598"/>
      <c r="S468" s="598"/>
      <c r="T468" s="598"/>
      <c r="U468" s="598" t="s">
        <v>1090</v>
      </c>
      <c r="V468" s="663" t="s">
        <v>493</v>
      </c>
      <c r="W468" s="779" t="s">
        <v>3899</v>
      </c>
      <c r="X468" s="598" t="s">
        <v>950</v>
      </c>
      <c r="Y468" s="624">
        <v>18123</v>
      </c>
      <c r="Z468" s="625">
        <f t="shared" ca="1" si="10"/>
        <v>76</v>
      </c>
      <c r="AA468" s="616" t="s">
        <v>3900</v>
      </c>
      <c r="AB468" s="598" t="s">
        <v>3901</v>
      </c>
      <c r="AC468" s="598" t="s">
        <v>966</v>
      </c>
      <c r="AD468" s="598" t="s">
        <v>953</v>
      </c>
      <c r="AE468" s="616" t="s">
        <v>246</v>
      </c>
      <c r="AF468" s="616" t="s">
        <v>246</v>
      </c>
      <c r="AG468" s="616" t="s">
        <v>3815</v>
      </c>
      <c r="AH468" s="598"/>
      <c r="AI468" s="598"/>
      <c r="AJ468" s="598"/>
      <c r="AK468" s="598"/>
      <c r="AL468" s="626"/>
      <c r="AM468" s="626"/>
    </row>
    <row r="469" spans="3:39" ht="18" customHeight="1">
      <c r="C469" s="598">
        <v>448</v>
      </c>
      <c r="D469" s="598" t="s">
        <v>3902</v>
      </c>
      <c r="E469" s="598">
        <f t="shared" si="9"/>
        <v>428</v>
      </c>
      <c r="F469" s="616" t="s">
        <v>3808</v>
      </c>
      <c r="G469" s="616" t="s">
        <v>246</v>
      </c>
      <c r="H469" s="618" t="s">
        <v>3810</v>
      </c>
      <c r="I469" s="618" t="s">
        <v>470</v>
      </c>
      <c r="J469" s="618" t="s">
        <v>3810</v>
      </c>
      <c r="K469" s="618" t="s">
        <v>3886</v>
      </c>
      <c r="L469" s="618" t="s">
        <v>3887</v>
      </c>
      <c r="M469" s="619" t="s">
        <v>3888</v>
      </c>
      <c r="N469" s="620" t="s">
        <v>3956</v>
      </c>
      <c r="O469" s="620"/>
      <c r="P469" s="663" t="s">
        <v>1115</v>
      </c>
      <c r="Q469" s="621"/>
      <c r="R469" s="598"/>
      <c r="S469" s="598"/>
      <c r="T469" s="598"/>
      <c r="U469" s="598" t="s">
        <v>1090</v>
      </c>
      <c r="V469" s="663" t="s">
        <v>500</v>
      </c>
      <c r="W469" s="779" t="s">
        <v>3903</v>
      </c>
      <c r="X469" s="598" t="s">
        <v>950</v>
      </c>
      <c r="Y469" s="624">
        <v>20191</v>
      </c>
      <c r="Z469" s="625">
        <f t="shared" ca="1" si="10"/>
        <v>70</v>
      </c>
      <c r="AA469" s="616">
        <v>77774810054</v>
      </c>
      <c r="AB469" s="598" t="s">
        <v>3904</v>
      </c>
      <c r="AC469" s="598" t="s">
        <v>966</v>
      </c>
      <c r="AD469" s="598" t="s">
        <v>953</v>
      </c>
      <c r="AE469" s="616" t="s">
        <v>246</v>
      </c>
      <c r="AF469" s="616" t="s">
        <v>246</v>
      </c>
      <c r="AG469" s="616" t="s">
        <v>3815</v>
      </c>
      <c r="AH469" s="598"/>
      <c r="AI469" s="598"/>
      <c r="AJ469" s="598"/>
      <c r="AK469" s="598"/>
      <c r="AL469" s="626"/>
      <c r="AM469" s="626"/>
    </row>
    <row r="470" spans="3:39" ht="18" customHeight="1">
      <c r="C470" s="598">
        <v>449</v>
      </c>
      <c r="D470" s="598" t="s">
        <v>3909</v>
      </c>
      <c r="E470" s="598">
        <f t="shared" si="9"/>
        <v>429</v>
      </c>
      <c r="F470" s="616" t="s">
        <v>3808</v>
      </c>
      <c r="G470" s="616" t="s">
        <v>246</v>
      </c>
      <c r="H470" s="618" t="s">
        <v>3810</v>
      </c>
      <c r="I470" s="618" t="s">
        <v>470</v>
      </c>
      <c r="J470" s="618" t="s">
        <v>3810</v>
      </c>
      <c r="K470" s="618" t="s">
        <v>3886</v>
      </c>
      <c r="L470" s="618" t="s">
        <v>3887</v>
      </c>
      <c r="M470" s="619" t="s">
        <v>3888</v>
      </c>
      <c r="N470" s="620" t="s">
        <v>3956</v>
      </c>
      <c r="O470" s="620"/>
      <c r="P470" s="663" t="s">
        <v>1115</v>
      </c>
      <c r="Q470" s="621"/>
      <c r="R470" s="598"/>
      <c r="S470" s="598"/>
      <c r="T470" s="598"/>
      <c r="U470" s="598" t="s">
        <v>1015</v>
      </c>
      <c r="V470" s="663" t="s">
        <v>501</v>
      </c>
      <c r="W470" s="779" t="s">
        <v>3910</v>
      </c>
      <c r="X470" s="598" t="s">
        <v>950</v>
      </c>
      <c r="Y470" s="624">
        <v>20487</v>
      </c>
      <c r="Z470" s="625">
        <f t="shared" ca="1" si="10"/>
        <v>69</v>
      </c>
      <c r="AA470" s="616" t="s">
        <v>3911</v>
      </c>
      <c r="AB470" s="742"/>
      <c r="AC470" s="598" t="s">
        <v>996</v>
      </c>
      <c r="AD470" s="598" t="s">
        <v>953</v>
      </c>
      <c r="AE470" s="616" t="s">
        <v>246</v>
      </c>
      <c r="AF470" s="616" t="s">
        <v>246</v>
      </c>
      <c r="AG470" s="616" t="s">
        <v>3815</v>
      </c>
      <c r="AH470" s="598"/>
      <c r="AI470" s="598" t="s">
        <v>3912</v>
      </c>
      <c r="AJ470" s="598"/>
      <c r="AK470" s="598" t="s">
        <v>3913</v>
      </c>
      <c r="AL470" s="626"/>
      <c r="AM470" s="626"/>
    </row>
    <row r="471" spans="3:39" ht="18" customHeight="1">
      <c r="C471" s="598">
        <v>450</v>
      </c>
      <c r="D471" s="598" t="s">
        <v>4780</v>
      </c>
      <c r="E471" s="598">
        <f t="shared" si="9"/>
        <v>430</v>
      </c>
      <c r="F471" s="616" t="s">
        <v>3808</v>
      </c>
      <c r="G471" s="616" t="s">
        <v>246</v>
      </c>
      <c r="H471" s="618" t="s">
        <v>3810</v>
      </c>
      <c r="I471" s="618" t="s">
        <v>470</v>
      </c>
      <c r="J471" s="618" t="s">
        <v>3810</v>
      </c>
      <c r="K471" s="618" t="s">
        <v>3886</v>
      </c>
      <c r="L471" s="618" t="s">
        <v>3887</v>
      </c>
      <c r="M471" s="619" t="s">
        <v>3888</v>
      </c>
      <c r="N471" s="620" t="s">
        <v>3956</v>
      </c>
      <c r="O471" s="620"/>
      <c r="P471" s="663" t="s">
        <v>1115</v>
      </c>
      <c r="Q471" s="621"/>
      <c r="R471" s="598"/>
      <c r="S471" s="598"/>
      <c r="T471" s="598"/>
      <c r="U471" s="598" t="s">
        <v>1015</v>
      </c>
      <c r="V471" s="663" t="s">
        <v>4781</v>
      </c>
      <c r="W471" s="779" t="s">
        <v>4782</v>
      </c>
      <c r="X471" s="598" t="s">
        <v>950</v>
      </c>
      <c r="Y471" s="624">
        <v>26857</v>
      </c>
      <c r="Z471" s="625">
        <f t="shared" ca="1" si="10"/>
        <v>52</v>
      </c>
      <c r="AA471" s="616" t="s">
        <v>4783</v>
      </c>
      <c r="AB471" s="652"/>
      <c r="AC471" s="598" t="s">
        <v>996</v>
      </c>
      <c r="AD471" s="598" t="s">
        <v>997</v>
      </c>
      <c r="AE471" s="616" t="s">
        <v>246</v>
      </c>
      <c r="AF471" s="616" t="s">
        <v>246</v>
      </c>
      <c r="AG471" s="616" t="s">
        <v>3815</v>
      </c>
      <c r="AH471" s="598"/>
      <c r="AI471" s="598" t="s">
        <v>3845</v>
      </c>
      <c r="AJ471" s="598"/>
      <c r="AK471" s="598" t="s">
        <v>1020</v>
      </c>
      <c r="AL471" s="626"/>
      <c r="AM471" s="626"/>
    </row>
    <row r="472" spans="3:39" ht="18" customHeight="1">
      <c r="C472" s="598">
        <v>451</v>
      </c>
      <c r="D472" s="598" t="s">
        <v>4784</v>
      </c>
      <c r="E472" s="598">
        <f t="shared" si="9"/>
        <v>431</v>
      </c>
      <c r="F472" s="616" t="s">
        <v>3808</v>
      </c>
      <c r="G472" s="616" t="s">
        <v>246</v>
      </c>
      <c r="H472" s="618" t="s">
        <v>3810</v>
      </c>
      <c r="I472" s="618" t="s">
        <v>470</v>
      </c>
      <c r="J472" s="618" t="s">
        <v>3810</v>
      </c>
      <c r="K472" s="618" t="s">
        <v>3886</v>
      </c>
      <c r="L472" s="618" t="s">
        <v>3887</v>
      </c>
      <c r="M472" s="619" t="s">
        <v>3888</v>
      </c>
      <c r="N472" s="620" t="s">
        <v>3956</v>
      </c>
      <c r="O472" s="620"/>
      <c r="P472" s="663" t="s">
        <v>1115</v>
      </c>
      <c r="Q472" s="621"/>
      <c r="R472" s="598"/>
      <c r="S472" s="598"/>
      <c r="T472" s="598"/>
      <c r="U472" s="598" t="s">
        <v>1015</v>
      </c>
      <c r="V472" s="663" t="s">
        <v>4785</v>
      </c>
      <c r="W472" s="779" t="s">
        <v>4786</v>
      </c>
      <c r="X472" s="598" t="s">
        <v>950</v>
      </c>
      <c r="Y472" s="624">
        <v>27734</v>
      </c>
      <c r="Z472" s="625">
        <f t="shared" ca="1" si="10"/>
        <v>50</v>
      </c>
      <c r="AA472" s="616" t="s">
        <v>4787</v>
      </c>
      <c r="AB472" s="598"/>
      <c r="AC472" s="598" t="s">
        <v>996</v>
      </c>
      <c r="AD472" s="598" t="s">
        <v>997</v>
      </c>
      <c r="AE472" s="616" t="s">
        <v>246</v>
      </c>
      <c r="AF472" s="616" t="s">
        <v>246</v>
      </c>
      <c r="AG472" s="616" t="s">
        <v>3815</v>
      </c>
      <c r="AH472" s="598"/>
      <c r="AI472" s="598" t="s">
        <v>4788</v>
      </c>
      <c r="AJ472" s="598"/>
      <c r="AK472" s="598"/>
      <c r="AL472" s="626"/>
      <c r="AM472" s="626"/>
    </row>
    <row r="473" spans="3:39" ht="18" customHeight="1">
      <c r="C473" s="598">
        <v>452</v>
      </c>
      <c r="D473" s="598" t="s">
        <v>4789</v>
      </c>
      <c r="E473" s="598">
        <f t="shared" si="9"/>
        <v>432</v>
      </c>
      <c r="F473" s="616" t="s">
        <v>3808</v>
      </c>
      <c r="G473" s="616" t="s">
        <v>246</v>
      </c>
      <c r="H473" s="618" t="s">
        <v>3810</v>
      </c>
      <c r="I473" s="618" t="s">
        <v>470</v>
      </c>
      <c r="J473" s="618" t="s">
        <v>3810</v>
      </c>
      <c r="K473" s="618" t="s">
        <v>3886</v>
      </c>
      <c r="L473" s="618" t="s">
        <v>3887</v>
      </c>
      <c r="M473" s="619" t="s">
        <v>3888</v>
      </c>
      <c r="N473" s="620" t="s">
        <v>3956</v>
      </c>
      <c r="O473" s="620"/>
      <c r="P473" s="673" t="s">
        <v>1115</v>
      </c>
      <c r="Q473" s="621"/>
      <c r="R473" s="598"/>
      <c r="S473" s="598"/>
      <c r="T473" s="598"/>
      <c r="U473" s="598" t="s">
        <v>992</v>
      </c>
      <c r="V473" s="673" t="s">
        <v>4790</v>
      </c>
      <c r="W473" s="779" t="s">
        <v>4791</v>
      </c>
      <c r="X473" s="598" t="s">
        <v>950</v>
      </c>
      <c r="Y473" s="624">
        <v>36934</v>
      </c>
      <c r="Z473" s="625">
        <f t="shared" ca="1" si="10"/>
        <v>24</v>
      </c>
      <c r="AA473" s="616" t="s">
        <v>4792</v>
      </c>
      <c r="AB473" s="652"/>
      <c r="AC473" s="598" t="s">
        <v>996</v>
      </c>
      <c r="AD473" s="598" t="s">
        <v>997</v>
      </c>
      <c r="AE473" s="616" t="s">
        <v>246</v>
      </c>
      <c r="AF473" s="616" t="s">
        <v>246</v>
      </c>
      <c r="AG473" s="616" t="s">
        <v>3815</v>
      </c>
      <c r="AH473" s="598"/>
      <c r="AI473" s="598" t="s">
        <v>3845</v>
      </c>
      <c r="AJ473" s="598"/>
      <c r="AK473" s="598" t="s">
        <v>1020</v>
      </c>
      <c r="AL473" s="626"/>
      <c r="AM473" s="626"/>
    </row>
    <row r="474" spans="3:39" ht="18" customHeight="1">
      <c r="C474" s="598">
        <v>453</v>
      </c>
      <c r="D474" s="598" t="s">
        <v>3914</v>
      </c>
      <c r="E474" s="598">
        <f t="shared" si="9"/>
        <v>432</v>
      </c>
      <c r="F474" s="616"/>
      <c r="G474" s="616" t="s">
        <v>246</v>
      </c>
      <c r="H474" s="618" t="s">
        <v>3810</v>
      </c>
      <c r="I474" s="618" t="s">
        <v>470</v>
      </c>
      <c r="J474" s="618" t="s">
        <v>3810</v>
      </c>
      <c r="K474" s="618" t="s">
        <v>3914</v>
      </c>
      <c r="L474" s="618" t="s">
        <v>4043</v>
      </c>
      <c r="M474" s="619"/>
      <c r="N474" s="620"/>
      <c r="O474" s="620"/>
      <c r="P474" s="667" t="s">
        <v>1127</v>
      </c>
      <c r="Q474" s="621"/>
      <c r="R474" s="598" t="s">
        <v>55</v>
      </c>
      <c r="S474" s="598" t="s">
        <v>178</v>
      </c>
      <c r="T474" s="598"/>
      <c r="U474" s="598"/>
      <c r="V474" s="667" t="s">
        <v>477</v>
      </c>
      <c r="W474" s="779" t="s">
        <v>3915</v>
      </c>
      <c r="X474" s="598" t="s">
        <v>950</v>
      </c>
      <c r="Y474" s="624">
        <v>19031</v>
      </c>
      <c r="Z474" s="625">
        <f t="shared" ca="1" si="10"/>
        <v>73</v>
      </c>
      <c r="AA474" s="616" t="s">
        <v>3916</v>
      </c>
      <c r="AB474" s="598"/>
      <c r="AC474" s="598" t="s">
        <v>966</v>
      </c>
      <c r="AD474" s="598" t="s">
        <v>953</v>
      </c>
      <c r="AE474" s="616" t="s">
        <v>246</v>
      </c>
      <c r="AF474" s="616" t="s">
        <v>246</v>
      </c>
      <c r="AG474" s="616" t="s">
        <v>3815</v>
      </c>
      <c r="AH474" s="598" t="s">
        <v>955</v>
      </c>
      <c r="AI474" s="598"/>
      <c r="AJ474" s="598"/>
      <c r="AK474" s="598"/>
      <c r="AL474" s="626"/>
      <c r="AM474" s="626"/>
    </row>
    <row r="475" spans="3:39" ht="18" customHeight="1">
      <c r="C475" s="598">
        <v>454</v>
      </c>
      <c r="D475" s="598" t="s">
        <v>4043</v>
      </c>
      <c r="E475" s="598">
        <f t="shared" si="9"/>
        <v>433</v>
      </c>
      <c r="F475" s="616" t="s">
        <v>3808</v>
      </c>
      <c r="G475" s="616" t="s">
        <v>246</v>
      </c>
      <c r="H475" s="618" t="s">
        <v>3810</v>
      </c>
      <c r="I475" s="618" t="s">
        <v>470</v>
      </c>
      <c r="J475" s="618" t="s">
        <v>3810</v>
      </c>
      <c r="K475" s="618" t="s">
        <v>3914</v>
      </c>
      <c r="L475" s="618" t="s">
        <v>4043</v>
      </c>
      <c r="M475" s="619"/>
      <c r="N475" s="620"/>
      <c r="O475" s="620"/>
      <c r="P475" s="663" t="s">
        <v>1127</v>
      </c>
      <c r="Q475" s="621"/>
      <c r="R475" s="598" t="s">
        <v>69</v>
      </c>
      <c r="S475" s="598" t="s">
        <v>69</v>
      </c>
      <c r="T475" s="598"/>
      <c r="U475" s="598" t="s">
        <v>1015</v>
      </c>
      <c r="V475" s="663" t="s">
        <v>4047</v>
      </c>
      <c r="W475" s="779" t="s">
        <v>4048</v>
      </c>
      <c r="X475" s="598" t="s">
        <v>950</v>
      </c>
      <c r="Y475" s="624">
        <v>20886</v>
      </c>
      <c r="Z475" s="625">
        <f t="shared" ca="1" si="10"/>
        <v>68</v>
      </c>
      <c r="AA475" s="654" t="s">
        <v>4049</v>
      </c>
      <c r="AB475" s="598" t="s">
        <v>4050</v>
      </c>
      <c r="AC475" s="598" t="s">
        <v>996</v>
      </c>
      <c r="AD475" s="598" t="s">
        <v>997</v>
      </c>
      <c r="AE475" s="616" t="s">
        <v>246</v>
      </c>
      <c r="AF475" s="616" t="s">
        <v>246</v>
      </c>
      <c r="AG475" s="653" t="s">
        <v>3824</v>
      </c>
      <c r="AH475" s="598"/>
      <c r="AI475" s="598"/>
      <c r="AJ475" s="598" t="s">
        <v>1349</v>
      </c>
      <c r="AK475" s="598"/>
      <c r="AL475" s="626"/>
      <c r="AM475" s="626"/>
    </row>
    <row r="476" spans="3:39" ht="18" customHeight="1">
      <c r="C476" s="598">
        <v>455</v>
      </c>
      <c r="D476" s="598" t="s">
        <v>3918</v>
      </c>
      <c r="E476" s="598">
        <f t="shared" si="9"/>
        <v>434</v>
      </c>
      <c r="F476" s="616" t="s">
        <v>3808</v>
      </c>
      <c r="G476" s="616" t="s">
        <v>246</v>
      </c>
      <c r="H476" s="618" t="s">
        <v>3810</v>
      </c>
      <c r="I476" s="618" t="s">
        <v>470</v>
      </c>
      <c r="J476" s="618" t="s">
        <v>3810</v>
      </c>
      <c r="K476" s="618" t="s">
        <v>3914</v>
      </c>
      <c r="L476" s="618" t="s">
        <v>4043</v>
      </c>
      <c r="M476" s="619"/>
      <c r="N476" s="620"/>
      <c r="O476" s="620"/>
      <c r="P476" s="663" t="s">
        <v>1127</v>
      </c>
      <c r="Q476" s="621"/>
      <c r="R476" s="598"/>
      <c r="S476" s="598"/>
      <c r="T476" s="598"/>
      <c r="U476" s="598" t="s">
        <v>1090</v>
      </c>
      <c r="V476" s="663" t="s">
        <v>3919</v>
      </c>
      <c r="W476" s="779" t="s">
        <v>3920</v>
      </c>
      <c r="X476" s="598" t="s">
        <v>950</v>
      </c>
      <c r="Y476" s="624">
        <v>19423</v>
      </c>
      <c r="Z476" s="625">
        <f t="shared" ca="1" si="10"/>
        <v>72</v>
      </c>
      <c r="AA476" s="616" t="s">
        <v>3921</v>
      </c>
      <c r="AB476" s="598" t="s">
        <v>3922</v>
      </c>
      <c r="AC476" s="598" t="s">
        <v>966</v>
      </c>
      <c r="AD476" s="598" t="s">
        <v>953</v>
      </c>
      <c r="AE476" s="616" t="s">
        <v>246</v>
      </c>
      <c r="AF476" s="616" t="s">
        <v>246</v>
      </c>
      <c r="AG476" s="616" t="s">
        <v>3815</v>
      </c>
      <c r="AH476" s="598"/>
      <c r="AI476" s="598"/>
      <c r="AJ476" s="598" t="s">
        <v>1011</v>
      </c>
      <c r="AK476" s="598"/>
      <c r="AL476" s="626"/>
      <c r="AM476" s="626"/>
    </row>
    <row r="477" spans="3:39" ht="18" customHeight="1">
      <c r="C477" s="598">
        <v>456</v>
      </c>
      <c r="D477" s="598" t="s">
        <v>3905</v>
      </c>
      <c r="E477" s="598">
        <f t="shared" si="9"/>
        <v>435</v>
      </c>
      <c r="F477" s="616" t="s">
        <v>3808</v>
      </c>
      <c r="G477" s="616" t="s">
        <v>246</v>
      </c>
      <c r="H477" s="618" t="s">
        <v>3810</v>
      </c>
      <c r="I477" s="618" t="s">
        <v>470</v>
      </c>
      <c r="J477" s="618" t="s">
        <v>3810</v>
      </c>
      <c r="K477" s="618" t="s">
        <v>3914</v>
      </c>
      <c r="L477" s="618" t="s">
        <v>4043</v>
      </c>
      <c r="M477" s="619"/>
      <c r="N477" s="620"/>
      <c r="O477" s="620"/>
      <c r="P477" s="663" t="s">
        <v>1127</v>
      </c>
      <c r="Q477" s="621"/>
      <c r="R477" s="598"/>
      <c r="S477" s="598"/>
      <c r="T477" s="598"/>
      <c r="U477" s="598" t="s">
        <v>1015</v>
      </c>
      <c r="V477" s="663" t="s">
        <v>490</v>
      </c>
      <c r="W477" s="779" t="s">
        <v>3906</v>
      </c>
      <c r="X477" s="598" t="s">
        <v>950</v>
      </c>
      <c r="Y477" s="624">
        <v>20639</v>
      </c>
      <c r="Z477" s="625">
        <f t="shared" ca="1" si="10"/>
        <v>69</v>
      </c>
      <c r="AA477" s="616" t="s">
        <v>3907</v>
      </c>
      <c r="AB477" s="598" t="s">
        <v>3908</v>
      </c>
      <c r="AC477" s="598" t="s">
        <v>996</v>
      </c>
      <c r="AD477" s="598" t="s">
        <v>953</v>
      </c>
      <c r="AE477" s="616" t="s">
        <v>246</v>
      </c>
      <c r="AF477" s="616" t="s">
        <v>246</v>
      </c>
      <c r="AG477" s="616" t="s">
        <v>3815</v>
      </c>
      <c r="AH477" s="598"/>
      <c r="AI477" s="598"/>
      <c r="AJ477" s="598"/>
      <c r="AK477" s="598"/>
      <c r="AL477" s="626"/>
      <c r="AM477" s="626"/>
    </row>
    <row r="478" spans="3:39" ht="18" customHeight="1">
      <c r="C478" s="598">
        <v>457</v>
      </c>
      <c r="D478" s="598" t="s">
        <v>3923</v>
      </c>
      <c r="E478" s="598">
        <f t="shared" si="9"/>
        <v>436</v>
      </c>
      <c r="F478" s="616" t="s">
        <v>3808</v>
      </c>
      <c r="G478" s="616" t="s">
        <v>246</v>
      </c>
      <c r="H478" s="618" t="s">
        <v>3810</v>
      </c>
      <c r="I478" s="618" t="s">
        <v>470</v>
      </c>
      <c r="J478" s="618" t="s">
        <v>3810</v>
      </c>
      <c r="K478" s="618" t="s">
        <v>3914</v>
      </c>
      <c r="L478" s="618" t="s">
        <v>4043</v>
      </c>
      <c r="M478" s="619"/>
      <c r="N478" s="620"/>
      <c r="O478" s="620"/>
      <c r="P478" s="663" t="s">
        <v>1127</v>
      </c>
      <c r="Q478" s="621"/>
      <c r="R478" s="598"/>
      <c r="S478" s="598"/>
      <c r="T478" s="598"/>
      <c r="U478" s="598" t="s">
        <v>1090</v>
      </c>
      <c r="V478" s="663" t="s">
        <v>3924</v>
      </c>
      <c r="W478" s="779" t="s">
        <v>3925</v>
      </c>
      <c r="X478" s="598" t="s">
        <v>950</v>
      </c>
      <c r="Y478" s="624">
        <v>20280</v>
      </c>
      <c r="Z478" s="625">
        <f t="shared" ca="1" si="10"/>
        <v>70</v>
      </c>
      <c r="AA478" s="616" t="s">
        <v>3926</v>
      </c>
      <c r="AB478" s="598" t="s">
        <v>3927</v>
      </c>
      <c r="AC478" s="598" t="s">
        <v>966</v>
      </c>
      <c r="AD478" s="598" t="s">
        <v>953</v>
      </c>
      <c r="AE478" s="616" t="s">
        <v>246</v>
      </c>
      <c r="AF478" s="616" t="s">
        <v>246</v>
      </c>
      <c r="AG478" s="616" t="s">
        <v>3815</v>
      </c>
      <c r="AH478" s="598"/>
      <c r="AI478" s="598"/>
      <c r="AJ478" s="598"/>
      <c r="AK478" s="598" t="s">
        <v>3510</v>
      </c>
      <c r="AL478" s="626"/>
      <c r="AM478" s="626"/>
    </row>
    <row r="479" spans="3:39" ht="18" customHeight="1">
      <c r="C479" s="598">
        <v>458</v>
      </c>
      <c r="D479" s="598" t="s">
        <v>4378</v>
      </c>
      <c r="E479" s="598">
        <f t="shared" si="9"/>
        <v>437</v>
      </c>
      <c r="F479" s="616" t="s">
        <v>3808</v>
      </c>
      <c r="G479" s="616" t="s">
        <v>246</v>
      </c>
      <c r="H479" s="618" t="s">
        <v>3810</v>
      </c>
      <c r="I479" s="618" t="s">
        <v>470</v>
      </c>
      <c r="J479" s="618" t="s">
        <v>3810</v>
      </c>
      <c r="K479" s="618" t="s">
        <v>3914</v>
      </c>
      <c r="L479" s="618" t="s">
        <v>4043</v>
      </c>
      <c r="M479" s="619"/>
      <c r="N479" s="620"/>
      <c r="O479" s="620"/>
      <c r="P479" s="663" t="s">
        <v>1127</v>
      </c>
      <c r="Q479" s="621"/>
      <c r="R479" s="598"/>
      <c r="S479" s="598"/>
      <c r="T479" s="598"/>
      <c r="U479" s="598" t="s">
        <v>1015</v>
      </c>
      <c r="V479" s="663" t="s">
        <v>4379</v>
      </c>
      <c r="W479" s="779" t="s">
        <v>4380</v>
      </c>
      <c r="X479" s="598" t="s">
        <v>950</v>
      </c>
      <c r="Y479" s="624">
        <v>22315</v>
      </c>
      <c r="Z479" s="625">
        <f t="shared" ca="1" si="10"/>
        <v>64</v>
      </c>
      <c r="AA479" s="616" t="s">
        <v>4381</v>
      </c>
      <c r="AB479" s="598" t="s">
        <v>4382</v>
      </c>
      <c r="AC479" s="598" t="s">
        <v>966</v>
      </c>
      <c r="AD479" s="598" t="s">
        <v>953</v>
      </c>
      <c r="AE479" s="616" t="s">
        <v>246</v>
      </c>
      <c r="AF479" s="616" t="s">
        <v>246</v>
      </c>
      <c r="AG479" s="616"/>
      <c r="AH479" s="598"/>
      <c r="AI479" s="598"/>
      <c r="AJ479" s="598" t="s">
        <v>1011</v>
      </c>
      <c r="AK479" s="598"/>
      <c r="AL479" s="626"/>
      <c r="AM479" s="626"/>
    </row>
    <row r="480" spans="3:39" ht="18" customHeight="1">
      <c r="C480" s="598">
        <v>459</v>
      </c>
      <c r="D480" s="598" t="s">
        <v>4018</v>
      </c>
      <c r="E480" s="598">
        <f t="shared" si="9"/>
        <v>438</v>
      </c>
      <c r="F480" s="616" t="s">
        <v>3808</v>
      </c>
      <c r="G480" s="616" t="s">
        <v>246</v>
      </c>
      <c r="H480" s="618" t="s">
        <v>3810</v>
      </c>
      <c r="I480" s="618" t="s">
        <v>470</v>
      </c>
      <c r="J480" s="618" t="s">
        <v>3810</v>
      </c>
      <c r="K480" s="618" t="s">
        <v>3914</v>
      </c>
      <c r="L480" s="618" t="s">
        <v>4043</v>
      </c>
      <c r="M480" s="619"/>
      <c r="N480" s="620"/>
      <c r="O480" s="620"/>
      <c r="P480" s="663" t="s">
        <v>1127</v>
      </c>
      <c r="Q480" s="621"/>
      <c r="R480" s="598"/>
      <c r="S480" s="598"/>
      <c r="T480" s="598"/>
      <c r="U480" s="598" t="s">
        <v>1015</v>
      </c>
      <c r="V480" s="663" t="s">
        <v>4019</v>
      </c>
      <c r="W480" s="779" t="s">
        <v>4020</v>
      </c>
      <c r="X480" s="598" t="s">
        <v>950</v>
      </c>
      <c r="Y480" s="624">
        <v>28525</v>
      </c>
      <c r="Z480" s="625">
        <f t="shared" ca="1" si="10"/>
        <v>47</v>
      </c>
      <c r="AA480" s="616" t="s">
        <v>4021</v>
      </c>
      <c r="AB480" s="598" t="s">
        <v>4022</v>
      </c>
      <c r="AC480" s="598" t="s">
        <v>966</v>
      </c>
      <c r="AD480" s="598" t="s">
        <v>953</v>
      </c>
      <c r="AE480" s="616" t="s">
        <v>246</v>
      </c>
      <c r="AF480" s="616" t="s">
        <v>246</v>
      </c>
      <c r="AG480" s="616" t="s">
        <v>3815</v>
      </c>
      <c r="AH480" s="598"/>
      <c r="AI480" s="598"/>
      <c r="AJ480" s="598" t="s">
        <v>1440</v>
      </c>
      <c r="AK480" s="598"/>
      <c r="AL480" s="626"/>
      <c r="AM480" s="626"/>
    </row>
    <row r="481" spans="3:39" ht="18" customHeight="1">
      <c r="C481" s="598">
        <v>460</v>
      </c>
      <c r="D481" s="598" t="s">
        <v>4051</v>
      </c>
      <c r="E481" s="598">
        <f t="shared" si="9"/>
        <v>439</v>
      </c>
      <c r="F481" s="616" t="s">
        <v>3808</v>
      </c>
      <c r="G481" s="616" t="s">
        <v>246</v>
      </c>
      <c r="H481" s="618" t="s">
        <v>3810</v>
      </c>
      <c r="I481" s="618" t="s">
        <v>470</v>
      </c>
      <c r="J481" s="618" t="s">
        <v>3810</v>
      </c>
      <c r="K481" s="618" t="s">
        <v>3914</v>
      </c>
      <c r="L481" s="618" t="s">
        <v>4043</v>
      </c>
      <c r="M481" s="619"/>
      <c r="N481" s="620"/>
      <c r="O481" s="620"/>
      <c r="P481" s="663" t="s">
        <v>1127</v>
      </c>
      <c r="Q481" s="621"/>
      <c r="R481" s="598"/>
      <c r="S481" s="598"/>
      <c r="T481" s="598"/>
      <c r="U481" s="598" t="s">
        <v>1015</v>
      </c>
      <c r="V481" s="663" t="s">
        <v>4052</v>
      </c>
      <c r="W481" s="779" t="s">
        <v>4053</v>
      </c>
      <c r="X481" s="598" t="s">
        <v>950</v>
      </c>
      <c r="Y481" s="624">
        <v>32231</v>
      </c>
      <c r="Z481" s="625">
        <f t="shared" ca="1" si="10"/>
        <v>37</v>
      </c>
      <c r="AA481" s="616" t="s">
        <v>4054</v>
      </c>
      <c r="AB481" s="598" t="s">
        <v>4055</v>
      </c>
      <c r="AC481" s="598" t="s">
        <v>996</v>
      </c>
      <c r="AD481" s="598" t="s">
        <v>997</v>
      </c>
      <c r="AE481" s="616" t="s">
        <v>246</v>
      </c>
      <c r="AF481" s="616" t="s">
        <v>246</v>
      </c>
      <c r="AG481" s="616"/>
      <c r="AH481" s="598"/>
      <c r="AI481" s="598"/>
      <c r="AJ481" s="598" t="s">
        <v>1440</v>
      </c>
      <c r="AK481" s="598"/>
      <c r="AL481" s="626"/>
      <c r="AM481" s="626"/>
    </row>
    <row r="482" spans="3:39" ht="18" customHeight="1">
      <c r="C482" s="598">
        <v>461</v>
      </c>
      <c r="D482" s="598" t="s">
        <v>4078</v>
      </c>
      <c r="E482" s="598">
        <f t="shared" si="9"/>
        <v>440</v>
      </c>
      <c r="F482" s="616" t="s">
        <v>3808</v>
      </c>
      <c r="G482" s="616" t="s">
        <v>246</v>
      </c>
      <c r="H482" s="618" t="s">
        <v>3810</v>
      </c>
      <c r="I482" s="618" t="s">
        <v>470</v>
      </c>
      <c r="J482" s="618" t="s">
        <v>3810</v>
      </c>
      <c r="K482" s="618" t="s">
        <v>3914</v>
      </c>
      <c r="L482" s="618" t="s">
        <v>4043</v>
      </c>
      <c r="M482" s="619"/>
      <c r="N482" s="620"/>
      <c r="O482" s="620"/>
      <c r="P482" s="663" t="s">
        <v>1127</v>
      </c>
      <c r="Q482" s="621"/>
      <c r="R482" s="598"/>
      <c r="S482" s="598"/>
      <c r="T482" s="598"/>
      <c r="U482" s="598" t="s">
        <v>1015</v>
      </c>
      <c r="V482" s="663" t="s">
        <v>504</v>
      </c>
      <c r="W482" s="779" t="s">
        <v>4079</v>
      </c>
      <c r="X482" s="598" t="s">
        <v>950</v>
      </c>
      <c r="Y482" s="624">
        <v>24589</v>
      </c>
      <c r="Z482" s="625">
        <f t="shared" ca="1" si="10"/>
        <v>58</v>
      </c>
      <c r="AA482" s="654" t="s">
        <v>4080</v>
      </c>
      <c r="AB482" s="742"/>
      <c r="AC482" s="598" t="s">
        <v>996</v>
      </c>
      <c r="AD482" s="598" t="s">
        <v>997</v>
      </c>
      <c r="AE482" s="616" t="s">
        <v>246</v>
      </c>
      <c r="AF482" s="616" t="s">
        <v>246</v>
      </c>
      <c r="AG482" s="616" t="s">
        <v>3815</v>
      </c>
      <c r="AH482" s="598"/>
      <c r="AI482" s="598"/>
      <c r="AJ482" s="598" t="s">
        <v>1349</v>
      </c>
      <c r="AK482" s="598"/>
      <c r="AL482" s="626"/>
      <c r="AM482" s="626"/>
    </row>
    <row r="483" spans="3:39" ht="18" customHeight="1">
      <c r="C483" s="598">
        <v>462</v>
      </c>
      <c r="D483" s="598" t="s">
        <v>4793</v>
      </c>
      <c r="E483" s="598">
        <f t="shared" si="9"/>
        <v>441</v>
      </c>
      <c r="F483" s="616" t="s">
        <v>3808</v>
      </c>
      <c r="G483" s="616" t="s">
        <v>246</v>
      </c>
      <c r="H483" s="618" t="s">
        <v>3810</v>
      </c>
      <c r="I483" s="618" t="s">
        <v>470</v>
      </c>
      <c r="J483" s="618" t="s">
        <v>3810</v>
      </c>
      <c r="K483" s="618" t="s">
        <v>3914</v>
      </c>
      <c r="L483" s="618" t="s">
        <v>4043</v>
      </c>
      <c r="M483" s="619"/>
      <c r="N483" s="620"/>
      <c r="O483" s="620"/>
      <c r="P483" s="663" t="s">
        <v>1127</v>
      </c>
      <c r="Q483" s="621"/>
      <c r="R483" s="598"/>
      <c r="S483" s="598"/>
      <c r="T483" s="598"/>
      <c r="U483" s="598" t="s">
        <v>1015</v>
      </c>
      <c r="V483" s="663" t="s">
        <v>4794</v>
      </c>
      <c r="W483" s="779" t="s">
        <v>4795</v>
      </c>
      <c r="X483" s="598" t="s">
        <v>950</v>
      </c>
      <c r="Y483" s="624">
        <v>25240</v>
      </c>
      <c r="Z483" s="625">
        <f t="shared" ca="1" si="10"/>
        <v>56</v>
      </c>
      <c r="AA483" s="616" t="s">
        <v>4796</v>
      </c>
      <c r="AB483" s="652"/>
      <c r="AC483" s="598" t="s">
        <v>996</v>
      </c>
      <c r="AD483" s="598" t="s">
        <v>1018</v>
      </c>
      <c r="AE483" s="616" t="s">
        <v>246</v>
      </c>
      <c r="AF483" s="616" t="s">
        <v>246</v>
      </c>
      <c r="AG483" s="616" t="s">
        <v>3815</v>
      </c>
      <c r="AH483" s="598"/>
      <c r="AI483" s="598" t="s">
        <v>4797</v>
      </c>
      <c r="AJ483" s="598" t="s">
        <v>1011</v>
      </c>
      <c r="AK483" s="598" t="s">
        <v>1020</v>
      </c>
      <c r="AL483" s="626"/>
      <c r="AM483" s="626"/>
    </row>
    <row r="484" spans="3:39" ht="18" customHeight="1">
      <c r="C484" s="598">
        <v>463</v>
      </c>
      <c r="D484" s="598" t="s">
        <v>4798</v>
      </c>
      <c r="E484" s="598">
        <f t="shared" si="9"/>
        <v>442</v>
      </c>
      <c r="F484" s="616" t="s">
        <v>3808</v>
      </c>
      <c r="G484" s="616" t="s">
        <v>246</v>
      </c>
      <c r="H484" s="618" t="s">
        <v>3810</v>
      </c>
      <c r="I484" s="618" t="s">
        <v>470</v>
      </c>
      <c r="J484" s="618" t="s">
        <v>3810</v>
      </c>
      <c r="K484" s="618" t="s">
        <v>3914</v>
      </c>
      <c r="L484" s="618" t="s">
        <v>4043</v>
      </c>
      <c r="M484" s="619"/>
      <c r="N484" s="620"/>
      <c r="O484" s="620"/>
      <c r="P484" s="663" t="s">
        <v>1127</v>
      </c>
      <c r="Q484" s="621"/>
      <c r="R484" s="598"/>
      <c r="S484" s="598"/>
      <c r="T484" s="598"/>
      <c r="U484" s="598" t="s">
        <v>1015</v>
      </c>
      <c r="V484" s="663" t="s">
        <v>4799</v>
      </c>
      <c r="W484" s="779" t="s">
        <v>4800</v>
      </c>
      <c r="X484" s="598" t="s">
        <v>950</v>
      </c>
      <c r="Y484" s="624">
        <v>26317</v>
      </c>
      <c r="Z484" s="625">
        <f t="shared" ca="1" si="10"/>
        <v>54</v>
      </c>
      <c r="AA484" s="616" t="s">
        <v>4801</v>
      </c>
      <c r="AB484" s="652"/>
      <c r="AC484" s="598" t="s">
        <v>996</v>
      </c>
      <c r="AD484" s="598" t="s">
        <v>1018</v>
      </c>
      <c r="AE484" s="616" t="s">
        <v>246</v>
      </c>
      <c r="AF484" s="616" t="s">
        <v>246</v>
      </c>
      <c r="AG484" s="616" t="s">
        <v>3815</v>
      </c>
      <c r="AH484" s="598"/>
      <c r="AI484" s="598" t="s">
        <v>4802</v>
      </c>
      <c r="AJ484" s="598" t="s">
        <v>1011</v>
      </c>
      <c r="AK484" s="598" t="s">
        <v>1020</v>
      </c>
      <c r="AL484" s="626"/>
      <c r="AM484" s="626"/>
    </row>
    <row r="485" spans="3:39" ht="18" customHeight="1">
      <c r="C485" s="598">
        <v>464</v>
      </c>
      <c r="D485" s="598" t="s">
        <v>4803</v>
      </c>
      <c r="E485" s="598">
        <f t="shared" si="9"/>
        <v>443</v>
      </c>
      <c r="F485" s="616" t="s">
        <v>3808</v>
      </c>
      <c r="G485" s="616" t="s">
        <v>246</v>
      </c>
      <c r="H485" s="618" t="s">
        <v>3810</v>
      </c>
      <c r="I485" s="618" t="s">
        <v>470</v>
      </c>
      <c r="J485" s="618" t="s">
        <v>3810</v>
      </c>
      <c r="K485" s="618" t="s">
        <v>3914</v>
      </c>
      <c r="L485" s="618" t="s">
        <v>4043</v>
      </c>
      <c r="M485" s="619"/>
      <c r="N485" s="620"/>
      <c r="O485" s="620"/>
      <c r="P485" s="673" t="s">
        <v>1127</v>
      </c>
      <c r="Q485" s="621"/>
      <c r="R485" s="598"/>
      <c r="S485" s="598"/>
      <c r="T485" s="598"/>
      <c r="U485" s="598" t="s">
        <v>1015</v>
      </c>
      <c r="V485" s="673" t="s">
        <v>4804</v>
      </c>
      <c r="W485" s="779" t="s">
        <v>4805</v>
      </c>
      <c r="X485" s="598" t="s">
        <v>950</v>
      </c>
      <c r="Y485" s="624">
        <v>22333</v>
      </c>
      <c r="Z485" s="625">
        <f t="shared" ca="1" si="10"/>
        <v>64</v>
      </c>
      <c r="AA485" s="616" t="s">
        <v>4806</v>
      </c>
      <c r="AB485" s="652"/>
      <c r="AC485" s="598" t="s">
        <v>996</v>
      </c>
      <c r="AD485" s="598" t="s">
        <v>1018</v>
      </c>
      <c r="AE485" s="616" t="s">
        <v>246</v>
      </c>
      <c r="AF485" s="616" t="s">
        <v>246</v>
      </c>
      <c r="AG485" s="616"/>
      <c r="AH485" s="598"/>
      <c r="AI485" s="598" t="s">
        <v>4807</v>
      </c>
      <c r="AJ485" s="598" t="s">
        <v>1440</v>
      </c>
      <c r="AK485" s="680" t="s">
        <v>4505</v>
      </c>
      <c r="AL485" s="626"/>
      <c r="AM485" s="626"/>
    </row>
    <row r="486" spans="3:39" ht="18" customHeight="1">
      <c r="C486" s="598">
        <v>465</v>
      </c>
      <c r="D486" s="598" t="s">
        <v>4161</v>
      </c>
      <c r="E486" s="598">
        <f t="shared" si="9"/>
        <v>443</v>
      </c>
      <c r="F486" s="616"/>
      <c r="G486" s="616" t="s">
        <v>4808</v>
      </c>
      <c r="H486" s="618" t="s">
        <v>3810</v>
      </c>
      <c r="I486" s="618" t="s">
        <v>499</v>
      </c>
      <c r="J486" s="618" t="s">
        <v>3811</v>
      </c>
      <c r="K486" s="618" t="s">
        <v>4161</v>
      </c>
      <c r="L486" s="618" t="s">
        <v>4408</v>
      </c>
      <c r="M486" s="619"/>
      <c r="N486" s="620"/>
      <c r="O486" s="620"/>
      <c r="P486" s="667" t="s">
        <v>2625</v>
      </c>
      <c r="Q486" s="621"/>
      <c r="R486" s="598" t="s">
        <v>55</v>
      </c>
      <c r="S486" s="598" t="s">
        <v>178</v>
      </c>
      <c r="T486" s="598"/>
      <c r="U486" s="598"/>
      <c r="V486" s="667" t="s">
        <v>484</v>
      </c>
      <c r="W486" s="779" t="s">
        <v>4162</v>
      </c>
      <c r="X486" s="598" t="s">
        <v>950</v>
      </c>
      <c r="Y486" s="624">
        <v>18523</v>
      </c>
      <c r="Z486" s="625">
        <f t="shared" ca="1" si="10"/>
        <v>75</v>
      </c>
      <c r="AA486" s="616" t="s">
        <v>4163</v>
      </c>
      <c r="AB486" s="598" t="s">
        <v>4164</v>
      </c>
      <c r="AC486" s="598" t="s">
        <v>966</v>
      </c>
      <c r="AD486" s="598" t="s">
        <v>953</v>
      </c>
      <c r="AE486" s="616" t="s">
        <v>246</v>
      </c>
      <c r="AF486" s="616" t="s">
        <v>246</v>
      </c>
      <c r="AG486" s="616" t="s">
        <v>3815</v>
      </c>
      <c r="AH486" s="598" t="s">
        <v>955</v>
      </c>
      <c r="AI486" s="598"/>
      <c r="AJ486" s="598"/>
      <c r="AK486" s="598"/>
      <c r="AL486" s="626"/>
      <c r="AM486" s="626"/>
    </row>
    <row r="487" spans="3:39" ht="18" customHeight="1">
      <c r="C487" s="598">
        <v>466</v>
      </c>
      <c r="D487" s="598" t="s">
        <v>4408</v>
      </c>
      <c r="E487" s="598">
        <f t="shared" si="9"/>
        <v>444</v>
      </c>
      <c r="F487" s="616" t="s">
        <v>3808</v>
      </c>
      <c r="G487" s="616" t="s">
        <v>4808</v>
      </c>
      <c r="H487" s="618" t="s">
        <v>3810</v>
      </c>
      <c r="I487" s="618" t="s">
        <v>499</v>
      </c>
      <c r="J487" s="618" t="s">
        <v>3811</v>
      </c>
      <c r="K487" s="618" t="s">
        <v>4161</v>
      </c>
      <c r="L487" s="618" t="s">
        <v>4408</v>
      </c>
      <c r="M487" s="619"/>
      <c r="N487" s="620"/>
      <c r="O487" s="620"/>
      <c r="P487" s="663" t="s">
        <v>2625</v>
      </c>
      <c r="Q487" s="621"/>
      <c r="R487" s="598" t="s">
        <v>69</v>
      </c>
      <c r="S487" s="598" t="s">
        <v>562</v>
      </c>
      <c r="T487" s="598"/>
      <c r="U487" s="598" t="s">
        <v>1090</v>
      </c>
      <c r="V487" s="663" t="s">
        <v>515</v>
      </c>
      <c r="W487" s="779" t="s">
        <v>4414</v>
      </c>
      <c r="X487" s="598" t="s">
        <v>950</v>
      </c>
      <c r="Y487" s="624">
        <v>19573</v>
      </c>
      <c r="Z487" s="625">
        <f t="shared" ca="1" si="10"/>
        <v>72</v>
      </c>
      <c r="AA487" s="616" t="s">
        <v>4415</v>
      </c>
      <c r="AB487" s="598" t="s">
        <v>4416</v>
      </c>
      <c r="AC487" s="598" t="s">
        <v>996</v>
      </c>
      <c r="AD487" s="598" t="s">
        <v>953</v>
      </c>
      <c r="AE487" s="616" t="s">
        <v>246</v>
      </c>
      <c r="AF487" s="616" t="s">
        <v>246</v>
      </c>
      <c r="AG487" s="616" t="s">
        <v>4417</v>
      </c>
      <c r="AH487" s="598"/>
      <c r="AI487" s="598"/>
      <c r="AJ487" s="598" t="s">
        <v>1025</v>
      </c>
      <c r="AK487" s="598"/>
      <c r="AL487" s="626"/>
      <c r="AM487" s="626"/>
    </row>
    <row r="488" spans="3:39" ht="18" customHeight="1">
      <c r="C488" s="598">
        <v>467</v>
      </c>
      <c r="D488" s="598" t="s">
        <v>3928</v>
      </c>
      <c r="E488" s="598">
        <f t="shared" si="9"/>
        <v>445</v>
      </c>
      <c r="F488" s="616" t="s">
        <v>3808</v>
      </c>
      <c r="G488" s="616" t="s">
        <v>4808</v>
      </c>
      <c r="H488" s="618" t="s">
        <v>3810</v>
      </c>
      <c r="I488" s="618" t="s">
        <v>499</v>
      </c>
      <c r="J488" s="618" t="s">
        <v>3811</v>
      </c>
      <c r="K488" s="618" t="s">
        <v>4161</v>
      </c>
      <c r="L488" s="618" t="s">
        <v>4408</v>
      </c>
      <c r="M488" s="619"/>
      <c r="N488" s="620"/>
      <c r="O488" s="620"/>
      <c r="P488" s="663" t="s">
        <v>2625</v>
      </c>
      <c r="Q488" s="621"/>
      <c r="R488" s="598"/>
      <c r="S488" s="598"/>
      <c r="T488" s="598"/>
      <c r="U488" s="598" t="s">
        <v>1090</v>
      </c>
      <c r="V488" s="663" t="s">
        <v>523</v>
      </c>
      <c r="W488" s="779" t="s">
        <v>3929</v>
      </c>
      <c r="X488" s="598" t="s">
        <v>950</v>
      </c>
      <c r="Y488" s="624">
        <v>19429</v>
      </c>
      <c r="Z488" s="625">
        <f t="shared" ca="1" si="10"/>
        <v>72</v>
      </c>
      <c r="AA488" s="616" t="s">
        <v>3930</v>
      </c>
      <c r="AB488" s="598" t="s">
        <v>3931</v>
      </c>
      <c r="AC488" s="598" t="s">
        <v>996</v>
      </c>
      <c r="AD488" s="598" t="s">
        <v>953</v>
      </c>
      <c r="AE488" s="616" t="s">
        <v>246</v>
      </c>
      <c r="AF488" s="616" t="s">
        <v>246</v>
      </c>
      <c r="AG488" s="616" t="s">
        <v>3932</v>
      </c>
      <c r="AH488" s="598"/>
      <c r="AI488" s="598"/>
      <c r="AJ488" s="598" t="s">
        <v>1025</v>
      </c>
      <c r="AK488" s="598"/>
      <c r="AL488" s="626"/>
      <c r="AM488" s="626"/>
    </row>
    <row r="489" spans="3:39" ht="18" customHeight="1">
      <c r="C489" s="598">
        <v>468</v>
      </c>
      <c r="D489" s="598" t="s">
        <v>4069</v>
      </c>
      <c r="E489" s="598">
        <f t="shared" si="9"/>
        <v>446</v>
      </c>
      <c r="F489" s="616" t="s">
        <v>3808</v>
      </c>
      <c r="G489" s="616" t="s">
        <v>4808</v>
      </c>
      <c r="H489" s="618" t="s">
        <v>3810</v>
      </c>
      <c r="I489" s="618" t="s">
        <v>499</v>
      </c>
      <c r="J489" s="618" t="s">
        <v>3811</v>
      </c>
      <c r="K489" s="618" t="s">
        <v>4161</v>
      </c>
      <c r="L489" s="618" t="s">
        <v>4408</v>
      </c>
      <c r="M489" s="619"/>
      <c r="N489" s="620"/>
      <c r="O489" s="620"/>
      <c r="P489" s="663" t="s">
        <v>2625</v>
      </c>
      <c r="Q489" s="621"/>
      <c r="R489" s="598"/>
      <c r="S489" s="598"/>
      <c r="T489" s="598"/>
      <c r="U489" s="598" t="s">
        <v>1090</v>
      </c>
      <c r="V489" s="663" t="s">
        <v>531</v>
      </c>
      <c r="W489" s="779" t="s">
        <v>4070</v>
      </c>
      <c r="X489" s="598" t="s">
        <v>950</v>
      </c>
      <c r="Y489" s="624">
        <v>19754</v>
      </c>
      <c r="Z489" s="625">
        <f t="shared" ca="1" si="10"/>
        <v>72</v>
      </c>
      <c r="AA489" s="616" t="s">
        <v>4071</v>
      </c>
      <c r="AB489" s="598" t="s">
        <v>4072</v>
      </c>
      <c r="AC489" s="598" t="s">
        <v>966</v>
      </c>
      <c r="AD489" s="598" t="s">
        <v>953</v>
      </c>
      <c r="AE489" s="616" t="s">
        <v>246</v>
      </c>
      <c r="AF489" s="616" t="s">
        <v>246</v>
      </c>
      <c r="AG489" s="616" t="s">
        <v>4809</v>
      </c>
      <c r="AH489" s="598"/>
      <c r="AI489" s="598"/>
      <c r="AJ489" s="598" t="s">
        <v>1025</v>
      </c>
      <c r="AK489" s="598"/>
      <c r="AL489" s="626"/>
      <c r="AM489" s="626"/>
    </row>
    <row r="490" spans="3:39" ht="18" customHeight="1">
      <c r="C490" s="598">
        <v>469</v>
      </c>
      <c r="D490" s="598" t="s">
        <v>4023</v>
      </c>
      <c r="E490" s="598">
        <f t="shared" si="9"/>
        <v>447</v>
      </c>
      <c r="F490" s="616" t="s">
        <v>3808</v>
      </c>
      <c r="G490" s="616" t="s">
        <v>4808</v>
      </c>
      <c r="H490" s="618" t="s">
        <v>3810</v>
      </c>
      <c r="I490" s="618" t="s">
        <v>499</v>
      </c>
      <c r="J490" s="618" t="s">
        <v>3811</v>
      </c>
      <c r="K490" s="618" t="s">
        <v>4161</v>
      </c>
      <c r="L490" s="618" t="s">
        <v>4408</v>
      </c>
      <c r="M490" s="619"/>
      <c r="N490" s="620"/>
      <c r="O490" s="620"/>
      <c r="P490" s="663" t="s">
        <v>2625</v>
      </c>
      <c r="Q490" s="621"/>
      <c r="R490" s="598"/>
      <c r="S490" s="598"/>
      <c r="T490" s="598"/>
      <c r="U490" s="598" t="s">
        <v>1015</v>
      </c>
      <c r="V490" s="663" t="s">
        <v>539</v>
      </c>
      <c r="W490" s="779" t="s">
        <v>4024</v>
      </c>
      <c r="X490" s="598" t="s">
        <v>950</v>
      </c>
      <c r="Y490" s="624">
        <v>27624</v>
      </c>
      <c r="Z490" s="625">
        <f t="shared" ca="1" si="10"/>
        <v>50</v>
      </c>
      <c r="AA490" s="616" t="s">
        <v>4025</v>
      </c>
      <c r="AB490" s="598" t="s">
        <v>4026</v>
      </c>
      <c r="AC490" s="598" t="s">
        <v>996</v>
      </c>
      <c r="AD490" s="598" t="s">
        <v>953</v>
      </c>
      <c r="AE490" s="616" t="s">
        <v>246</v>
      </c>
      <c r="AF490" s="616" t="s">
        <v>246</v>
      </c>
      <c r="AG490" s="616" t="s">
        <v>3815</v>
      </c>
      <c r="AH490" s="598"/>
      <c r="AI490" s="598" t="s">
        <v>4027</v>
      </c>
      <c r="AJ490" s="598"/>
      <c r="AK490" s="598"/>
      <c r="AL490" s="626"/>
      <c r="AM490" s="626"/>
    </row>
    <row r="491" spans="3:39" ht="18" customHeight="1">
      <c r="C491" s="598">
        <v>470</v>
      </c>
      <c r="D491" s="598" t="s">
        <v>4073</v>
      </c>
      <c r="E491" s="598">
        <f t="shared" si="9"/>
        <v>448</v>
      </c>
      <c r="F491" s="616" t="s">
        <v>3808</v>
      </c>
      <c r="G491" s="616" t="s">
        <v>4808</v>
      </c>
      <c r="H491" s="618" t="s">
        <v>3810</v>
      </c>
      <c r="I491" s="618" t="s">
        <v>499</v>
      </c>
      <c r="J491" s="618" t="s">
        <v>3811</v>
      </c>
      <c r="K491" s="618" t="s">
        <v>4161</v>
      </c>
      <c r="L491" s="618" t="s">
        <v>4408</v>
      </c>
      <c r="M491" s="619"/>
      <c r="N491" s="620"/>
      <c r="O491" s="620"/>
      <c r="P491" s="663" t="s">
        <v>2625</v>
      </c>
      <c r="Q491" s="621"/>
      <c r="R491" s="598"/>
      <c r="S491" s="598"/>
      <c r="T491" s="598"/>
      <c r="U491" s="598" t="s">
        <v>1015</v>
      </c>
      <c r="V491" s="663" t="s">
        <v>4074</v>
      </c>
      <c r="W491" s="779" t="s">
        <v>4075</v>
      </c>
      <c r="X491" s="598" t="s">
        <v>950</v>
      </c>
      <c r="Y491" s="624">
        <v>31364</v>
      </c>
      <c r="Z491" s="625">
        <f t="shared" ca="1" si="10"/>
        <v>40</v>
      </c>
      <c r="AA491" s="616" t="s">
        <v>4076</v>
      </c>
      <c r="AB491" s="598" t="s">
        <v>4077</v>
      </c>
      <c r="AC491" s="598" t="s">
        <v>996</v>
      </c>
      <c r="AD491" s="598" t="s">
        <v>1018</v>
      </c>
      <c r="AE491" s="616" t="s">
        <v>246</v>
      </c>
      <c r="AF491" s="616" t="s">
        <v>2934</v>
      </c>
      <c r="AG491" s="616" t="s">
        <v>2069</v>
      </c>
      <c r="AH491" s="598"/>
      <c r="AI491" s="598"/>
      <c r="AJ491" s="598" t="s">
        <v>1440</v>
      </c>
      <c r="AK491" s="598"/>
      <c r="AL491" s="626"/>
      <c r="AM491" s="626"/>
    </row>
    <row r="492" spans="3:39" ht="18" customHeight="1">
      <c r="C492" s="598">
        <v>471</v>
      </c>
      <c r="D492" s="598" t="s">
        <v>3967</v>
      </c>
      <c r="E492" s="598">
        <f t="shared" si="9"/>
        <v>449</v>
      </c>
      <c r="F492" s="616" t="s">
        <v>3808</v>
      </c>
      <c r="G492" s="616" t="s">
        <v>4808</v>
      </c>
      <c r="H492" s="618" t="s">
        <v>3810</v>
      </c>
      <c r="I492" s="618" t="s">
        <v>499</v>
      </c>
      <c r="J492" s="618" t="s">
        <v>3811</v>
      </c>
      <c r="K492" s="618" t="s">
        <v>4161</v>
      </c>
      <c r="L492" s="618" t="s">
        <v>4408</v>
      </c>
      <c r="M492" s="619"/>
      <c r="N492" s="620"/>
      <c r="O492" s="620"/>
      <c r="P492" s="663" t="s">
        <v>2625</v>
      </c>
      <c r="Q492" s="621"/>
      <c r="R492" s="598"/>
      <c r="S492" s="598"/>
      <c r="T492" s="598"/>
      <c r="U492" s="598" t="s">
        <v>1015</v>
      </c>
      <c r="V492" s="663" t="s">
        <v>3968</v>
      </c>
      <c r="W492" s="779" t="s">
        <v>3969</v>
      </c>
      <c r="X492" s="598" t="s">
        <v>950</v>
      </c>
      <c r="Y492" s="624">
        <v>21555</v>
      </c>
      <c r="Z492" s="625">
        <f t="shared" ca="1" si="10"/>
        <v>67</v>
      </c>
      <c r="AA492" s="616" t="s">
        <v>3970</v>
      </c>
      <c r="AB492" s="598" t="s">
        <v>3971</v>
      </c>
      <c r="AC492" s="598" t="s">
        <v>966</v>
      </c>
      <c r="AD492" s="598" t="s">
        <v>953</v>
      </c>
      <c r="AE492" s="616" t="s">
        <v>246</v>
      </c>
      <c r="AF492" s="616" t="s">
        <v>246</v>
      </c>
      <c r="AG492" s="616" t="s">
        <v>3815</v>
      </c>
      <c r="AH492" s="598"/>
      <c r="AI492" s="598"/>
      <c r="AJ492" s="598" t="s">
        <v>1025</v>
      </c>
      <c r="AK492" s="598"/>
      <c r="AL492" s="626"/>
      <c r="AM492" s="626"/>
    </row>
    <row r="493" spans="3:39" ht="18" customHeight="1">
      <c r="C493" s="598">
        <v>472</v>
      </c>
      <c r="D493" s="598" t="s">
        <v>3972</v>
      </c>
      <c r="E493" s="598">
        <f t="shared" si="9"/>
        <v>450</v>
      </c>
      <c r="F493" s="616" t="s">
        <v>3808</v>
      </c>
      <c r="G493" s="616" t="s">
        <v>4808</v>
      </c>
      <c r="H493" s="618" t="s">
        <v>3810</v>
      </c>
      <c r="I493" s="618" t="s">
        <v>499</v>
      </c>
      <c r="J493" s="618" t="s">
        <v>3811</v>
      </c>
      <c r="K493" s="618" t="s">
        <v>4161</v>
      </c>
      <c r="L493" s="618" t="s">
        <v>4408</v>
      </c>
      <c r="M493" s="619"/>
      <c r="N493" s="620"/>
      <c r="O493" s="620"/>
      <c r="P493" s="663" t="s">
        <v>2625</v>
      </c>
      <c r="Q493" s="621"/>
      <c r="R493" s="598"/>
      <c r="S493" s="598"/>
      <c r="T493" s="598"/>
      <c r="U493" s="598" t="s">
        <v>1015</v>
      </c>
      <c r="V493" s="663" t="s">
        <v>558</v>
      </c>
      <c r="W493" s="779" t="s">
        <v>3973</v>
      </c>
      <c r="X493" s="598" t="s">
        <v>950</v>
      </c>
      <c r="Y493" s="624">
        <v>21988</v>
      </c>
      <c r="Z493" s="625">
        <f t="shared" ca="1" si="10"/>
        <v>65</v>
      </c>
      <c r="AA493" s="616" t="s">
        <v>3974</v>
      </c>
      <c r="AB493" s="598" t="s">
        <v>3975</v>
      </c>
      <c r="AC493" s="598" t="s">
        <v>996</v>
      </c>
      <c r="AD493" s="598" t="s">
        <v>1018</v>
      </c>
      <c r="AE493" s="616" t="s">
        <v>246</v>
      </c>
      <c r="AF493" s="616" t="s">
        <v>246</v>
      </c>
      <c r="AG493" s="616" t="s">
        <v>3815</v>
      </c>
      <c r="AH493" s="598"/>
      <c r="AI493" s="598"/>
      <c r="AJ493" s="598" t="s">
        <v>1025</v>
      </c>
      <c r="AK493" s="598"/>
      <c r="AL493" s="626"/>
      <c r="AM493" s="626"/>
    </row>
    <row r="494" spans="3:39" ht="18" customHeight="1">
      <c r="C494" s="598">
        <v>473</v>
      </c>
      <c r="D494" s="598" t="s">
        <v>4810</v>
      </c>
      <c r="E494" s="598">
        <f t="shared" si="9"/>
        <v>451</v>
      </c>
      <c r="F494" s="616" t="s">
        <v>3808</v>
      </c>
      <c r="G494" s="616" t="s">
        <v>4808</v>
      </c>
      <c r="H494" s="618" t="s">
        <v>3810</v>
      </c>
      <c r="I494" s="618" t="s">
        <v>499</v>
      </c>
      <c r="J494" s="618" t="s">
        <v>3811</v>
      </c>
      <c r="K494" s="618" t="s">
        <v>4161</v>
      </c>
      <c r="L494" s="618" t="s">
        <v>4408</v>
      </c>
      <c r="M494" s="619"/>
      <c r="N494" s="620"/>
      <c r="O494" s="620"/>
      <c r="P494" s="663" t="s">
        <v>2625</v>
      </c>
      <c r="Q494" s="621"/>
      <c r="R494" s="598"/>
      <c r="S494" s="598"/>
      <c r="T494" s="598"/>
      <c r="U494" s="598" t="s">
        <v>1090</v>
      </c>
      <c r="V494" s="663" t="s">
        <v>4811</v>
      </c>
      <c r="W494" s="779" t="s">
        <v>4812</v>
      </c>
      <c r="X494" s="598" t="s">
        <v>950</v>
      </c>
      <c r="Y494" s="624">
        <v>18799</v>
      </c>
      <c r="Z494" s="625">
        <f t="shared" ca="1" si="10"/>
        <v>74</v>
      </c>
      <c r="AA494" s="616" t="s">
        <v>4813</v>
      </c>
      <c r="AB494" s="598" t="s">
        <v>4814</v>
      </c>
      <c r="AC494" s="598" t="s">
        <v>996</v>
      </c>
      <c r="AD494" s="598" t="s">
        <v>953</v>
      </c>
      <c r="AE494" s="616" t="s">
        <v>246</v>
      </c>
      <c r="AF494" s="616" t="s">
        <v>246</v>
      </c>
      <c r="AG494" s="616" t="s">
        <v>3932</v>
      </c>
      <c r="AH494" s="598"/>
      <c r="AI494" s="598" t="s">
        <v>4815</v>
      </c>
      <c r="AJ494" s="598" t="s">
        <v>1025</v>
      </c>
      <c r="AK494" s="598" t="s">
        <v>1020</v>
      </c>
      <c r="AL494" s="626"/>
      <c r="AM494" s="626"/>
    </row>
    <row r="495" spans="3:39" ht="18" customHeight="1">
      <c r="C495" s="598">
        <v>474</v>
      </c>
      <c r="D495" s="598" t="s">
        <v>4816</v>
      </c>
      <c r="E495" s="598">
        <f t="shared" si="9"/>
        <v>452</v>
      </c>
      <c r="F495" s="616" t="s">
        <v>3808</v>
      </c>
      <c r="G495" s="616" t="s">
        <v>4808</v>
      </c>
      <c r="H495" s="618" t="s">
        <v>3810</v>
      </c>
      <c r="I495" s="618" t="s">
        <v>499</v>
      </c>
      <c r="J495" s="618" t="s">
        <v>3811</v>
      </c>
      <c r="K495" s="618" t="s">
        <v>4161</v>
      </c>
      <c r="L495" s="618" t="s">
        <v>4408</v>
      </c>
      <c r="M495" s="619"/>
      <c r="N495" s="620"/>
      <c r="O495" s="620"/>
      <c r="P495" s="663" t="s">
        <v>2625</v>
      </c>
      <c r="Q495" s="621"/>
      <c r="R495" s="598"/>
      <c r="S495" s="598"/>
      <c r="T495" s="598"/>
      <c r="U495" s="598" t="s">
        <v>1090</v>
      </c>
      <c r="V495" s="663" t="s">
        <v>4817</v>
      </c>
      <c r="W495" s="779" t="s">
        <v>4818</v>
      </c>
      <c r="X495" s="598" t="s">
        <v>950</v>
      </c>
      <c r="Y495" s="624">
        <v>19719</v>
      </c>
      <c r="Z495" s="625">
        <f t="shared" ca="1" si="10"/>
        <v>72</v>
      </c>
      <c r="AA495" s="616" t="s">
        <v>4819</v>
      </c>
      <c r="AB495" s="598" t="s">
        <v>4820</v>
      </c>
      <c r="AC495" s="598" t="s">
        <v>996</v>
      </c>
      <c r="AD495" s="598" t="s">
        <v>1018</v>
      </c>
      <c r="AE495" s="616" t="s">
        <v>246</v>
      </c>
      <c r="AF495" s="616" t="s">
        <v>246</v>
      </c>
      <c r="AG495" s="616" t="s">
        <v>4809</v>
      </c>
      <c r="AH495" s="598"/>
      <c r="AI495" s="598" t="s">
        <v>4821</v>
      </c>
      <c r="AJ495" s="598" t="s">
        <v>1025</v>
      </c>
      <c r="AK495" s="598" t="s">
        <v>1020</v>
      </c>
      <c r="AL495" s="626"/>
      <c r="AM495" s="626"/>
    </row>
    <row r="496" spans="3:39" ht="18" customHeight="1">
      <c r="C496" s="598">
        <v>475</v>
      </c>
      <c r="D496" s="598" t="s">
        <v>4822</v>
      </c>
      <c r="E496" s="598">
        <f t="shared" si="9"/>
        <v>453</v>
      </c>
      <c r="F496" s="616" t="s">
        <v>3808</v>
      </c>
      <c r="G496" s="616" t="s">
        <v>4808</v>
      </c>
      <c r="H496" s="618" t="s">
        <v>3810</v>
      </c>
      <c r="I496" s="618" t="s">
        <v>499</v>
      </c>
      <c r="J496" s="618" t="s">
        <v>3811</v>
      </c>
      <c r="K496" s="618" t="s">
        <v>4161</v>
      </c>
      <c r="L496" s="618" t="s">
        <v>4408</v>
      </c>
      <c r="M496" s="619"/>
      <c r="N496" s="620"/>
      <c r="O496" s="620"/>
      <c r="P496" s="673" t="s">
        <v>2625</v>
      </c>
      <c r="Q496" s="621"/>
      <c r="R496" s="598"/>
      <c r="S496" s="598"/>
      <c r="T496" s="598"/>
      <c r="U496" s="598" t="s">
        <v>1015</v>
      </c>
      <c r="V496" s="673" t="s">
        <v>573</v>
      </c>
      <c r="W496" s="779" t="s">
        <v>4823</v>
      </c>
      <c r="X496" s="598" t="s">
        <v>950</v>
      </c>
      <c r="Y496" s="624">
        <v>23913</v>
      </c>
      <c r="Z496" s="625">
        <f t="shared" ca="1" si="10"/>
        <v>60</v>
      </c>
      <c r="AA496" s="616" t="s">
        <v>4824</v>
      </c>
      <c r="AB496" s="598" t="s">
        <v>4825</v>
      </c>
      <c r="AC496" s="598" t="s">
        <v>996</v>
      </c>
      <c r="AD496" s="598" t="s">
        <v>1018</v>
      </c>
      <c r="AE496" s="616" t="s">
        <v>246</v>
      </c>
      <c r="AF496" s="616" t="s">
        <v>246</v>
      </c>
      <c r="AG496" s="616" t="s">
        <v>3815</v>
      </c>
      <c r="AH496" s="598"/>
      <c r="AI496" s="598" t="s">
        <v>4826</v>
      </c>
      <c r="AJ496" s="598" t="s">
        <v>1025</v>
      </c>
      <c r="AK496" s="598" t="s">
        <v>1020</v>
      </c>
      <c r="AL496" s="626"/>
      <c r="AM496" s="626"/>
    </row>
    <row r="497" spans="3:39" ht="18" customHeight="1">
      <c r="C497" s="598">
        <v>476</v>
      </c>
      <c r="D497" s="598" t="s">
        <v>4161</v>
      </c>
      <c r="E497" s="598">
        <f t="shared" si="9"/>
        <v>453</v>
      </c>
      <c r="F497" s="616"/>
      <c r="G497" s="616" t="s">
        <v>4808</v>
      </c>
      <c r="H497" s="618" t="s">
        <v>3810</v>
      </c>
      <c r="I497" s="618" t="s">
        <v>499</v>
      </c>
      <c r="J497" s="618" t="s">
        <v>3811</v>
      </c>
      <c r="K497" s="618" t="s">
        <v>4161</v>
      </c>
      <c r="L497" s="618" t="s">
        <v>959</v>
      </c>
      <c r="M497" s="619"/>
      <c r="N497" s="620"/>
      <c r="O497" s="620"/>
      <c r="P497" s="667" t="s">
        <v>2668</v>
      </c>
      <c r="Q497" s="621"/>
      <c r="R497" s="598" t="s">
        <v>55</v>
      </c>
      <c r="S497" s="598" t="s">
        <v>178</v>
      </c>
      <c r="T497" s="598"/>
      <c r="U497" s="598"/>
      <c r="V497" s="667" t="s">
        <v>484</v>
      </c>
      <c r="W497" s="779" t="s">
        <v>4162</v>
      </c>
      <c r="X497" s="598" t="s">
        <v>950</v>
      </c>
      <c r="Y497" s="624">
        <v>18523</v>
      </c>
      <c r="Z497" s="625">
        <f t="shared" ca="1" si="10"/>
        <v>75</v>
      </c>
      <c r="AA497" s="616" t="s">
        <v>4163</v>
      </c>
      <c r="AB497" s="598"/>
      <c r="AC497" s="598" t="s">
        <v>966</v>
      </c>
      <c r="AD497" s="598" t="s">
        <v>953</v>
      </c>
      <c r="AE497" s="616" t="s">
        <v>246</v>
      </c>
      <c r="AF497" s="616" t="s">
        <v>246</v>
      </c>
      <c r="AG497" s="616" t="s">
        <v>3815</v>
      </c>
      <c r="AH497" s="598" t="s">
        <v>955</v>
      </c>
      <c r="AI497" s="598"/>
      <c r="AJ497" s="598"/>
      <c r="AK497" s="598"/>
      <c r="AL497" s="626"/>
      <c r="AM497" s="626"/>
    </row>
    <row r="498" spans="3:39" ht="18" customHeight="1">
      <c r="C498" s="598">
        <v>477</v>
      </c>
      <c r="D498" s="598" t="s">
        <v>3937</v>
      </c>
      <c r="E498" s="598">
        <f t="shared" si="9"/>
        <v>454</v>
      </c>
      <c r="F498" s="616" t="s">
        <v>3808</v>
      </c>
      <c r="G498" s="616" t="s">
        <v>4808</v>
      </c>
      <c r="H498" s="618" t="s">
        <v>3810</v>
      </c>
      <c r="I498" s="618" t="s">
        <v>499</v>
      </c>
      <c r="J498" s="618" t="s">
        <v>3811</v>
      </c>
      <c r="K498" s="618" t="s">
        <v>4161</v>
      </c>
      <c r="L498" s="618" t="s">
        <v>959</v>
      </c>
      <c r="M498" s="619"/>
      <c r="N498" s="620"/>
      <c r="O498" s="620"/>
      <c r="P498" s="663" t="s">
        <v>2668</v>
      </c>
      <c r="Q498" s="621" t="s">
        <v>319</v>
      </c>
      <c r="R498" s="598"/>
      <c r="S498" s="598"/>
      <c r="T498" s="598"/>
      <c r="U498" s="598" t="s">
        <v>1090</v>
      </c>
      <c r="V498" s="663" t="s">
        <v>516</v>
      </c>
      <c r="W498" s="779" t="s">
        <v>3938</v>
      </c>
      <c r="X498" s="598" t="s">
        <v>950</v>
      </c>
      <c r="Y498" s="624">
        <v>19948</v>
      </c>
      <c r="Z498" s="625">
        <f t="shared" ca="1" si="10"/>
        <v>71</v>
      </c>
      <c r="AA498" s="616" t="s">
        <v>3939</v>
      </c>
      <c r="AB498" s="598" t="s">
        <v>3940</v>
      </c>
      <c r="AC498" s="598" t="s">
        <v>996</v>
      </c>
      <c r="AD498" s="598" t="s">
        <v>997</v>
      </c>
      <c r="AE498" s="616" t="s">
        <v>246</v>
      </c>
      <c r="AF498" s="633" t="s">
        <v>246</v>
      </c>
      <c r="AG498" s="633" t="s">
        <v>3815</v>
      </c>
      <c r="AH498" s="598"/>
      <c r="AI498" s="598"/>
      <c r="AJ498" s="598" t="s">
        <v>1318</v>
      </c>
      <c r="AK498" s="598"/>
      <c r="AL498" s="626"/>
      <c r="AM498" s="626"/>
    </row>
    <row r="499" spans="3:39" ht="18" customHeight="1">
      <c r="C499" s="598">
        <v>478</v>
      </c>
      <c r="D499" s="598" t="s">
        <v>2503</v>
      </c>
      <c r="E499" s="598">
        <f t="shared" si="9"/>
        <v>455</v>
      </c>
      <c r="F499" s="616" t="s">
        <v>4978</v>
      </c>
      <c r="G499" s="616" t="s">
        <v>4808</v>
      </c>
      <c r="H499" s="618" t="s">
        <v>3810</v>
      </c>
      <c r="I499" s="618" t="s">
        <v>499</v>
      </c>
      <c r="J499" s="618" t="s">
        <v>3811</v>
      </c>
      <c r="K499" s="618" t="s">
        <v>4161</v>
      </c>
      <c r="L499" s="618" t="s">
        <v>959</v>
      </c>
      <c r="M499" s="619"/>
      <c r="N499" s="620"/>
      <c r="O499" s="620"/>
      <c r="P499" s="663" t="s">
        <v>2668</v>
      </c>
      <c r="Q499" s="621" t="s">
        <v>319</v>
      </c>
      <c r="R499" s="598"/>
      <c r="S499" s="598"/>
      <c r="T499" s="598"/>
      <c r="U499" s="598" t="s">
        <v>1015</v>
      </c>
      <c r="V499" s="663" t="s">
        <v>524</v>
      </c>
      <c r="W499" s="779" t="s">
        <v>2504</v>
      </c>
      <c r="X499" s="598" t="s">
        <v>950</v>
      </c>
      <c r="Y499" s="624">
        <v>20806</v>
      </c>
      <c r="Z499" s="625">
        <f t="shared" ca="1" si="10"/>
        <v>69</v>
      </c>
      <c r="AA499" s="616" t="s">
        <v>2505</v>
      </c>
      <c r="AB499" s="598" t="s">
        <v>2506</v>
      </c>
      <c r="AC499" s="598" t="s">
        <v>996</v>
      </c>
      <c r="AD499" s="598" t="s">
        <v>1018</v>
      </c>
      <c r="AE499" s="616" t="s">
        <v>729</v>
      </c>
      <c r="AF499" s="616" t="s">
        <v>729</v>
      </c>
      <c r="AG499" s="616" t="s">
        <v>2507</v>
      </c>
      <c r="AH499" s="598"/>
      <c r="AI499" s="598"/>
      <c r="AJ499" s="598" t="s">
        <v>1318</v>
      </c>
      <c r="AK499" s="598"/>
      <c r="AL499" s="626"/>
      <c r="AM499" s="626"/>
    </row>
    <row r="500" spans="3:39" ht="18" customHeight="1">
      <c r="C500" s="598">
        <v>479</v>
      </c>
      <c r="D500" s="598" t="s">
        <v>3976</v>
      </c>
      <c r="E500" s="598">
        <f t="shared" si="9"/>
        <v>456</v>
      </c>
      <c r="F500" s="616" t="s">
        <v>3808</v>
      </c>
      <c r="G500" s="616" t="s">
        <v>4808</v>
      </c>
      <c r="H500" s="618" t="s">
        <v>3810</v>
      </c>
      <c r="I500" s="618" t="s">
        <v>499</v>
      </c>
      <c r="J500" s="618" t="s">
        <v>3811</v>
      </c>
      <c r="K500" s="618" t="s">
        <v>4161</v>
      </c>
      <c r="L500" s="618" t="s">
        <v>959</v>
      </c>
      <c r="M500" s="619"/>
      <c r="N500" s="620"/>
      <c r="O500" s="620"/>
      <c r="P500" s="663" t="s">
        <v>2668</v>
      </c>
      <c r="Q500" s="621" t="s">
        <v>319</v>
      </c>
      <c r="R500" s="598"/>
      <c r="S500" s="598"/>
      <c r="T500" s="598"/>
      <c r="U500" s="598" t="s">
        <v>1015</v>
      </c>
      <c r="V500" s="663" t="s">
        <v>532</v>
      </c>
      <c r="W500" s="779" t="s">
        <v>3977</v>
      </c>
      <c r="X500" s="598" t="s">
        <v>950</v>
      </c>
      <c r="Y500" s="624">
        <v>21342</v>
      </c>
      <c r="Z500" s="625">
        <f t="shared" ca="1" si="10"/>
        <v>67</v>
      </c>
      <c r="AA500" s="616" t="s">
        <v>3978</v>
      </c>
      <c r="AB500" s="598" t="s">
        <v>3979</v>
      </c>
      <c r="AC500" s="598" t="s">
        <v>996</v>
      </c>
      <c r="AD500" s="598" t="s">
        <v>997</v>
      </c>
      <c r="AE500" s="616" t="s">
        <v>246</v>
      </c>
      <c r="AF500" s="633" t="s">
        <v>246</v>
      </c>
      <c r="AG500" s="633" t="s">
        <v>3815</v>
      </c>
      <c r="AH500" s="598"/>
      <c r="AI500" s="598"/>
      <c r="AJ500" s="598" t="s">
        <v>1318</v>
      </c>
      <c r="AK500" s="598"/>
      <c r="AL500" s="626"/>
      <c r="AM500" s="626"/>
    </row>
    <row r="501" spans="3:39" ht="18" customHeight="1">
      <c r="C501" s="598">
        <v>480</v>
      </c>
      <c r="D501" s="598" t="s">
        <v>3955</v>
      </c>
      <c r="E501" s="598">
        <f t="shared" si="9"/>
        <v>457</v>
      </c>
      <c r="F501" s="616" t="s">
        <v>3808</v>
      </c>
      <c r="G501" s="616" t="s">
        <v>4808</v>
      </c>
      <c r="H501" s="618" t="s">
        <v>3810</v>
      </c>
      <c r="I501" s="618" t="s">
        <v>499</v>
      </c>
      <c r="J501" s="618" t="s">
        <v>3811</v>
      </c>
      <c r="K501" s="618" t="s">
        <v>4161</v>
      </c>
      <c r="L501" s="618" t="s">
        <v>959</v>
      </c>
      <c r="M501" s="619"/>
      <c r="N501" s="620"/>
      <c r="O501" s="620"/>
      <c r="P501" s="663" t="s">
        <v>2668</v>
      </c>
      <c r="Q501" s="621" t="s">
        <v>319</v>
      </c>
      <c r="R501" s="598"/>
      <c r="S501" s="598"/>
      <c r="T501" s="598"/>
      <c r="U501" s="598" t="s">
        <v>1015</v>
      </c>
      <c r="V501" s="663" t="s">
        <v>540</v>
      </c>
      <c r="W501" s="779" t="s">
        <v>3957</v>
      </c>
      <c r="X501" s="598" t="s">
        <v>950</v>
      </c>
      <c r="Y501" s="624">
        <v>22495</v>
      </c>
      <c r="Z501" s="625">
        <f t="shared" ca="1" si="10"/>
        <v>64</v>
      </c>
      <c r="AA501" s="616" t="s">
        <v>3958</v>
      </c>
      <c r="AB501" s="598" t="s">
        <v>3959</v>
      </c>
      <c r="AC501" s="598" t="s">
        <v>996</v>
      </c>
      <c r="AD501" s="598" t="s">
        <v>997</v>
      </c>
      <c r="AE501" s="616" t="s">
        <v>246</v>
      </c>
      <c r="AF501" s="633" t="s">
        <v>246</v>
      </c>
      <c r="AG501" s="633" t="s">
        <v>3815</v>
      </c>
      <c r="AH501" s="598"/>
      <c r="AI501" s="598"/>
      <c r="AJ501" s="598" t="s">
        <v>1318</v>
      </c>
      <c r="AK501" s="598"/>
      <c r="AL501" s="626"/>
      <c r="AM501" s="626"/>
    </row>
    <row r="502" spans="3:39" ht="18" customHeight="1">
      <c r="C502" s="598">
        <v>481</v>
      </c>
      <c r="D502" s="598" t="s">
        <v>4028</v>
      </c>
      <c r="E502" s="598">
        <f t="shared" si="9"/>
        <v>458</v>
      </c>
      <c r="F502" s="616" t="s">
        <v>3808</v>
      </c>
      <c r="G502" s="616" t="s">
        <v>4808</v>
      </c>
      <c r="H502" s="618" t="s">
        <v>3810</v>
      </c>
      <c r="I502" s="618" t="s">
        <v>499</v>
      </c>
      <c r="J502" s="618" t="s">
        <v>3811</v>
      </c>
      <c r="K502" s="618" t="s">
        <v>4161</v>
      </c>
      <c r="L502" s="618" t="s">
        <v>959</v>
      </c>
      <c r="M502" s="619"/>
      <c r="N502" s="620"/>
      <c r="O502" s="620"/>
      <c r="P502" s="673" t="s">
        <v>2668</v>
      </c>
      <c r="Q502" s="621" t="s">
        <v>319</v>
      </c>
      <c r="R502" s="598"/>
      <c r="S502" s="598"/>
      <c r="T502" s="598"/>
      <c r="U502" s="598" t="s">
        <v>1015</v>
      </c>
      <c r="V502" s="673" t="s">
        <v>547</v>
      </c>
      <c r="W502" s="779" t="s">
        <v>4029</v>
      </c>
      <c r="X502" s="598" t="s">
        <v>950</v>
      </c>
      <c r="Y502" s="624">
        <v>23608</v>
      </c>
      <c r="Z502" s="625">
        <f t="shared" ca="1" si="10"/>
        <v>61</v>
      </c>
      <c r="AA502" s="616" t="s">
        <v>4030</v>
      </c>
      <c r="AB502" s="598" t="s">
        <v>4031</v>
      </c>
      <c r="AC502" s="598" t="s">
        <v>996</v>
      </c>
      <c r="AD502" s="598" t="s">
        <v>1018</v>
      </c>
      <c r="AE502" s="616" t="s">
        <v>246</v>
      </c>
      <c r="AF502" s="633" t="s">
        <v>246</v>
      </c>
      <c r="AG502" s="616" t="s">
        <v>4032</v>
      </c>
      <c r="AH502" s="598"/>
      <c r="AI502" s="598"/>
      <c r="AJ502" s="598" t="s">
        <v>1318</v>
      </c>
      <c r="AK502" s="598"/>
      <c r="AL502" s="626"/>
      <c r="AM502" s="626"/>
    </row>
    <row r="503" spans="3:39" ht="18" customHeight="1">
      <c r="C503" s="598">
        <v>482</v>
      </c>
      <c r="D503" s="598" t="s">
        <v>4165</v>
      </c>
      <c r="E503" s="598">
        <f t="shared" si="9"/>
        <v>458</v>
      </c>
      <c r="F503" s="616"/>
      <c r="G503" s="616" t="s">
        <v>4808</v>
      </c>
      <c r="H503" s="618" t="s">
        <v>3810</v>
      </c>
      <c r="I503" s="618" t="s">
        <v>499</v>
      </c>
      <c r="J503" s="618" t="s">
        <v>3811</v>
      </c>
      <c r="K503" s="618" t="s">
        <v>4165</v>
      </c>
      <c r="L503" s="618" t="s">
        <v>3994</v>
      </c>
      <c r="M503" s="619"/>
      <c r="N503" s="620"/>
      <c r="O503" s="620"/>
      <c r="P503" s="667" t="s">
        <v>4827</v>
      </c>
      <c r="Q503" s="621"/>
      <c r="R503" s="598" t="s">
        <v>55</v>
      </c>
      <c r="S503" s="598" t="s">
        <v>178</v>
      </c>
      <c r="T503" s="598"/>
      <c r="U503" s="598"/>
      <c r="V503" s="667" t="s">
        <v>492</v>
      </c>
      <c r="W503" s="779" t="s">
        <v>4166</v>
      </c>
      <c r="X503" s="598" t="s">
        <v>950</v>
      </c>
      <c r="Y503" s="624">
        <v>23418</v>
      </c>
      <c r="Z503" s="625">
        <f t="shared" ca="1" si="10"/>
        <v>61</v>
      </c>
      <c r="AA503" s="616" t="s">
        <v>4167</v>
      </c>
      <c r="AB503" s="598"/>
      <c r="AC503" s="598" t="s">
        <v>996</v>
      </c>
      <c r="AD503" s="598" t="s">
        <v>953</v>
      </c>
      <c r="AE503" s="616" t="s">
        <v>246</v>
      </c>
      <c r="AF503" s="616" t="s">
        <v>246</v>
      </c>
      <c r="AG503" s="616" t="s">
        <v>3815</v>
      </c>
      <c r="AH503" s="598" t="s">
        <v>955</v>
      </c>
      <c r="AI503" s="598"/>
      <c r="AJ503" s="598"/>
      <c r="AK503" s="598"/>
      <c r="AL503" s="626"/>
      <c r="AM503" s="626"/>
    </row>
    <row r="504" spans="3:39" ht="18" customHeight="1">
      <c r="C504" s="598">
        <v>483</v>
      </c>
      <c r="D504" s="598" t="s">
        <v>3994</v>
      </c>
      <c r="E504" s="598">
        <f t="shared" si="9"/>
        <v>459</v>
      </c>
      <c r="F504" s="616" t="s">
        <v>3808</v>
      </c>
      <c r="G504" s="616" t="s">
        <v>4808</v>
      </c>
      <c r="H504" s="618" t="s">
        <v>3810</v>
      </c>
      <c r="I504" s="618" t="s">
        <v>499</v>
      </c>
      <c r="J504" s="618" t="s">
        <v>3811</v>
      </c>
      <c r="K504" s="618" t="s">
        <v>4165</v>
      </c>
      <c r="L504" s="618" t="s">
        <v>3994</v>
      </c>
      <c r="M504" s="619"/>
      <c r="N504" s="620"/>
      <c r="O504" s="620"/>
      <c r="P504" s="663" t="s">
        <v>4827</v>
      </c>
      <c r="Q504" s="621"/>
      <c r="R504" s="598" t="s">
        <v>69</v>
      </c>
      <c r="S504" s="598" t="s">
        <v>562</v>
      </c>
      <c r="T504" s="598"/>
      <c r="U504" s="598" t="s">
        <v>1015</v>
      </c>
      <c r="V504" s="663" t="s">
        <v>517</v>
      </c>
      <c r="W504" s="779" t="s">
        <v>3995</v>
      </c>
      <c r="X504" s="598" t="s">
        <v>950</v>
      </c>
      <c r="Y504" s="624">
        <v>29204</v>
      </c>
      <c r="Z504" s="625">
        <f t="shared" ca="1" si="10"/>
        <v>46</v>
      </c>
      <c r="AA504" s="616" t="s">
        <v>3996</v>
      </c>
      <c r="AB504" s="598" t="s">
        <v>3997</v>
      </c>
      <c r="AC504" s="598" t="s">
        <v>996</v>
      </c>
      <c r="AD504" s="598" t="s">
        <v>997</v>
      </c>
      <c r="AE504" s="616" t="s">
        <v>246</v>
      </c>
      <c r="AF504" s="616" t="s">
        <v>246</v>
      </c>
      <c r="AG504" s="616" t="s">
        <v>3815</v>
      </c>
      <c r="AH504" s="598"/>
      <c r="AI504" s="598"/>
      <c r="AJ504" s="598" t="s">
        <v>1025</v>
      </c>
      <c r="AK504" s="598"/>
      <c r="AL504" s="626"/>
      <c r="AM504" s="626"/>
    </row>
    <row r="505" spans="3:39" ht="18" customHeight="1">
      <c r="C505" s="598">
        <v>484</v>
      </c>
      <c r="D505" s="598" t="s">
        <v>4010</v>
      </c>
      <c r="E505" s="598">
        <f t="shared" si="9"/>
        <v>460</v>
      </c>
      <c r="F505" s="616" t="s">
        <v>3808</v>
      </c>
      <c r="G505" s="616" t="s">
        <v>4808</v>
      </c>
      <c r="H505" s="618" t="s">
        <v>3810</v>
      </c>
      <c r="I505" s="618" t="s">
        <v>499</v>
      </c>
      <c r="J505" s="618" t="s">
        <v>3811</v>
      </c>
      <c r="K505" s="618" t="s">
        <v>4165</v>
      </c>
      <c r="L505" s="618" t="s">
        <v>3994</v>
      </c>
      <c r="M505" s="619"/>
      <c r="N505" s="620"/>
      <c r="O505" s="620"/>
      <c r="P505" s="663" t="s">
        <v>4827</v>
      </c>
      <c r="Q505" s="621"/>
      <c r="R505" s="598"/>
      <c r="S505" s="598"/>
      <c r="T505" s="598"/>
      <c r="U505" s="598" t="s">
        <v>1015</v>
      </c>
      <c r="V505" s="663" t="s">
        <v>525</v>
      </c>
      <c r="W505" s="779" t="s">
        <v>4011</v>
      </c>
      <c r="X505" s="598" t="s">
        <v>950</v>
      </c>
      <c r="Y505" s="624">
        <v>33409</v>
      </c>
      <c r="Z505" s="625">
        <f t="shared" ca="1" si="10"/>
        <v>34</v>
      </c>
      <c r="AA505" s="616" t="s">
        <v>4012</v>
      </c>
      <c r="AB505" s="598" t="s">
        <v>4013</v>
      </c>
      <c r="AC505" s="598" t="s">
        <v>966</v>
      </c>
      <c r="AD505" s="598" t="s">
        <v>953</v>
      </c>
      <c r="AE505" s="616" t="s">
        <v>246</v>
      </c>
      <c r="AF505" s="616" t="s">
        <v>246</v>
      </c>
      <c r="AG505" s="616" t="s">
        <v>3815</v>
      </c>
      <c r="AH505" s="598"/>
      <c r="AI505" s="598"/>
      <c r="AJ505" s="598"/>
      <c r="AK505" s="598"/>
      <c r="AL505" s="626"/>
      <c r="AM505" s="626"/>
    </row>
    <row r="506" spans="3:39" ht="18" customHeight="1">
      <c r="C506" s="598">
        <v>485</v>
      </c>
      <c r="D506" s="598" t="s">
        <v>3998</v>
      </c>
      <c r="E506" s="598">
        <f t="shared" si="9"/>
        <v>461</v>
      </c>
      <c r="F506" s="616" t="s">
        <v>3808</v>
      </c>
      <c r="G506" s="616" t="s">
        <v>4808</v>
      </c>
      <c r="H506" s="618" t="s">
        <v>3810</v>
      </c>
      <c r="I506" s="618" t="s">
        <v>499</v>
      </c>
      <c r="J506" s="618" t="s">
        <v>3811</v>
      </c>
      <c r="K506" s="618" t="s">
        <v>4165</v>
      </c>
      <c r="L506" s="618" t="s">
        <v>3994</v>
      </c>
      <c r="M506" s="619"/>
      <c r="N506" s="620"/>
      <c r="O506" s="620"/>
      <c r="P506" s="663" t="s">
        <v>4827</v>
      </c>
      <c r="Q506" s="621"/>
      <c r="R506" s="598"/>
      <c r="S506" s="598"/>
      <c r="T506" s="598"/>
      <c r="U506" s="598" t="s">
        <v>1015</v>
      </c>
      <c r="V506" s="663" t="s">
        <v>533</v>
      </c>
      <c r="W506" s="779" t="s">
        <v>3999</v>
      </c>
      <c r="X506" s="598" t="s">
        <v>950</v>
      </c>
      <c r="Y506" s="624">
        <v>31186</v>
      </c>
      <c r="Z506" s="625">
        <f t="shared" ca="1" si="10"/>
        <v>40</v>
      </c>
      <c r="AA506" s="616" t="s">
        <v>4000</v>
      </c>
      <c r="AB506" s="598" t="s">
        <v>4001</v>
      </c>
      <c r="AC506" s="598" t="s">
        <v>966</v>
      </c>
      <c r="AD506" s="598" t="s">
        <v>953</v>
      </c>
      <c r="AE506" s="616" t="s">
        <v>246</v>
      </c>
      <c r="AF506" s="616" t="s">
        <v>246</v>
      </c>
      <c r="AG506" s="616" t="s">
        <v>3815</v>
      </c>
      <c r="AH506" s="598"/>
      <c r="AI506" s="598"/>
      <c r="AJ506" s="598"/>
      <c r="AK506" s="598"/>
      <c r="AL506" s="626"/>
      <c r="AM506" s="626"/>
    </row>
    <row r="507" spans="3:39" ht="18" customHeight="1">
      <c r="C507" s="598">
        <v>486</v>
      </c>
      <c r="D507" s="598" t="s">
        <v>4085</v>
      </c>
      <c r="E507" s="598">
        <f t="shared" si="9"/>
        <v>462</v>
      </c>
      <c r="F507" s="616" t="s">
        <v>3808</v>
      </c>
      <c r="G507" s="616" t="s">
        <v>4808</v>
      </c>
      <c r="H507" s="618" t="s">
        <v>3810</v>
      </c>
      <c r="I507" s="618" t="s">
        <v>499</v>
      </c>
      <c r="J507" s="618" t="s">
        <v>3811</v>
      </c>
      <c r="K507" s="618" t="s">
        <v>4165</v>
      </c>
      <c r="L507" s="618" t="s">
        <v>3994</v>
      </c>
      <c r="M507" s="619"/>
      <c r="N507" s="620"/>
      <c r="O507" s="620"/>
      <c r="P507" s="663" t="s">
        <v>4827</v>
      </c>
      <c r="Q507" s="621"/>
      <c r="R507" s="598"/>
      <c r="S507" s="598"/>
      <c r="T507" s="598"/>
      <c r="U507" s="598" t="s">
        <v>1015</v>
      </c>
      <c r="V507" s="663" t="s">
        <v>541</v>
      </c>
      <c r="W507" s="779" t="s">
        <v>4086</v>
      </c>
      <c r="X507" s="598" t="s">
        <v>950</v>
      </c>
      <c r="Y507" s="624">
        <v>27491</v>
      </c>
      <c r="Z507" s="625">
        <f t="shared" ca="1" si="10"/>
        <v>50</v>
      </c>
      <c r="AA507" s="616" t="s">
        <v>4087</v>
      </c>
      <c r="AB507" s="598" t="s">
        <v>4088</v>
      </c>
      <c r="AC507" s="598" t="s">
        <v>996</v>
      </c>
      <c r="AD507" s="598" t="s">
        <v>997</v>
      </c>
      <c r="AE507" s="616" t="s">
        <v>246</v>
      </c>
      <c r="AF507" s="616" t="s">
        <v>246</v>
      </c>
      <c r="AG507" s="616" t="s">
        <v>4089</v>
      </c>
      <c r="AH507" s="598"/>
      <c r="AI507" s="598"/>
      <c r="AJ507" s="598" t="s">
        <v>1025</v>
      </c>
      <c r="AK507" s="598"/>
      <c r="AL507" s="626"/>
      <c r="AM507" s="626"/>
    </row>
    <row r="508" spans="3:39" ht="18" customHeight="1">
      <c r="C508" s="598">
        <v>487</v>
      </c>
      <c r="D508" s="598" t="s">
        <v>4359</v>
      </c>
      <c r="E508" s="598">
        <f t="shared" si="9"/>
        <v>463</v>
      </c>
      <c r="F508" s="616" t="s">
        <v>3808</v>
      </c>
      <c r="G508" s="616" t="s">
        <v>4808</v>
      </c>
      <c r="H508" s="618" t="s">
        <v>3810</v>
      </c>
      <c r="I508" s="618" t="s">
        <v>499</v>
      </c>
      <c r="J508" s="618" t="s">
        <v>3811</v>
      </c>
      <c r="K508" s="618" t="s">
        <v>4165</v>
      </c>
      <c r="L508" s="618" t="s">
        <v>3994</v>
      </c>
      <c r="M508" s="619"/>
      <c r="N508" s="620"/>
      <c r="O508" s="620"/>
      <c r="P508" s="663" t="s">
        <v>4827</v>
      </c>
      <c r="Q508" s="621"/>
      <c r="R508" s="598"/>
      <c r="S508" s="598"/>
      <c r="T508" s="598"/>
      <c r="U508" s="598" t="s">
        <v>1015</v>
      </c>
      <c r="V508" s="663" t="s">
        <v>548</v>
      </c>
      <c r="W508" s="779" t="s">
        <v>4360</v>
      </c>
      <c r="X508" s="598" t="s">
        <v>950</v>
      </c>
      <c r="Y508" s="624">
        <v>28459</v>
      </c>
      <c r="Z508" s="625">
        <f t="shared" ca="1" si="10"/>
        <v>48</v>
      </c>
      <c r="AA508" s="616" t="s">
        <v>4361</v>
      </c>
      <c r="AB508" s="598" t="s">
        <v>4362</v>
      </c>
      <c r="AC508" s="598" t="s">
        <v>996</v>
      </c>
      <c r="AD508" s="598" t="s">
        <v>997</v>
      </c>
      <c r="AE508" s="616" t="s">
        <v>246</v>
      </c>
      <c r="AF508" s="616" t="s">
        <v>246</v>
      </c>
      <c r="AG508" s="616" t="s">
        <v>4363</v>
      </c>
      <c r="AH508" s="598"/>
      <c r="AI508" s="598"/>
      <c r="AJ508" s="598" t="s">
        <v>1025</v>
      </c>
      <c r="AK508" s="598"/>
      <c r="AL508" s="626"/>
      <c r="AM508" s="626"/>
    </row>
    <row r="509" spans="3:39" ht="18" customHeight="1">
      <c r="C509" s="598">
        <v>488</v>
      </c>
      <c r="D509" s="598" t="s">
        <v>4014</v>
      </c>
      <c r="E509" s="598">
        <f t="shared" si="9"/>
        <v>464</v>
      </c>
      <c r="F509" s="616" t="s">
        <v>3808</v>
      </c>
      <c r="G509" s="616" t="s">
        <v>4808</v>
      </c>
      <c r="H509" s="618" t="s">
        <v>3810</v>
      </c>
      <c r="I509" s="618" t="s">
        <v>499</v>
      </c>
      <c r="J509" s="618" t="s">
        <v>3811</v>
      </c>
      <c r="K509" s="618" t="s">
        <v>4165</v>
      </c>
      <c r="L509" s="618" t="s">
        <v>3994</v>
      </c>
      <c r="M509" s="619"/>
      <c r="N509" s="620"/>
      <c r="O509" s="620"/>
      <c r="P509" s="663" t="s">
        <v>4827</v>
      </c>
      <c r="Q509" s="621"/>
      <c r="R509" s="598"/>
      <c r="S509" s="598"/>
      <c r="T509" s="598"/>
      <c r="U509" s="598" t="s">
        <v>1015</v>
      </c>
      <c r="V509" s="663" t="s">
        <v>554</v>
      </c>
      <c r="W509" s="779" t="s">
        <v>4015</v>
      </c>
      <c r="X509" s="598" t="s">
        <v>950</v>
      </c>
      <c r="Y509" s="624">
        <v>29948</v>
      </c>
      <c r="Z509" s="625">
        <f t="shared" ca="1" si="10"/>
        <v>44</v>
      </c>
      <c r="AA509" s="616" t="s">
        <v>4016</v>
      </c>
      <c r="AB509" s="598" t="s">
        <v>4017</v>
      </c>
      <c r="AC509" s="598" t="s">
        <v>996</v>
      </c>
      <c r="AD509" s="598" t="s">
        <v>997</v>
      </c>
      <c r="AE509" s="616" t="s">
        <v>246</v>
      </c>
      <c r="AF509" s="616" t="s">
        <v>246</v>
      </c>
      <c r="AG509" s="616" t="s">
        <v>3815</v>
      </c>
      <c r="AH509" s="598"/>
      <c r="AI509" s="598"/>
      <c r="AJ509" s="598" t="s">
        <v>1025</v>
      </c>
      <c r="AK509" s="598"/>
      <c r="AL509" s="626"/>
      <c r="AM509" s="626"/>
    </row>
    <row r="510" spans="3:39" ht="18" customHeight="1">
      <c r="C510" s="598">
        <v>489</v>
      </c>
      <c r="D510" s="598" t="s">
        <v>4249</v>
      </c>
      <c r="E510" s="598">
        <f t="shared" si="9"/>
        <v>465</v>
      </c>
      <c r="F510" s="616" t="s">
        <v>3808</v>
      </c>
      <c r="G510" s="616" t="s">
        <v>4808</v>
      </c>
      <c r="H510" s="618" t="s">
        <v>3810</v>
      </c>
      <c r="I510" s="618" t="s">
        <v>499</v>
      </c>
      <c r="J510" s="618" t="s">
        <v>3811</v>
      </c>
      <c r="K510" s="618" t="s">
        <v>4165</v>
      </c>
      <c r="L510" s="618" t="s">
        <v>3994</v>
      </c>
      <c r="M510" s="619"/>
      <c r="N510" s="620"/>
      <c r="O510" s="620"/>
      <c r="P510" s="663" t="s">
        <v>4827</v>
      </c>
      <c r="Q510" s="621"/>
      <c r="R510" s="598"/>
      <c r="S510" s="598"/>
      <c r="T510" s="598"/>
      <c r="U510" s="598" t="s">
        <v>1015</v>
      </c>
      <c r="V510" s="663" t="s">
        <v>559</v>
      </c>
      <c r="W510" s="779" t="s">
        <v>4250</v>
      </c>
      <c r="X510" s="598" t="s">
        <v>950</v>
      </c>
      <c r="Y510" s="624">
        <v>30545</v>
      </c>
      <c r="Z510" s="625">
        <f t="shared" ca="1" si="10"/>
        <v>42</v>
      </c>
      <c r="AA510" s="616" t="s">
        <v>4251</v>
      </c>
      <c r="AB510" s="598" t="s">
        <v>4252</v>
      </c>
      <c r="AC510" s="598" t="s">
        <v>966</v>
      </c>
      <c r="AD510" s="598" t="s">
        <v>953</v>
      </c>
      <c r="AE510" s="616" t="s">
        <v>246</v>
      </c>
      <c r="AF510" s="616" t="s">
        <v>246</v>
      </c>
      <c r="AG510" s="616" t="s">
        <v>4253</v>
      </c>
      <c r="AH510" s="598"/>
      <c r="AI510" s="598"/>
      <c r="AJ510" s="598" t="s">
        <v>1025</v>
      </c>
      <c r="AK510" s="598"/>
      <c r="AL510" s="626"/>
      <c r="AM510" s="626"/>
    </row>
    <row r="511" spans="3:39" ht="18" customHeight="1">
      <c r="C511" s="598">
        <v>490</v>
      </c>
      <c r="D511" s="598" t="s">
        <v>4090</v>
      </c>
      <c r="E511" s="598">
        <f t="shared" si="9"/>
        <v>466</v>
      </c>
      <c r="F511" s="616" t="s">
        <v>3808</v>
      </c>
      <c r="G511" s="616" t="s">
        <v>4808</v>
      </c>
      <c r="H511" s="618" t="s">
        <v>3810</v>
      </c>
      <c r="I511" s="618" t="s">
        <v>499</v>
      </c>
      <c r="J511" s="618" t="s">
        <v>3811</v>
      </c>
      <c r="K511" s="618" t="s">
        <v>4165</v>
      </c>
      <c r="L511" s="618" t="s">
        <v>3994</v>
      </c>
      <c r="M511" s="619"/>
      <c r="N511" s="620"/>
      <c r="O511" s="620"/>
      <c r="P511" s="663" t="s">
        <v>4827</v>
      </c>
      <c r="Q511" s="621"/>
      <c r="R511" s="598"/>
      <c r="S511" s="598"/>
      <c r="T511" s="598"/>
      <c r="U511" s="598" t="s">
        <v>1015</v>
      </c>
      <c r="V511" s="663" t="s">
        <v>565</v>
      </c>
      <c r="W511" s="779" t="s">
        <v>4091</v>
      </c>
      <c r="X511" s="598" t="s">
        <v>950</v>
      </c>
      <c r="Y511" s="624">
        <v>34130</v>
      </c>
      <c r="Z511" s="625">
        <f t="shared" ca="1" si="10"/>
        <v>32</v>
      </c>
      <c r="AA511" s="616" t="s">
        <v>4092</v>
      </c>
      <c r="AB511" s="742"/>
      <c r="AC511" s="598" t="s">
        <v>996</v>
      </c>
      <c r="AD511" s="598" t="s">
        <v>1018</v>
      </c>
      <c r="AE511" s="616" t="s">
        <v>246</v>
      </c>
      <c r="AF511" s="616" t="s">
        <v>246</v>
      </c>
      <c r="AG511" s="616" t="s">
        <v>4828</v>
      </c>
      <c r="AH511" s="598"/>
      <c r="AI511" s="598"/>
      <c r="AJ511" s="598" t="s">
        <v>1025</v>
      </c>
      <c r="AK511" s="598"/>
      <c r="AL511" s="626"/>
      <c r="AM511" s="626"/>
    </row>
    <row r="512" spans="3:39" ht="18" customHeight="1">
      <c r="C512" s="598">
        <v>491</v>
      </c>
      <c r="D512" s="598" t="s">
        <v>4829</v>
      </c>
      <c r="E512" s="598">
        <f t="shared" si="9"/>
        <v>467</v>
      </c>
      <c r="F512" s="616" t="s">
        <v>3808</v>
      </c>
      <c r="G512" s="616" t="s">
        <v>4808</v>
      </c>
      <c r="H512" s="618" t="s">
        <v>3810</v>
      </c>
      <c r="I512" s="618" t="s">
        <v>499</v>
      </c>
      <c r="J512" s="618" t="s">
        <v>3811</v>
      </c>
      <c r="K512" s="618" t="s">
        <v>4165</v>
      </c>
      <c r="L512" s="618" t="s">
        <v>3994</v>
      </c>
      <c r="M512" s="619"/>
      <c r="N512" s="620"/>
      <c r="O512" s="620"/>
      <c r="P512" s="663" t="s">
        <v>4827</v>
      </c>
      <c r="Q512" s="621"/>
      <c r="R512" s="598"/>
      <c r="S512" s="598"/>
      <c r="T512" s="598"/>
      <c r="U512" s="598" t="s">
        <v>1015</v>
      </c>
      <c r="V512" s="663" t="s">
        <v>4830</v>
      </c>
      <c r="W512" s="779" t="s">
        <v>4831</v>
      </c>
      <c r="X512" s="598" t="s">
        <v>950</v>
      </c>
      <c r="Y512" s="624">
        <v>29575</v>
      </c>
      <c r="Z512" s="625">
        <f t="shared" ca="1" si="10"/>
        <v>45</v>
      </c>
      <c r="AA512" s="616" t="s">
        <v>4832</v>
      </c>
      <c r="AB512" s="652"/>
      <c r="AC512" s="598" t="s">
        <v>996</v>
      </c>
      <c r="AD512" s="598" t="s">
        <v>1018</v>
      </c>
      <c r="AE512" s="616" t="s">
        <v>246</v>
      </c>
      <c r="AF512" s="616" t="s">
        <v>246</v>
      </c>
      <c r="AG512" s="616" t="s">
        <v>3815</v>
      </c>
      <c r="AH512" s="598"/>
      <c r="AI512" s="598" t="s">
        <v>4821</v>
      </c>
      <c r="AJ512" s="598" t="s">
        <v>1025</v>
      </c>
      <c r="AK512" s="598" t="s">
        <v>1020</v>
      </c>
      <c r="AL512" s="626"/>
      <c r="AM512" s="626"/>
    </row>
    <row r="513" spans="3:39" ht="18" customHeight="1">
      <c r="C513" s="598">
        <v>492</v>
      </c>
      <c r="D513" s="598" t="s">
        <v>4833</v>
      </c>
      <c r="E513" s="598">
        <f t="shared" si="9"/>
        <v>468</v>
      </c>
      <c r="F513" s="616" t="s">
        <v>3808</v>
      </c>
      <c r="G513" s="616" t="s">
        <v>4808</v>
      </c>
      <c r="H513" s="618" t="s">
        <v>3810</v>
      </c>
      <c r="I513" s="618" t="s">
        <v>499</v>
      </c>
      <c r="J513" s="618" t="s">
        <v>3811</v>
      </c>
      <c r="K513" s="618" t="s">
        <v>4165</v>
      </c>
      <c r="L513" s="618" t="s">
        <v>3994</v>
      </c>
      <c r="M513" s="619"/>
      <c r="N513" s="620"/>
      <c r="O513" s="620"/>
      <c r="P513" s="663" t="s">
        <v>4827</v>
      </c>
      <c r="Q513" s="621"/>
      <c r="R513" s="598"/>
      <c r="S513" s="598"/>
      <c r="T513" s="598"/>
      <c r="U513" s="598" t="s">
        <v>1015</v>
      </c>
      <c r="V513" s="663" t="s">
        <v>4834</v>
      </c>
      <c r="W513" s="779" t="s">
        <v>4835</v>
      </c>
      <c r="X513" s="598" t="s">
        <v>950</v>
      </c>
      <c r="Y513" s="624">
        <v>22440</v>
      </c>
      <c r="Z513" s="625">
        <f t="shared" ca="1" si="10"/>
        <v>64</v>
      </c>
      <c r="AA513" s="616" t="s">
        <v>4836</v>
      </c>
      <c r="AB513" s="652"/>
      <c r="AC513" s="598" t="s">
        <v>996</v>
      </c>
      <c r="AD513" s="598" t="s">
        <v>1018</v>
      </c>
      <c r="AE513" s="616" t="s">
        <v>246</v>
      </c>
      <c r="AF513" s="616" t="s">
        <v>246</v>
      </c>
      <c r="AG513" s="616" t="s">
        <v>3815</v>
      </c>
      <c r="AH513" s="598"/>
      <c r="AI513" s="598" t="s">
        <v>4837</v>
      </c>
      <c r="AJ513" s="598" t="s">
        <v>1025</v>
      </c>
      <c r="AK513" s="598" t="s">
        <v>1020</v>
      </c>
      <c r="AL513" s="626"/>
      <c r="AM513" s="626"/>
    </row>
    <row r="514" spans="3:39" ht="18" customHeight="1">
      <c r="C514" s="598">
        <v>493</v>
      </c>
      <c r="D514" s="598" t="s">
        <v>4838</v>
      </c>
      <c r="E514" s="598">
        <f t="shared" si="9"/>
        <v>469</v>
      </c>
      <c r="F514" s="616" t="s">
        <v>3808</v>
      </c>
      <c r="G514" s="616" t="s">
        <v>4808</v>
      </c>
      <c r="H514" s="618" t="s">
        <v>3810</v>
      </c>
      <c r="I514" s="618" t="s">
        <v>499</v>
      </c>
      <c r="J514" s="618" t="s">
        <v>3811</v>
      </c>
      <c r="K514" s="618" t="s">
        <v>4165</v>
      </c>
      <c r="L514" s="618" t="s">
        <v>3994</v>
      </c>
      <c r="M514" s="619"/>
      <c r="N514" s="620"/>
      <c r="O514" s="620"/>
      <c r="P514" s="663" t="s">
        <v>4827</v>
      </c>
      <c r="Q514" s="621"/>
      <c r="R514" s="598"/>
      <c r="S514" s="598"/>
      <c r="T514" s="598"/>
      <c r="U514" s="598" t="s">
        <v>1015</v>
      </c>
      <c r="V514" s="663" t="s">
        <v>4839</v>
      </c>
      <c r="W514" s="779" t="s">
        <v>4840</v>
      </c>
      <c r="X514" s="598" t="s">
        <v>950</v>
      </c>
      <c r="Y514" s="624">
        <v>26500</v>
      </c>
      <c r="Z514" s="625">
        <f t="shared" ca="1" si="10"/>
        <v>53</v>
      </c>
      <c r="AA514" s="616" t="s">
        <v>4841</v>
      </c>
      <c r="AB514" s="652"/>
      <c r="AC514" s="598" t="s">
        <v>996</v>
      </c>
      <c r="AD514" s="598" t="s">
        <v>1018</v>
      </c>
      <c r="AE514" s="616" t="s">
        <v>246</v>
      </c>
      <c r="AF514" s="616" t="s">
        <v>246</v>
      </c>
      <c r="AG514" s="616" t="s">
        <v>3815</v>
      </c>
      <c r="AH514" s="598"/>
      <c r="AI514" s="598" t="s">
        <v>4837</v>
      </c>
      <c r="AJ514" s="598" t="s">
        <v>1025</v>
      </c>
      <c r="AK514" s="598" t="s">
        <v>1020</v>
      </c>
      <c r="AL514" s="626"/>
      <c r="AM514" s="626"/>
    </row>
    <row r="515" spans="3:39" ht="18" customHeight="1">
      <c r="C515" s="598">
        <v>494</v>
      </c>
      <c r="D515" s="598" t="s">
        <v>4842</v>
      </c>
      <c r="E515" s="598">
        <f t="shared" si="9"/>
        <v>470</v>
      </c>
      <c r="F515" s="616" t="s">
        <v>3808</v>
      </c>
      <c r="G515" s="616" t="s">
        <v>4808</v>
      </c>
      <c r="H515" s="618" t="s">
        <v>3810</v>
      </c>
      <c r="I515" s="618" t="s">
        <v>499</v>
      </c>
      <c r="J515" s="618" t="s">
        <v>3811</v>
      </c>
      <c r="K515" s="618" t="s">
        <v>4165</v>
      </c>
      <c r="L515" s="618" t="s">
        <v>3994</v>
      </c>
      <c r="M515" s="619"/>
      <c r="N515" s="620"/>
      <c r="O515" s="620"/>
      <c r="P515" s="673" t="s">
        <v>4827</v>
      </c>
      <c r="Q515" s="621"/>
      <c r="R515" s="598"/>
      <c r="S515" s="598"/>
      <c r="T515" s="598"/>
      <c r="U515" s="598" t="s">
        <v>1015</v>
      </c>
      <c r="V515" s="673" t="s">
        <v>4843</v>
      </c>
      <c r="W515" s="779" t="s">
        <v>4844</v>
      </c>
      <c r="X515" s="598" t="s">
        <v>950</v>
      </c>
      <c r="Y515" s="624">
        <v>33645</v>
      </c>
      <c r="Z515" s="625">
        <f t="shared" ca="1" si="10"/>
        <v>33</v>
      </c>
      <c r="AA515" s="616" t="s">
        <v>4845</v>
      </c>
      <c r="AB515" s="652"/>
      <c r="AC515" s="598" t="s">
        <v>996</v>
      </c>
      <c r="AD515" s="598" t="s">
        <v>1018</v>
      </c>
      <c r="AE515" s="616" t="s">
        <v>246</v>
      </c>
      <c r="AF515" s="616" t="s">
        <v>246</v>
      </c>
      <c r="AG515" s="616" t="s">
        <v>3815</v>
      </c>
      <c r="AH515" s="598"/>
      <c r="AI515" s="598" t="s">
        <v>4846</v>
      </c>
      <c r="AJ515" s="598" t="s">
        <v>1025</v>
      </c>
      <c r="AK515" s="598" t="s">
        <v>1020</v>
      </c>
      <c r="AL515" s="626"/>
      <c r="AM515" s="626"/>
    </row>
    <row r="516" spans="3:39" ht="18" customHeight="1">
      <c r="C516" s="598">
        <v>495</v>
      </c>
      <c r="D516" s="598" t="s">
        <v>4165</v>
      </c>
      <c r="E516" s="598">
        <f t="shared" si="9"/>
        <v>470</v>
      </c>
      <c r="F516" s="616"/>
      <c r="G516" s="616" t="s">
        <v>4808</v>
      </c>
      <c r="H516" s="618" t="s">
        <v>3810</v>
      </c>
      <c r="I516" s="618" t="s">
        <v>499</v>
      </c>
      <c r="J516" s="618" t="s">
        <v>3811</v>
      </c>
      <c r="K516" s="618" t="s">
        <v>4165</v>
      </c>
      <c r="L516" s="618" t="s">
        <v>3658</v>
      </c>
      <c r="M516" s="619"/>
      <c r="N516" s="620"/>
      <c r="O516" s="620"/>
      <c r="P516" s="667" t="s">
        <v>4847</v>
      </c>
      <c r="Q516" s="621"/>
      <c r="R516" s="598" t="s">
        <v>55</v>
      </c>
      <c r="S516" s="598" t="s">
        <v>178</v>
      </c>
      <c r="T516" s="598"/>
      <c r="U516" s="598"/>
      <c r="V516" s="667" t="s">
        <v>492</v>
      </c>
      <c r="W516" s="779" t="s">
        <v>4166</v>
      </c>
      <c r="X516" s="598" t="s">
        <v>950</v>
      </c>
      <c r="Y516" s="624">
        <v>23418</v>
      </c>
      <c r="Z516" s="625">
        <f t="shared" ca="1" si="10"/>
        <v>61</v>
      </c>
      <c r="AA516" s="616" t="s">
        <v>4167</v>
      </c>
      <c r="AB516" s="598" t="s">
        <v>4168</v>
      </c>
      <c r="AC516" s="598" t="s">
        <v>996</v>
      </c>
      <c r="AD516" s="598" t="s">
        <v>953</v>
      </c>
      <c r="AE516" s="616" t="s">
        <v>246</v>
      </c>
      <c r="AF516" s="616" t="s">
        <v>246</v>
      </c>
      <c r="AG516" s="616" t="s">
        <v>3815</v>
      </c>
      <c r="AH516" s="598" t="s">
        <v>955</v>
      </c>
      <c r="AI516" s="598"/>
      <c r="AJ516" s="598"/>
      <c r="AK516" s="598"/>
      <c r="AL516" s="626"/>
      <c r="AM516" s="626"/>
    </row>
    <row r="517" spans="3:39" ht="18" customHeight="1">
      <c r="C517" s="598">
        <v>496</v>
      </c>
      <c r="D517" s="598" t="s">
        <v>3658</v>
      </c>
      <c r="E517" s="598">
        <f t="shared" si="9"/>
        <v>471</v>
      </c>
      <c r="F517" s="616" t="s">
        <v>4978</v>
      </c>
      <c r="G517" s="616" t="s">
        <v>4808</v>
      </c>
      <c r="H517" s="618" t="s">
        <v>3810</v>
      </c>
      <c r="I517" s="618" t="s">
        <v>499</v>
      </c>
      <c r="J517" s="618" t="s">
        <v>3811</v>
      </c>
      <c r="K517" s="618" t="s">
        <v>4165</v>
      </c>
      <c r="L517" s="618"/>
      <c r="M517" s="619"/>
      <c r="N517" s="620"/>
      <c r="O517" s="620"/>
      <c r="P517" s="663" t="s">
        <v>4847</v>
      </c>
      <c r="Q517" s="621" t="s">
        <v>319</v>
      </c>
      <c r="R517" s="598"/>
      <c r="S517" s="598"/>
      <c r="T517" s="598"/>
      <c r="U517" s="598" t="s">
        <v>1015</v>
      </c>
      <c r="V517" s="663" t="s">
        <v>518</v>
      </c>
      <c r="W517" s="779" t="s">
        <v>3659</v>
      </c>
      <c r="X517" s="598" t="s">
        <v>950</v>
      </c>
      <c r="Y517" s="624">
        <v>22251</v>
      </c>
      <c r="Z517" s="625">
        <f t="shared" ca="1" si="10"/>
        <v>65</v>
      </c>
      <c r="AA517" s="616" t="s">
        <v>3660</v>
      </c>
      <c r="AB517" s="598" t="s">
        <v>3661</v>
      </c>
      <c r="AC517" s="598" t="s">
        <v>996</v>
      </c>
      <c r="AD517" s="598" t="s">
        <v>997</v>
      </c>
      <c r="AE517" s="616" t="s">
        <v>1078</v>
      </c>
      <c r="AF517" s="616" t="s">
        <v>1078</v>
      </c>
      <c r="AG517" s="616" t="s">
        <v>3578</v>
      </c>
      <c r="AH517" s="598"/>
      <c r="AI517" s="598"/>
      <c r="AJ517" s="634" t="s">
        <v>1359</v>
      </c>
      <c r="AK517" s="598"/>
      <c r="AL517" s="626"/>
      <c r="AM517" s="626"/>
    </row>
    <row r="518" spans="3:39" ht="18" customHeight="1">
      <c r="C518" s="598">
        <v>497</v>
      </c>
      <c r="D518" s="598" t="s">
        <v>4389</v>
      </c>
      <c r="E518" s="598">
        <f t="shared" si="9"/>
        <v>472</v>
      </c>
      <c r="F518" s="616" t="s">
        <v>3862</v>
      </c>
      <c r="G518" s="616" t="s">
        <v>4808</v>
      </c>
      <c r="H518" s="618" t="s">
        <v>3810</v>
      </c>
      <c r="I518" s="618" t="s">
        <v>499</v>
      </c>
      <c r="J518" s="618" t="s">
        <v>3811</v>
      </c>
      <c r="K518" s="618" t="s">
        <v>4165</v>
      </c>
      <c r="L518" s="618"/>
      <c r="M518" s="619"/>
      <c r="N518" s="620"/>
      <c r="O518" s="620"/>
      <c r="P518" s="663" t="s">
        <v>4847</v>
      </c>
      <c r="Q518" s="621" t="s">
        <v>319</v>
      </c>
      <c r="R518" s="598"/>
      <c r="S518" s="598"/>
      <c r="T518" s="598"/>
      <c r="U518" s="598" t="s">
        <v>1015</v>
      </c>
      <c r="V518" s="663" t="s">
        <v>526</v>
      </c>
      <c r="W518" s="779" t="s">
        <v>4390</v>
      </c>
      <c r="X518" s="598" t="s">
        <v>950</v>
      </c>
      <c r="Y518" s="624">
        <v>23509</v>
      </c>
      <c r="Z518" s="625">
        <f t="shared" ca="1" si="10"/>
        <v>61</v>
      </c>
      <c r="AA518" s="616" t="s">
        <v>4391</v>
      </c>
      <c r="AB518" s="598" t="s">
        <v>4392</v>
      </c>
      <c r="AC518" s="598" t="s">
        <v>996</v>
      </c>
      <c r="AD518" s="598" t="s">
        <v>1018</v>
      </c>
      <c r="AE518" s="616" t="s">
        <v>246</v>
      </c>
      <c r="AF518" s="616" t="s">
        <v>246</v>
      </c>
      <c r="AG518" s="616" t="s">
        <v>4393</v>
      </c>
      <c r="AH518" s="598"/>
      <c r="AI518" s="598"/>
      <c r="AJ518" s="634" t="s">
        <v>1359</v>
      </c>
      <c r="AK518" s="598"/>
      <c r="AL518" s="626"/>
      <c r="AM518" s="626"/>
    </row>
    <row r="519" spans="3:39" ht="18" customHeight="1">
      <c r="C519" s="598">
        <v>498</v>
      </c>
      <c r="D519" s="598" t="s">
        <v>4065</v>
      </c>
      <c r="E519" s="598">
        <f t="shared" si="9"/>
        <v>473</v>
      </c>
      <c r="F519" s="616" t="s">
        <v>3862</v>
      </c>
      <c r="G519" s="616" t="s">
        <v>4808</v>
      </c>
      <c r="H519" s="618" t="s">
        <v>3810</v>
      </c>
      <c r="I519" s="618" t="s">
        <v>499</v>
      </c>
      <c r="J519" s="618" t="s">
        <v>3811</v>
      </c>
      <c r="K519" s="618" t="s">
        <v>4165</v>
      </c>
      <c r="L519" s="618"/>
      <c r="M519" s="619"/>
      <c r="N519" s="620"/>
      <c r="O519" s="620"/>
      <c r="P519" s="663" t="s">
        <v>4847</v>
      </c>
      <c r="Q519" s="621" t="s">
        <v>319</v>
      </c>
      <c r="R519" s="598"/>
      <c r="S519" s="598"/>
      <c r="T519" s="598"/>
      <c r="U519" s="598" t="s">
        <v>1015</v>
      </c>
      <c r="V519" s="663" t="s">
        <v>534</v>
      </c>
      <c r="W519" s="779" t="s">
        <v>4066</v>
      </c>
      <c r="X519" s="598" t="s">
        <v>950</v>
      </c>
      <c r="Y519" s="624">
        <v>24081</v>
      </c>
      <c r="Z519" s="625">
        <f t="shared" ca="1" si="10"/>
        <v>60</v>
      </c>
      <c r="AA519" s="616" t="s">
        <v>4067</v>
      </c>
      <c r="AB519" s="598" t="s">
        <v>4068</v>
      </c>
      <c r="AC519" s="598" t="s">
        <v>996</v>
      </c>
      <c r="AD519" s="598" t="s">
        <v>997</v>
      </c>
      <c r="AE519" s="616" t="s">
        <v>246</v>
      </c>
      <c r="AF519" s="616" t="s">
        <v>246</v>
      </c>
      <c r="AG519" s="653" t="s">
        <v>4064</v>
      </c>
      <c r="AH519" s="598"/>
      <c r="AI519" s="598"/>
      <c r="AJ519" s="634" t="s">
        <v>1359</v>
      </c>
      <c r="AK519" s="598"/>
      <c r="AL519" s="626"/>
      <c r="AM519" s="626"/>
    </row>
    <row r="520" spans="3:39" ht="18" customHeight="1">
      <c r="C520" s="598">
        <v>499</v>
      </c>
      <c r="D520" s="598" t="s">
        <v>4364</v>
      </c>
      <c r="E520" s="598">
        <f t="shared" si="9"/>
        <v>474</v>
      </c>
      <c r="F520" s="616" t="s">
        <v>3862</v>
      </c>
      <c r="G520" s="616" t="s">
        <v>4808</v>
      </c>
      <c r="H520" s="618" t="s">
        <v>3810</v>
      </c>
      <c r="I520" s="618" t="s">
        <v>499</v>
      </c>
      <c r="J520" s="618" t="s">
        <v>3811</v>
      </c>
      <c r="K520" s="618" t="s">
        <v>4165</v>
      </c>
      <c r="L520" s="618"/>
      <c r="M520" s="619"/>
      <c r="N520" s="620"/>
      <c r="O520" s="620"/>
      <c r="P520" s="663" t="s">
        <v>4847</v>
      </c>
      <c r="Q520" s="621" t="s">
        <v>319</v>
      </c>
      <c r="R520" s="598"/>
      <c r="S520" s="598"/>
      <c r="T520" s="598"/>
      <c r="U520" s="598" t="s">
        <v>1015</v>
      </c>
      <c r="V520" s="663" t="s">
        <v>542</v>
      </c>
      <c r="W520" s="779" t="s">
        <v>4367</v>
      </c>
      <c r="X520" s="598" t="s">
        <v>950</v>
      </c>
      <c r="Y520" s="624">
        <v>25716</v>
      </c>
      <c r="Z520" s="625">
        <f t="shared" ca="1" si="10"/>
        <v>55</v>
      </c>
      <c r="AA520" s="616" t="s">
        <v>4368</v>
      </c>
      <c r="AB520" s="598" t="s">
        <v>4369</v>
      </c>
      <c r="AC520" s="598" t="s">
        <v>996</v>
      </c>
      <c r="AD520" s="598" t="s">
        <v>997</v>
      </c>
      <c r="AE520" s="616" t="s">
        <v>246</v>
      </c>
      <c r="AF520" s="616" t="s">
        <v>246</v>
      </c>
      <c r="AG520" s="616" t="s">
        <v>4312</v>
      </c>
      <c r="AH520" s="598"/>
      <c r="AI520" s="598"/>
      <c r="AJ520" s="634" t="s">
        <v>1359</v>
      </c>
      <c r="AK520" s="598"/>
      <c r="AL520" s="626"/>
      <c r="AM520" s="626"/>
    </row>
    <row r="521" spans="3:39" ht="18" customHeight="1">
      <c r="C521" s="598">
        <v>500</v>
      </c>
      <c r="D521" s="598" t="s">
        <v>3613</v>
      </c>
      <c r="E521" s="598">
        <f t="shared" si="9"/>
        <v>475</v>
      </c>
      <c r="F521" s="616" t="s">
        <v>4978</v>
      </c>
      <c r="G521" s="616" t="s">
        <v>4808</v>
      </c>
      <c r="H521" s="618" t="s">
        <v>3810</v>
      </c>
      <c r="I521" s="618" t="s">
        <v>499</v>
      </c>
      <c r="J521" s="618" t="s">
        <v>3811</v>
      </c>
      <c r="K521" s="618" t="s">
        <v>4165</v>
      </c>
      <c r="L521" s="618"/>
      <c r="M521" s="619"/>
      <c r="N521" s="620"/>
      <c r="O521" s="620"/>
      <c r="P521" s="663" t="s">
        <v>4847</v>
      </c>
      <c r="Q521" s="621" t="s">
        <v>319</v>
      </c>
      <c r="R521" s="598"/>
      <c r="S521" s="598"/>
      <c r="T521" s="598"/>
      <c r="U521" s="598" t="s">
        <v>1015</v>
      </c>
      <c r="V521" s="663" t="s">
        <v>549</v>
      </c>
      <c r="W521" s="779" t="s">
        <v>3614</v>
      </c>
      <c r="X521" s="598" t="s">
        <v>950</v>
      </c>
      <c r="Y521" s="624">
        <v>26041</v>
      </c>
      <c r="Z521" s="625">
        <f t="shared" ca="1" si="10"/>
        <v>54</v>
      </c>
      <c r="AA521" s="616" t="s">
        <v>3615</v>
      </c>
      <c r="AB521" s="598" t="s">
        <v>3616</v>
      </c>
      <c r="AC521" s="598" t="s">
        <v>996</v>
      </c>
      <c r="AD521" s="598" t="s">
        <v>1018</v>
      </c>
      <c r="AE521" s="616" t="s">
        <v>973</v>
      </c>
      <c r="AF521" s="616" t="s">
        <v>973</v>
      </c>
      <c r="AG521" s="616" t="s">
        <v>3509</v>
      </c>
      <c r="AH521" s="598"/>
      <c r="AI521" s="598"/>
      <c r="AJ521" s="634" t="s">
        <v>1359</v>
      </c>
      <c r="AK521" s="598"/>
      <c r="AL521" s="626"/>
      <c r="AM521" s="626"/>
    </row>
    <row r="522" spans="3:39" ht="18" customHeight="1">
      <c r="C522" s="598">
        <v>501</v>
      </c>
      <c r="D522" s="598" t="s">
        <v>4848</v>
      </c>
      <c r="E522" s="598">
        <f t="shared" si="9"/>
        <v>476</v>
      </c>
      <c r="F522" s="616" t="s">
        <v>3862</v>
      </c>
      <c r="G522" s="616" t="s">
        <v>4808</v>
      </c>
      <c r="H522" s="618" t="s">
        <v>3810</v>
      </c>
      <c r="I522" s="618" t="s">
        <v>499</v>
      </c>
      <c r="J522" s="618" t="s">
        <v>3811</v>
      </c>
      <c r="K522" s="618" t="s">
        <v>4165</v>
      </c>
      <c r="L522" s="618"/>
      <c r="M522" s="619"/>
      <c r="N522" s="620"/>
      <c r="O522" s="620"/>
      <c r="P522" s="663" t="s">
        <v>4847</v>
      </c>
      <c r="Q522" s="621" t="s">
        <v>319</v>
      </c>
      <c r="R522" s="598"/>
      <c r="S522" s="598"/>
      <c r="T522" s="598"/>
      <c r="U522" s="598" t="s">
        <v>1015</v>
      </c>
      <c r="V522" s="663" t="s">
        <v>555</v>
      </c>
      <c r="W522" s="779" t="s">
        <v>4849</v>
      </c>
      <c r="X522" s="598" t="s">
        <v>950</v>
      </c>
      <c r="Y522" s="624">
        <v>26626</v>
      </c>
      <c r="Z522" s="625">
        <f t="shared" ca="1" si="10"/>
        <v>53</v>
      </c>
      <c r="AA522" s="616" t="s">
        <v>4850</v>
      </c>
      <c r="AB522" s="652"/>
      <c r="AC522" s="598" t="s">
        <v>996</v>
      </c>
      <c r="AD522" s="598" t="s">
        <v>1018</v>
      </c>
      <c r="AE522" s="616" t="s">
        <v>246</v>
      </c>
      <c r="AF522" s="616" t="s">
        <v>246</v>
      </c>
      <c r="AG522" s="616" t="s">
        <v>4851</v>
      </c>
      <c r="AH522" s="598"/>
      <c r="AI522" s="598" t="s">
        <v>4702</v>
      </c>
      <c r="AJ522" s="634" t="s">
        <v>1359</v>
      </c>
      <c r="AK522" s="598"/>
      <c r="AL522" s="626"/>
      <c r="AM522" s="626"/>
    </row>
    <row r="523" spans="3:39" ht="18" customHeight="1">
      <c r="C523" s="598">
        <v>502</v>
      </c>
      <c r="D523" s="598" t="s">
        <v>4374</v>
      </c>
      <c r="E523" s="598">
        <f t="shared" si="9"/>
        <v>477</v>
      </c>
      <c r="F523" s="616" t="s">
        <v>3862</v>
      </c>
      <c r="G523" s="616" t="s">
        <v>4808</v>
      </c>
      <c r="H523" s="618" t="s">
        <v>3810</v>
      </c>
      <c r="I523" s="618" t="s">
        <v>499</v>
      </c>
      <c r="J523" s="618" t="s">
        <v>3811</v>
      </c>
      <c r="K523" s="618" t="s">
        <v>4165</v>
      </c>
      <c r="L523" s="618"/>
      <c r="M523" s="619"/>
      <c r="N523" s="620"/>
      <c r="O523" s="620"/>
      <c r="P523" s="663" t="s">
        <v>4847</v>
      </c>
      <c r="Q523" s="621" t="s">
        <v>319</v>
      </c>
      <c r="R523" s="598"/>
      <c r="S523" s="598"/>
      <c r="T523" s="598"/>
      <c r="U523" s="598" t="s">
        <v>1015</v>
      </c>
      <c r="V523" s="663" t="s">
        <v>560</v>
      </c>
      <c r="W523" s="779" t="s">
        <v>4375</v>
      </c>
      <c r="X523" s="598" t="s">
        <v>950</v>
      </c>
      <c r="Y523" s="624">
        <v>27940</v>
      </c>
      <c r="Z523" s="625">
        <f t="shared" ca="1" si="10"/>
        <v>49</v>
      </c>
      <c r="AA523" s="616" t="s">
        <v>4376</v>
      </c>
      <c r="AB523" s="598" t="s">
        <v>4377</v>
      </c>
      <c r="AC523" s="598" t="s">
        <v>996</v>
      </c>
      <c r="AD523" s="598" t="s">
        <v>997</v>
      </c>
      <c r="AE523" s="616" t="s">
        <v>246</v>
      </c>
      <c r="AF523" s="616" t="s">
        <v>246</v>
      </c>
      <c r="AG523" s="616" t="s">
        <v>4265</v>
      </c>
      <c r="AH523" s="598"/>
      <c r="AI523" s="598"/>
      <c r="AJ523" s="634" t="s">
        <v>1359</v>
      </c>
      <c r="AK523" s="598"/>
      <c r="AL523" s="626"/>
      <c r="AM523" s="626"/>
    </row>
    <row r="524" spans="3:39" ht="18" customHeight="1">
      <c r="C524" s="598">
        <v>503</v>
      </c>
      <c r="D524" s="598" t="s">
        <v>3617</v>
      </c>
      <c r="E524" s="598">
        <f t="shared" si="9"/>
        <v>478</v>
      </c>
      <c r="F524" s="616" t="s">
        <v>4978</v>
      </c>
      <c r="G524" s="616" t="s">
        <v>4808</v>
      </c>
      <c r="H524" s="618" t="s">
        <v>3810</v>
      </c>
      <c r="I524" s="618" t="s">
        <v>499</v>
      </c>
      <c r="J524" s="618" t="s">
        <v>3811</v>
      </c>
      <c r="K524" s="618" t="s">
        <v>4165</v>
      </c>
      <c r="L524" s="618"/>
      <c r="M524" s="619"/>
      <c r="N524" s="620"/>
      <c r="O524" s="620"/>
      <c r="P524" s="673" t="s">
        <v>4847</v>
      </c>
      <c r="Q524" s="621" t="s">
        <v>319</v>
      </c>
      <c r="R524" s="598"/>
      <c r="S524" s="598"/>
      <c r="T524" s="598"/>
      <c r="U524" s="598" t="s">
        <v>1015</v>
      </c>
      <c r="V524" s="673" t="s">
        <v>566</v>
      </c>
      <c r="W524" s="779" t="s">
        <v>3618</v>
      </c>
      <c r="X524" s="598" t="s">
        <v>950</v>
      </c>
      <c r="Y524" s="624">
        <v>31512</v>
      </c>
      <c r="Z524" s="625">
        <f t="shared" ca="1" si="10"/>
        <v>39</v>
      </c>
      <c r="AA524" s="616" t="s">
        <v>3619</v>
      </c>
      <c r="AB524" s="598" t="s">
        <v>3620</v>
      </c>
      <c r="AC524" s="598" t="s">
        <v>996</v>
      </c>
      <c r="AD524" s="598" t="s">
        <v>1018</v>
      </c>
      <c r="AE524" s="616" t="s">
        <v>973</v>
      </c>
      <c r="AF524" s="616" t="s">
        <v>973</v>
      </c>
      <c r="AG524" s="616" t="s">
        <v>3509</v>
      </c>
      <c r="AH524" s="598"/>
      <c r="AI524" s="598"/>
      <c r="AJ524" s="634" t="s">
        <v>1359</v>
      </c>
      <c r="AK524" s="598"/>
      <c r="AL524" s="626"/>
      <c r="AM524" s="626"/>
    </row>
    <row r="525" spans="3:39" ht="18" customHeight="1">
      <c r="C525" s="598">
        <v>504</v>
      </c>
      <c r="D525" s="598" t="s">
        <v>3811</v>
      </c>
      <c r="E525" s="598">
        <f t="shared" si="9"/>
        <v>478</v>
      </c>
      <c r="F525" s="616"/>
      <c r="G525" s="616" t="s">
        <v>4808</v>
      </c>
      <c r="H525" s="618" t="s">
        <v>3810</v>
      </c>
      <c r="I525" s="618" t="s">
        <v>499</v>
      </c>
      <c r="J525" s="618" t="s">
        <v>3811</v>
      </c>
      <c r="K525" s="618" t="s">
        <v>3811</v>
      </c>
      <c r="L525" s="618" t="s">
        <v>3631</v>
      </c>
      <c r="M525" s="743" t="s">
        <v>3632</v>
      </c>
      <c r="N525" s="620"/>
      <c r="O525" s="620"/>
      <c r="P525" s="667" t="s">
        <v>1115</v>
      </c>
      <c r="Q525" s="621"/>
      <c r="R525" s="598" t="s">
        <v>173</v>
      </c>
      <c r="S525" s="598" t="s">
        <v>514</v>
      </c>
      <c r="T525" s="598" t="s">
        <v>55</v>
      </c>
      <c r="U525" s="598"/>
      <c r="V525" s="667" t="s">
        <v>512</v>
      </c>
      <c r="W525" s="779" t="s">
        <v>4173</v>
      </c>
      <c r="X525" s="598" t="s">
        <v>950</v>
      </c>
      <c r="Y525" s="624">
        <v>22147</v>
      </c>
      <c r="Z525" s="625">
        <f t="shared" ca="1" si="10"/>
        <v>65</v>
      </c>
      <c r="AA525" s="616" t="s">
        <v>4174</v>
      </c>
      <c r="AB525" s="598"/>
      <c r="AC525" s="598" t="s">
        <v>996</v>
      </c>
      <c r="AD525" s="598" t="s">
        <v>953</v>
      </c>
      <c r="AE525" s="616" t="s">
        <v>246</v>
      </c>
      <c r="AF525" s="616" t="s">
        <v>246</v>
      </c>
      <c r="AG525" s="616" t="s">
        <v>3815</v>
      </c>
      <c r="AH525" s="598" t="s">
        <v>955</v>
      </c>
      <c r="AI525" s="598"/>
      <c r="AJ525" s="598"/>
      <c r="AK525" s="598"/>
      <c r="AL525" s="626"/>
      <c r="AM525" s="626"/>
    </row>
    <row r="526" spans="3:39" ht="18" customHeight="1">
      <c r="C526" s="598">
        <v>505</v>
      </c>
      <c r="D526" s="598" t="s">
        <v>3631</v>
      </c>
      <c r="E526" s="598">
        <f t="shared" si="9"/>
        <v>479</v>
      </c>
      <c r="F526" s="616" t="s">
        <v>1810</v>
      </c>
      <c r="G526" s="616" t="s">
        <v>4808</v>
      </c>
      <c r="H526" s="618" t="s">
        <v>3810</v>
      </c>
      <c r="I526" s="618" t="s">
        <v>499</v>
      </c>
      <c r="J526" s="618" t="s">
        <v>3811</v>
      </c>
      <c r="K526" s="618" t="s">
        <v>3811</v>
      </c>
      <c r="L526" s="618" t="s">
        <v>3631</v>
      </c>
      <c r="M526" s="743" t="s">
        <v>3632</v>
      </c>
      <c r="N526" s="620"/>
      <c r="O526" s="620"/>
      <c r="P526" s="663" t="s">
        <v>1115</v>
      </c>
      <c r="Q526" s="621"/>
      <c r="R526" s="598" t="s">
        <v>69</v>
      </c>
      <c r="S526" s="598" t="s">
        <v>562</v>
      </c>
      <c r="T526" s="598"/>
      <c r="U526" s="598" t="s">
        <v>1015</v>
      </c>
      <c r="V526" s="663" t="s">
        <v>3633</v>
      </c>
      <c r="W526" s="779" t="s">
        <v>3634</v>
      </c>
      <c r="X526" s="598" t="s">
        <v>950</v>
      </c>
      <c r="Y526" s="624">
        <v>22474</v>
      </c>
      <c r="Z526" s="625">
        <f t="shared" ca="1" si="10"/>
        <v>64</v>
      </c>
      <c r="AA526" s="616" t="s">
        <v>2872</v>
      </c>
      <c r="AB526" s="598" t="s">
        <v>3635</v>
      </c>
      <c r="AC526" s="598" t="s">
        <v>996</v>
      </c>
      <c r="AD526" s="598" t="s">
        <v>997</v>
      </c>
      <c r="AE526" s="616" t="s">
        <v>1078</v>
      </c>
      <c r="AF526" s="616" t="s">
        <v>1078</v>
      </c>
      <c r="AG526" s="616" t="s">
        <v>3578</v>
      </c>
      <c r="AH526" s="598"/>
      <c r="AI526" s="598"/>
      <c r="AJ526" s="598" t="s">
        <v>1125</v>
      </c>
      <c r="AK526" s="598" t="s">
        <v>3510</v>
      </c>
      <c r="AL526" s="626"/>
      <c r="AM526" s="626"/>
    </row>
    <row r="527" spans="3:39" ht="18" customHeight="1">
      <c r="C527" s="598">
        <v>506</v>
      </c>
      <c r="D527" s="598" t="s">
        <v>4292</v>
      </c>
      <c r="E527" s="598">
        <f t="shared" si="9"/>
        <v>480</v>
      </c>
      <c r="F527" s="616" t="s">
        <v>3862</v>
      </c>
      <c r="G527" s="616" t="s">
        <v>4808</v>
      </c>
      <c r="H527" s="618" t="s">
        <v>3810</v>
      </c>
      <c r="I527" s="618" t="s">
        <v>499</v>
      </c>
      <c r="J527" s="618" t="s">
        <v>3811</v>
      </c>
      <c r="K527" s="618" t="s">
        <v>3811</v>
      </c>
      <c r="L527" s="618" t="s">
        <v>3631</v>
      </c>
      <c r="M527" s="743" t="s">
        <v>3632</v>
      </c>
      <c r="N527" s="620"/>
      <c r="O527" s="620"/>
      <c r="P527" s="663" t="s">
        <v>1115</v>
      </c>
      <c r="Q527" s="621"/>
      <c r="R527" s="598"/>
      <c r="S527" s="598"/>
      <c r="T527" s="598"/>
      <c r="U527" s="598" t="s">
        <v>1090</v>
      </c>
      <c r="V527" s="663" t="s">
        <v>4293</v>
      </c>
      <c r="W527" s="779" t="s">
        <v>4294</v>
      </c>
      <c r="X527" s="598" t="s">
        <v>950</v>
      </c>
      <c r="Y527" s="624">
        <v>18510</v>
      </c>
      <c r="Z527" s="625">
        <f t="shared" ca="1" si="10"/>
        <v>75</v>
      </c>
      <c r="AA527" s="616" t="s">
        <v>4295</v>
      </c>
      <c r="AB527" s="598" t="s">
        <v>4296</v>
      </c>
      <c r="AC527" s="598" t="s">
        <v>996</v>
      </c>
      <c r="AD527" s="598" t="s">
        <v>997</v>
      </c>
      <c r="AE527" s="616" t="s">
        <v>246</v>
      </c>
      <c r="AF527" s="616" t="s">
        <v>246</v>
      </c>
      <c r="AG527" s="616" t="s">
        <v>4297</v>
      </c>
      <c r="AH527" s="598"/>
      <c r="AI527" s="598"/>
      <c r="AJ527" s="598" t="s">
        <v>1125</v>
      </c>
      <c r="AK527" s="598" t="s">
        <v>3510</v>
      </c>
      <c r="AL527" s="626"/>
      <c r="AM527" s="626"/>
    </row>
    <row r="528" spans="3:39" ht="18" customHeight="1">
      <c r="C528" s="598">
        <v>507</v>
      </c>
      <c r="D528" s="598" t="s">
        <v>4287</v>
      </c>
      <c r="E528" s="598">
        <f t="shared" si="9"/>
        <v>481</v>
      </c>
      <c r="F528" s="616" t="s">
        <v>3862</v>
      </c>
      <c r="G528" s="616" t="s">
        <v>4808</v>
      </c>
      <c r="H528" s="618" t="s">
        <v>3810</v>
      </c>
      <c r="I528" s="618" t="s">
        <v>499</v>
      </c>
      <c r="J528" s="618" t="s">
        <v>3811</v>
      </c>
      <c r="K528" s="618" t="s">
        <v>3811</v>
      </c>
      <c r="L528" s="618" t="s">
        <v>3631</v>
      </c>
      <c r="M528" s="743" t="s">
        <v>3632</v>
      </c>
      <c r="N528" s="620"/>
      <c r="O528" s="620"/>
      <c r="P528" s="663" t="s">
        <v>1115</v>
      </c>
      <c r="Q528" s="621"/>
      <c r="R528" s="598"/>
      <c r="S528" s="598"/>
      <c r="T528" s="598"/>
      <c r="U528" s="598" t="s">
        <v>1015</v>
      </c>
      <c r="V528" s="663" t="s">
        <v>4288</v>
      </c>
      <c r="W528" s="779" t="s">
        <v>4289</v>
      </c>
      <c r="X528" s="598" t="s">
        <v>950</v>
      </c>
      <c r="Y528" s="624">
        <v>20474</v>
      </c>
      <c r="Z528" s="625">
        <f t="shared" ca="1" si="10"/>
        <v>70</v>
      </c>
      <c r="AA528" s="616" t="s">
        <v>4290</v>
      </c>
      <c r="AB528" s="598" t="s">
        <v>4291</v>
      </c>
      <c r="AC528" s="598" t="s">
        <v>996</v>
      </c>
      <c r="AD528" s="598" t="s">
        <v>997</v>
      </c>
      <c r="AE528" s="616" t="s">
        <v>246</v>
      </c>
      <c r="AF528" s="616" t="s">
        <v>246</v>
      </c>
      <c r="AG528" s="616" t="s">
        <v>3824</v>
      </c>
      <c r="AH528" s="598"/>
      <c r="AI528" s="598"/>
      <c r="AJ528" s="598" t="s">
        <v>1125</v>
      </c>
      <c r="AK528" s="598" t="s">
        <v>3510</v>
      </c>
      <c r="AL528" s="626"/>
      <c r="AM528" s="626"/>
    </row>
    <row r="529" spans="1:39" ht="18" customHeight="1">
      <c r="C529" s="598">
        <v>508</v>
      </c>
      <c r="D529" s="598" t="s">
        <v>4383</v>
      </c>
      <c r="E529" s="598">
        <f t="shared" si="9"/>
        <v>482</v>
      </c>
      <c r="F529" s="616" t="s">
        <v>3862</v>
      </c>
      <c r="G529" s="616" t="s">
        <v>4808</v>
      </c>
      <c r="H529" s="618" t="s">
        <v>3810</v>
      </c>
      <c r="I529" s="618" t="s">
        <v>499</v>
      </c>
      <c r="J529" s="618" t="s">
        <v>3811</v>
      </c>
      <c r="K529" s="618" t="s">
        <v>3811</v>
      </c>
      <c r="L529" s="618" t="s">
        <v>3631</v>
      </c>
      <c r="M529" s="743" t="s">
        <v>3632</v>
      </c>
      <c r="N529" s="620"/>
      <c r="O529" s="620"/>
      <c r="P529" s="663" t="s">
        <v>1115</v>
      </c>
      <c r="Q529" s="621"/>
      <c r="R529" s="598"/>
      <c r="S529" s="598"/>
      <c r="T529" s="598"/>
      <c r="U529" s="598" t="s">
        <v>1015</v>
      </c>
      <c r="V529" s="663" t="s">
        <v>4384</v>
      </c>
      <c r="W529" s="779" t="s">
        <v>4385</v>
      </c>
      <c r="X529" s="598" t="s">
        <v>950</v>
      </c>
      <c r="Y529" s="624">
        <v>22535</v>
      </c>
      <c r="Z529" s="625">
        <f t="shared" ca="1" si="10"/>
        <v>64</v>
      </c>
      <c r="AA529" s="616" t="s">
        <v>4386</v>
      </c>
      <c r="AB529" s="598" t="s">
        <v>4387</v>
      </c>
      <c r="AC529" s="598" t="s">
        <v>996</v>
      </c>
      <c r="AD529" s="598" t="s">
        <v>1018</v>
      </c>
      <c r="AE529" s="616" t="s">
        <v>246</v>
      </c>
      <c r="AF529" s="616" t="s">
        <v>246</v>
      </c>
      <c r="AG529" s="616" t="s">
        <v>4388</v>
      </c>
      <c r="AH529" s="598"/>
      <c r="AI529" s="598"/>
      <c r="AJ529" s="598" t="s">
        <v>1125</v>
      </c>
      <c r="AK529" s="598" t="s">
        <v>3510</v>
      </c>
      <c r="AL529" s="626"/>
      <c r="AM529" s="626"/>
    </row>
    <row r="530" spans="1:39" ht="18" customHeight="1">
      <c r="C530" s="598">
        <v>509</v>
      </c>
      <c r="D530" s="598" t="s">
        <v>4298</v>
      </c>
      <c r="E530" s="598">
        <f t="shared" si="9"/>
        <v>483</v>
      </c>
      <c r="F530" s="616" t="s">
        <v>3862</v>
      </c>
      <c r="G530" s="616" t="s">
        <v>4808</v>
      </c>
      <c r="H530" s="618" t="s">
        <v>3810</v>
      </c>
      <c r="I530" s="618" t="s">
        <v>499</v>
      </c>
      <c r="J530" s="618" t="s">
        <v>3811</v>
      </c>
      <c r="K530" s="618" t="s">
        <v>3811</v>
      </c>
      <c r="L530" s="618" t="s">
        <v>3631</v>
      </c>
      <c r="M530" s="743" t="s">
        <v>3632</v>
      </c>
      <c r="N530" s="620"/>
      <c r="O530" s="620"/>
      <c r="P530" s="663" t="s">
        <v>1115</v>
      </c>
      <c r="Q530" s="621"/>
      <c r="R530" s="598"/>
      <c r="S530" s="598"/>
      <c r="T530" s="598"/>
      <c r="U530" s="598" t="s">
        <v>1015</v>
      </c>
      <c r="V530" s="663" t="s">
        <v>4299</v>
      </c>
      <c r="W530" s="779" t="s">
        <v>4300</v>
      </c>
      <c r="X530" s="598" t="s">
        <v>950</v>
      </c>
      <c r="Y530" s="624">
        <v>22940</v>
      </c>
      <c r="Z530" s="625">
        <f t="shared" ca="1" si="10"/>
        <v>63</v>
      </c>
      <c r="AA530" s="616" t="s">
        <v>4301</v>
      </c>
      <c r="AB530" s="598" t="s">
        <v>4302</v>
      </c>
      <c r="AC530" s="598" t="s">
        <v>996</v>
      </c>
      <c r="AD530" s="598" t="s">
        <v>1018</v>
      </c>
      <c r="AE530" s="616" t="s">
        <v>246</v>
      </c>
      <c r="AF530" s="616" t="s">
        <v>246</v>
      </c>
      <c r="AG530" s="653" t="s">
        <v>4059</v>
      </c>
      <c r="AH530" s="598"/>
      <c r="AI530" s="598"/>
      <c r="AJ530" s="598" t="s">
        <v>1125</v>
      </c>
      <c r="AK530" s="598" t="s">
        <v>3510</v>
      </c>
      <c r="AL530" s="626"/>
      <c r="AM530" s="626"/>
    </row>
    <row r="531" spans="1:39" ht="18" customHeight="1">
      <c r="C531" s="598">
        <v>510</v>
      </c>
      <c r="D531" s="598" t="s">
        <v>3632</v>
      </c>
      <c r="E531" s="598">
        <f t="shared" si="9"/>
        <v>484</v>
      </c>
      <c r="F531" s="616" t="s">
        <v>1810</v>
      </c>
      <c r="G531" s="616" t="s">
        <v>4808</v>
      </c>
      <c r="H531" s="618" t="s">
        <v>3810</v>
      </c>
      <c r="I531" s="618" t="s">
        <v>499</v>
      </c>
      <c r="J531" s="618" t="s">
        <v>3811</v>
      </c>
      <c r="K531" s="618" t="s">
        <v>3811</v>
      </c>
      <c r="L531" s="618" t="s">
        <v>3631</v>
      </c>
      <c r="M531" s="743" t="s">
        <v>3632</v>
      </c>
      <c r="N531" s="620"/>
      <c r="O531" s="620"/>
      <c r="P531" s="663" t="s">
        <v>1115</v>
      </c>
      <c r="Q531" s="621"/>
      <c r="R531" s="598" t="s">
        <v>69</v>
      </c>
      <c r="S531" s="598" t="s">
        <v>562</v>
      </c>
      <c r="T531" s="598"/>
      <c r="U531" s="598" t="s">
        <v>1090</v>
      </c>
      <c r="V531" s="663" t="s">
        <v>3638</v>
      </c>
      <c r="W531" s="779" t="s">
        <v>3639</v>
      </c>
      <c r="X531" s="598" t="s">
        <v>950</v>
      </c>
      <c r="Y531" s="624">
        <v>20435</v>
      </c>
      <c r="Z531" s="625">
        <f t="shared" ca="1" si="10"/>
        <v>70</v>
      </c>
      <c r="AA531" s="616" t="s">
        <v>3640</v>
      </c>
      <c r="AB531" s="598" t="s">
        <v>3641</v>
      </c>
      <c r="AC531" s="598" t="s">
        <v>996</v>
      </c>
      <c r="AD531" s="598" t="s">
        <v>997</v>
      </c>
      <c r="AE531" s="616" t="s">
        <v>1078</v>
      </c>
      <c r="AF531" s="616" t="s">
        <v>1078</v>
      </c>
      <c r="AG531" s="616" t="s">
        <v>3578</v>
      </c>
      <c r="AH531" s="598"/>
      <c r="AI531" s="598"/>
      <c r="AJ531" s="598" t="s">
        <v>1125</v>
      </c>
      <c r="AK531" s="598" t="s">
        <v>3510</v>
      </c>
      <c r="AL531" s="626"/>
      <c r="AM531" s="626"/>
    </row>
    <row r="532" spans="1:39" ht="18" customHeight="1">
      <c r="C532" s="598">
        <v>511</v>
      </c>
      <c r="D532" s="598" t="s">
        <v>2858</v>
      </c>
      <c r="E532" s="598">
        <f t="shared" si="9"/>
        <v>485</v>
      </c>
      <c r="F532" s="616" t="s">
        <v>1798</v>
      </c>
      <c r="G532" s="616" t="s">
        <v>4808</v>
      </c>
      <c r="H532" s="618" t="s">
        <v>3810</v>
      </c>
      <c r="I532" s="618" t="s">
        <v>499</v>
      </c>
      <c r="J532" s="618" t="s">
        <v>3811</v>
      </c>
      <c r="K532" s="618" t="s">
        <v>3811</v>
      </c>
      <c r="L532" s="618" t="s">
        <v>3631</v>
      </c>
      <c r="M532" s="743" t="s">
        <v>3632</v>
      </c>
      <c r="N532" s="620"/>
      <c r="O532" s="620"/>
      <c r="P532" s="663" t="s">
        <v>1115</v>
      </c>
      <c r="Q532" s="621"/>
      <c r="R532" s="598"/>
      <c r="S532" s="598"/>
      <c r="T532" s="598"/>
      <c r="U532" s="598" t="s">
        <v>1090</v>
      </c>
      <c r="V532" s="663" t="s">
        <v>2859</v>
      </c>
      <c r="W532" s="779" t="s">
        <v>2860</v>
      </c>
      <c r="X532" s="598" t="s">
        <v>950</v>
      </c>
      <c r="Y532" s="624">
        <v>18484</v>
      </c>
      <c r="Z532" s="625">
        <f t="shared" ca="1" si="10"/>
        <v>75</v>
      </c>
      <c r="AA532" s="616" t="s">
        <v>2861</v>
      </c>
      <c r="AB532" s="598" t="s">
        <v>2862</v>
      </c>
      <c r="AC532" s="598" t="s">
        <v>966</v>
      </c>
      <c r="AD532" s="598" t="s">
        <v>953</v>
      </c>
      <c r="AE532" s="616" t="s">
        <v>1041</v>
      </c>
      <c r="AF532" s="616" t="s">
        <v>1250</v>
      </c>
      <c r="AG532" s="616" t="s">
        <v>2863</v>
      </c>
      <c r="AH532" s="598"/>
      <c r="AI532" s="598"/>
      <c r="AJ532" s="598" t="s">
        <v>1125</v>
      </c>
      <c r="AK532" s="598"/>
      <c r="AL532" s="626"/>
      <c r="AM532" s="626"/>
    </row>
    <row r="533" spans="1:39" ht="18" customHeight="1">
      <c r="C533" s="598">
        <v>512</v>
      </c>
      <c r="D533" s="598" t="s">
        <v>2869</v>
      </c>
      <c r="E533" s="598">
        <f t="shared" si="9"/>
        <v>486</v>
      </c>
      <c r="F533" s="616" t="s">
        <v>1798</v>
      </c>
      <c r="G533" s="616" t="s">
        <v>4808</v>
      </c>
      <c r="H533" s="618" t="s">
        <v>3810</v>
      </c>
      <c r="I533" s="618" t="s">
        <v>499</v>
      </c>
      <c r="J533" s="618" t="s">
        <v>3811</v>
      </c>
      <c r="K533" s="618" t="s">
        <v>3811</v>
      </c>
      <c r="L533" s="618" t="s">
        <v>3631</v>
      </c>
      <c r="M533" s="743" t="s">
        <v>3632</v>
      </c>
      <c r="N533" s="620"/>
      <c r="O533" s="620"/>
      <c r="P533" s="663" t="s">
        <v>1115</v>
      </c>
      <c r="Q533" s="621"/>
      <c r="R533" s="598"/>
      <c r="S533" s="598"/>
      <c r="T533" s="598"/>
      <c r="U533" s="598" t="s">
        <v>1015</v>
      </c>
      <c r="V533" s="663" t="s">
        <v>2870</v>
      </c>
      <c r="W533" s="779" t="s">
        <v>2871</v>
      </c>
      <c r="X533" s="598" t="s">
        <v>950</v>
      </c>
      <c r="Y533" s="624">
        <v>22162</v>
      </c>
      <c r="Z533" s="625">
        <f t="shared" ca="1" si="10"/>
        <v>65</v>
      </c>
      <c r="AA533" s="616" t="s">
        <v>2872</v>
      </c>
      <c r="AB533" s="598" t="s">
        <v>2873</v>
      </c>
      <c r="AC533" s="598" t="s">
        <v>966</v>
      </c>
      <c r="AD533" s="598" t="s">
        <v>953</v>
      </c>
      <c r="AE533" s="616" t="s">
        <v>1041</v>
      </c>
      <c r="AF533" s="721" t="s">
        <v>1041</v>
      </c>
      <c r="AG533" s="616" t="s">
        <v>1382</v>
      </c>
      <c r="AH533" s="598"/>
      <c r="AI533" s="598"/>
      <c r="AJ533" s="598" t="s">
        <v>1125</v>
      </c>
      <c r="AK533" s="598"/>
      <c r="AL533" s="626"/>
      <c r="AM533" s="626"/>
    </row>
    <row r="534" spans="1:39" ht="18" customHeight="1">
      <c r="C534" s="598">
        <v>513</v>
      </c>
      <c r="D534" s="598" t="s">
        <v>2874</v>
      </c>
      <c r="E534" s="598">
        <f t="shared" si="9"/>
        <v>487</v>
      </c>
      <c r="F534" s="616" t="s">
        <v>1798</v>
      </c>
      <c r="G534" s="616" t="s">
        <v>4808</v>
      </c>
      <c r="H534" s="618" t="s">
        <v>3810</v>
      </c>
      <c r="I534" s="618" t="s">
        <v>499</v>
      </c>
      <c r="J534" s="618" t="s">
        <v>3811</v>
      </c>
      <c r="K534" s="618" t="s">
        <v>3811</v>
      </c>
      <c r="L534" s="618" t="s">
        <v>3631</v>
      </c>
      <c r="M534" s="743" t="s">
        <v>3632</v>
      </c>
      <c r="N534" s="620"/>
      <c r="O534" s="620"/>
      <c r="P534" s="663" t="s">
        <v>1115</v>
      </c>
      <c r="Q534" s="621"/>
      <c r="R534" s="598"/>
      <c r="S534" s="598"/>
      <c r="T534" s="598"/>
      <c r="U534" s="598" t="s">
        <v>1015</v>
      </c>
      <c r="V534" s="663" t="s">
        <v>2875</v>
      </c>
      <c r="W534" s="779" t="s">
        <v>2876</v>
      </c>
      <c r="X534" s="598" t="s">
        <v>950</v>
      </c>
      <c r="Y534" s="624">
        <v>23624</v>
      </c>
      <c r="Z534" s="625">
        <f t="shared" ca="1" si="10"/>
        <v>61</v>
      </c>
      <c r="AA534" s="616" t="s">
        <v>2877</v>
      </c>
      <c r="AB534" s="598" t="s">
        <v>2878</v>
      </c>
      <c r="AC534" s="598" t="s">
        <v>996</v>
      </c>
      <c r="AD534" s="598" t="s">
        <v>1018</v>
      </c>
      <c r="AE534" s="616" t="s">
        <v>1041</v>
      </c>
      <c r="AF534" s="721" t="s">
        <v>1041</v>
      </c>
      <c r="AG534" s="616" t="s">
        <v>2789</v>
      </c>
      <c r="AH534" s="598"/>
      <c r="AI534" s="598"/>
      <c r="AJ534" s="598" t="s">
        <v>1125</v>
      </c>
      <c r="AK534" s="598"/>
      <c r="AL534" s="626"/>
      <c r="AM534" s="626"/>
    </row>
    <row r="535" spans="1:39" ht="18" customHeight="1">
      <c r="C535" s="598">
        <v>514</v>
      </c>
      <c r="D535" s="598" t="s">
        <v>4105</v>
      </c>
      <c r="E535" s="598">
        <f t="shared" si="9"/>
        <v>488</v>
      </c>
      <c r="F535" s="616" t="s">
        <v>3808</v>
      </c>
      <c r="G535" s="616" t="s">
        <v>4808</v>
      </c>
      <c r="H535" s="618" t="s">
        <v>3810</v>
      </c>
      <c r="I535" s="618" t="s">
        <v>499</v>
      </c>
      <c r="J535" s="618" t="s">
        <v>3811</v>
      </c>
      <c r="K535" s="618" t="s">
        <v>3811</v>
      </c>
      <c r="L535" s="618" t="s">
        <v>3631</v>
      </c>
      <c r="M535" s="743" t="s">
        <v>3632</v>
      </c>
      <c r="N535" s="620"/>
      <c r="O535" s="620"/>
      <c r="P535" s="663" t="s">
        <v>1115</v>
      </c>
      <c r="Q535" s="621" t="s">
        <v>319</v>
      </c>
      <c r="R535" s="598"/>
      <c r="S535" s="598"/>
      <c r="T535" s="598"/>
      <c r="U535" s="598" t="s">
        <v>1090</v>
      </c>
      <c r="V535" s="663" t="s">
        <v>4106</v>
      </c>
      <c r="W535" s="779" t="s">
        <v>4107</v>
      </c>
      <c r="X535" s="598" t="s">
        <v>950</v>
      </c>
      <c r="Y535" s="624">
        <v>16115</v>
      </c>
      <c r="Z535" s="625">
        <f t="shared" ca="1" si="10"/>
        <v>81</v>
      </c>
      <c r="AA535" s="616" t="s">
        <v>4108</v>
      </c>
      <c r="AB535" s="598" t="s">
        <v>4109</v>
      </c>
      <c r="AC535" s="598" t="s">
        <v>996</v>
      </c>
      <c r="AD535" s="598" t="s">
        <v>1018</v>
      </c>
      <c r="AE535" s="616" t="s">
        <v>246</v>
      </c>
      <c r="AF535" s="616" t="s">
        <v>246</v>
      </c>
      <c r="AG535" s="616" t="s">
        <v>3815</v>
      </c>
      <c r="AH535" s="598"/>
      <c r="AI535" s="598"/>
      <c r="AJ535" s="700" t="s">
        <v>1446</v>
      </c>
      <c r="AK535" s="598"/>
      <c r="AL535" s="626"/>
      <c r="AM535" s="626"/>
    </row>
    <row r="536" spans="1:39" ht="18" customHeight="1">
      <c r="C536" s="598">
        <v>515</v>
      </c>
      <c r="D536" s="598" t="s">
        <v>4119</v>
      </c>
      <c r="E536" s="598">
        <f t="shared" si="9"/>
        <v>489</v>
      </c>
      <c r="F536" s="616" t="s">
        <v>3808</v>
      </c>
      <c r="G536" s="616" t="s">
        <v>4808</v>
      </c>
      <c r="H536" s="618" t="s">
        <v>3810</v>
      </c>
      <c r="I536" s="618" t="s">
        <v>499</v>
      </c>
      <c r="J536" s="618" t="s">
        <v>3811</v>
      </c>
      <c r="K536" s="618" t="s">
        <v>3811</v>
      </c>
      <c r="L536" s="618" t="s">
        <v>3631</v>
      </c>
      <c r="M536" s="743" t="s">
        <v>3632</v>
      </c>
      <c r="N536" s="620"/>
      <c r="O536" s="620"/>
      <c r="P536" s="673" t="s">
        <v>1115</v>
      </c>
      <c r="Q536" s="621" t="s">
        <v>319</v>
      </c>
      <c r="R536" s="598"/>
      <c r="S536" s="598"/>
      <c r="T536" s="598"/>
      <c r="U536" s="598" t="s">
        <v>1015</v>
      </c>
      <c r="V536" s="673" t="s">
        <v>578</v>
      </c>
      <c r="W536" s="779" t="s">
        <v>4120</v>
      </c>
      <c r="X536" s="598" t="s">
        <v>950</v>
      </c>
      <c r="Y536" s="624">
        <v>23037</v>
      </c>
      <c r="Z536" s="625">
        <f t="shared" ca="1" si="10"/>
        <v>63</v>
      </c>
      <c r="AA536" s="616" t="s">
        <v>4121</v>
      </c>
      <c r="AB536" s="598" t="s">
        <v>4122</v>
      </c>
      <c r="AC536" s="598" t="s">
        <v>996</v>
      </c>
      <c r="AD536" s="598" t="s">
        <v>1018</v>
      </c>
      <c r="AE536" s="616" t="s">
        <v>246</v>
      </c>
      <c r="AF536" s="616" t="s">
        <v>246</v>
      </c>
      <c r="AG536" s="616" t="s">
        <v>3815</v>
      </c>
      <c r="AH536" s="598"/>
      <c r="AI536" s="598"/>
      <c r="AJ536" s="700" t="s">
        <v>1446</v>
      </c>
      <c r="AK536" s="598"/>
      <c r="AL536" s="626"/>
      <c r="AM536" s="626"/>
    </row>
    <row r="537" spans="1:39" ht="18" customHeight="1">
      <c r="C537" s="598">
        <v>516</v>
      </c>
      <c r="D537" s="598" t="s">
        <v>4208</v>
      </c>
      <c r="E537" s="598">
        <f t="shared" si="9"/>
        <v>490</v>
      </c>
      <c r="F537" s="616" t="s">
        <v>3862</v>
      </c>
      <c r="G537" s="616" t="s">
        <v>4209</v>
      </c>
      <c r="H537" s="618" t="s">
        <v>4208</v>
      </c>
      <c r="I537" s="618" t="s">
        <v>473</v>
      </c>
      <c r="J537" s="618" t="s">
        <v>4208</v>
      </c>
      <c r="K537" s="618" t="s">
        <v>4208</v>
      </c>
      <c r="L537" s="783" t="s">
        <v>4212</v>
      </c>
      <c r="M537" s="619"/>
      <c r="N537" s="620"/>
      <c r="O537" s="620"/>
      <c r="P537" s="667" t="s">
        <v>1044</v>
      </c>
      <c r="Q537" s="621"/>
      <c r="R537" s="598" t="s">
        <v>1227</v>
      </c>
      <c r="S537" s="598" t="s">
        <v>173</v>
      </c>
      <c r="T537" s="598" t="s">
        <v>55</v>
      </c>
      <c r="U537" s="598" t="s">
        <v>1015</v>
      </c>
      <c r="V537" s="667" t="s">
        <v>473</v>
      </c>
      <c r="W537" s="779" t="s">
        <v>4213</v>
      </c>
      <c r="X537" s="598" t="s">
        <v>950</v>
      </c>
      <c r="Y537" s="624">
        <v>28590</v>
      </c>
      <c r="Z537" s="625">
        <f t="shared" ca="1" si="10"/>
        <v>47</v>
      </c>
      <c r="AA537" s="654" t="s">
        <v>4214</v>
      </c>
      <c r="AB537" s="598" t="s">
        <v>4215</v>
      </c>
      <c r="AC537" s="598" t="s">
        <v>966</v>
      </c>
      <c r="AD537" s="598" t="s">
        <v>953</v>
      </c>
      <c r="AE537" s="616" t="s">
        <v>246</v>
      </c>
      <c r="AF537" s="616" t="s">
        <v>246</v>
      </c>
      <c r="AG537" s="616" t="s">
        <v>4216</v>
      </c>
      <c r="AH537" s="598"/>
      <c r="AI537" s="598"/>
      <c r="AJ537" s="598"/>
      <c r="AK537" s="598" t="s">
        <v>3510</v>
      </c>
      <c r="AL537" s="626"/>
      <c r="AM537" s="626"/>
    </row>
    <row r="538" spans="1:39" ht="18" customHeight="1">
      <c r="C538" s="598">
        <v>517</v>
      </c>
      <c r="D538" s="598" t="s">
        <v>4397</v>
      </c>
      <c r="E538" s="598">
        <f t="shared" si="9"/>
        <v>491</v>
      </c>
      <c r="F538" s="616" t="s">
        <v>3862</v>
      </c>
      <c r="G538" s="616" t="s">
        <v>1001</v>
      </c>
      <c r="H538" s="618" t="s">
        <v>4208</v>
      </c>
      <c r="I538" s="618" t="s">
        <v>473</v>
      </c>
      <c r="J538" s="618" t="s">
        <v>4208</v>
      </c>
      <c r="K538" s="618" t="s">
        <v>4208</v>
      </c>
      <c r="L538" s="783" t="s">
        <v>4212</v>
      </c>
      <c r="M538" s="619"/>
      <c r="N538" s="620"/>
      <c r="O538" s="620"/>
      <c r="P538" s="663" t="s">
        <v>1044</v>
      </c>
      <c r="Q538" s="621"/>
      <c r="R538" s="598" t="s">
        <v>55</v>
      </c>
      <c r="S538" s="598" t="s">
        <v>178</v>
      </c>
      <c r="T538" s="598"/>
      <c r="U538" s="598" t="s">
        <v>992</v>
      </c>
      <c r="V538" s="673" t="s">
        <v>184</v>
      </c>
      <c r="W538" s="779" t="s">
        <v>4398</v>
      </c>
      <c r="X538" s="598" t="s">
        <v>950</v>
      </c>
      <c r="Y538" s="624">
        <v>36505</v>
      </c>
      <c r="Z538" s="625">
        <f t="shared" ca="1" si="10"/>
        <v>26</v>
      </c>
      <c r="AA538" s="616" t="s">
        <v>4399</v>
      </c>
      <c r="AB538" s="598" t="s">
        <v>4400</v>
      </c>
      <c r="AC538" s="598" t="s">
        <v>1006</v>
      </c>
      <c r="AD538" s="598" t="s">
        <v>953</v>
      </c>
      <c r="AE538" s="616" t="s">
        <v>246</v>
      </c>
      <c r="AF538" s="616" t="s">
        <v>246</v>
      </c>
      <c r="AG538" s="616" t="s">
        <v>4216</v>
      </c>
      <c r="AH538" s="598"/>
      <c r="AI538" s="598"/>
      <c r="AJ538" s="598" t="s">
        <v>1349</v>
      </c>
      <c r="AK538" s="598"/>
      <c r="AL538" s="626"/>
      <c r="AM538" s="626"/>
    </row>
    <row r="539" spans="1:39" ht="18" customHeight="1">
      <c r="C539" s="598">
        <v>518</v>
      </c>
      <c r="D539" s="598" t="s">
        <v>4212</v>
      </c>
      <c r="E539" s="598">
        <f t="shared" si="9"/>
        <v>492</v>
      </c>
      <c r="F539" s="616" t="s">
        <v>3862</v>
      </c>
      <c r="G539" s="616" t="s">
        <v>4209</v>
      </c>
      <c r="H539" s="618" t="s">
        <v>4208</v>
      </c>
      <c r="I539" s="618" t="s">
        <v>473</v>
      </c>
      <c r="J539" s="618" t="s">
        <v>4208</v>
      </c>
      <c r="K539" s="618" t="s">
        <v>4208</v>
      </c>
      <c r="L539" s="783" t="s">
        <v>4212</v>
      </c>
      <c r="M539" s="619"/>
      <c r="N539" s="620"/>
      <c r="O539" s="620"/>
      <c r="P539" s="663" t="s">
        <v>1044</v>
      </c>
      <c r="Q539" s="621"/>
      <c r="R539" s="598" t="s">
        <v>69</v>
      </c>
      <c r="S539" s="598" t="s">
        <v>562</v>
      </c>
      <c r="T539" s="598"/>
      <c r="U539" s="598" t="s">
        <v>992</v>
      </c>
      <c r="V539" s="663" t="s">
        <v>4217</v>
      </c>
      <c r="W539" s="779" t="s">
        <v>4218</v>
      </c>
      <c r="X539" s="598" t="s">
        <v>950</v>
      </c>
      <c r="Y539" s="624">
        <v>36654</v>
      </c>
      <c r="Z539" s="625">
        <f t="shared" ca="1" si="10"/>
        <v>25</v>
      </c>
      <c r="AA539" s="616" t="s">
        <v>4219</v>
      </c>
      <c r="AB539" s="598" t="s">
        <v>4220</v>
      </c>
      <c r="AC539" s="598" t="s">
        <v>996</v>
      </c>
      <c r="AD539" s="598" t="s">
        <v>997</v>
      </c>
      <c r="AE539" s="616" t="s">
        <v>246</v>
      </c>
      <c r="AF539" s="616" t="s">
        <v>246</v>
      </c>
      <c r="AG539" s="616" t="s">
        <v>4221</v>
      </c>
      <c r="AH539" s="598"/>
      <c r="AI539" s="598" t="s">
        <v>4222</v>
      </c>
      <c r="AJ539" s="598" t="s">
        <v>1125</v>
      </c>
      <c r="AK539" s="598" t="s">
        <v>3510</v>
      </c>
      <c r="AL539" s="626"/>
      <c r="AM539" s="626"/>
    </row>
    <row r="540" spans="1:39" ht="18" customHeight="1">
      <c r="C540" s="598">
        <v>519</v>
      </c>
      <c r="D540" s="598" t="s">
        <v>4223</v>
      </c>
      <c r="E540" s="598">
        <f t="shared" si="9"/>
        <v>493</v>
      </c>
      <c r="F540" s="616" t="s">
        <v>3862</v>
      </c>
      <c r="G540" s="616" t="s">
        <v>4209</v>
      </c>
      <c r="H540" s="618" t="s">
        <v>4208</v>
      </c>
      <c r="I540" s="618" t="s">
        <v>473</v>
      </c>
      <c r="J540" s="618" t="s">
        <v>4208</v>
      </c>
      <c r="K540" s="618" t="s">
        <v>4208</v>
      </c>
      <c r="L540" s="783" t="s">
        <v>4212</v>
      </c>
      <c r="M540" s="619"/>
      <c r="N540" s="620"/>
      <c r="O540" s="620"/>
      <c r="P540" s="663" t="s">
        <v>1044</v>
      </c>
      <c r="Q540" s="621"/>
      <c r="R540" s="598"/>
      <c r="S540" s="598"/>
      <c r="T540" s="598"/>
      <c r="U540" s="598" t="s">
        <v>1015</v>
      </c>
      <c r="V540" s="663" t="s">
        <v>4224</v>
      </c>
      <c r="W540" s="779" t="s">
        <v>4225</v>
      </c>
      <c r="X540" s="598" t="s">
        <v>950</v>
      </c>
      <c r="Y540" s="624">
        <v>32251</v>
      </c>
      <c r="Z540" s="625">
        <f t="shared" ca="1" si="10"/>
        <v>37</v>
      </c>
      <c r="AA540" s="616" t="s">
        <v>4226</v>
      </c>
      <c r="AB540" s="598" t="s">
        <v>4227</v>
      </c>
      <c r="AC540" s="598" t="s">
        <v>996</v>
      </c>
      <c r="AD540" s="598" t="s">
        <v>1018</v>
      </c>
      <c r="AE540" s="616" t="s">
        <v>246</v>
      </c>
      <c r="AF540" s="616" t="s">
        <v>1910</v>
      </c>
      <c r="AG540" s="616" t="s">
        <v>4228</v>
      </c>
      <c r="AH540" s="598"/>
      <c r="AI540" s="598" t="s">
        <v>4229</v>
      </c>
      <c r="AJ540" s="598" t="s">
        <v>1125</v>
      </c>
      <c r="AK540" s="598" t="s">
        <v>1020</v>
      </c>
      <c r="AL540" s="626"/>
      <c r="AM540" s="626"/>
    </row>
    <row r="541" spans="1:39" ht="18" customHeight="1">
      <c r="C541" s="598">
        <v>520</v>
      </c>
      <c r="D541" s="598" t="s">
        <v>4854</v>
      </c>
      <c r="E541" s="598">
        <f t="shared" si="9"/>
        <v>494</v>
      </c>
      <c r="F541" s="616" t="s">
        <v>3862</v>
      </c>
      <c r="G541" s="616" t="s">
        <v>4209</v>
      </c>
      <c r="H541" s="618" t="s">
        <v>4208</v>
      </c>
      <c r="I541" s="618" t="s">
        <v>473</v>
      </c>
      <c r="J541" s="618" t="s">
        <v>4208</v>
      </c>
      <c r="K541" s="618" t="s">
        <v>4208</v>
      </c>
      <c r="L541" s="783" t="s">
        <v>4212</v>
      </c>
      <c r="M541" s="619"/>
      <c r="N541" s="620"/>
      <c r="O541" s="620"/>
      <c r="P541" s="663" t="s">
        <v>1044</v>
      </c>
      <c r="Q541" s="621"/>
      <c r="R541" s="598"/>
      <c r="S541" s="598"/>
      <c r="T541" s="598"/>
      <c r="U541" s="598" t="s">
        <v>992</v>
      </c>
      <c r="V541" s="663" t="s">
        <v>4855</v>
      </c>
      <c r="W541" s="779" t="s">
        <v>4856</v>
      </c>
      <c r="X541" s="598" t="s">
        <v>950</v>
      </c>
      <c r="Y541" s="624">
        <v>37018</v>
      </c>
      <c r="Z541" s="625">
        <f t="shared" ca="1" si="10"/>
        <v>24</v>
      </c>
      <c r="AA541" s="616" t="s">
        <v>4857</v>
      </c>
      <c r="AB541" s="652"/>
      <c r="AC541" s="598" t="s">
        <v>996</v>
      </c>
      <c r="AD541" s="598" t="s">
        <v>1018</v>
      </c>
      <c r="AE541" s="616" t="s">
        <v>246</v>
      </c>
      <c r="AF541" s="616" t="s">
        <v>246</v>
      </c>
      <c r="AG541" s="616" t="s">
        <v>4343</v>
      </c>
      <c r="AH541" s="598"/>
      <c r="AI541" s="598" t="s">
        <v>4858</v>
      </c>
      <c r="AJ541" s="598" t="s">
        <v>1125</v>
      </c>
      <c r="AK541" s="598" t="s">
        <v>1020</v>
      </c>
      <c r="AL541" s="626"/>
      <c r="AM541" s="626"/>
    </row>
    <row r="542" spans="1:39" ht="18" customHeight="1">
      <c r="C542" s="598">
        <v>521</v>
      </c>
      <c r="D542" s="598" t="s">
        <v>4230</v>
      </c>
      <c r="E542" s="598">
        <f t="shared" si="9"/>
        <v>495</v>
      </c>
      <c r="F542" s="616" t="s">
        <v>3862</v>
      </c>
      <c r="G542" s="616" t="s">
        <v>4209</v>
      </c>
      <c r="H542" s="618" t="s">
        <v>4208</v>
      </c>
      <c r="I542" s="618" t="s">
        <v>473</v>
      </c>
      <c r="J542" s="618" t="s">
        <v>4208</v>
      </c>
      <c r="K542" s="618" t="s">
        <v>4208</v>
      </c>
      <c r="L542" s="783" t="s">
        <v>4212</v>
      </c>
      <c r="M542" s="619"/>
      <c r="N542" s="620"/>
      <c r="O542" s="620"/>
      <c r="P542" s="673" t="s">
        <v>1044</v>
      </c>
      <c r="Q542" s="621"/>
      <c r="R542" s="598"/>
      <c r="S542" s="598"/>
      <c r="T542" s="598"/>
      <c r="U542" s="598" t="s">
        <v>992</v>
      </c>
      <c r="V542" s="673" t="s">
        <v>4231</v>
      </c>
      <c r="W542" s="779" t="s">
        <v>4232</v>
      </c>
      <c r="X542" s="598" t="s">
        <v>950</v>
      </c>
      <c r="Y542" s="624">
        <v>34632</v>
      </c>
      <c r="Z542" s="625">
        <f t="shared" ca="1" si="10"/>
        <v>31</v>
      </c>
      <c r="AA542" s="616" t="s">
        <v>4233</v>
      </c>
      <c r="AB542" s="652"/>
      <c r="AC542" s="598" t="s">
        <v>996</v>
      </c>
      <c r="AD542" s="598" t="s">
        <v>1018</v>
      </c>
      <c r="AE542" s="616" t="s">
        <v>246</v>
      </c>
      <c r="AF542" s="616" t="s">
        <v>246</v>
      </c>
      <c r="AG542" s="616" t="s">
        <v>4216</v>
      </c>
      <c r="AH542" s="598" t="s">
        <v>1775</v>
      </c>
      <c r="AI542" s="598" t="s">
        <v>4234</v>
      </c>
      <c r="AJ542" s="598" t="s">
        <v>1125</v>
      </c>
      <c r="AK542" s="598" t="s">
        <v>4235</v>
      </c>
      <c r="AL542" s="626"/>
      <c r="AM542" s="626"/>
    </row>
    <row r="543" spans="1:39" ht="18" customHeight="1">
      <c r="A543" s="174"/>
      <c r="B543" s="174"/>
      <c r="C543" s="598">
        <v>522</v>
      </c>
      <c r="D543" s="598" t="s">
        <v>4266</v>
      </c>
      <c r="E543" s="598">
        <f>SUBTOTAL(103,$U$21:U543)</f>
        <v>496</v>
      </c>
      <c r="F543" s="630" t="s">
        <v>3862</v>
      </c>
      <c r="G543" s="616" t="s">
        <v>4209</v>
      </c>
      <c r="H543" s="618" t="s">
        <v>4208</v>
      </c>
      <c r="I543" s="618" t="s">
        <v>4211</v>
      </c>
      <c r="J543" s="618" t="s">
        <v>4208</v>
      </c>
      <c r="K543" s="783" t="s">
        <v>4266</v>
      </c>
      <c r="L543" s="618" t="s">
        <v>959</v>
      </c>
      <c r="M543" s="627"/>
      <c r="N543" s="636"/>
      <c r="O543" s="636"/>
      <c r="P543" s="672" t="s">
        <v>1074</v>
      </c>
      <c r="Q543" s="637"/>
      <c r="R543" s="742" t="s">
        <v>55</v>
      </c>
      <c r="S543" s="598" t="s">
        <v>55</v>
      </c>
      <c r="T543" s="627"/>
      <c r="U543" s="639" t="s">
        <v>1015</v>
      </c>
      <c r="V543" s="672" t="s">
        <v>519</v>
      </c>
      <c r="W543" s="787" t="s">
        <v>4268</v>
      </c>
      <c r="X543" s="598" t="s">
        <v>950</v>
      </c>
      <c r="Y543" s="624">
        <v>28886</v>
      </c>
      <c r="Z543" s="625">
        <f t="shared" ca="1" si="10"/>
        <v>47</v>
      </c>
      <c r="AA543" s="598" t="s">
        <v>4269</v>
      </c>
      <c r="AB543" s="598" t="s">
        <v>4270</v>
      </c>
      <c r="AC543" s="598" t="s">
        <v>996</v>
      </c>
      <c r="AD543" s="598" t="s">
        <v>1018</v>
      </c>
      <c r="AE543" s="598" t="s">
        <v>246</v>
      </c>
      <c r="AF543" s="598" t="s">
        <v>246</v>
      </c>
      <c r="AG543" s="653" t="s">
        <v>4059</v>
      </c>
      <c r="AH543" s="627"/>
      <c r="AI543" s="627"/>
      <c r="AJ543" s="598" t="s">
        <v>1114</v>
      </c>
      <c r="AK543" s="598" t="s">
        <v>3510</v>
      </c>
      <c r="AL543" s="627"/>
      <c r="AM543" s="627"/>
    </row>
    <row r="544" spans="1:39" ht="18" customHeight="1">
      <c r="C544" s="598">
        <v>523</v>
      </c>
      <c r="D544" s="598" t="s">
        <v>3941</v>
      </c>
      <c r="E544" s="598">
        <f t="shared" ref="E544:E741" si="11">SUBTOTAL(103,$U$21:U544)</f>
        <v>497</v>
      </c>
      <c r="F544" s="616" t="s">
        <v>3862</v>
      </c>
      <c r="G544" s="616" t="s">
        <v>4209</v>
      </c>
      <c r="H544" s="618" t="s">
        <v>4208</v>
      </c>
      <c r="I544" s="618" t="s">
        <v>473</v>
      </c>
      <c r="J544" s="618" t="s">
        <v>4208</v>
      </c>
      <c r="K544" s="783" t="s">
        <v>4266</v>
      </c>
      <c r="L544" s="618" t="s">
        <v>959</v>
      </c>
      <c r="M544" s="619"/>
      <c r="N544" s="620"/>
      <c r="O544" s="620"/>
      <c r="P544" s="663" t="s">
        <v>1074</v>
      </c>
      <c r="Q544" s="621"/>
      <c r="R544" s="598"/>
      <c r="S544" s="598"/>
      <c r="T544" s="598"/>
      <c r="U544" s="598" t="s">
        <v>1090</v>
      </c>
      <c r="V544" s="663" t="s">
        <v>3942</v>
      </c>
      <c r="W544" s="779" t="s">
        <v>3943</v>
      </c>
      <c r="X544" s="598" t="s">
        <v>950</v>
      </c>
      <c r="Y544" s="624">
        <v>18216</v>
      </c>
      <c r="Z544" s="625">
        <f t="shared" ca="1" si="10"/>
        <v>76</v>
      </c>
      <c r="AA544" s="616" t="s">
        <v>3944</v>
      </c>
      <c r="AB544" s="598" t="s">
        <v>3945</v>
      </c>
      <c r="AC544" s="598" t="s">
        <v>966</v>
      </c>
      <c r="AD544" s="598" t="s">
        <v>953</v>
      </c>
      <c r="AE544" s="616" t="s">
        <v>973</v>
      </c>
      <c r="AF544" s="616" t="s">
        <v>246</v>
      </c>
      <c r="AG544" s="616" t="s">
        <v>3815</v>
      </c>
      <c r="AH544" s="598"/>
      <c r="AI544" s="598"/>
      <c r="AJ544" s="598"/>
      <c r="AK544" s="598" t="s">
        <v>3510</v>
      </c>
      <c r="AL544" s="626"/>
      <c r="AM544" s="626"/>
    </row>
    <row r="545" spans="3:39" ht="18" customHeight="1">
      <c r="C545" s="598">
        <v>524</v>
      </c>
      <c r="D545" s="598" t="s">
        <v>4275</v>
      </c>
      <c r="E545" s="598">
        <f t="shared" si="11"/>
        <v>498</v>
      </c>
      <c r="F545" s="616" t="s">
        <v>3862</v>
      </c>
      <c r="G545" s="616" t="s">
        <v>4209</v>
      </c>
      <c r="H545" s="618" t="s">
        <v>4208</v>
      </c>
      <c r="I545" s="618" t="s">
        <v>473</v>
      </c>
      <c r="J545" s="618" t="s">
        <v>4208</v>
      </c>
      <c r="K545" s="783" t="s">
        <v>4266</v>
      </c>
      <c r="L545" s="618" t="s">
        <v>959</v>
      </c>
      <c r="M545" s="619"/>
      <c r="N545" s="620"/>
      <c r="O545" s="620"/>
      <c r="P545" s="663" t="s">
        <v>1074</v>
      </c>
      <c r="Q545" s="621"/>
      <c r="R545" s="598"/>
      <c r="S545" s="598"/>
      <c r="T545" s="598"/>
      <c r="U545" s="598" t="s">
        <v>1090</v>
      </c>
      <c r="V545" s="663" t="s">
        <v>485</v>
      </c>
      <c r="W545" s="779" t="s">
        <v>4276</v>
      </c>
      <c r="X545" s="598" t="s">
        <v>950</v>
      </c>
      <c r="Y545" s="624">
        <v>18323</v>
      </c>
      <c r="Z545" s="625">
        <f t="shared" ca="1" si="10"/>
        <v>75</v>
      </c>
      <c r="AA545" s="616" t="s">
        <v>4277</v>
      </c>
      <c r="AB545" s="598" t="s">
        <v>4278</v>
      </c>
      <c r="AC545" s="598" t="s">
        <v>966</v>
      </c>
      <c r="AD545" s="598" t="s">
        <v>953</v>
      </c>
      <c r="AE545" s="616" t="s">
        <v>246</v>
      </c>
      <c r="AF545" s="616" t="s">
        <v>246</v>
      </c>
      <c r="AG545" s="616" t="s">
        <v>4216</v>
      </c>
      <c r="AH545" s="598"/>
      <c r="AI545" s="598"/>
      <c r="AJ545" s="598"/>
      <c r="AK545" s="598" t="s">
        <v>3510</v>
      </c>
      <c r="AL545" s="626"/>
      <c r="AM545" s="626"/>
    </row>
    <row r="546" spans="3:39" ht="18" customHeight="1">
      <c r="C546" s="598">
        <v>525</v>
      </c>
      <c r="D546" s="598" t="s">
        <v>4279</v>
      </c>
      <c r="E546" s="598">
        <f t="shared" si="11"/>
        <v>499</v>
      </c>
      <c r="F546" s="616" t="s">
        <v>3862</v>
      </c>
      <c r="G546" s="616" t="s">
        <v>4209</v>
      </c>
      <c r="H546" s="618" t="s">
        <v>4208</v>
      </c>
      <c r="I546" s="618" t="s">
        <v>473</v>
      </c>
      <c r="J546" s="618" t="s">
        <v>4208</v>
      </c>
      <c r="K546" s="783" t="s">
        <v>4266</v>
      </c>
      <c r="L546" s="618" t="s">
        <v>959</v>
      </c>
      <c r="M546" s="619"/>
      <c r="N546" s="620"/>
      <c r="O546" s="620"/>
      <c r="P546" s="663" t="s">
        <v>1074</v>
      </c>
      <c r="Q546" s="621"/>
      <c r="R546" s="598"/>
      <c r="S546" s="598"/>
      <c r="T546" s="598"/>
      <c r="U546" s="598" t="s">
        <v>1090</v>
      </c>
      <c r="V546" s="668" t="s">
        <v>491</v>
      </c>
      <c r="W546" s="779" t="s">
        <v>4280</v>
      </c>
      <c r="X546" s="598" t="s">
        <v>950</v>
      </c>
      <c r="Y546" s="624">
        <v>18840</v>
      </c>
      <c r="Z546" s="625">
        <f t="shared" ca="1" si="10"/>
        <v>74</v>
      </c>
      <c r="AA546" s="616" t="s">
        <v>4281</v>
      </c>
      <c r="AB546" s="598" t="s">
        <v>4282</v>
      </c>
      <c r="AC546" s="598" t="s">
        <v>966</v>
      </c>
      <c r="AD546" s="598" t="s">
        <v>953</v>
      </c>
      <c r="AE546" s="616" t="s">
        <v>246</v>
      </c>
      <c r="AF546" s="616" t="s">
        <v>246</v>
      </c>
      <c r="AG546" s="616" t="s">
        <v>4216</v>
      </c>
      <c r="AH546" s="598"/>
      <c r="AI546" s="598"/>
      <c r="AJ546" s="598"/>
      <c r="AK546" s="598" t="s">
        <v>3510</v>
      </c>
      <c r="AL546" s="626"/>
      <c r="AM546" s="626"/>
    </row>
    <row r="547" spans="3:39" ht="18" customHeight="1">
      <c r="C547" s="598">
        <v>526</v>
      </c>
      <c r="D547" s="598" t="s">
        <v>4283</v>
      </c>
      <c r="E547" s="598">
        <f t="shared" si="11"/>
        <v>500</v>
      </c>
      <c r="F547" s="616" t="s">
        <v>3862</v>
      </c>
      <c r="G547" s="616" t="s">
        <v>4209</v>
      </c>
      <c r="H547" s="618" t="s">
        <v>4208</v>
      </c>
      <c r="I547" s="618" t="s">
        <v>473</v>
      </c>
      <c r="J547" s="618" t="s">
        <v>4208</v>
      </c>
      <c r="K547" s="783" t="s">
        <v>4266</v>
      </c>
      <c r="L547" s="618" t="s">
        <v>959</v>
      </c>
      <c r="M547" s="619"/>
      <c r="N547" s="620"/>
      <c r="O547" s="620"/>
      <c r="P547" s="663" t="s">
        <v>1074</v>
      </c>
      <c r="Q547" s="621"/>
      <c r="R547" s="598"/>
      <c r="S547" s="598"/>
      <c r="T547" s="598"/>
      <c r="U547" s="598" t="s">
        <v>1015</v>
      </c>
      <c r="V547" s="669" t="s">
        <v>474</v>
      </c>
      <c r="W547" s="779" t="s">
        <v>4284</v>
      </c>
      <c r="X547" s="598" t="s">
        <v>950</v>
      </c>
      <c r="Y547" s="624">
        <v>23643</v>
      </c>
      <c r="Z547" s="625">
        <f t="shared" ca="1" si="10"/>
        <v>61</v>
      </c>
      <c r="AA547" s="616" t="s">
        <v>4285</v>
      </c>
      <c r="AB547" s="598" t="s">
        <v>4286</v>
      </c>
      <c r="AC547" s="598" t="s">
        <v>966</v>
      </c>
      <c r="AD547" s="598" t="s">
        <v>953</v>
      </c>
      <c r="AE547" s="616" t="s">
        <v>246</v>
      </c>
      <c r="AF547" s="616" t="s">
        <v>246</v>
      </c>
      <c r="AG547" s="616" t="s">
        <v>4216</v>
      </c>
      <c r="AH547" s="598"/>
      <c r="AI547" s="598"/>
      <c r="AJ547" s="598"/>
      <c r="AK547" s="598" t="s">
        <v>3510</v>
      </c>
      <c r="AL547" s="626"/>
      <c r="AM547" s="626"/>
    </row>
    <row r="548" spans="3:39" ht="18" customHeight="1">
      <c r="C548" s="598">
        <v>527</v>
      </c>
      <c r="D548" s="598" t="s">
        <v>3985</v>
      </c>
      <c r="E548" s="598">
        <f t="shared" si="11"/>
        <v>501</v>
      </c>
      <c r="F548" s="616" t="s">
        <v>3862</v>
      </c>
      <c r="G548" s="616" t="s">
        <v>4209</v>
      </c>
      <c r="H548" s="618" t="s">
        <v>4208</v>
      </c>
      <c r="I548" s="618" t="s">
        <v>473</v>
      </c>
      <c r="J548" s="618" t="s">
        <v>4208</v>
      </c>
      <c r="K548" s="783" t="s">
        <v>4266</v>
      </c>
      <c r="L548" s="618" t="s">
        <v>959</v>
      </c>
      <c r="M548" s="619"/>
      <c r="N548" s="620"/>
      <c r="O548" s="620"/>
      <c r="P548" s="663" t="s">
        <v>1074</v>
      </c>
      <c r="Q548" s="621"/>
      <c r="R548" s="598" t="s">
        <v>55</v>
      </c>
      <c r="S548" s="598" t="s">
        <v>178</v>
      </c>
      <c r="T548" s="598"/>
      <c r="U548" s="598" t="s">
        <v>1015</v>
      </c>
      <c r="V548" s="663" t="s">
        <v>495</v>
      </c>
      <c r="W548" s="779" t="s">
        <v>3986</v>
      </c>
      <c r="X548" s="598" t="s">
        <v>950</v>
      </c>
      <c r="Y548" s="624">
        <v>25024</v>
      </c>
      <c r="Z548" s="625">
        <f t="shared" ca="1" si="10"/>
        <v>57</v>
      </c>
      <c r="AA548" s="616" t="s">
        <v>3987</v>
      </c>
      <c r="AB548" s="598" t="s">
        <v>3988</v>
      </c>
      <c r="AC548" s="598" t="s">
        <v>966</v>
      </c>
      <c r="AD548" s="598" t="s">
        <v>953</v>
      </c>
      <c r="AE548" s="616" t="s">
        <v>246</v>
      </c>
      <c r="AF548" s="616" t="s">
        <v>246</v>
      </c>
      <c r="AG548" s="616" t="s">
        <v>3815</v>
      </c>
      <c r="AH548" s="598"/>
      <c r="AI548" s="598"/>
      <c r="AJ548" s="598"/>
      <c r="AK548" s="598" t="s">
        <v>3510</v>
      </c>
      <c r="AL548" s="626"/>
      <c r="AM548" s="626"/>
    </row>
    <row r="549" spans="3:39" ht="18" customHeight="1">
      <c r="C549" s="598">
        <v>528</v>
      </c>
      <c r="D549" s="598" t="s">
        <v>4860</v>
      </c>
      <c r="E549" s="598">
        <f t="shared" si="11"/>
        <v>502</v>
      </c>
      <c r="F549" s="616" t="s">
        <v>3862</v>
      </c>
      <c r="G549" s="616" t="s">
        <v>4209</v>
      </c>
      <c r="H549" s="618" t="s">
        <v>4208</v>
      </c>
      <c r="I549" s="618" t="s">
        <v>473</v>
      </c>
      <c r="J549" s="618" t="s">
        <v>4208</v>
      </c>
      <c r="K549" s="783" t="s">
        <v>4266</v>
      </c>
      <c r="L549" s="618" t="s">
        <v>959</v>
      </c>
      <c r="M549" s="619"/>
      <c r="N549" s="620"/>
      <c r="O549" s="620"/>
      <c r="P549" s="673" t="s">
        <v>1074</v>
      </c>
      <c r="Q549" s="621"/>
      <c r="R549" s="598"/>
      <c r="S549" s="598"/>
      <c r="T549" s="598"/>
      <c r="U549" s="598" t="s">
        <v>1015</v>
      </c>
      <c r="V549" s="673" t="s">
        <v>4861</v>
      </c>
      <c r="W549" s="779" t="s">
        <v>4862</v>
      </c>
      <c r="X549" s="598" t="s">
        <v>950</v>
      </c>
      <c r="Y549" s="624">
        <v>29360</v>
      </c>
      <c r="Z549" s="625">
        <f t="shared" ca="1" si="10"/>
        <v>45</v>
      </c>
      <c r="AA549" s="616" t="s">
        <v>4863</v>
      </c>
      <c r="AB549" s="652"/>
      <c r="AC549" s="598" t="s">
        <v>996</v>
      </c>
      <c r="AD549" s="598" t="s">
        <v>1018</v>
      </c>
      <c r="AE549" s="616" t="s">
        <v>246</v>
      </c>
      <c r="AF549" s="616" t="s">
        <v>246</v>
      </c>
      <c r="AG549" s="616" t="s">
        <v>3815</v>
      </c>
      <c r="AH549" s="598"/>
      <c r="AI549" s="598" t="s">
        <v>4864</v>
      </c>
      <c r="AJ549" s="598"/>
      <c r="AK549" s="680" t="s">
        <v>4505</v>
      </c>
      <c r="AL549" s="626"/>
      <c r="AM549" s="626"/>
    </row>
    <row r="550" spans="3:39" ht="18" customHeight="1">
      <c r="C550" s="598">
        <v>529</v>
      </c>
      <c r="D550" s="598" t="s">
        <v>4303</v>
      </c>
      <c r="E550" s="598">
        <f t="shared" si="11"/>
        <v>503</v>
      </c>
      <c r="F550" s="616" t="s">
        <v>3862</v>
      </c>
      <c r="G550" s="616" t="s">
        <v>4209</v>
      </c>
      <c r="H550" s="618" t="s">
        <v>4208</v>
      </c>
      <c r="I550" s="618" t="s">
        <v>473</v>
      </c>
      <c r="J550" s="618" t="s">
        <v>4208</v>
      </c>
      <c r="K550" s="618" t="s">
        <v>4303</v>
      </c>
      <c r="L550" s="618" t="s">
        <v>959</v>
      </c>
      <c r="M550" s="619"/>
      <c r="N550" s="620"/>
      <c r="O550" s="620"/>
      <c r="P550" s="667" t="s">
        <v>1115</v>
      </c>
      <c r="Q550" s="621"/>
      <c r="R550" s="598" t="s">
        <v>55</v>
      </c>
      <c r="S550" s="598" t="s">
        <v>178</v>
      </c>
      <c r="T550" s="598"/>
      <c r="U550" s="598" t="s">
        <v>992</v>
      </c>
      <c r="V550" s="667" t="s">
        <v>4305</v>
      </c>
      <c r="W550" s="779" t="s">
        <v>4306</v>
      </c>
      <c r="X550" s="598" t="s">
        <v>963</v>
      </c>
      <c r="Y550" s="624">
        <v>37183</v>
      </c>
      <c r="Z550" s="625">
        <f t="shared" ca="1" si="10"/>
        <v>24</v>
      </c>
      <c r="AA550" s="616" t="s">
        <v>4307</v>
      </c>
      <c r="AB550" s="598" t="s">
        <v>4308</v>
      </c>
      <c r="AC550" s="598" t="s">
        <v>1006</v>
      </c>
      <c r="AD550" s="598" t="s">
        <v>953</v>
      </c>
      <c r="AE550" s="616" t="s">
        <v>246</v>
      </c>
      <c r="AF550" s="616" t="s">
        <v>246</v>
      </c>
      <c r="AG550" s="616" t="s">
        <v>4216</v>
      </c>
      <c r="AH550" s="598"/>
      <c r="AI550" s="598"/>
      <c r="AJ550" s="598"/>
      <c r="AK550" s="598" t="s">
        <v>3510</v>
      </c>
      <c r="AL550" s="626"/>
      <c r="AM550" s="626"/>
    </row>
    <row r="551" spans="3:39" ht="18" customHeight="1">
      <c r="C551" s="598">
        <v>530</v>
      </c>
      <c r="D551" s="598" t="s">
        <v>2220</v>
      </c>
      <c r="E551" s="598">
        <f t="shared" si="11"/>
        <v>504</v>
      </c>
      <c r="F551" s="616" t="s">
        <v>3862</v>
      </c>
      <c r="G551" s="616" t="s">
        <v>4209</v>
      </c>
      <c r="H551" s="618" t="s">
        <v>4208</v>
      </c>
      <c r="I551" s="618" t="s">
        <v>473</v>
      </c>
      <c r="J551" s="618" t="s">
        <v>4208</v>
      </c>
      <c r="K551" s="618" t="s">
        <v>4303</v>
      </c>
      <c r="L551" s="618" t="s">
        <v>959</v>
      </c>
      <c r="M551" s="619"/>
      <c r="N551" s="620"/>
      <c r="O551" s="620"/>
      <c r="P551" s="663" t="s">
        <v>1115</v>
      </c>
      <c r="Q551" s="621"/>
      <c r="R551" s="598"/>
      <c r="S551" s="598"/>
      <c r="T551" s="598"/>
      <c r="U551" s="598" t="s">
        <v>992</v>
      </c>
      <c r="V551" s="663" t="s">
        <v>4313</v>
      </c>
      <c r="W551" s="779" t="s">
        <v>4314</v>
      </c>
      <c r="X551" s="598" t="s">
        <v>963</v>
      </c>
      <c r="Y551" s="624">
        <v>38152</v>
      </c>
      <c r="Z551" s="625">
        <f t="shared" ca="1" si="10"/>
        <v>21</v>
      </c>
      <c r="AA551" s="616" t="s">
        <v>4315</v>
      </c>
      <c r="AB551" s="598" t="s">
        <v>4316</v>
      </c>
      <c r="AC551" s="598" t="s">
        <v>1006</v>
      </c>
      <c r="AD551" s="598" t="s">
        <v>953</v>
      </c>
      <c r="AE551" s="616" t="s">
        <v>729</v>
      </c>
      <c r="AF551" s="616" t="s">
        <v>246</v>
      </c>
      <c r="AG551" s="616" t="s">
        <v>4216</v>
      </c>
      <c r="AH551" s="598"/>
      <c r="AI551" s="598"/>
      <c r="AJ551" s="598" t="s">
        <v>1011</v>
      </c>
      <c r="AK551" s="598" t="s">
        <v>3510</v>
      </c>
      <c r="AL551" s="626"/>
      <c r="AM551" s="626"/>
    </row>
    <row r="552" spans="3:39" ht="18" customHeight="1">
      <c r="C552" s="598">
        <v>531</v>
      </c>
      <c r="D552" s="598" t="s">
        <v>4317</v>
      </c>
      <c r="E552" s="598">
        <f t="shared" si="11"/>
        <v>505</v>
      </c>
      <c r="F552" s="616" t="s">
        <v>3862</v>
      </c>
      <c r="G552" s="616" t="s">
        <v>4209</v>
      </c>
      <c r="H552" s="618" t="s">
        <v>4208</v>
      </c>
      <c r="I552" s="618" t="s">
        <v>473</v>
      </c>
      <c r="J552" s="618" t="s">
        <v>4208</v>
      </c>
      <c r="K552" s="618" t="s">
        <v>4303</v>
      </c>
      <c r="L552" s="618" t="s">
        <v>959</v>
      </c>
      <c r="M552" s="619"/>
      <c r="N552" s="620"/>
      <c r="O552" s="620"/>
      <c r="P552" s="663" t="s">
        <v>1115</v>
      </c>
      <c r="Q552" s="621"/>
      <c r="R552" s="598"/>
      <c r="S552" s="598"/>
      <c r="T552" s="598"/>
      <c r="U552" s="598" t="s">
        <v>992</v>
      </c>
      <c r="V552" s="663" t="s">
        <v>4318</v>
      </c>
      <c r="W552" s="779" t="s">
        <v>4319</v>
      </c>
      <c r="X552" s="598" t="s">
        <v>963</v>
      </c>
      <c r="Y552" s="624">
        <v>36511</v>
      </c>
      <c r="Z552" s="625">
        <f t="shared" ca="1" si="10"/>
        <v>26</v>
      </c>
      <c r="AA552" s="654" t="s">
        <v>4320</v>
      </c>
      <c r="AB552" s="598" t="s">
        <v>4321</v>
      </c>
      <c r="AC552" s="598" t="s">
        <v>1006</v>
      </c>
      <c r="AD552" s="598" t="s">
        <v>953</v>
      </c>
      <c r="AE552" s="616" t="s">
        <v>246</v>
      </c>
      <c r="AF552" s="616" t="s">
        <v>246</v>
      </c>
      <c r="AG552" s="616" t="s">
        <v>4322</v>
      </c>
      <c r="AH552" s="598"/>
      <c r="AI552" s="598"/>
      <c r="AJ552" s="598" t="s">
        <v>1349</v>
      </c>
      <c r="AK552" s="598" t="s">
        <v>3510</v>
      </c>
      <c r="AL552" s="626"/>
      <c r="AM552" s="626"/>
    </row>
    <row r="553" spans="3:39" ht="18" customHeight="1">
      <c r="C553" s="598">
        <v>532</v>
      </c>
      <c r="D553" s="598" t="s">
        <v>4144</v>
      </c>
      <c r="E553" s="598">
        <f t="shared" si="11"/>
        <v>506</v>
      </c>
      <c r="F553" s="616" t="s">
        <v>1351</v>
      </c>
      <c r="G553" s="616" t="s">
        <v>4209</v>
      </c>
      <c r="H553" s="618" t="s">
        <v>4208</v>
      </c>
      <c r="I553" s="618" t="s">
        <v>473</v>
      </c>
      <c r="J553" s="618" t="s">
        <v>4208</v>
      </c>
      <c r="K553" s="618" t="s">
        <v>4303</v>
      </c>
      <c r="L553" s="618" t="s">
        <v>959</v>
      </c>
      <c r="M553" s="619"/>
      <c r="N553" s="620"/>
      <c r="O553" s="620"/>
      <c r="P553" s="663" t="s">
        <v>1115</v>
      </c>
      <c r="Q553" s="621"/>
      <c r="R553" s="598"/>
      <c r="S553" s="598"/>
      <c r="T553" s="598"/>
      <c r="U553" s="598" t="s">
        <v>992</v>
      </c>
      <c r="V553" s="663" t="s">
        <v>4145</v>
      </c>
      <c r="W553" s="779" t="s">
        <v>4146</v>
      </c>
      <c r="X553" s="598" t="s">
        <v>963</v>
      </c>
      <c r="Y553" s="624">
        <v>38845</v>
      </c>
      <c r="Z553" s="625">
        <f t="shared" ca="1" si="10"/>
        <v>19</v>
      </c>
      <c r="AA553" s="616" t="s">
        <v>4147</v>
      </c>
      <c r="AB553" s="598" t="s">
        <v>4148</v>
      </c>
      <c r="AC553" s="598" t="s">
        <v>996</v>
      </c>
      <c r="AD553" s="598" t="s">
        <v>953</v>
      </c>
      <c r="AE553" s="616" t="s">
        <v>246</v>
      </c>
      <c r="AF553" s="616" t="s">
        <v>246</v>
      </c>
      <c r="AG553" s="616" t="s">
        <v>3815</v>
      </c>
      <c r="AH553" s="598"/>
      <c r="AI553" s="598"/>
      <c r="AJ553" s="598" t="s">
        <v>1125</v>
      </c>
      <c r="AK553" s="598"/>
      <c r="AL553" s="626"/>
      <c r="AM553" s="626"/>
    </row>
    <row r="554" spans="3:39" ht="18" customHeight="1">
      <c r="C554" s="598">
        <v>533</v>
      </c>
      <c r="D554" s="598" t="s">
        <v>4865</v>
      </c>
      <c r="E554" s="598">
        <f t="shared" si="11"/>
        <v>507</v>
      </c>
      <c r="F554" s="616" t="s">
        <v>1351</v>
      </c>
      <c r="G554" s="616" t="s">
        <v>4209</v>
      </c>
      <c r="H554" s="618" t="s">
        <v>4208</v>
      </c>
      <c r="I554" s="618" t="s">
        <v>473</v>
      </c>
      <c r="J554" s="618" t="s">
        <v>4208</v>
      </c>
      <c r="K554" s="618" t="s">
        <v>4303</v>
      </c>
      <c r="L554" s="618" t="s">
        <v>959</v>
      </c>
      <c r="M554" s="619"/>
      <c r="N554" s="620"/>
      <c r="O554" s="620"/>
      <c r="P554" s="663" t="s">
        <v>1115</v>
      </c>
      <c r="Q554" s="621"/>
      <c r="R554" s="598"/>
      <c r="S554" s="598"/>
      <c r="T554" s="598"/>
      <c r="U554" s="598" t="s">
        <v>1705</v>
      </c>
      <c r="V554" s="663" t="s">
        <v>502</v>
      </c>
      <c r="W554" s="779" t="s">
        <v>4866</v>
      </c>
      <c r="X554" s="598" t="s">
        <v>950</v>
      </c>
      <c r="Y554" s="624">
        <v>39773</v>
      </c>
      <c r="Z554" s="625">
        <f t="shared" ca="1" si="10"/>
        <v>17</v>
      </c>
      <c r="AA554" s="616" t="s">
        <v>4865</v>
      </c>
      <c r="AB554" s="598" t="s">
        <v>4867</v>
      </c>
      <c r="AC554" s="598" t="s">
        <v>996</v>
      </c>
      <c r="AD554" s="598" t="s">
        <v>1018</v>
      </c>
      <c r="AE554" s="616" t="s">
        <v>246</v>
      </c>
      <c r="AF554" s="616" t="s">
        <v>246</v>
      </c>
      <c r="AG554" s="653" t="s">
        <v>4868</v>
      </c>
      <c r="AH554" s="598"/>
      <c r="AI554" s="598"/>
      <c r="AJ554" s="598" t="s">
        <v>1452</v>
      </c>
      <c r="AK554" s="598"/>
      <c r="AL554" s="626"/>
      <c r="AM554" s="626"/>
    </row>
    <row r="555" spans="3:39" ht="18" customHeight="1">
      <c r="C555" s="598">
        <v>534</v>
      </c>
      <c r="D555" s="598" t="s">
        <v>4869</v>
      </c>
      <c r="E555" s="598">
        <f t="shared" si="11"/>
        <v>508</v>
      </c>
      <c r="F555" s="616" t="s">
        <v>3862</v>
      </c>
      <c r="G555" s="616" t="s">
        <v>4209</v>
      </c>
      <c r="H555" s="618" t="s">
        <v>4208</v>
      </c>
      <c r="I555" s="618" t="s">
        <v>473</v>
      </c>
      <c r="J555" s="618" t="s">
        <v>4208</v>
      </c>
      <c r="K555" s="618" t="s">
        <v>4303</v>
      </c>
      <c r="L555" s="618" t="s">
        <v>959</v>
      </c>
      <c r="M555" s="619"/>
      <c r="N555" s="620"/>
      <c r="O555" s="620"/>
      <c r="P555" s="673" t="s">
        <v>1115</v>
      </c>
      <c r="Q555" s="621"/>
      <c r="R555" s="598"/>
      <c r="S555" s="598"/>
      <c r="T555" s="598"/>
      <c r="U555" s="598" t="s">
        <v>992</v>
      </c>
      <c r="V555" s="673" t="s">
        <v>4870</v>
      </c>
      <c r="W555" s="779" t="s">
        <v>4871</v>
      </c>
      <c r="X555" s="598" t="s">
        <v>950</v>
      </c>
      <c r="Y555" s="624">
        <v>37974</v>
      </c>
      <c r="Z555" s="625">
        <f t="shared" ca="1" si="10"/>
        <v>22</v>
      </c>
      <c r="AA555" s="616" t="s">
        <v>4872</v>
      </c>
      <c r="AB555" s="652"/>
      <c r="AC555" s="598" t="s">
        <v>996</v>
      </c>
      <c r="AD555" s="598" t="s">
        <v>1018</v>
      </c>
      <c r="AE555" s="616" t="s">
        <v>246</v>
      </c>
      <c r="AF555" s="616" t="s">
        <v>246</v>
      </c>
      <c r="AG555" s="616" t="s">
        <v>3815</v>
      </c>
      <c r="AH555" s="598"/>
      <c r="AI555" s="598" t="s">
        <v>4873</v>
      </c>
      <c r="AJ555" s="598" t="s">
        <v>1349</v>
      </c>
      <c r="AK555" s="598" t="s">
        <v>1020</v>
      </c>
      <c r="AL555" s="626"/>
      <c r="AM555" s="626"/>
    </row>
    <row r="556" spans="3:39" ht="18" customHeight="1">
      <c r="C556" s="598">
        <v>535</v>
      </c>
      <c r="D556" s="598" t="s">
        <v>4333</v>
      </c>
      <c r="E556" s="598">
        <f t="shared" si="11"/>
        <v>509</v>
      </c>
      <c r="F556" s="616" t="s">
        <v>3862</v>
      </c>
      <c r="G556" s="616" t="s">
        <v>4209</v>
      </c>
      <c r="H556" s="618" t="s">
        <v>4208</v>
      </c>
      <c r="I556" s="618" t="s">
        <v>473</v>
      </c>
      <c r="J556" s="618" t="s">
        <v>4208</v>
      </c>
      <c r="K556" s="618" t="s">
        <v>4333</v>
      </c>
      <c r="L556" s="618" t="s">
        <v>4334</v>
      </c>
      <c r="M556" s="619"/>
      <c r="N556" s="620"/>
      <c r="O556" s="620"/>
      <c r="P556" s="667" t="s">
        <v>1127</v>
      </c>
      <c r="Q556" s="621"/>
      <c r="R556" s="598" t="s">
        <v>55</v>
      </c>
      <c r="S556" s="598" t="s">
        <v>178</v>
      </c>
      <c r="T556" s="598"/>
      <c r="U556" s="598" t="s">
        <v>1015</v>
      </c>
      <c r="V556" s="667" t="s">
        <v>476</v>
      </c>
      <c r="W556" s="779" t="s">
        <v>4336</v>
      </c>
      <c r="X556" s="598" t="s">
        <v>950</v>
      </c>
      <c r="Y556" s="624">
        <v>27135</v>
      </c>
      <c r="Z556" s="625">
        <f t="shared" ca="1" si="10"/>
        <v>51</v>
      </c>
      <c r="AA556" s="654" t="s">
        <v>4337</v>
      </c>
      <c r="AB556" s="598" t="s">
        <v>4338</v>
      </c>
      <c r="AC556" s="598" t="s">
        <v>966</v>
      </c>
      <c r="AD556" s="598" t="s">
        <v>953</v>
      </c>
      <c r="AE556" s="616" t="s">
        <v>246</v>
      </c>
      <c r="AF556" s="616" t="s">
        <v>246</v>
      </c>
      <c r="AG556" s="653" t="s">
        <v>4064</v>
      </c>
      <c r="AH556" s="598"/>
      <c r="AI556" s="598"/>
      <c r="AJ556" s="598"/>
      <c r="AK556" s="598" t="s">
        <v>3510</v>
      </c>
      <c r="AL556" s="626"/>
      <c r="AM556" s="626"/>
    </row>
    <row r="557" spans="3:39" ht="18" customHeight="1">
      <c r="C557" s="598">
        <v>536</v>
      </c>
      <c r="D557" s="598" t="s">
        <v>4334</v>
      </c>
      <c r="E557" s="598">
        <f t="shared" si="11"/>
        <v>510</v>
      </c>
      <c r="F557" s="616" t="s">
        <v>3862</v>
      </c>
      <c r="G557" s="616" t="s">
        <v>4209</v>
      </c>
      <c r="H557" s="618" t="s">
        <v>4208</v>
      </c>
      <c r="I557" s="618" t="s">
        <v>473</v>
      </c>
      <c r="J557" s="618" t="s">
        <v>4208</v>
      </c>
      <c r="K557" s="618" t="s">
        <v>4333</v>
      </c>
      <c r="L557" s="618" t="s">
        <v>4334</v>
      </c>
      <c r="M557" s="619"/>
      <c r="N557" s="620"/>
      <c r="O557" s="620"/>
      <c r="P557" s="663" t="s">
        <v>1127</v>
      </c>
      <c r="Q557" s="621"/>
      <c r="R557" s="598" t="s">
        <v>69</v>
      </c>
      <c r="S557" s="598" t="s">
        <v>69</v>
      </c>
      <c r="T557" s="598"/>
      <c r="U557" s="598" t="s">
        <v>1015</v>
      </c>
      <c r="V557" s="663" t="s">
        <v>4339</v>
      </c>
      <c r="W557" s="779" t="s">
        <v>4340</v>
      </c>
      <c r="X557" s="598" t="s">
        <v>950</v>
      </c>
      <c r="Y557" s="624">
        <v>27601</v>
      </c>
      <c r="Z557" s="625">
        <f t="shared" ca="1" si="10"/>
        <v>50</v>
      </c>
      <c r="AA557" s="616" t="s">
        <v>4341</v>
      </c>
      <c r="AB557" s="598" t="s">
        <v>4342</v>
      </c>
      <c r="AC557" s="598" t="s">
        <v>996</v>
      </c>
      <c r="AD557" s="598" t="s">
        <v>997</v>
      </c>
      <c r="AE557" s="616" t="s">
        <v>246</v>
      </c>
      <c r="AF557" s="616" t="s">
        <v>246</v>
      </c>
      <c r="AG557" s="616" t="s">
        <v>4343</v>
      </c>
      <c r="AH557" s="598"/>
      <c r="AI557" s="598"/>
      <c r="AJ557" s="598" t="s">
        <v>1125</v>
      </c>
      <c r="AK557" s="598" t="s">
        <v>3510</v>
      </c>
      <c r="AL557" s="626"/>
      <c r="AM557" s="626"/>
    </row>
    <row r="558" spans="3:39" ht="18" customHeight="1">
      <c r="C558" s="598">
        <v>537</v>
      </c>
      <c r="D558" s="598" t="s">
        <v>4348</v>
      </c>
      <c r="E558" s="598">
        <f t="shared" si="11"/>
        <v>511</v>
      </c>
      <c r="F558" s="616" t="s">
        <v>3862</v>
      </c>
      <c r="G558" s="616" t="s">
        <v>4209</v>
      </c>
      <c r="H558" s="618" t="s">
        <v>4208</v>
      </c>
      <c r="I558" s="618" t="s">
        <v>473</v>
      </c>
      <c r="J558" s="618" t="s">
        <v>4208</v>
      </c>
      <c r="K558" s="618" t="s">
        <v>4333</v>
      </c>
      <c r="L558" s="618" t="s">
        <v>4334</v>
      </c>
      <c r="M558" s="619"/>
      <c r="N558" s="620"/>
      <c r="O558" s="620"/>
      <c r="P558" s="663" t="s">
        <v>1127</v>
      </c>
      <c r="Q558" s="621"/>
      <c r="R558" s="598"/>
      <c r="S558" s="598"/>
      <c r="T558" s="598"/>
      <c r="U558" s="598" t="s">
        <v>1015</v>
      </c>
      <c r="V558" s="663" t="s">
        <v>4349</v>
      </c>
      <c r="W558" s="779" t="s">
        <v>4350</v>
      </c>
      <c r="X558" s="598" t="s">
        <v>950</v>
      </c>
      <c r="Y558" s="624">
        <v>26677</v>
      </c>
      <c r="Z558" s="625">
        <f t="shared" ca="1" si="10"/>
        <v>53</v>
      </c>
      <c r="AA558" s="616" t="s">
        <v>4351</v>
      </c>
      <c r="AB558" s="598" t="s">
        <v>4352</v>
      </c>
      <c r="AC558" s="598" t="s">
        <v>996</v>
      </c>
      <c r="AD558" s="598" t="s">
        <v>997</v>
      </c>
      <c r="AE558" s="616" t="s">
        <v>246</v>
      </c>
      <c r="AF558" s="616" t="s">
        <v>246</v>
      </c>
      <c r="AG558" s="616" t="s">
        <v>4353</v>
      </c>
      <c r="AH558" s="598"/>
      <c r="AI558" s="598"/>
      <c r="AJ558" s="598" t="s">
        <v>1125</v>
      </c>
      <c r="AK558" s="598" t="s">
        <v>3510</v>
      </c>
      <c r="AL558" s="626"/>
      <c r="AM558" s="626"/>
    </row>
    <row r="559" spans="3:39" ht="18" customHeight="1">
      <c r="C559" s="598">
        <v>538</v>
      </c>
      <c r="D559" s="598" t="s">
        <v>4033</v>
      </c>
      <c r="E559" s="598">
        <f t="shared" si="11"/>
        <v>512</v>
      </c>
      <c r="F559" s="616" t="s">
        <v>3862</v>
      </c>
      <c r="G559" s="616" t="s">
        <v>4209</v>
      </c>
      <c r="H559" s="618" t="s">
        <v>4208</v>
      </c>
      <c r="I559" s="618" t="s">
        <v>473</v>
      </c>
      <c r="J559" s="618" t="s">
        <v>4208</v>
      </c>
      <c r="K559" s="618" t="s">
        <v>4333</v>
      </c>
      <c r="L559" s="618" t="s">
        <v>4334</v>
      </c>
      <c r="M559" s="619"/>
      <c r="N559" s="620"/>
      <c r="O559" s="620"/>
      <c r="P559" s="663" t="s">
        <v>1127</v>
      </c>
      <c r="Q559" s="621"/>
      <c r="R559" s="598"/>
      <c r="S559" s="598"/>
      <c r="T559" s="598"/>
      <c r="U559" s="598" t="s">
        <v>1015</v>
      </c>
      <c r="V559" s="663" t="s">
        <v>4034</v>
      </c>
      <c r="W559" s="779" t="s">
        <v>4035</v>
      </c>
      <c r="X559" s="598" t="s">
        <v>950</v>
      </c>
      <c r="Y559" s="624">
        <v>28550</v>
      </c>
      <c r="Z559" s="625">
        <f t="shared" ca="1" si="10"/>
        <v>47</v>
      </c>
      <c r="AA559" s="616" t="s">
        <v>4036</v>
      </c>
      <c r="AB559" s="598" t="s">
        <v>4037</v>
      </c>
      <c r="AC559" s="598" t="s">
        <v>996</v>
      </c>
      <c r="AD559" s="598" t="s">
        <v>1018</v>
      </c>
      <c r="AE559" s="616" t="s">
        <v>246</v>
      </c>
      <c r="AF559" s="616" t="s">
        <v>246</v>
      </c>
      <c r="AG559" s="616" t="s">
        <v>3815</v>
      </c>
      <c r="AH559" s="598"/>
      <c r="AI559" s="598"/>
      <c r="AJ559" s="598" t="s">
        <v>1125</v>
      </c>
      <c r="AK559" s="598" t="s">
        <v>3510</v>
      </c>
      <c r="AL559" s="626"/>
      <c r="AM559" s="626"/>
    </row>
    <row r="560" spans="3:39" ht="18" customHeight="1">
      <c r="C560" s="598">
        <v>539</v>
      </c>
      <c r="D560" s="598" t="s">
        <v>3980</v>
      </c>
      <c r="E560" s="598">
        <f t="shared" si="11"/>
        <v>513</v>
      </c>
      <c r="F560" s="616" t="s">
        <v>3862</v>
      </c>
      <c r="G560" s="616" t="s">
        <v>4209</v>
      </c>
      <c r="H560" s="618" t="s">
        <v>4208</v>
      </c>
      <c r="I560" s="618" t="s">
        <v>473</v>
      </c>
      <c r="J560" s="618" t="s">
        <v>4208</v>
      </c>
      <c r="K560" s="618" t="s">
        <v>4333</v>
      </c>
      <c r="L560" s="618" t="s">
        <v>4334</v>
      </c>
      <c r="M560" s="619"/>
      <c r="N560" s="620"/>
      <c r="O560" s="620"/>
      <c r="P560" s="663" t="s">
        <v>1127</v>
      </c>
      <c r="Q560" s="621"/>
      <c r="R560" s="598"/>
      <c r="S560" s="598"/>
      <c r="T560" s="598"/>
      <c r="U560" s="598" t="s">
        <v>1015</v>
      </c>
      <c r="V560" s="663" t="s">
        <v>3981</v>
      </c>
      <c r="W560" s="779" t="s">
        <v>3982</v>
      </c>
      <c r="X560" s="598" t="s">
        <v>950</v>
      </c>
      <c r="Y560" s="624">
        <v>29149</v>
      </c>
      <c r="Z560" s="625">
        <f t="shared" ca="1" si="10"/>
        <v>46</v>
      </c>
      <c r="AA560" s="616" t="s">
        <v>3983</v>
      </c>
      <c r="AB560" s="598" t="s">
        <v>3984</v>
      </c>
      <c r="AC560" s="598" t="s">
        <v>996</v>
      </c>
      <c r="AD560" s="598" t="s">
        <v>997</v>
      </c>
      <c r="AE560" s="616" t="s">
        <v>246</v>
      </c>
      <c r="AF560" s="616" t="s">
        <v>246</v>
      </c>
      <c r="AG560" s="616" t="s">
        <v>3936</v>
      </c>
      <c r="AH560" s="598"/>
      <c r="AI560" s="598"/>
      <c r="AJ560" s="598" t="s">
        <v>1125</v>
      </c>
      <c r="AK560" s="598" t="s">
        <v>3510</v>
      </c>
      <c r="AL560" s="626"/>
      <c r="AM560" s="626"/>
    </row>
    <row r="561" spans="3:39" ht="18" customHeight="1">
      <c r="C561" s="598">
        <v>540</v>
      </c>
      <c r="D561" s="598" t="s">
        <v>4236</v>
      </c>
      <c r="E561" s="598">
        <f t="shared" si="11"/>
        <v>514</v>
      </c>
      <c r="F561" s="616" t="s">
        <v>3862</v>
      </c>
      <c r="G561" s="616" t="s">
        <v>4209</v>
      </c>
      <c r="H561" s="618" t="s">
        <v>4208</v>
      </c>
      <c r="I561" s="618" t="s">
        <v>473</v>
      </c>
      <c r="J561" s="618" t="s">
        <v>4208</v>
      </c>
      <c r="K561" s="618" t="s">
        <v>4333</v>
      </c>
      <c r="L561" s="618" t="s">
        <v>4334</v>
      </c>
      <c r="M561" s="619"/>
      <c r="N561" s="620"/>
      <c r="O561" s="620"/>
      <c r="P561" s="663" t="s">
        <v>1127</v>
      </c>
      <c r="Q561" s="621"/>
      <c r="R561" s="598"/>
      <c r="S561" s="598"/>
      <c r="T561" s="598"/>
      <c r="U561" s="598" t="s">
        <v>1015</v>
      </c>
      <c r="V561" s="663" t="s">
        <v>4237</v>
      </c>
      <c r="W561" s="779" t="s">
        <v>4238</v>
      </c>
      <c r="X561" s="598" t="s">
        <v>950</v>
      </c>
      <c r="Y561" s="624">
        <v>29930</v>
      </c>
      <c r="Z561" s="625">
        <f t="shared" ca="1" si="10"/>
        <v>44</v>
      </c>
      <c r="AA561" s="616" t="s">
        <v>4239</v>
      </c>
      <c r="AB561" s="598" t="s">
        <v>4240</v>
      </c>
      <c r="AC561" s="598" t="s">
        <v>996</v>
      </c>
      <c r="AD561" s="598" t="s">
        <v>1018</v>
      </c>
      <c r="AE561" s="616" t="s">
        <v>246</v>
      </c>
      <c r="AF561" s="616" t="s">
        <v>246</v>
      </c>
      <c r="AG561" s="653" t="s">
        <v>4241</v>
      </c>
      <c r="AH561" s="598"/>
      <c r="AI561" s="598"/>
      <c r="AJ561" s="598" t="s">
        <v>1125</v>
      </c>
      <c r="AK561" s="598" t="s">
        <v>3510</v>
      </c>
      <c r="AL561" s="626"/>
      <c r="AM561" s="626"/>
    </row>
    <row r="562" spans="3:39" ht="18" customHeight="1">
      <c r="C562" s="598">
        <v>541</v>
      </c>
      <c r="D562" s="598" t="s">
        <v>4874</v>
      </c>
      <c r="E562" s="598">
        <f t="shared" si="11"/>
        <v>515</v>
      </c>
      <c r="F562" s="616" t="s">
        <v>3862</v>
      </c>
      <c r="G562" s="616" t="s">
        <v>4209</v>
      </c>
      <c r="H562" s="618" t="s">
        <v>4208</v>
      </c>
      <c r="I562" s="618" t="s">
        <v>473</v>
      </c>
      <c r="J562" s="618" t="s">
        <v>4208</v>
      </c>
      <c r="K562" s="618" t="s">
        <v>4333</v>
      </c>
      <c r="L562" s="618" t="s">
        <v>4334</v>
      </c>
      <c r="M562" s="619"/>
      <c r="N562" s="620"/>
      <c r="O562" s="620"/>
      <c r="P562" s="663" t="s">
        <v>1127</v>
      </c>
      <c r="Q562" s="621"/>
      <c r="R562" s="598"/>
      <c r="S562" s="598"/>
      <c r="T562" s="598"/>
      <c r="U562" s="598" t="s">
        <v>1015</v>
      </c>
      <c r="V562" s="663" t="s">
        <v>4875</v>
      </c>
      <c r="W562" s="779" t="s">
        <v>4876</v>
      </c>
      <c r="X562" s="598" t="s">
        <v>950</v>
      </c>
      <c r="Y562" s="624">
        <v>26318</v>
      </c>
      <c r="Z562" s="625">
        <f t="shared" ca="1" si="10"/>
        <v>54</v>
      </c>
      <c r="AA562" s="616" t="s">
        <v>4877</v>
      </c>
      <c r="AB562" s="652"/>
      <c r="AC562" s="598" t="s">
        <v>996</v>
      </c>
      <c r="AD562" s="598" t="s">
        <v>1018</v>
      </c>
      <c r="AE562" s="616" t="s">
        <v>246</v>
      </c>
      <c r="AF562" s="616" t="s">
        <v>246</v>
      </c>
      <c r="AG562" s="616" t="s">
        <v>4064</v>
      </c>
      <c r="AH562" s="598"/>
      <c r="AI562" s="598" t="s">
        <v>4858</v>
      </c>
      <c r="AJ562" s="598" t="s">
        <v>1125</v>
      </c>
      <c r="AK562" s="598" t="s">
        <v>1020</v>
      </c>
      <c r="AL562" s="626"/>
      <c r="AM562" s="626"/>
    </row>
    <row r="563" spans="3:39" ht="18" customHeight="1">
      <c r="C563" s="598">
        <v>542</v>
      </c>
      <c r="D563" s="598" t="s">
        <v>4878</v>
      </c>
      <c r="E563" s="598">
        <f t="shared" si="11"/>
        <v>516</v>
      </c>
      <c r="F563" s="616" t="s">
        <v>3862</v>
      </c>
      <c r="G563" s="616" t="s">
        <v>4209</v>
      </c>
      <c r="H563" s="618" t="s">
        <v>4208</v>
      </c>
      <c r="I563" s="618" t="s">
        <v>473</v>
      </c>
      <c r="J563" s="618" t="s">
        <v>4208</v>
      </c>
      <c r="K563" s="618" t="s">
        <v>4333</v>
      </c>
      <c r="L563" s="618" t="s">
        <v>4334</v>
      </c>
      <c r="M563" s="619"/>
      <c r="N563" s="620"/>
      <c r="O563" s="620"/>
      <c r="P563" s="673" t="s">
        <v>1127</v>
      </c>
      <c r="Q563" s="621"/>
      <c r="R563" s="598"/>
      <c r="S563" s="598"/>
      <c r="T563" s="598"/>
      <c r="U563" s="598" t="s">
        <v>1015</v>
      </c>
      <c r="V563" s="673" t="s">
        <v>4879</v>
      </c>
      <c r="W563" s="779" t="s">
        <v>4880</v>
      </c>
      <c r="X563" s="598" t="s">
        <v>950</v>
      </c>
      <c r="Y563" s="624">
        <v>28655</v>
      </c>
      <c r="Z563" s="625">
        <f t="shared" ca="1" si="10"/>
        <v>47</v>
      </c>
      <c r="AA563" s="616" t="s">
        <v>4881</v>
      </c>
      <c r="AB563" s="652"/>
      <c r="AC563" s="598" t="s">
        <v>996</v>
      </c>
      <c r="AD563" s="598" t="s">
        <v>1018</v>
      </c>
      <c r="AE563" s="616" t="s">
        <v>4882</v>
      </c>
      <c r="AF563" s="616" t="s">
        <v>729</v>
      </c>
      <c r="AG563" s="616" t="s">
        <v>4883</v>
      </c>
      <c r="AH563" s="598"/>
      <c r="AI563" s="598" t="s">
        <v>4229</v>
      </c>
      <c r="AJ563" s="598" t="s">
        <v>1125</v>
      </c>
      <c r="AK563" s="598" t="s">
        <v>4607</v>
      </c>
      <c r="AL563" s="626"/>
      <c r="AM563" s="626"/>
    </row>
    <row r="564" spans="3:39" ht="18" customHeight="1">
      <c r="C564" s="598">
        <v>543</v>
      </c>
      <c r="D564" s="598" t="s">
        <v>3598</v>
      </c>
      <c r="E564" s="598">
        <f t="shared" si="11"/>
        <v>517</v>
      </c>
      <c r="F564" s="616" t="s">
        <v>1810</v>
      </c>
      <c r="G564" s="616" t="s">
        <v>4209</v>
      </c>
      <c r="H564" s="618" t="s">
        <v>4208</v>
      </c>
      <c r="I564" s="618" t="s">
        <v>473</v>
      </c>
      <c r="J564" s="618" t="s">
        <v>4208</v>
      </c>
      <c r="K564" s="618" t="s">
        <v>3598</v>
      </c>
      <c r="L564" s="618" t="s">
        <v>3599</v>
      </c>
      <c r="M564" s="619"/>
      <c r="N564" s="620"/>
      <c r="O564" s="620"/>
      <c r="P564" s="667" t="s">
        <v>1157</v>
      </c>
      <c r="Q564" s="621"/>
      <c r="R564" s="598" t="s">
        <v>55</v>
      </c>
      <c r="S564" s="598" t="s">
        <v>178</v>
      </c>
      <c r="T564" s="598"/>
      <c r="U564" s="598" t="s">
        <v>1015</v>
      </c>
      <c r="V564" s="667" t="s">
        <v>3601</v>
      </c>
      <c r="W564" s="779" t="s">
        <v>3602</v>
      </c>
      <c r="X564" s="598" t="s">
        <v>950</v>
      </c>
      <c r="Y564" s="624">
        <v>25388</v>
      </c>
      <c r="Z564" s="625">
        <f t="shared" ca="1" si="10"/>
        <v>56</v>
      </c>
      <c r="AA564" s="616" t="s">
        <v>3603</v>
      </c>
      <c r="AB564" s="645" t="s">
        <v>3604</v>
      </c>
      <c r="AC564" s="598" t="s">
        <v>996</v>
      </c>
      <c r="AD564" s="598" t="s">
        <v>997</v>
      </c>
      <c r="AE564" s="616" t="s">
        <v>973</v>
      </c>
      <c r="AF564" s="616" t="s">
        <v>973</v>
      </c>
      <c r="AG564" s="616" t="s">
        <v>3509</v>
      </c>
      <c r="AH564" s="598"/>
      <c r="AI564" s="598"/>
      <c r="AJ564" s="598" t="s">
        <v>1125</v>
      </c>
      <c r="AK564" s="598" t="s">
        <v>3510</v>
      </c>
      <c r="AL564" s="626"/>
      <c r="AM564" s="626"/>
    </row>
    <row r="565" spans="3:39" ht="18" customHeight="1">
      <c r="C565" s="598">
        <v>544</v>
      </c>
      <c r="D565" s="598" t="s">
        <v>3599</v>
      </c>
      <c r="E565" s="598">
        <f t="shared" si="11"/>
        <v>518</v>
      </c>
      <c r="F565" s="616" t="s">
        <v>1810</v>
      </c>
      <c r="G565" s="616" t="s">
        <v>4209</v>
      </c>
      <c r="H565" s="618" t="s">
        <v>4208</v>
      </c>
      <c r="I565" s="618" t="s">
        <v>473</v>
      </c>
      <c r="J565" s="618" t="s">
        <v>4208</v>
      </c>
      <c r="K565" s="618" t="s">
        <v>3598</v>
      </c>
      <c r="L565" s="618" t="s">
        <v>3599</v>
      </c>
      <c r="M565" s="619"/>
      <c r="N565" s="620"/>
      <c r="O565" s="620"/>
      <c r="P565" s="663" t="s">
        <v>1157</v>
      </c>
      <c r="Q565" s="621"/>
      <c r="R565" s="598" t="s">
        <v>69</v>
      </c>
      <c r="S565" s="598" t="s">
        <v>69</v>
      </c>
      <c r="T565" s="598"/>
      <c r="U565" s="598" t="s">
        <v>1015</v>
      </c>
      <c r="V565" s="663" t="s">
        <v>3605</v>
      </c>
      <c r="W565" s="779" t="s">
        <v>3606</v>
      </c>
      <c r="X565" s="598" t="s">
        <v>950</v>
      </c>
      <c r="Y565" s="624">
        <v>27470</v>
      </c>
      <c r="Z565" s="625">
        <f t="shared" ca="1" si="10"/>
        <v>50</v>
      </c>
      <c r="AA565" s="616" t="s">
        <v>3607</v>
      </c>
      <c r="AB565" s="598" t="s">
        <v>3608</v>
      </c>
      <c r="AC565" s="598" t="s">
        <v>996</v>
      </c>
      <c r="AD565" s="598" t="s">
        <v>997</v>
      </c>
      <c r="AE565" s="616" t="s">
        <v>1078</v>
      </c>
      <c r="AF565" s="616" t="s">
        <v>1078</v>
      </c>
      <c r="AG565" s="616" t="s">
        <v>3578</v>
      </c>
      <c r="AH565" s="598"/>
      <c r="AI565" s="598"/>
      <c r="AJ565" s="598" t="s">
        <v>1125</v>
      </c>
      <c r="AK565" s="598" t="s">
        <v>3510</v>
      </c>
      <c r="AL565" s="626"/>
      <c r="AM565" s="626"/>
    </row>
    <row r="566" spans="3:39" ht="18" customHeight="1">
      <c r="C566" s="598">
        <v>545</v>
      </c>
      <c r="D566" s="598" t="s">
        <v>2996</v>
      </c>
      <c r="E566" s="598">
        <f t="shared" si="11"/>
        <v>519</v>
      </c>
      <c r="F566" s="616" t="s">
        <v>1798</v>
      </c>
      <c r="G566" s="616" t="s">
        <v>4209</v>
      </c>
      <c r="H566" s="618" t="s">
        <v>4208</v>
      </c>
      <c r="I566" s="618" t="s">
        <v>473</v>
      </c>
      <c r="J566" s="618" t="s">
        <v>4208</v>
      </c>
      <c r="K566" s="618" t="s">
        <v>3598</v>
      </c>
      <c r="L566" s="618" t="s">
        <v>3599</v>
      </c>
      <c r="M566" s="619"/>
      <c r="N566" s="620"/>
      <c r="O566" s="620"/>
      <c r="P566" s="663" t="s">
        <v>1157</v>
      </c>
      <c r="Q566" s="621"/>
      <c r="R566" s="598"/>
      <c r="S566" s="598"/>
      <c r="T566" s="598"/>
      <c r="U566" s="598" t="s">
        <v>1015</v>
      </c>
      <c r="V566" s="663" t="s">
        <v>2997</v>
      </c>
      <c r="W566" s="779" t="s">
        <v>2998</v>
      </c>
      <c r="X566" s="598" t="s">
        <v>950</v>
      </c>
      <c r="Y566" s="624">
        <v>24892</v>
      </c>
      <c r="Z566" s="625">
        <f t="shared" ca="1" si="10"/>
        <v>57</v>
      </c>
      <c r="AA566" s="616" t="s">
        <v>2999</v>
      </c>
      <c r="AB566" s="598" t="s">
        <v>3000</v>
      </c>
      <c r="AC566" s="598" t="s">
        <v>996</v>
      </c>
      <c r="AD566" s="598" t="s">
        <v>1018</v>
      </c>
      <c r="AE566" s="616" t="s">
        <v>1041</v>
      </c>
      <c r="AF566" s="721" t="s">
        <v>1041</v>
      </c>
      <c r="AG566" s="616" t="s">
        <v>2784</v>
      </c>
      <c r="AH566" s="598"/>
      <c r="AI566" s="598"/>
      <c r="AJ566" s="598" t="s">
        <v>1125</v>
      </c>
      <c r="AK566" s="598"/>
      <c r="AL566" s="626"/>
      <c r="AM566" s="626"/>
    </row>
    <row r="567" spans="3:39" ht="18" customHeight="1">
      <c r="C567" s="598">
        <v>546</v>
      </c>
      <c r="D567" s="598" t="s">
        <v>2916</v>
      </c>
      <c r="E567" s="598">
        <f t="shared" si="11"/>
        <v>520</v>
      </c>
      <c r="F567" s="616" t="s">
        <v>1798</v>
      </c>
      <c r="G567" s="616" t="s">
        <v>4209</v>
      </c>
      <c r="H567" s="618" t="s">
        <v>4208</v>
      </c>
      <c r="I567" s="618" t="s">
        <v>473</v>
      </c>
      <c r="J567" s="618" t="s">
        <v>4208</v>
      </c>
      <c r="K567" s="618" t="s">
        <v>3598</v>
      </c>
      <c r="L567" s="618" t="s">
        <v>3599</v>
      </c>
      <c r="M567" s="619"/>
      <c r="N567" s="620"/>
      <c r="O567" s="620"/>
      <c r="P567" s="663" t="s">
        <v>1157</v>
      </c>
      <c r="Q567" s="621"/>
      <c r="R567" s="598"/>
      <c r="S567" s="598"/>
      <c r="T567" s="598"/>
      <c r="U567" s="598" t="s">
        <v>1015</v>
      </c>
      <c r="V567" s="663" t="s">
        <v>2917</v>
      </c>
      <c r="W567" s="779" t="s">
        <v>2918</v>
      </c>
      <c r="X567" s="598" t="s">
        <v>950</v>
      </c>
      <c r="Y567" s="624">
        <v>26163</v>
      </c>
      <c r="Z567" s="625">
        <f t="shared" ca="1" si="10"/>
        <v>54</v>
      </c>
      <c r="AA567" s="616" t="s">
        <v>2919</v>
      </c>
      <c r="AB567" s="598"/>
      <c r="AC567" s="598" t="s">
        <v>996</v>
      </c>
      <c r="AD567" s="598" t="s">
        <v>1018</v>
      </c>
      <c r="AE567" s="616" t="s">
        <v>1041</v>
      </c>
      <c r="AF567" s="721" t="s">
        <v>1041</v>
      </c>
      <c r="AG567" s="616" t="s">
        <v>1382</v>
      </c>
      <c r="AH567" s="598"/>
      <c r="AI567" s="598"/>
      <c r="AJ567" s="598" t="s">
        <v>1125</v>
      </c>
      <c r="AK567" s="598"/>
      <c r="AL567" s="626"/>
      <c r="AM567" s="626"/>
    </row>
    <row r="568" spans="3:39" ht="18" customHeight="1">
      <c r="C568" s="598">
        <v>547</v>
      </c>
      <c r="D568" s="598" t="s">
        <v>2940</v>
      </c>
      <c r="E568" s="598">
        <f t="shared" si="11"/>
        <v>521</v>
      </c>
      <c r="F568" s="616" t="s">
        <v>1798</v>
      </c>
      <c r="G568" s="616" t="s">
        <v>4209</v>
      </c>
      <c r="H568" s="618" t="s">
        <v>4208</v>
      </c>
      <c r="I568" s="618" t="s">
        <v>473</v>
      </c>
      <c r="J568" s="618" t="s">
        <v>4208</v>
      </c>
      <c r="K568" s="618" t="s">
        <v>3598</v>
      </c>
      <c r="L568" s="618" t="s">
        <v>3599</v>
      </c>
      <c r="M568" s="619"/>
      <c r="N568" s="620"/>
      <c r="O568" s="620"/>
      <c r="P568" s="673" t="s">
        <v>1157</v>
      </c>
      <c r="Q568" s="621"/>
      <c r="R568" s="598"/>
      <c r="S568" s="598"/>
      <c r="T568" s="598"/>
      <c r="U568" s="598" t="s">
        <v>1015</v>
      </c>
      <c r="V568" s="673" t="s">
        <v>2941</v>
      </c>
      <c r="W568" s="779" t="s">
        <v>2942</v>
      </c>
      <c r="X568" s="598" t="s">
        <v>950</v>
      </c>
      <c r="Y568" s="624">
        <v>29041</v>
      </c>
      <c r="Z568" s="625">
        <f t="shared" ca="1" si="10"/>
        <v>46</v>
      </c>
      <c r="AA568" s="616" t="s">
        <v>2943</v>
      </c>
      <c r="AB568" s="598" t="s">
        <v>2944</v>
      </c>
      <c r="AC568" s="598" t="s">
        <v>996</v>
      </c>
      <c r="AD568" s="598" t="s">
        <v>997</v>
      </c>
      <c r="AE568" s="616" t="s">
        <v>1041</v>
      </c>
      <c r="AF568" s="616" t="s">
        <v>2325</v>
      </c>
      <c r="AG568" s="616" t="s">
        <v>2945</v>
      </c>
      <c r="AH568" s="598"/>
      <c r="AI568" s="598"/>
      <c r="AJ568" s="598" t="s">
        <v>1125</v>
      </c>
      <c r="AK568" s="598"/>
      <c r="AL568" s="626"/>
      <c r="AM568" s="626"/>
    </row>
    <row r="569" spans="3:39" ht="18" customHeight="1">
      <c r="C569" s="598">
        <v>548</v>
      </c>
      <c r="D569" s="598" t="s">
        <v>4210</v>
      </c>
      <c r="E569" s="598">
        <f t="shared" si="11"/>
        <v>522</v>
      </c>
      <c r="F569" s="616" t="s">
        <v>3862</v>
      </c>
      <c r="G569" s="616" t="s">
        <v>4884</v>
      </c>
      <c r="H569" s="618" t="s">
        <v>4208</v>
      </c>
      <c r="I569" s="618" t="s">
        <v>4211</v>
      </c>
      <c r="J569" s="618" t="s">
        <v>4210</v>
      </c>
      <c r="K569" s="618" t="s">
        <v>4210</v>
      </c>
      <c r="L569" s="618" t="s">
        <v>4266</v>
      </c>
      <c r="M569" s="619"/>
      <c r="N569" s="620"/>
      <c r="O569" s="620"/>
      <c r="P569" s="667" t="s">
        <v>1044</v>
      </c>
      <c r="Q569" s="621"/>
      <c r="R569" s="598" t="s">
        <v>173</v>
      </c>
      <c r="S569" s="598" t="s">
        <v>514</v>
      </c>
      <c r="T569" s="598" t="s">
        <v>55</v>
      </c>
      <c r="U569" s="623" t="s">
        <v>1015</v>
      </c>
      <c r="V569" s="667" t="s">
        <v>4211</v>
      </c>
      <c r="W569" s="781" t="s">
        <v>4395</v>
      </c>
      <c r="X569" s="598" t="s">
        <v>950</v>
      </c>
      <c r="Y569" s="624">
        <v>27947</v>
      </c>
      <c r="Z569" s="625">
        <f t="shared" ca="1" si="10"/>
        <v>49</v>
      </c>
      <c r="AA569" s="616" t="s">
        <v>3817</v>
      </c>
      <c r="AB569" s="598" t="s">
        <v>4396</v>
      </c>
      <c r="AC569" s="598" t="s">
        <v>966</v>
      </c>
      <c r="AD569" s="598" t="s">
        <v>953</v>
      </c>
      <c r="AE569" s="616" t="s">
        <v>246</v>
      </c>
      <c r="AF569" s="616" t="s">
        <v>246</v>
      </c>
      <c r="AG569" s="616" t="s">
        <v>4216</v>
      </c>
      <c r="AH569" s="598"/>
      <c r="AI569" s="598"/>
      <c r="AJ569" s="598"/>
      <c r="AK569" s="598" t="s">
        <v>3510</v>
      </c>
      <c r="AL569" s="626"/>
      <c r="AM569" s="626"/>
    </row>
    <row r="570" spans="3:39" ht="18" customHeight="1">
      <c r="C570" s="598">
        <v>549</v>
      </c>
      <c r="D570" s="598" t="s">
        <v>4099</v>
      </c>
      <c r="E570" s="598">
        <f t="shared" si="11"/>
        <v>523</v>
      </c>
      <c r="F570" s="616" t="s">
        <v>3862</v>
      </c>
      <c r="G570" s="616" t="s">
        <v>4884</v>
      </c>
      <c r="H570" s="618" t="s">
        <v>4208</v>
      </c>
      <c r="I570" s="618" t="s">
        <v>4211</v>
      </c>
      <c r="J570" s="618" t="s">
        <v>4210</v>
      </c>
      <c r="K570" s="618" t="s">
        <v>4210</v>
      </c>
      <c r="L570" s="618" t="s">
        <v>4266</v>
      </c>
      <c r="M570" s="619"/>
      <c r="N570" s="620"/>
      <c r="O570" s="620"/>
      <c r="P570" s="663" t="s">
        <v>1044</v>
      </c>
      <c r="Q570" s="621"/>
      <c r="R570" s="598"/>
      <c r="S570" s="598"/>
      <c r="T570" s="598"/>
      <c r="U570" s="623" t="s">
        <v>1015</v>
      </c>
      <c r="V570" s="663" t="s">
        <v>527</v>
      </c>
      <c r="W570" s="781" t="s">
        <v>4102</v>
      </c>
      <c r="X570" s="598" t="s">
        <v>950</v>
      </c>
      <c r="Y570" s="624">
        <v>31368</v>
      </c>
      <c r="Z570" s="625">
        <f t="shared" ca="1" si="10"/>
        <v>40</v>
      </c>
      <c r="AA570" s="616" t="s">
        <v>4103</v>
      </c>
      <c r="AB570" s="598" t="s">
        <v>4104</v>
      </c>
      <c r="AC570" s="598" t="s">
        <v>996</v>
      </c>
      <c r="AD570" s="598" t="s">
        <v>1018</v>
      </c>
      <c r="AE570" s="616" t="s">
        <v>246</v>
      </c>
      <c r="AF570" s="616" t="s">
        <v>246</v>
      </c>
      <c r="AG570" s="616" t="s">
        <v>3936</v>
      </c>
      <c r="AH570" s="598"/>
      <c r="AI570" s="598"/>
      <c r="AJ570" s="598" t="s">
        <v>1114</v>
      </c>
      <c r="AK570" s="598" t="s">
        <v>3510</v>
      </c>
      <c r="AL570" s="626"/>
      <c r="AM570" s="626"/>
    </row>
    <row r="571" spans="3:39" ht="18" customHeight="1">
      <c r="C571" s="598">
        <v>550</v>
      </c>
      <c r="D571" s="598" t="s">
        <v>4242</v>
      </c>
      <c r="E571" s="598">
        <f t="shared" si="11"/>
        <v>524</v>
      </c>
      <c r="F571" s="616" t="s">
        <v>3862</v>
      </c>
      <c r="G571" s="616" t="s">
        <v>4884</v>
      </c>
      <c r="H571" s="618" t="s">
        <v>4208</v>
      </c>
      <c r="I571" s="618" t="s">
        <v>4211</v>
      </c>
      <c r="J571" s="618" t="s">
        <v>4210</v>
      </c>
      <c r="K571" s="618" t="s">
        <v>4210</v>
      </c>
      <c r="L571" s="618" t="s">
        <v>4266</v>
      </c>
      <c r="M571" s="619"/>
      <c r="N571" s="620"/>
      <c r="O571" s="620"/>
      <c r="P571" s="663" t="s">
        <v>1044</v>
      </c>
      <c r="Q571" s="621"/>
      <c r="R571" s="598"/>
      <c r="S571" s="598"/>
      <c r="T571" s="598"/>
      <c r="U571" s="623" t="s">
        <v>1015</v>
      </c>
      <c r="V571" s="663" t="s">
        <v>4243</v>
      </c>
      <c r="W571" s="781" t="s">
        <v>4244</v>
      </c>
      <c r="X571" s="598" t="s">
        <v>950</v>
      </c>
      <c r="Y571" s="624">
        <v>32528</v>
      </c>
      <c r="Z571" s="625">
        <f t="shared" ca="1" si="10"/>
        <v>37</v>
      </c>
      <c r="AA571" s="616" t="s">
        <v>4245</v>
      </c>
      <c r="AB571" s="598" t="s">
        <v>4246</v>
      </c>
      <c r="AC571" s="598" t="s">
        <v>996</v>
      </c>
      <c r="AD571" s="598" t="s">
        <v>1018</v>
      </c>
      <c r="AE571" s="616" t="s">
        <v>246</v>
      </c>
      <c r="AF571" s="616" t="s">
        <v>246</v>
      </c>
      <c r="AG571" s="653" t="s">
        <v>4247</v>
      </c>
      <c r="AH571" s="598"/>
      <c r="AI571" s="598"/>
      <c r="AJ571" s="598" t="s">
        <v>1114</v>
      </c>
      <c r="AK571" s="598" t="s">
        <v>3510</v>
      </c>
      <c r="AL571" s="626"/>
      <c r="AM571" s="626"/>
    </row>
    <row r="572" spans="3:39" ht="18" customHeight="1">
      <c r="C572" s="598">
        <v>551</v>
      </c>
      <c r="D572" s="598" t="s">
        <v>4002</v>
      </c>
      <c r="E572" s="598">
        <f t="shared" si="11"/>
        <v>525</v>
      </c>
      <c r="F572" s="616" t="s">
        <v>3862</v>
      </c>
      <c r="G572" s="616" t="s">
        <v>4884</v>
      </c>
      <c r="H572" s="618" t="s">
        <v>4208</v>
      </c>
      <c r="I572" s="618" t="s">
        <v>4211</v>
      </c>
      <c r="J572" s="618" t="s">
        <v>4210</v>
      </c>
      <c r="K572" s="618" t="s">
        <v>4210</v>
      </c>
      <c r="L572" s="618" t="s">
        <v>4266</v>
      </c>
      <c r="M572" s="619"/>
      <c r="N572" s="620"/>
      <c r="O572" s="620"/>
      <c r="P572" s="663" t="s">
        <v>1044</v>
      </c>
      <c r="Q572" s="621"/>
      <c r="R572" s="598"/>
      <c r="S572" s="598"/>
      <c r="T572" s="598"/>
      <c r="U572" s="623" t="s">
        <v>1015</v>
      </c>
      <c r="V572" s="663" t="s">
        <v>543</v>
      </c>
      <c r="W572" s="781" t="s">
        <v>4003</v>
      </c>
      <c r="X572" s="598" t="s">
        <v>950</v>
      </c>
      <c r="Y572" s="624">
        <v>33412</v>
      </c>
      <c r="Z572" s="625">
        <f t="shared" ca="1" si="10"/>
        <v>34</v>
      </c>
      <c r="AA572" s="616" t="s">
        <v>4004</v>
      </c>
      <c r="AB572" s="598" t="s">
        <v>4005</v>
      </c>
      <c r="AC572" s="598" t="s">
        <v>996</v>
      </c>
      <c r="AD572" s="598" t="s">
        <v>1018</v>
      </c>
      <c r="AE572" s="616" t="s">
        <v>246</v>
      </c>
      <c r="AF572" s="616" t="s">
        <v>246</v>
      </c>
      <c r="AG572" s="616" t="s">
        <v>3936</v>
      </c>
      <c r="AH572" s="598"/>
      <c r="AI572" s="598"/>
      <c r="AJ572" s="598" t="s">
        <v>1114</v>
      </c>
      <c r="AK572" s="598" t="s">
        <v>3510</v>
      </c>
      <c r="AL572" s="626"/>
      <c r="AM572" s="626"/>
    </row>
    <row r="573" spans="3:39" ht="18" customHeight="1">
      <c r="C573" s="598">
        <v>552</v>
      </c>
      <c r="D573" s="598" t="s">
        <v>3627</v>
      </c>
      <c r="E573" s="598">
        <f t="shared" si="11"/>
        <v>526</v>
      </c>
      <c r="F573" s="616" t="s">
        <v>3862</v>
      </c>
      <c r="G573" s="616" t="s">
        <v>4884</v>
      </c>
      <c r="H573" s="618" t="s">
        <v>4208</v>
      </c>
      <c r="I573" s="618" t="s">
        <v>4211</v>
      </c>
      <c r="J573" s="618" t="s">
        <v>4210</v>
      </c>
      <c r="K573" s="618" t="s">
        <v>4210</v>
      </c>
      <c r="L573" s="618" t="s">
        <v>4266</v>
      </c>
      <c r="M573" s="619"/>
      <c r="N573" s="620"/>
      <c r="O573" s="620"/>
      <c r="P573" s="663" t="s">
        <v>1044</v>
      </c>
      <c r="Q573" s="621"/>
      <c r="R573" s="598"/>
      <c r="S573" s="598"/>
      <c r="T573" s="598"/>
      <c r="U573" s="623" t="s">
        <v>1015</v>
      </c>
      <c r="V573" s="664" t="s">
        <v>550</v>
      </c>
      <c r="W573" s="781" t="s">
        <v>3628</v>
      </c>
      <c r="X573" s="598" t="s">
        <v>950</v>
      </c>
      <c r="Y573" s="624">
        <v>32543</v>
      </c>
      <c r="Z573" s="625">
        <f t="shared" ca="1" si="10"/>
        <v>36</v>
      </c>
      <c r="AA573" s="616" t="s">
        <v>3629</v>
      </c>
      <c r="AB573" s="598"/>
      <c r="AC573" s="598" t="s">
        <v>996</v>
      </c>
      <c r="AD573" s="598" t="s">
        <v>1018</v>
      </c>
      <c r="AE573" s="616" t="s">
        <v>1078</v>
      </c>
      <c r="AF573" s="616" t="s">
        <v>1078</v>
      </c>
      <c r="AG573" s="616" t="s">
        <v>3630</v>
      </c>
      <c r="AH573" s="598"/>
      <c r="AI573" s="598"/>
      <c r="AJ573" s="598" t="s">
        <v>1114</v>
      </c>
      <c r="AK573" s="598" t="s">
        <v>3510</v>
      </c>
      <c r="AL573" s="626"/>
      <c r="AM573" s="626"/>
    </row>
    <row r="574" spans="3:39" ht="18" customHeight="1">
      <c r="C574" s="598">
        <v>553</v>
      </c>
      <c r="D574" s="598" t="s">
        <v>3723</v>
      </c>
      <c r="E574" s="598">
        <f t="shared" si="11"/>
        <v>527</v>
      </c>
      <c r="F574" s="616" t="s">
        <v>4978</v>
      </c>
      <c r="G574" s="616" t="s">
        <v>4884</v>
      </c>
      <c r="H574" s="618" t="s">
        <v>4208</v>
      </c>
      <c r="I574" s="618" t="s">
        <v>4211</v>
      </c>
      <c r="J574" s="618" t="s">
        <v>4210</v>
      </c>
      <c r="K574" s="618" t="s">
        <v>4210</v>
      </c>
      <c r="L574" s="618" t="s">
        <v>4266</v>
      </c>
      <c r="M574" s="619"/>
      <c r="N574" s="620"/>
      <c r="O574" s="620"/>
      <c r="P574" s="663" t="s">
        <v>1044</v>
      </c>
      <c r="Q574" s="621" t="s">
        <v>319</v>
      </c>
      <c r="R574" s="598"/>
      <c r="S574" s="598"/>
      <c r="T574" s="598"/>
      <c r="U574" s="623" t="s">
        <v>1015</v>
      </c>
      <c r="V574" s="710" t="s">
        <v>3724</v>
      </c>
      <c r="W574" s="781" t="s">
        <v>3725</v>
      </c>
      <c r="X574" s="598" t="s">
        <v>950</v>
      </c>
      <c r="Y574" s="624">
        <v>32597</v>
      </c>
      <c r="Z574" s="625">
        <f t="shared" ca="1" si="10"/>
        <v>36</v>
      </c>
      <c r="AA574" s="616" t="s">
        <v>3726</v>
      </c>
      <c r="AB574" s="598"/>
      <c r="AC574" s="598" t="s">
        <v>996</v>
      </c>
      <c r="AD574" s="598" t="s">
        <v>1018</v>
      </c>
      <c r="AE574" s="616" t="s">
        <v>1078</v>
      </c>
      <c r="AF574" s="616" t="s">
        <v>1078</v>
      </c>
      <c r="AG574" s="616" t="s">
        <v>3578</v>
      </c>
      <c r="AH574" s="598"/>
      <c r="AI574" s="598"/>
      <c r="AJ574" s="644" t="s">
        <v>1566</v>
      </c>
      <c r="AK574" s="598"/>
      <c r="AL574" s="626"/>
      <c r="AM574" s="626"/>
    </row>
    <row r="575" spans="3:39" ht="18" customHeight="1">
      <c r="C575" s="598">
        <v>554</v>
      </c>
      <c r="D575" s="598" t="s">
        <v>4006</v>
      </c>
      <c r="E575" s="598">
        <f t="shared" si="11"/>
        <v>528</v>
      </c>
      <c r="F575" s="616" t="s">
        <v>3808</v>
      </c>
      <c r="G575" s="616" t="s">
        <v>4884</v>
      </c>
      <c r="H575" s="618" t="s">
        <v>4208</v>
      </c>
      <c r="I575" s="618" t="s">
        <v>4211</v>
      </c>
      <c r="J575" s="618" t="s">
        <v>4210</v>
      </c>
      <c r="K575" s="618" t="s">
        <v>4210</v>
      </c>
      <c r="L575" s="618" t="s">
        <v>4266</v>
      </c>
      <c r="M575" s="619"/>
      <c r="N575" s="620"/>
      <c r="O575" s="620"/>
      <c r="P575" s="663" t="s">
        <v>1044</v>
      </c>
      <c r="Q575" s="621" t="s">
        <v>319</v>
      </c>
      <c r="R575" s="598"/>
      <c r="S575" s="598"/>
      <c r="T575" s="598"/>
      <c r="U575" s="623" t="s">
        <v>1015</v>
      </c>
      <c r="V575" s="676" t="s">
        <v>4007</v>
      </c>
      <c r="W575" s="781" t="s">
        <v>4008</v>
      </c>
      <c r="X575" s="598" t="s">
        <v>950</v>
      </c>
      <c r="Y575" s="624"/>
      <c r="Z575" s="625"/>
      <c r="AA575" s="616"/>
      <c r="AB575" s="598" t="s">
        <v>4009</v>
      </c>
      <c r="AC575" s="598" t="s">
        <v>996</v>
      </c>
      <c r="AD575" s="598" t="s">
        <v>1018</v>
      </c>
      <c r="AE575" s="616"/>
      <c r="AF575" s="616"/>
      <c r="AG575" s="616"/>
      <c r="AH575" s="598"/>
      <c r="AI575" s="598"/>
      <c r="AJ575" s="644" t="s">
        <v>1513</v>
      </c>
      <c r="AK575" s="598"/>
      <c r="AL575" s="626"/>
      <c r="AM575" s="626"/>
    </row>
    <row r="576" spans="3:39" ht="18" customHeight="1">
      <c r="C576" s="598">
        <v>555</v>
      </c>
      <c r="D576" s="598" t="s">
        <v>4042</v>
      </c>
      <c r="E576" s="598">
        <f t="shared" si="11"/>
        <v>528</v>
      </c>
      <c r="F576" s="616"/>
      <c r="G576" s="616" t="s">
        <v>4884</v>
      </c>
      <c r="H576" s="618" t="s">
        <v>4208</v>
      </c>
      <c r="I576" s="618" t="s">
        <v>4211</v>
      </c>
      <c r="J576" s="618" t="s">
        <v>4210</v>
      </c>
      <c r="K576" s="618" t="s">
        <v>4042</v>
      </c>
      <c r="L576" s="618" t="s">
        <v>5002</v>
      </c>
      <c r="M576" s="619"/>
      <c r="N576" s="620"/>
      <c r="O576" s="620"/>
      <c r="P576" s="667" t="s">
        <v>1074</v>
      </c>
      <c r="Q576" s="621"/>
      <c r="R576" s="598" t="s">
        <v>55</v>
      </c>
      <c r="S576" s="598" t="s">
        <v>55</v>
      </c>
      <c r="T576" s="598"/>
      <c r="U576" s="598"/>
      <c r="V576" s="667" t="s">
        <v>487</v>
      </c>
      <c r="W576" s="779" t="s">
        <v>4044</v>
      </c>
      <c r="X576" s="598" t="s">
        <v>950</v>
      </c>
      <c r="Y576" s="624">
        <v>22938</v>
      </c>
      <c r="Z576" s="625">
        <f t="shared" ref="Z576:Z741" ca="1" si="12">DATEDIF(Y576,TODAY(),"Y")</f>
        <v>63</v>
      </c>
      <c r="AA576" s="616" t="s">
        <v>4045</v>
      </c>
      <c r="AB576" s="598"/>
      <c r="AC576" s="598" t="s">
        <v>966</v>
      </c>
      <c r="AD576" s="598" t="s">
        <v>953</v>
      </c>
      <c r="AE576" s="616" t="s">
        <v>246</v>
      </c>
      <c r="AF576" s="616" t="s">
        <v>246</v>
      </c>
      <c r="AG576" s="616" t="s">
        <v>3815</v>
      </c>
      <c r="AH576" s="598" t="s">
        <v>955</v>
      </c>
      <c r="AI576" s="598"/>
      <c r="AJ576" s="598"/>
      <c r="AK576" s="598"/>
      <c r="AL576" s="626"/>
      <c r="AM576" s="626"/>
    </row>
    <row r="577" spans="3:39" ht="18" customHeight="1">
      <c r="C577" s="598">
        <v>556</v>
      </c>
      <c r="D577" s="598" t="s">
        <v>3933</v>
      </c>
      <c r="E577" s="598">
        <f t="shared" si="11"/>
        <v>529</v>
      </c>
      <c r="F577" s="616" t="s">
        <v>3862</v>
      </c>
      <c r="G577" s="616" t="s">
        <v>4884</v>
      </c>
      <c r="H577" s="618" t="s">
        <v>4208</v>
      </c>
      <c r="I577" s="618" t="s">
        <v>4211</v>
      </c>
      <c r="J577" s="618" t="s">
        <v>4210</v>
      </c>
      <c r="K577" s="618" t="s">
        <v>4042</v>
      </c>
      <c r="L577" s="618" t="s">
        <v>5002</v>
      </c>
      <c r="M577" s="619"/>
      <c r="N577" s="620"/>
      <c r="O577" s="620"/>
      <c r="P577" s="663" t="s">
        <v>1074</v>
      </c>
      <c r="Q577" s="621"/>
      <c r="R577" s="598"/>
      <c r="S577" s="598"/>
      <c r="T577" s="598"/>
      <c r="U577" s="598" t="s">
        <v>1015</v>
      </c>
      <c r="V577" s="663" t="s">
        <v>528</v>
      </c>
      <c r="W577" s="779" t="s">
        <v>3934</v>
      </c>
      <c r="X577" s="598" t="s">
        <v>950</v>
      </c>
      <c r="Y577" s="624">
        <v>20551</v>
      </c>
      <c r="Z577" s="625">
        <f t="shared" ca="1" si="12"/>
        <v>69</v>
      </c>
      <c r="AA577" s="616" t="s">
        <v>3935</v>
      </c>
      <c r="AB577" s="598"/>
      <c r="AC577" s="598" t="s">
        <v>996</v>
      </c>
      <c r="AD577" s="598" t="s">
        <v>1018</v>
      </c>
      <c r="AE577" s="616" t="s">
        <v>246</v>
      </c>
      <c r="AF577" s="616" t="s">
        <v>246</v>
      </c>
      <c r="AG577" s="616" t="s">
        <v>3936</v>
      </c>
      <c r="AH577" s="598"/>
      <c r="AI577" s="598"/>
      <c r="AJ577" s="598" t="s">
        <v>1114</v>
      </c>
      <c r="AK577" s="598" t="s">
        <v>3510</v>
      </c>
      <c r="AL577" s="626"/>
      <c r="AM577" s="626"/>
    </row>
    <row r="578" spans="3:39" ht="18" customHeight="1">
      <c r="C578" s="598">
        <v>557</v>
      </c>
      <c r="D578" s="598" t="s">
        <v>4056</v>
      </c>
      <c r="E578" s="598">
        <f t="shared" si="11"/>
        <v>530</v>
      </c>
      <c r="F578" s="616" t="s">
        <v>3862</v>
      </c>
      <c r="G578" s="616" t="s">
        <v>4884</v>
      </c>
      <c r="H578" s="618" t="s">
        <v>4208</v>
      </c>
      <c r="I578" s="618" t="s">
        <v>4211</v>
      </c>
      <c r="J578" s="618" t="s">
        <v>4210</v>
      </c>
      <c r="K578" s="618" t="s">
        <v>4042</v>
      </c>
      <c r="L578" s="618" t="s">
        <v>5002</v>
      </c>
      <c r="M578" s="619"/>
      <c r="N578" s="620"/>
      <c r="O578" s="620"/>
      <c r="P578" s="663" t="s">
        <v>1074</v>
      </c>
      <c r="Q578" s="621"/>
      <c r="R578" s="598"/>
      <c r="S578" s="598"/>
      <c r="T578" s="598"/>
      <c r="U578" s="598" t="s">
        <v>1015</v>
      </c>
      <c r="V578" s="663" t="s">
        <v>536</v>
      </c>
      <c r="W578" s="779" t="s">
        <v>4057</v>
      </c>
      <c r="X578" s="598" t="s">
        <v>950</v>
      </c>
      <c r="Y578" s="624">
        <v>21795</v>
      </c>
      <c r="Z578" s="625">
        <f t="shared" ca="1" si="12"/>
        <v>66</v>
      </c>
      <c r="AA578" s="616" t="s">
        <v>4058</v>
      </c>
      <c r="AB578" s="598"/>
      <c r="AC578" s="598" t="s">
        <v>996</v>
      </c>
      <c r="AD578" s="598" t="s">
        <v>1018</v>
      </c>
      <c r="AE578" s="616" t="s">
        <v>246</v>
      </c>
      <c r="AF578" s="616" t="s">
        <v>246</v>
      </c>
      <c r="AG578" s="653" t="s">
        <v>4059</v>
      </c>
      <c r="AH578" s="598"/>
      <c r="AI578" s="598"/>
      <c r="AJ578" s="598" t="s">
        <v>1114</v>
      </c>
      <c r="AK578" s="598" t="s">
        <v>3510</v>
      </c>
      <c r="AL578" s="626"/>
      <c r="AM578" s="626"/>
    </row>
    <row r="579" spans="3:39" ht="18" customHeight="1">
      <c r="C579" s="598">
        <v>558</v>
      </c>
      <c r="D579" s="598" t="s">
        <v>4081</v>
      </c>
      <c r="E579" s="598">
        <f t="shared" si="11"/>
        <v>531</v>
      </c>
      <c r="F579" s="616" t="s">
        <v>3862</v>
      </c>
      <c r="G579" s="616" t="s">
        <v>4884</v>
      </c>
      <c r="H579" s="618" t="s">
        <v>4208</v>
      </c>
      <c r="I579" s="618" t="s">
        <v>4211</v>
      </c>
      <c r="J579" s="618" t="s">
        <v>4210</v>
      </c>
      <c r="K579" s="618" t="s">
        <v>4042</v>
      </c>
      <c r="L579" s="618" t="s">
        <v>5002</v>
      </c>
      <c r="M579" s="619"/>
      <c r="N579" s="620"/>
      <c r="O579" s="620"/>
      <c r="P579" s="663" t="s">
        <v>1074</v>
      </c>
      <c r="Q579" s="621"/>
      <c r="R579" s="598"/>
      <c r="S579" s="598"/>
      <c r="T579" s="598"/>
      <c r="U579" s="598" t="s">
        <v>1015</v>
      </c>
      <c r="V579" s="663" t="s">
        <v>544</v>
      </c>
      <c r="W579" s="779" t="s">
        <v>4082</v>
      </c>
      <c r="X579" s="598" t="s">
        <v>950</v>
      </c>
      <c r="Y579" s="624">
        <v>23541</v>
      </c>
      <c r="Z579" s="625">
        <f t="shared" ca="1" si="12"/>
        <v>61</v>
      </c>
      <c r="AA579" s="616" t="s">
        <v>4083</v>
      </c>
      <c r="AB579" s="598"/>
      <c r="AC579" s="598" t="s">
        <v>996</v>
      </c>
      <c r="AD579" s="598" t="s">
        <v>1018</v>
      </c>
      <c r="AE579" s="616" t="s">
        <v>246</v>
      </c>
      <c r="AF579" s="616" t="s">
        <v>246</v>
      </c>
      <c r="AG579" s="616" t="s">
        <v>4084</v>
      </c>
      <c r="AH579" s="598"/>
      <c r="AI579" s="598"/>
      <c r="AJ579" s="598" t="s">
        <v>1114</v>
      </c>
      <c r="AK579" s="598" t="s">
        <v>3510</v>
      </c>
      <c r="AL579" s="626"/>
      <c r="AM579" s="626"/>
    </row>
    <row r="580" spans="3:39" ht="18" customHeight="1">
      <c r="C580" s="598">
        <v>559</v>
      </c>
      <c r="D580" s="598" t="s">
        <v>3989</v>
      </c>
      <c r="E580" s="598">
        <f t="shared" si="11"/>
        <v>532</v>
      </c>
      <c r="F580" s="616" t="s">
        <v>3862</v>
      </c>
      <c r="G580" s="616" t="s">
        <v>4884</v>
      </c>
      <c r="H580" s="618" t="s">
        <v>4208</v>
      </c>
      <c r="I580" s="618" t="s">
        <v>4211</v>
      </c>
      <c r="J580" s="618" t="s">
        <v>4210</v>
      </c>
      <c r="K580" s="618" t="s">
        <v>4042</v>
      </c>
      <c r="L580" s="618" t="s">
        <v>5002</v>
      </c>
      <c r="M580" s="619"/>
      <c r="N580" s="620"/>
      <c r="O580" s="620"/>
      <c r="P580" s="663" t="s">
        <v>1074</v>
      </c>
      <c r="Q580" s="621"/>
      <c r="R580" s="598"/>
      <c r="S580" s="598"/>
      <c r="T580" s="598"/>
      <c r="U580" s="598" t="s">
        <v>1015</v>
      </c>
      <c r="V580" s="663" t="s">
        <v>3990</v>
      </c>
      <c r="W580" s="779" t="s">
        <v>3991</v>
      </c>
      <c r="X580" s="598" t="s">
        <v>950</v>
      </c>
      <c r="Y580" s="624">
        <v>27315</v>
      </c>
      <c r="Z580" s="625">
        <f t="shared" ca="1" si="12"/>
        <v>51</v>
      </c>
      <c r="AA580" s="616" t="s">
        <v>3992</v>
      </c>
      <c r="AB580" s="598" t="s">
        <v>3993</v>
      </c>
      <c r="AC580" s="598" t="s">
        <v>996</v>
      </c>
      <c r="AD580" s="598" t="s">
        <v>1018</v>
      </c>
      <c r="AE580" s="616" t="s">
        <v>246</v>
      </c>
      <c r="AF580" s="616" t="s">
        <v>246</v>
      </c>
      <c r="AG580" s="616" t="s">
        <v>3936</v>
      </c>
      <c r="AH580" s="598"/>
      <c r="AI580" s="598"/>
      <c r="AJ580" s="598" t="s">
        <v>1114</v>
      </c>
      <c r="AK580" s="598" t="s">
        <v>3510</v>
      </c>
      <c r="AL580" s="626"/>
      <c r="AM580" s="626"/>
    </row>
    <row r="581" spans="3:39" ht="18" customHeight="1">
      <c r="C581" s="598">
        <v>560</v>
      </c>
      <c r="D581" s="598" t="s">
        <v>3642</v>
      </c>
      <c r="E581" s="598">
        <f t="shared" si="11"/>
        <v>533</v>
      </c>
      <c r="F581" s="616" t="s">
        <v>1810</v>
      </c>
      <c r="G581" s="616" t="s">
        <v>4884</v>
      </c>
      <c r="H581" s="618" t="s">
        <v>4208</v>
      </c>
      <c r="I581" s="618" t="s">
        <v>4211</v>
      </c>
      <c r="J581" s="618" t="s">
        <v>4210</v>
      </c>
      <c r="K581" s="618" t="s">
        <v>4042</v>
      </c>
      <c r="L581" s="618" t="s">
        <v>5002</v>
      </c>
      <c r="M581" s="619"/>
      <c r="N581" s="620"/>
      <c r="O581" s="620"/>
      <c r="P581" s="663" t="s">
        <v>1074</v>
      </c>
      <c r="Q581" s="621"/>
      <c r="R581" s="598"/>
      <c r="S581" s="598"/>
      <c r="T581" s="598"/>
      <c r="U581" s="598" t="s">
        <v>1090</v>
      </c>
      <c r="V581" s="663" t="s">
        <v>3643</v>
      </c>
      <c r="W581" s="779" t="s">
        <v>3644</v>
      </c>
      <c r="X581" s="598" t="s">
        <v>950</v>
      </c>
      <c r="Y581" s="624">
        <v>19981</v>
      </c>
      <c r="Z581" s="625">
        <f t="shared" ca="1" si="12"/>
        <v>71</v>
      </c>
      <c r="AA581" s="616" t="s">
        <v>3645</v>
      </c>
      <c r="AB581" s="598" t="s">
        <v>3646</v>
      </c>
      <c r="AC581" s="598" t="s">
        <v>996</v>
      </c>
      <c r="AD581" s="598" t="s">
        <v>1018</v>
      </c>
      <c r="AE581" s="616" t="s">
        <v>1078</v>
      </c>
      <c r="AF581" s="616" t="s">
        <v>1078</v>
      </c>
      <c r="AG581" s="616" t="s">
        <v>4676</v>
      </c>
      <c r="AH581" s="598"/>
      <c r="AI581" s="598"/>
      <c r="AJ581" s="598" t="s">
        <v>1114</v>
      </c>
      <c r="AK581" s="598" t="s">
        <v>3510</v>
      </c>
      <c r="AL581" s="626"/>
      <c r="AM581" s="626"/>
    </row>
    <row r="582" spans="3:39" ht="18" customHeight="1">
      <c r="C582" s="598">
        <v>561</v>
      </c>
      <c r="D582" s="598" t="s">
        <v>3653</v>
      </c>
      <c r="E582" s="598">
        <f t="shared" si="11"/>
        <v>534</v>
      </c>
      <c r="F582" s="616" t="s">
        <v>1810</v>
      </c>
      <c r="G582" s="616" t="s">
        <v>4884</v>
      </c>
      <c r="H582" s="618" t="s">
        <v>4208</v>
      </c>
      <c r="I582" s="618" t="s">
        <v>4211</v>
      </c>
      <c r="J582" s="618" t="s">
        <v>4210</v>
      </c>
      <c r="K582" s="618" t="s">
        <v>4042</v>
      </c>
      <c r="L582" s="618" t="s">
        <v>5002</v>
      </c>
      <c r="M582" s="619"/>
      <c r="N582" s="620"/>
      <c r="O582" s="620"/>
      <c r="P582" s="663" t="s">
        <v>1074</v>
      </c>
      <c r="Q582" s="621"/>
      <c r="R582" s="598"/>
      <c r="S582" s="598"/>
      <c r="T582" s="598"/>
      <c r="U582" s="598" t="s">
        <v>1015</v>
      </c>
      <c r="V582" s="663" t="s">
        <v>3654</v>
      </c>
      <c r="W582" s="779" t="s">
        <v>3655</v>
      </c>
      <c r="X582" s="598" t="s">
        <v>950</v>
      </c>
      <c r="Y582" s="624">
        <v>22694</v>
      </c>
      <c r="Z582" s="625">
        <f t="shared" ca="1" si="12"/>
        <v>63</v>
      </c>
      <c r="AA582" s="616" t="s">
        <v>3656</v>
      </c>
      <c r="AB582" s="598" t="s">
        <v>3657</v>
      </c>
      <c r="AC582" s="598" t="s">
        <v>996</v>
      </c>
      <c r="AD582" s="598" t="s">
        <v>1018</v>
      </c>
      <c r="AE582" s="616" t="s">
        <v>1078</v>
      </c>
      <c r="AF582" s="616" t="s">
        <v>1078</v>
      </c>
      <c r="AG582" s="616" t="s">
        <v>3630</v>
      </c>
      <c r="AH582" s="598"/>
      <c r="AI582" s="598"/>
      <c r="AJ582" s="598" t="s">
        <v>1114</v>
      </c>
      <c r="AK582" s="598" t="s">
        <v>3510</v>
      </c>
      <c r="AL582" s="626"/>
      <c r="AM582" s="626"/>
    </row>
    <row r="583" spans="3:39" ht="18" customHeight="1">
      <c r="C583" s="598">
        <v>562</v>
      </c>
      <c r="D583" s="598" t="s">
        <v>2684</v>
      </c>
      <c r="E583" s="598">
        <f t="shared" si="11"/>
        <v>535</v>
      </c>
      <c r="F583" s="616" t="s">
        <v>1798</v>
      </c>
      <c r="G583" s="616" t="s">
        <v>4884</v>
      </c>
      <c r="H583" s="618" t="s">
        <v>4208</v>
      </c>
      <c r="I583" s="618" t="s">
        <v>4211</v>
      </c>
      <c r="J583" s="618" t="s">
        <v>4210</v>
      </c>
      <c r="K583" s="618" t="s">
        <v>4042</v>
      </c>
      <c r="L583" s="618" t="s">
        <v>5002</v>
      </c>
      <c r="M583" s="619"/>
      <c r="N583" s="620"/>
      <c r="O583" s="620"/>
      <c r="P583" s="663" t="s">
        <v>1074</v>
      </c>
      <c r="Q583" s="621" t="s">
        <v>319</v>
      </c>
      <c r="R583" s="598"/>
      <c r="S583" s="598"/>
      <c r="T583" s="598"/>
      <c r="U583" s="598" t="s">
        <v>962</v>
      </c>
      <c r="V583" s="663" t="s">
        <v>567</v>
      </c>
      <c r="W583" s="779" t="s">
        <v>2685</v>
      </c>
      <c r="X583" s="598" t="s">
        <v>963</v>
      </c>
      <c r="Y583" s="624">
        <v>20455</v>
      </c>
      <c r="Z583" s="625">
        <f t="shared" ca="1" si="12"/>
        <v>70</v>
      </c>
      <c r="AA583" s="616" t="s">
        <v>2686</v>
      </c>
      <c r="AB583" s="598"/>
      <c r="AC583" s="598" t="s">
        <v>996</v>
      </c>
      <c r="AD583" s="598" t="s">
        <v>1018</v>
      </c>
      <c r="AE583" s="616" t="s">
        <v>1041</v>
      </c>
      <c r="AF583" s="721" t="s">
        <v>1041</v>
      </c>
      <c r="AG583" s="616" t="s">
        <v>2687</v>
      </c>
      <c r="AH583" s="598"/>
      <c r="AI583" s="598"/>
      <c r="AJ583" s="598" t="s">
        <v>1318</v>
      </c>
      <c r="AK583" s="598"/>
      <c r="AL583" s="626"/>
      <c r="AM583" s="626"/>
    </row>
    <row r="584" spans="3:39" ht="18" customHeight="1">
      <c r="C584" s="598">
        <v>563</v>
      </c>
      <c r="D584" s="598" t="s">
        <v>2913</v>
      </c>
      <c r="E584" s="598">
        <f t="shared" si="11"/>
        <v>536</v>
      </c>
      <c r="F584" s="616" t="s">
        <v>1798</v>
      </c>
      <c r="G584" s="616" t="s">
        <v>4884</v>
      </c>
      <c r="H584" s="618" t="s">
        <v>4208</v>
      </c>
      <c r="I584" s="618" t="s">
        <v>4211</v>
      </c>
      <c r="J584" s="618" t="s">
        <v>4210</v>
      </c>
      <c r="K584" s="618" t="s">
        <v>4042</v>
      </c>
      <c r="L584" s="618" t="s">
        <v>5002</v>
      </c>
      <c r="M584" s="619"/>
      <c r="N584" s="620"/>
      <c r="O584" s="620"/>
      <c r="P584" s="663" t="s">
        <v>1074</v>
      </c>
      <c r="Q584" s="621" t="s">
        <v>319</v>
      </c>
      <c r="R584" s="598"/>
      <c r="S584" s="598"/>
      <c r="T584" s="598"/>
      <c r="U584" s="598" t="s">
        <v>1015</v>
      </c>
      <c r="V584" s="663" t="s">
        <v>571</v>
      </c>
      <c r="W584" s="779" t="s">
        <v>2914</v>
      </c>
      <c r="X584" s="598" t="s">
        <v>950</v>
      </c>
      <c r="Y584" s="624">
        <v>21731</v>
      </c>
      <c r="Z584" s="625">
        <f t="shared" ca="1" si="12"/>
        <v>66</v>
      </c>
      <c r="AA584" s="616" t="s">
        <v>2686</v>
      </c>
      <c r="AB584" s="598" t="s">
        <v>2915</v>
      </c>
      <c r="AC584" s="598" t="s">
        <v>996</v>
      </c>
      <c r="AD584" s="598" t="s">
        <v>1018</v>
      </c>
      <c r="AE584" s="616" t="s">
        <v>1041</v>
      </c>
      <c r="AF584" s="721" t="s">
        <v>1041</v>
      </c>
      <c r="AG584" s="616" t="s">
        <v>2687</v>
      </c>
      <c r="AH584" s="598"/>
      <c r="AI584" s="598"/>
      <c r="AJ584" s="598" t="s">
        <v>1318</v>
      </c>
      <c r="AK584" s="598"/>
      <c r="AL584" s="626"/>
      <c r="AM584" s="626"/>
    </row>
    <row r="585" spans="3:39" ht="18" customHeight="1">
      <c r="C585" s="598">
        <v>564</v>
      </c>
      <c r="D585" s="598" t="s">
        <v>3946</v>
      </c>
      <c r="E585" s="598">
        <f t="shared" si="11"/>
        <v>537</v>
      </c>
      <c r="F585" s="616" t="s">
        <v>3862</v>
      </c>
      <c r="G585" s="616" t="s">
        <v>4884</v>
      </c>
      <c r="H585" s="618" t="s">
        <v>4208</v>
      </c>
      <c r="I585" s="618" t="s">
        <v>4211</v>
      </c>
      <c r="J585" s="618" t="s">
        <v>4210</v>
      </c>
      <c r="K585" s="618" t="s">
        <v>4042</v>
      </c>
      <c r="L585" s="618" t="s">
        <v>5002</v>
      </c>
      <c r="M585" s="619"/>
      <c r="N585" s="620"/>
      <c r="O585" s="620"/>
      <c r="P585" s="673" t="s">
        <v>1074</v>
      </c>
      <c r="Q585" s="621" t="s">
        <v>319</v>
      </c>
      <c r="R585" s="598"/>
      <c r="S585" s="598"/>
      <c r="T585" s="598"/>
      <c r="U585" s="598" t="s">
        <v>1090</v>
      </c>
      <c r="V585" s="673" t="s">
        <v>3947</v>
      </c>
      <c r="W585" s="779" t="s">
        <v>3948</v>
      </c>
      <c r="X585" s="598" t="s">
        <v>950</v>
      </c>
      <c r="Y585" s="624">
        <v>17849</v>
      </c>
      <c r="Z585" s="625">
        <f t="shared" ca="1" si="12"/>
        <v>77</v>
      </c>
      <c r="AA585" s="616" t="s">
        <v>3949</v>
      </c>
      <c r="AB585" s="598"/>
      <c r="AC585" s="598" t="s">
        <v>996</v>
      </c>
      <c r="AD585" s="598" t="s">
        <v>1018</v>
      </c>
      <c r="AE585" s="616" t="s">
        <v>246</v>
      </c>
      <c r="AF585" s="616" t="s">
        <v>246</v>
      </c>
      <c r="AG585" s="616" t="s">
        <v>3936</v>
      </c>
      <c r="AH585" s="598"/>
      <c r="AI585" s="598" t="s">
        <v>3950</v>
      </c>
      <c r="AJ585" s="598" t="s">
        <v>1114</v>
      </c>
      <c r="AK585" s="598" t="s">
        <v>1020</v>
      </c>
      <c r="AL585" s="626"/>
      <c r="AM585" s="626"/>
    </row>
    <row r="586" spans="3:39" ht="18" customHeight="1">
      <c r="C586" s="598">
        <v>565</v>
      </c>
      <c r="D586" s="598" t="s">
        <v>3985</v>
      </c>
      <c r="E586" s="598">
        <f t="shared" si="11"/>
        <v>537</v>
      </c>
      <c r="F586" s="616"/>
      <c r="G586" s="616" t="s">
        <v>4884</v>
      </c>
      <c r="H586" s="618" t="s">
        <v>4208</v>
      </c>
      <c r="I586" s="618" t="s">
        <v>4211</v>
      </c>
      <c r="J586" s="618" t="s">
        <v>4210</v>
      </c>
      <c r="K586" s="618" t="s">
        <v>3985</v>
      </c>
      <c r="L586" s="618" t="s">
        <v>4406</v>
      </c>
      <c r="M586" s="679" t="s">
        <v>4267</v>
      </c>
      <c r="N586" s="789" t="s">
        <v>4365</v>
      </c>
      <c r="O586" s="789" t="s">
        <v>4335</v>
      </c>
      <c r="P586" s="667" t="s">
        <v>1115</v>
      </c>
      <c r="Q586" s="621"/>
      <c r="R586" s="598" t="s">
        <v>55</v>
      </c>
      <c r="S586" s="598" t="s">
        <v>178</v>
      </c>
      <c r="T586" s="598"/>
      <c r="U586" s="598"/>
      <c r="V586" s="667" t="s">
        <v>495</v>
      </c>
      <c r="W586" s="779" t="s">
        <v>3986</v>
      </c>
      <c r="X586" s="598" t="s">
        <v>950</v>
      </c>
      <c r="Y586" s="624">
        <v>25024</v>
      </c>
      <c r="Z586" s="625">
        <f t="shared" ca="1" si="12"/>
        <v>57</v>
      </c>
      <c r="AA586" s="616" t="s">
        <v>3987</v>
      </c>
      <c r="AB586" s="598"/>
      <c r="AC586" s="598" t="s">
        <v>966</v>
      </c>
      <c r="AD586" s="598" t="s">
        <v>953</v>
      </c>
      <c r="AE586" s="616" t="s">
        <v>246</v>
      </c>
      <c r="AF586" s="616" t="s">
        <v>246</v>
      </c>
      <c r="AG586" s="616" t="s">
        <v>3815</v>
      </c>
      <c r="AH586" s="598" t="s">
        <v>955</v>
      </c>
      <c r="AI586" s="598"/>
      <c r="AJ586" s="598"/>
      <c r="AK586" s="598"/>
      <c r="AL586" s="626"/>
      <c r="AM586" s="626"/>
    </row>
    <row r="587" spans="3:39" ht="18" customHeight="1">
      <c r="C587" s="598">
        <v>566</v>
      </c>
      <c r="D587" s="598" t="s">
        <v>4406</v>
      </c>
      <c r="E587" s="598">
        <f t="shared" si="11"/>
        <v>538</v>
      </c>
      <c r="F587" s="616" t="s">
        <v>3862</v>
      </c>
      <c r="G587" s="616" t="s">
        <v>4884</v>
      </c>
      <c r="H587" s="618" t="s">
        <v>4208</v>
      </c>
      <c r="I587" s="618" t="s">
        <v>4211</v>
      </c>
      <c r="J587" s="618" t="s">
        <v>4210</v>
      </c>
      <c r="K587" s="618" t="s">
        <v>3985</v>
      </c>
      <c r="L587" s="618" t="s">
        <v>4406</v>
      </c>
      <c r="M587" s="679" t="s">
        <v>4267</v>
      </c>
      <c r="N587" s="789" t="s">
        <v>4365</v>
      </c>
      <c r="O587" s="789" t="s">
        <v>4335</v>
      </c>
      <c r="P587" s="663" t="s">
        <v>1115</v>
      </c>
      <c r="Q587" s="621"/>
      <c r="R587" s="598" t="s">
        <v>69</v>
      </c>
      <c r="S587" s="598" t="s">
        <v>562</v>
      </c>
      <c r="T587" s="598"/>
      <c r="U587" s="598" t="s">
        <v>1015</v>
      </c>
      <c r="V587" s="663" t="s">
        <v>529</v>
      </c>
      <c r="W587" s="779" t="s">
        <v>4410</v>
      </c>
      <c r="X587" s="598" t="s">
        <v>950</v>
      </c>
      <c r="Y587" s="624">
        <v>20844</v>
      </c>
      <c r="Z587" s="625">
        <f t="shared" ca="1" si="12"/>
        <v>69</v>
      </c>
      <c r="AA587" s="616" t="s">
        <v>4411</v>
      </c>
      <c r="AB587" s="598" t="s">
        <v>4412</v>
      </c>
      <c r="AC587" s="598" t="s">
        <v>996</v>
      </c>
      <c r="AD587" s="598" t="s">
        <v>1018</v>
      </c>
      <c r="AE587" s="616" t="s">
        <v>246</v>
      </c>
      <c r="AF587" s="616" t="s">
        <v>246</v>
      </c>
      <c r="AG587" s="616" t="s">
        <v>4413</v>
      </c>
      <c r="AH587" s="598"/>
      <c r="AI587" s="598"/>
      <c r="AJ587" s="598" t="s">
        <v>1452</v>
      </c>
      <c r="AK587" s="598" t="s">
        <v>3510</v>
      </c>
      <c r="AL587" s="626"/>
      <c r="AM587" s="626"/>
    </row>
    <row r="588" spans="3:39" ht="18" customHeight="1">
      <c r="C588" s="598">
        <v>567</v>
      </c>
      <c r="D588" s="598" t="s">
        <v>4267</v>
      </c>
      <c r="E588" s="598">
        <f t="shared" si="11"/>
        <v>539</v>
      </c>
      <c r="F588" s="616" t="s">
        <v>3862</v>
      </c>
      <c r="G588" s="616" t="s">
        <v>4884</v>
      </c>
      <c r="H588" s="618" t="s">
        <v>4208</v>
      </c>
      <c r="I588" s="618" t="s">
        <v>4211</v>
      </c>
      <c r="J588" s="618" t="s">
        <v>4210</v>
      </c>
      <c r="K588" s="618" t="s">
        <v>3985</v>
      </c>
      <c r="L588" s="618" t="s">
        <v>4406</v>
      </c>
      <c r="M588" s="679" t="s">
        <v>4267</v>
      </c>
      <c r="N588" s="789" t="s">
        <v>4365</v>
      </c>
      <c r="O588" s="789" t="s">
        <v>4335</v>
      </c>
      <c r="P588" s="663" t="s">
        <v>1115</v>
      </c>
      <c r="Q588" s="621"/>
      <c r="R588" s="598" t="s">
        <v>69</v>
      </c>
      <c r="S588" s="598" t="s">
        <v>562</v>
      </c>
      <c r="T588" s="598"/>
      <c r="U588" s="598" t="s">
        <v>1015</v>
      </c>
      <c r="V588" s="663" t="s">
        <v>521</v>
      </c>
      <c r="W588" s="779" t="s">
        <v>4271</v>
      </c>
      <c r="X588" s="598" t="s">
        <v>950</v>
      </c>
      <c r="Y588" s="624">
        <v>20604</v>
      </c>
      <c r="Z588" s="625">
        <f t="shared" ca="1" si="12"/>
        <v>69</v>
      </c>
      <c r="AA588" s="616" t="s">
        <v>4272</v>
      </c>
      <c r="AB588" s="598" t="s">
        <v>4273</v>
      </c>
      <c r="AC588" s="598" t="s">
        <v>996</v>
      </c>
      <c r="AD588" s="598" t="s">
        <v>1018</v>
      </c>
      <c r="AE588" s="616" t="s">
        <v>246</v>
      </c>
      <c r="AF588" s="616" t="s">
        <v>246</v>
      </c>
      <c r="AG588" s="616" t="s">
        <v>4274</v>
      </c>
      <c r="AH588" s="598"/>
      <c r="AI588" s="598"/>
      <c r="AJ588" s="598" t="s">
        <v>1452</v>
      </c>
      <c r="AK588" s="598" t="s">
        <v>3510</v>
      </c>
      <c r="AL588" s="626"/>
      <c r="AM588" s="626"/>
    </row>
    <row r="589" spans="3:39" ht="18" customHeight="1">
      <c r="C589" s="598">
        <v>568</v>
      </c>
      <c r="D589" s="598" t="s">
        <v>4365</v>
      </c>
      <c r="E589" s="598">
        <f t="shared" si="11"/>
        <v>540</v>
      </c>
      <c r="F589" s="616" t="s">
        <v>3862</v>
      </c>
      <c r="G589" s="616" t="s">
        <v>4884</v>
      </c>
      <c r="H589" s="618" t="s">
        <v>4208</v>
      </c>
      <c r="I589" s="618" t="s">
        <v>4211</v>
      </c>
      <c r="J589" s="618" t="s">
        <v>4210</v>
      </c>
      <c r="K589" s="618" t="s">
        <v>3985</v>
      </c>
      <c r="L589" s="618" t="s">
        <v>4406</v>
      </c>
      <c r="M589" s="679" t="s">
        <v>4267</v>
      </c>
      <c r="N589" s="789" t="s">
        <v>4365</v>
      </c>
      <c r="O589" s="789" t="s">
        <v>4335</v>
      </c>
      <c r="P589" s="663" t="s">
        <v>1115</v>
      </c>
      <c r="Q589" s="621"/>
      <c r="R589" s="598" t="s">
        <v>69</v>
      </c>
      <c r="S589" s="598" t="s">
        <v>562</v>
      </c>
      <c r="T589" s="598"/>
      <c r="U589" s="598" t="s">
        <v>1015</v>
      </c>
      <c r="V589" s="663" t="s">
        <v>545</v>
      </c>
      <c r="W589" s="779" t="s">
        <v>4370</v>
      </c>
      <c r="X589" s="598" t="s">
        <v>950</v>
      </c>
      <c r="Y589" s="624">
        <v>22829</v>
      </c>
      <c r="Z589" s="625">
        <f t="shared" ca="1" si="12"/>
        <v>63</v>
      </c>
      <c r="AA589" s="616" t="s">
        <v>4371</v>
      </c>
      <c r="AB589" s="598" t="s">
        <v>4372</v>
      </c>
      <c r="AC589" s="598" t="s">
        <v>996</v>
      </c>
      <c r="AD589" s="598" t="s">
        <v>1018</v>
      </c>
      <c r="AE589" s="616" t="s">
        <v>246</v>
      </c>
      <c r="AF589" s="616" t="s">
        <v>246</v>
      </c>
      <c r="AG589" s="653" t="s">
        <v>4373</v>
      </c>
      <c r="AH589" s="598"/>
      <c r="AI589" s="598"/>
      <c r="AJ589" s="598" t="s">
        <v>1452</v>
      </c>
      <c r="AK589" s="598" t="s">
        <v>3510</v>
      </c>
      <c r="AL589" s="626"/>
      <c r="AM589" s="626"/>
    </row>
    <row r="590" spans="3:39" ht="18" customHeight="1">
      <c r="C590" s="598">
        <v>569</v>
      </c>
      <c r="D590" s="598" t="s">
        <v>4335</v>
      </c>
      <c r="E590" s="598">
        <f t="shared" si="11"/>
        <v>541</v>
      </c>
      <c r="F590" s="616" t="s">
        <v>3862</v>
      </c>
      <c r="G590" s="616" t="s">
        <v>4884</v>
      </c>
      <c r="H590" s="618" t="s">
        <v>4208</v>
      </c>
      <c r="I590" s="618" t="s">
        <v>4211</v>
      </c>
      <c r="J590" s="618" t="s">
        <v>4210</v>
      </c>
      <c r="K590" s="618" t="s">
        <v>3985</v>
      </c>
      <c r="L590" s="618" t="s">
        <v>4406</v>
      </c>
      <c r="M590" s="679" t="s">
        <v>4267</v>
      </c>
      <c r="N590" s="789" t="s">
        <v>4365</v>
      </c>
      <c r="O590" s="789" t="s">
        <v>4335</v>
      </c>
      <c r="P590" s="663" t="s">
        <v>1115</v>
      </c>
      <c r="Q590" s="621"/>
      <c r="R590" s="598" t="s">
        <v>69</v>
      </c>
      <c r="S590" s="598" t="s">
        <v>562</v>
      </c>
      <c r="T590" s="598"/>
      <c r="U590" s="598" t="s">
        <v>1015</v>
      </c>
      <c r="V590" s="663" t="s">
        <v>557</v>
      </c>
      <c r="W590" s="779" t="s">
        <v>4344</v>
      </c>
      <c r="X590" s="598" t="s">
        <v>950</v>
      </c>
      <c r="Y590" s="624">
        <v>26443</v>
      </c>
      <c r="Z590" s="625">
        <f t="shared" ca="1" si="12"/>
        <v>53</v>
      </c>
      <c r="AA590" s="616" t="s">
        <v>4345</v>
      </c>
      <c r="AB590" s="598" t="s">
        <v>4346</v>
      </c>
      <c r="AC590" s="598" t="s">
        <v>996</v>
      </c>
      <c r="AD590" s="598" t="s">
        <v>1018</v>
      </c>
      <c r="AE590" s="616" t="s">
        <v>246</v>
      </c>
      <c r="AF590" s="616" t="s">
        <v>246</v>
      </c>
      <c r="AG590" s="653" t="s">
        <v>4347</v>
      </c>
      <c r="AH590" s="598"/>
      <c r="AI590" s="598"/>
      <c r="AJ590" s="598" t="s">
        <v>1452</v>
      </c>
      <c r="AK590" s="598" t="s">
        <v>3510</v>
      </c>
      <c r="AL590" s="626"/>
      <c r="AM590" s="626"/>
    </row>
    <row r="591" spans="3:39" ht="18" customHeight="1">
      <c r="C591" s="598">
        <v>570</v>
      </c>
      <c r="D591" s="598" t="s">
        <v>3609</v>
      </c>
      <c r="E591" s="598">
        <f t="shared" si="11"/>
        <v>542</v>
      </c>
      <c r="F591" s="616" t="s">
        <v>3862</v>
      </c>
      <c r="G591" s="616" t="s">
        <v>4884</v>
      </c>
      <c r="H591" s="618" t="s">
        <v>4208</v>
      </c>
      <c r="I591" s="618" t="s">
        <v>4211</v>
      </c>
      <c r="J591" s="618" t="s">
        <v>4210</v>
      </c>
      <c r="K591" s="618" t="s">
        <v>3985</v>
      </c>
      <c r="L591" s="618" t="s">
        <v>4406</v>
      </c>
      <c r="M591" s="679" t="s">
        <v>4267</v>
      </c>
      <c r="N591" s="789" t="s">
        <v>4365</v>
      </c>
      <c r="O591" s="789" t="s">
        <v>4335</v>
      </c>
      <c r="P591" s="663" t="s">
        <v>1115</v>
      </c>
      <c r="Q591" s="621"/>
      <c r="R591" s="598"/>
      <c r="S591" s="598"/>
      <c r="T591" s="598"/>
      <c r="U591" s="598" t="s">
        <v>1015</v>
      </c>
      <c r="V591" s="663" t="s">
        <v>552</v>
      </c>
      <c r="W591" s="779" t="s">
        <v>3610</v>
      </c>
      <c r="X591" s="598" t="s">
        <v>950</v>
      </c>
      <c r="Y591" s="624">
        <v>22980</v>
      </c>
      <c r="Z591" s="625">
        <f t="shared" ca="1" si="12"/>
        <v>63</v>
      </c>
      <c r="AA591" s="616" t="s">
        <v>3611</v>
      </c>
      <c r="AB591" s="598"/>
      <c r="AC591" s="598" t="s">
        <v>996</v>
      </c>
      <c r="AD591" s="598" t="s">
        <v>1018</v>
      </c>
      <c r="AE591" s="616" t="s">
        <v>973</v>
      </c>
      <c r="AF591" s="616" t="s">
        <v>973</v>
      </c>
      <c r="AG591" s="616" t="s">
        <v>3612</v>
      </c>
      <c r="AH591" s="598"/>
      <c r="AI591" s="598"/>
      <c r="AJ591" s="598" t="s">
        <v>1452</v>
      </c>
      <c r="AK591" s="598" t="s">
        <v>3510</v>
      </c>
      <c r="AL591" s="626"/>
      <c r="AM591" s="626"/>
    </row>
    <row r="592" spans="3:39" ht="18" customHeight="1">
      <c r="C592" s="598">
        <v>571</v>
      </c>
      <c r="D592" s="598" t="s">
        <v>4354</v>
      </c>
      <c r="E592" s="598">
        <f t="shared" si="11"/>
        <v>543</v>
      </c>
      <c r="F592" s="616" t="s">
        <v>3862</v>
      </c>
      <c r="G592" s="616" t="s">
        <v>4884</v>
      </c>
      <c r="H592" s="618" t="s">
        <v>4208</v>
      </c>
      <c r="I592" s="618" t="s">
        <v>4211</v>
      </c>
      <c r="J592" s="618" t="s">
        <v>4210</v>
      </c>
      <c r="K592" s="618" t="s">
        <v>3985</v>
      </c>
      <c r="L592" s="618" t="s">
        <v>4406</v>
      </c>
      <c r="M592" s="679" t="s">
        <v>4267</v>
      </c>
      <c r="N592" s="789" t="s">
        <v>4365</v>
      </c>
      <c r="O592" s="789" t="s">
        <v>4335</v>
      </c>
      <c r="P592" s="663" t="s">
        <v>1115</v>
      </c>
      <c r="Q592" s="621"/>
      <c r="R592" s="598"/>
      <c r="S592" s="598"/>
      <c r="T592" s="598"/>
      <c r="U592" s="598" t="s">
        <v>1015</v>
      </c>
      <c r="V592" s="663" t="s">
        <v>563</v>
      </c>
      <c r="W592" s="779" t="s">
        <v>4355</v>
      </c>
      <c r="X592" s="598" t="s">
        <v>950</v>
      </c>
      <c r="Y592" s="624">
        <v>27733</v>
      </c>
      <c r="Z592" s="625">
        <f t="shared" ca="1" si="12"/>
        <v>50</v>
      </c>
      <c r="AA592" s="616" t="s">
        <v>4356</v>
      </c>
      <c r="AB592" s="598" t="s">
        <v>4357</v>
      </c>
      <c r="AC592" s="598" t="s">
        <v>996</v>
      </c>
      <c r="AD592" s="598" t="s">
        <v>1018</v>
      </c>
      <c r="AE592" s="616" t="s">
        <v>246</v>
      </c>
      <c r="AF592" s="616" t="s">
        <v>246</v>
      </c>
      <c r="AG592" s="616" t="s">
        <v>4358</v>
      </c>
      <c r="AH592" s="598"/>
      <c r="AI592" s="598" t="s">
        <v>4259</v>
      </c>
      <c r="AJ592" s="598" t="s">
        <v>1452</v>
      </c>
      <c r="AK592" s="598" t="s">
        <v>3510</v>
      </c>
      <c r="AL592" s="626"/>
      <c r="AM592" s="626"/>
    </row>
    <row r="593" spans="3:39" ht="18" customHeight="1">
      <c r="C593" s="598">
        <v>572</v>
      </c>
      <c r="D593" s="598" t="s">
        <v>4254</v>
      </c>
      <c r="E593" s="598">
        <f t="shared" si="11"/>
        <v>544</v>
      </c>
      <c r="F593" s="616" t="s">
        <v>3862</v>
      </c>
      <c r="G593" s="616" t="s">
        <v>4884</v>
      </c>
      <c r="H593" s="618" t="s">
        <v>4208</v>
      </c>
      <c r="I593" s="618" t="s">
        <v>4211</v>
      </c>
      <c r="J593" s="618" t="s">
        <v>4210</v>
      </c>
      <c r="K593" s="618" t="s">
        <v>3985</v>
      </c>
      <c r="L593" s="618" t="s">
        <v>4406</v>
      </c>
      <c r="M593" s="679" t="s">
        <v>4267</v>
      </c>
      <c r="N593" s="789" t="s">
        <v>4365</v>
      </c>
      <c r="O593" s="789" t="s">
        <v>4335</v>
      </c>
      <c r="P593" s="663" t="s">
        <v>1115</v>
      </c>
      <c r="Q593" s="621"/>
      <c r="R593" s="598"/>
      <c r="S593" s="598"/>
      <c r="T593" s="598"/>
      <c r="U593" s="598" t="s">
        <v>1015</v>
      </c>
      <c r="V593" s="663" t="s">
        <v>568</v>
      </c>
      <c r="W593" s="779" t="s">
        <v>4255</v>
      </c>
      <c r="X593" s="598" t="s">
        <v>950</v>
      </c>
      <c r="Y593" s="624">
        <v>32138</v>
      </c>
      <c r="Z593" s="625">
        <f t="shared" ca="1" si="12"/>
        <v>38</v>
      </c>
      <c r="AA593" s="616" t="s">
        <v>4256</v>
      </c>
      <c r="AB593" s="598" t="s">
        <v>4257</v>
      </c>
      <c r="AC593" s="598" t="s">
        <v>996</v>
      </c>
      <c r="AD593" s="598" t="s">
        <v>1018</v>
      </c>
      <c r="AE593" s="616" t="s">
        <v>246</v>
      </c>
      <c r="AF593" s="616" t="s">
        <v>246</v>
      </c>
      <c r="AG593" s="616" t="s">
        <v>4258</v>
      </c>
      <c r="AH593" s="598"/>
      <c r="AI593" s="598" t="s">
        <v>4259</v>
      </c>
      <c r="AJ593" s="598" t="s">
        <v>1452</v>
      </c>
      <c r="AK593" s="598" t="s">
        <v>3510</v>
      </c>
      <c r="AL593" s="626"/>
      <c r="AM593" s="626"/>
    </row>
    <row r="594" spans="3:39" ht="18" customHeight="1">
      <c r="C594" s="598">
        <v>573</v>
      </c>
      <c r="D594" s="598" t="s">
        <v>4885</v>
      </c>
      <c r="E594" s="598">
        <f t="shared" si="11"/>
        <v>545</v>
      </c>
      <c r="F594" s="616" t="s">
        <v>3862</v>
      </c>
      <c r="G594" s="616" t="s">
        <v>4884</v>
      </c>
      <c r="H594" s="618" t="s">
        <v>4208</v>
      </c>
      <c r="I594" s="618" t="s">
        <v>4211</v>
      </c>
      <c r="J594" s="618" t="s">
        <v>4210</v>
      </c>
      <c r="K594" s="618" t="s">
        <v>3985</v>
      </c>
      <c r="L594" s="618" t="s">
        <v>4406</v>
      </c>
      <c r="M594" s="679" t="s">
        <v>4267</v>
      </c>
      <c r="N594" s="789" t="s">
        <v>4365</v>
      </c>
      <c r="O594" s="789" t="s">
        <v>4335</v>
      </c>
      <c r="P594" s="663" t="s">
        <v>1115</v>
      </c>
      <c r="Q594" s="621"/>
      <c r="R594" s="598"/>
      <c r="S594" s="598"/>
      <c r="T594" s="598"/>
      <c r="U594" s="598" t="s">
        <v>992</v>
      </c>
      <c r="V594" s="663" t="s">
        <v>572</v>
      </c>
      <c r="W594" s="779" t="s">
        <v>4886</v>
      </c>
      <c r="X594" s="598" t="s">
        <v>950</v>
      </c>
      <c r="Y594" s="624">
        <v>36800</v>
      </c>
      <c r="Z594" s="625">
        <f t="shared" ca="1" si="12"/>
        <v>25</v>
      </c>
      <c r="AA594" s="616" t="s">
        <v>4887</v>
      </c>
      <c r="AB594" s="652"/>
      <c r="AC594" s="598" t="s">
        <v>996</v>
      </c>
      <c r="AD594" s="598" t="s">
        <v>1018</v>
      </c>
      <c r="AE594" s="616" t="s">
        <v>246</v>
      </c>
      <c r="AF594" s="616" t="s">
        <v>246</v>
      </c>
      <c r="AG594" s="616" t="s">
        <v>3815</v>
      </c>
      <c r="AH594" s="598"/>
      <c r="AI594" s="598"/>
      <c r="AJ594" s="598" t="s">
        <v>1452</v>
      </c>
      <c r="AK594" s="598" t="s">
        <v>3510</v>
      </c>
      <c r="AL594" s="626"/>
      <c r="AM594" s="626"/>
    </row>
    <row r="595" spans="3:39" ht="18" customHeight="1">
      <c r="C595" s="598">
        <v>574</v>
      </c>
      <c r="D595" s="598" t="s">
        <v>4888</v>
      </c>
      <c r="E595" s="598">
        <f t="shared" si="11"/>
        <v>546</v>
      </c>
      <c r="F595" s="616" t="s">
        <v>3862</v>
      </c>
      <c r="G595" s="616" t="s">
        <v>4884</v>
      </c>
      <c r="H595" s="618" t="s">
        <v>4208</v>
      </c>
      <c r="I595" s="618" t="s">
        <v>4211</v>
      </c>
      <c r="J595" s="618" t="s">
        <v>4210</v>
      </c>
      <c r="K595" s="618" t="s">
        <v>3985</v>
      </c>
      <c r="L595" s="618" t="s">
        <v>4406</v>
      </c>
      <c r="M595" s="679" t="s">
        <v>4267</v>
      </c>
      <c r="N595" s="789" t="s">
        <v>4365</v>
      </c>
      <c r="O595" s="789" t="s">
        <v>4335</v>
      </c>
      <c r="P595" s="663" t="s">
        <v>1115</v>
      </c>
      <c r="Q595" s="621"/>
      <c r="R595" s="598"/>
      <c r="S595" s="598"/>
      <c r="T595" s="598"/>
      <c r="U595" s="598" t="s">
        <v>1015</v>
      </c>
      <c r="V595" s="663" t="s">
        <v>537</v>
      </c>
      <c r="W595" s="779" t="s">
        <v>4889</v>
      </c>
      <c r="X595" s="598" t="s">
        <v>950</v>
      </c>
      <c r="Y595" s="624">
        <v>21916</v>
      </c>
      <c r="Z595" s="625">
        <f t="shared" ca="1" si="12"/>
        <v>66</v>
      </c>
      <c r="AA595" s="616" t="s">
        <v>4890</v>
      </c>
      <c r="AB595" s="652"/>
      <c r="AC595" s="598" t="s">
        <v>996</v>
      </c>
      <c r="AD595" s="598" t="s">
        <v>1018</v>
      </c>
      <c r="AE595" s="616" t="s">
        <v>246</v>
      </c>
      <c r="AF595" s="616" t="s">
        <v>246</v>
      </c>
      <c r="AG595" s="616" t="s">
        <v>4891</v>
      </c>
      <c r="AH595" s="598"/>
      <c r="AI595" s="598" t="s">
        <v>4892</v>
      </c>
      <c r="AJ595" s="598" t="s">
        <v>1452</v>
      </c>
      <c r="AK595" s="598" t="s">
        <v>1020</v>
      </c>
      <c r="AL595" s="626"/>
      <c r="AM595" s="626"/>
    </row>
    <row r="596" spans="3:39" ht="18" customHeight="1">
      <c r="C596" s="598">
        <v>575</v>
      </c>
      <c r="D596" s="598" t="s">
        <v>4893</v>
      </c>
      <c r="E596" s="598">
        <f t="shared" si="11"/>
        <v>547</v>
      </c>
      <c r="F596" s="616" t="s">
        <v>3862</v>
      </c>
      <c r="G596" s="616" t="s">
        <v>4884</v>
      </c>
      <c r="H596" s="618" t="s">
        <v>4208</v>
      </c>
      <c r="I596" s="618" t="s">
        <v>4211</v>
      </c>
      <c r="J596" s="618" t="s">
        <v>4210</v>
      </c>
      <c r="K596" s="618" t="s">
        <v>3985</v>
      </c>
      <c r="L596" s="618" t="s">
        <v>4406</v>
      </c>
      <c r="M596" s="679" t="s">
        <v>4267</v>
      </c>
      <c r="N596" s="789" t="s">
        <v>4365</v>
      </c>
      <c r="O596" s="789" t="s">
        <v>4335</v>
      </c>
      <c r="P596" s="673" t="s">
        <v>1115</v>
      </c>
      <c r="Q596" s="621"/>
      <c r="R596" s="598"/>
      <c r="S596" s="598"/>
      <c r="T596" s="598"/>
      <c r="U596" s="598" t="s">
        <v>1015</v>
      </c>
      <c r="V596" s="673" t="s">
        <v>4894</v>
      </c>
      <c r="W596" s="779" t="s">
        <v>4895</v>
      </c>
      <c r="X596" s="598" t="s">
        <v>950</v>
      </c>
      <c r="Y596" s="624">
        <v>28211</v>
      </c>
      <c r="Z596" s="625">
        <f t="shared" ca="1" si="12"/>
        <v>48</v>
      </c>
      <c r="AA596" s="616" t="s">
        <v>4896</v>
      </c>
      <c r="AB596" s="598" t="s">
        <v>4897</v>
      </c>
      <c r="AC596" s="598" t="s">
        <v>996</v>
      </c>
      <c r="AD596" s="598" t="s">
        <v>1018</v>
      </c>
      <c r="AE596" s="616" t="s">
        <v>246</v>
      </c>
      <c r="AF596" s="616" t="s">
        <v>246</v>
      </c>
      <c r="AG596" s="616" t="s">
        <v>4898</v>
      </c>
      <c r="AH596" s="598"/>
      <c r="AI596" s="598" t="s">
        <v>4858</v>
      </c>
      <c r="AJ596" s="598" t="s">
        <v>1452</v>
      </c>
      <c r="AK596" s="598" t="s">
        <v>1020</v>
      </c>
      <c r="AL596" s="626"/>
      <c r="AM596" s="626"/>
    </row>
    <row r="597" spans="3:39" ht="18" customHeight="1">
      <c r="C597" s="598">
        <v>576</v>
      </c>
      <c r="D597" s="598" t="s">
        <v>4169</v>
      </c>
      <c r="E597" s="598">
        <f t="shared" si="11"/>
        <v>547</v>
      </c>
      <c r="F597" s="616"/>
      <c r="G597" s="616" t="s">
        <v>4884</v>
      </c>
      <c r="H597" s="618" t="s">
        <v>4208</v>
      </c>
      <c r="I597" s="618" t="s">
        <v>4211</v>
      </c>
      <c r="J597" s="618" t="s">
        <v>4210</v>
      </c>
      <c r="K597" s="618" t="s">
        <v>4169</v>
      </c>
      <c r="L597" s="618" t="s">
        <v>959</v>
      </c>
      <c r="M597" s="619"/>
      <c r="N597" s="620"/>
      <c r="O597" s="620"/>
      <c r="P597" s="667" t="s">
        <v>1127</v>
      </c>
      <c r="Q597" s="621"/>
      <c r="R597" s="598" t="s">
        <v>55</v>
      </c>
      <c r="S597" s="598" t="s">
        <v>178</v>
      </c>
      <c r="T597" s="598"/>
      <c r="U597" s="598"/>
      <c r="V597" s="667" t="s">
        <v>241</v>
      </c>
      <c r="W597" s="779" t="s">
        <v>4170</v>
      </c>
      <c r="X597" s="598" t="s">
        <v>950</v>
      </c>
      <c r="Y597" s="624">
        <v>25211</v>
      </c>
      <c r="Z597" s="625">
        <f t="shared" ca="1" si="12"/>
        <v>57</v>
      </c>
      <c r="AA597" s="616" t="s">
        <v>4171</v>
      </c>
      <c r="AB597" s="598"/>
      <c r="AC597" s="598" t="s">
        <v>966</v>
      </c>
      <c r="AD597" s="598" t="s">
        <v>953</v>
      </c>
      <c r="AE597" s="616" t="s">
        <v>973</v>
      </c>
      <c r="AF597" s="616" t="s">
        <v>973</v>
      </c>
      <c r="AG597" s="616" t="s">
        <v>3509</v>
      </c>
      <c r="AH597" s="598" t="s">
        <v>955</v>
      </c>
      <c r="AI597" s="598"/>
      <c r="AJ597" s="598"/>
      <c r="AK597" s="598"/>
      <c r="AL597" s="626"/>
      <c r="AM597" s="626"/>
    </row>
    <row r="598" spans="3:39" ht="18" customHeight="1">
      <c r="C598" s="598">
        <v>577</v>
      </c>
      <c r="D598" s="598" t="s">
        <v>4260</v>
      </c>
      <c r="E598" s="598">
        <f t="shared" si="11"/>
        <v>548</v>
      </c>
      <c r="F598" s="616" t="s">
        <v>3862</v>
      </c>
      <c r="G598" s="616" t="s">
        <v>4884</v>
      </c>
      <c r="H598" s="618" t="s">
        <v>4208</v>
      </c>
      <c r="I598" s="618" t="s">
        <v>4211</v>
      </c>
      <c r="J598" s="618" t="s">
        <v>4210</v>
      </c>
      <c r="K598" s="618" t="s">
        <v>4169</v>
      </c>
      <c r="L598" s="618" t="s">
        <v>959</v>
      </c>
      <c r="M598" s="619"/>
      <c r="N598" s="620"/>
      <c r="O598" s="620"/>
      <c r="P598" s="663" t="s">
        <v>1127</v>
      </c>
      <c r="Q598" s="621" t="s">
        <v>319</v>
      </c>
      <c r="R598" s="598"/>
      <c r="S598" s="598"/>
      <c r="T598" s="598"/>
      <c r="U598" s="598" t="s">
        <v>1015</v>
      </c>
      <c r="V598" s="663" t="s">
        <v>4261</v>
      </c>
      <c r="W598" s="779" t="s">
        <v>4262</v>
      </c>
      <c r="X598" s="598" t="s">
        <v>950</v>
      </c>
      <c r="Y598" s="624">
        <v>33974</v>
      </c>
      <c r="Z598" s="625">
        <f t="shared" ca="1" si="12"/>
        <v>33</v>
      </c>
      <c r="AA598" s="616" t="s">
        <v>4263</v>
      </c>
      <c r="AB598" s="598" t="s">
        <v>4264</v>
      </c>
      <c r="AC598" s="598" t="s">
        <v>996</v>
      </c>
      <c r="AD598" s="598" t="s">
        <v>1018</v>
      </c>
      <c r="AE598" s="616" t="s">
        <v>246</v>
      </c>
      <c r="AF598" s="616" t="s">
        <v>246</v>
      </c>
      <c r="AG598" s="616" t="s">
        <v>4265</v>
      </c>
      <c r="AH598" s="598"/>
      <c r="AI598" s="598"/>
      <c r="AJ598" s="598" t="s">
        <v>1107</v>
      </c>
      <c r="AK598" s="598"/>
      <c r="AL598" s="626"/>
      <c r="AM598" s="626"/>
    </row>
    <row r="599" spans="3:39" ht="18" customHeight="1">
      <c r="C599" s="598">
        <v>578</v>
      </c>
      <c r="D599" s="598" t="s">
        <v>4323</v>
      </c>
      <c r="E599" s="598">
        <f t="shared" si="11"/>
        <v>549</v>
      </c>
      <c r="F599" s="616" t="s">
        <v>3862</v>
      </c>
      <c r="G599" s="616" t="s">
        <v>4884</v>
      </c>
      <c r="H599" s="618" t="s">
        <v>4208</v>
      </c>
      <c r="I599" s="618" t="s">
        <v>4211</v>
      </c>
      <c r="J599" s="618" t="s">
        <v>4210</v>
      </c>
      <c r="K599" s="618" t="s">
        <v>4169</v>
      </c>
      <c r="L599" s="618" t="s">
        <v>959</v>
      </c>
      <c r="M599" s="619"/>
      <c r="N599" s="620"/>
      <c r="O599" s="620"/>
      <c r="P599" s="663" t="s">
        <v>1127</v>
      </c>
      <c r="Q599" s="621" t="s">
        <v>319</v>
      </c>
      <c r="R599" s="598"/>
      <c r="S599" s="598"/>
      <c r="T599" s="598"/>
      <c r="U599" s="598" t="s">
        <v>992</v>
      </c>
      <c r="V599" s="663" t="s">
        <v>4324</v>
      </c>
      <c r="W599" s="779" t="s">
        <v>4325</v>
      </c>
      <c r="X599" s="598" t="s">
        <v>950</v>
      </c>
      <c r="Y599" s="624">
        <v>37889</v>
      </c>
      <c r="Z599" s="625">
        <f t="shared" ca="1" si="12"/>
        <v>22</v>
      </c>
      <c r="AA599" s="616" t="s">
        <v>4326</v>
      </c>
      <c r="AB599" s="598" t="s">
        <v>4327</v>
      </c>
      <c r="AC599" s="598" t="s">
        <v>996</v>
      </c>
      <c r="AD599" s="598" t="s">
        <v>1018</v>
      </c>
      <c r="AE599" s="616" t="s">
        <v>246</v>
      </c>
      <c r="AF599" s="616" t="s">
        <v>246</v>
      </c>
      <c r="AG599" s="616" t="s">
        <v>4312</v>
      </c>
      <c r="AH599" s="598"/>
      <c r="AI599" s="598" t="s">
        <v>4216</v>
      </c>
      <c r="AJ599" s="598" t="s">
        <v>1107</v>
      </c>
      <c r="AK599" s="598"/>
      <c r="AL599" s="626"/>
      <c r="AM599" s="626"/>
    </row>
    <row r="600" spans="3:39" ht="18" customHeight="1">
      <c r="C600" s="598">
        <v>579</v>
      </c>
      <c r="D600" s="598" t="s">
        <v>4304</v>
      </c>
      <c r="E600" s="598">
        <f t="shared" si="11"/>
        <v>550</v>
      </c>
      <c r="F600" s="616" t="s">
        <v>1351</v>
      </c>
      <c r="G600" s="616" t="s">
        <v>4884</v>
      </c>
      <c r="H600" s="618" t="s">
        <v>4208</v>
      </c>
      <c r="I600" s="618" t="s">
        <v>4211</v>
      </c>
      <c r="J600" s="618" t="s">
        <v>4210</v>
      </c>
      <c r="K600" s="618" t="s">
        <v>4169</v>
      </c>
      <c r="L600" s="618" t="s">
        <v>959</v>
      </c>
      <c r="M600" s="619"/>
      <c r="N600" s="620"/>
      <c r="O600" s="620"/>
      <c r="P600" s="663" t="s">
        <v>1127</v>
      </c>
      <c r="Q600" s="621" t="s">
        <v>319</v>
      </c>
      <c r="R600" s="598"/>
      <c r="S600" s="598"/>
      <c r="T600" s="598"/>
      <c r="U600" s="598" t="s">
        <v>992</v>
      </c>
      <c r="V600" s="663" t="s">
        <v>538</v>
      </c>
      <c r="W600" s="779" t="s">
        <v>4309</v>
      </c>
      <c r="X600" s="598" t="s">
        <v>950</v>
      </c>
      <c r="Y600" s="624">
        <v>38551</v>
      </c>
      <c r="Z600" s="625">
        <f t="shared" ca="1" si="12"/>
        <v>20</v>
      </c>
      <c r="AA600" s="616" t="s">
        <v>4310</v>
      </c>
      <c r="AB600" s="598" t="s">
        <v>4311</v>
      </c>
      <c r="AC600" s="598" t="s">
        <v>996</v>
      </c>
      <c r="AD600" s="598" t="s">
        <v>1018</v>
      </c>
      <c r="AE600" s="616" t="s">
        <v>246</v>
      </c>
      <c r="AF600" s="616" t="s">
        <v>246</v>
      </c>
      <c r="AG600" s="616" t="s">
        <v>4312</v>
      </c>
      <c r="AH600" s="598"/>
      <c r="AI600" s="598" t="s">
        <v>4216</v>
      </c>
      <c r="AJ600" s="598" t="s">
        <v>1107</v>
      </c>
      <c r="AK600" s="598"/>
      <c r="AL600" s="626"/>
      <c r="AM600" s="626"/>
    </row>
    <row r="601" spans="3:39" ht="18" customHeight="1">
      <c r="C601" s="598">
        <v>580</v>
      </c>
      <c r="D601" s="598" t="s">
        <v>4899</v>
      </c>
      <c r="E601" s="598">
        <f t="shared" si="11"/>
        <v>551</v>
      </c>
      <c r="F601" s="616" t="s">
        <v>4978</v>
      </c>
      <c r="G601" s="616" t="s">
        <v>4884</v>
      </c>
      <c r="H601" s="618" t="s">
        <v>4208</v>
      </c>
      <c r="I601" s="618" t="s">
        <v>4211</v>
      </c>
      <c r="J601" s="618" t="s">
        <v>4210</v>
      </c>
      <c r="K601" s="618" t="s">
        <v>4169</v>
      </c>
      <c r="L601" s="618" t="s">
        <v>959</v>
      </c>
      <c r="M601" s="619"/>
      <c r="N601" s="620"/>
      <c r="O601" s="620"/>
      <c r="P601" s="673" t="s">
        <v>1127</v>
      </c>
      <c r="Q601" s="621" t="s">
        <v>319</v>
      </c>
      <c r="R601" s="598"/>
      <c r="S601" s="598"/>
      <c r="T601" s="598"/>
      <c r="U601" s="598" t="s">
        <v>1015</v>
      </c>
      <c r="V601" s="664" t="s">
        <v>4900</v>
      </c>
      <c r="W601" s="779" t="s">
        <v>4901</v>
      </c>
      <c r="X601" s="598" t="s">
        <v>950</v>
      </c>
      <c r="Y601" s="624">
        <v>33117</v>
      </c>
      <c r="Z601" s="625">
        <f t="shared" ca="1" si="12"/>
        <v>35</v>
      </c>
      <c r="AA601" s="616" t="s">
        <v>4902</v>
      </c>
      <c r="AB601" s="598"/>
      <c r="AC601" s="598" t="s">
        <v>996</v>
      </c>
      <c r="AD601" s="598" t="s">
        <v>1018</v>
      </c>
      <c r="AE601" s="616" t="s">
        <v>729</v>
      </c>
      <c r="AF601" s="616" t="s">
        <v>729</v>
      </c>
      <c r="AG601" s="616" t="s">
        <v>4903</v>
      </c>
      <c r="AH601" s="598"/>
      <c r="AI601" s="598" t="s">
        <v>1019</v>
      </c>
      <c r="AJ601" s="598" t="s">
        <v>1107</v>
      </c>
      <c r="AK601" s="598"/>
      <c r="AL601" s="626"/>
      <c r="AM601" s="626"/>
    </row>
    <row r="602" spans="3:39" ht="18" customHeight="1">
      <c r="C602" s="598">
        <v>581</v>
      </c>
      <c r="D602" s="598" t="s">
        <v>1051</v>
      </c>
      <c r="E602" s="598">
        <f t="shared" si="11"/>
        <v>551</v>
      </c>
      <c r="F602" s="616"/>
      <c r="G602" s="616" t="s">
        <v>4904</v>
      </c>
      <c r="H602" s="618"/>
      <c r="I602" s="618" t="s">
        <v>80</v>
      </c>
      <c r="J602" s="618"/>
      <c r="K602" s="618" t="s">
        <v>1051</v>
      </c>
      <c r="L602" s="618"/>
      <c r="M602" s="619"/>
      <c r="N602" s="620"/>
      <c r="O602" s="620"/>
      <c r="P602" s="667" t="s">
        <v>2625</v>
      </c>
      <c r="Q602" s="621"/>
      <c r="R602" s="598" t="s">
        <v>173</v>
      </c>
      <c r="S602" s="598" t="s">
        <v>514</v>
      </c>
      <c r="T602" s="598"/>
      <c r="U602" s="623"/>
      <c r="V602" s="667" t="s">
        <v>80</v>
      </c>
      <c r="W602" s="781" t="s">
        <v>4905</v>
      </c>
      <c r="X602" s="598" t="s">
        <v>950</v>
      </c>
      <c r="Y602" s="624">
        <v>31722</v>
      </c>
      <c r="Z602" s="625">
        <f t="shared" ca="1" si="12"/>
        <v>39</v>
      </c>
      <c r="AA602" s="616" t="s">
        <v>1054</v>
      </c>
      <c r="AB602" s="598" t="s">
        <v>4906</v>
      </c>
      <c r="AC602" s="598" t="s">
        <v>966</v>
      </c>
      <c r="AD602" s="598" t="s">
        <v>953</v>
      </c>
      <c r="AE602" s="616" t="s">
        <v>729</v>
      </c>
      <c r="AF602" s="616" t="s">
        <v>954</v>
      </c>
      <c r="AG602" s="616" t="s">
        <v>974</v>
      </c>
      <c r="AH602" s="598" t="s">
        <v>955</v>
      </c>
      <c r="AI602" s="598"/>
      <c r="AJ602" s="598"/>
      <c r="AK602" s="598"/>
      <c r="AL602" s="626"/>
      <c r="AM602" s="626"/>
    </row>
    <row r="603" spans="3:39" ht="18" customHeight="1">
      <c r="C603" s="598">
        <v>582</v>
      </c>
      <c r="D603" s="598" t="s">
        <v>2600</v>
      </c>
      <c r="E603" s="598">
        <f t="shared" si="11"/>
        <v>552</v>
      </c>
      <c r="F603" s="616" t="s">
        <v>4978</v>
      </c>
      <c r="G603" s="616" t="s">
        <v>4904</v>
      </c>
      <c r="H603" s="618" t="s">
        <v>1195</v>
      </c>
      <c r="I603" s="618" t="s">
        <v>80</v>
      </c>
      <c r="J603" s="618" t="s">
        <v>1051</v>
      </c>
      <c r="K603" s="618" t="s">
        <v>1051</v>
      </c>
      <c r="L603" s="618" t="s">
        <v>2600</v>
      </c>
      <c r="M603" s="619"/>
      <c r="N603" s="620"/>
      <c r="O603" s="620"/>
      <c r="P603" s="663" t="s">
        <v>2625</v>
      </c>
      <c r="Q603" s="621"/>
      <c r="R603" s="598" t="s">
        <v>69</v>
      </c>
      <c r="S603" s="598" t="s">
        <v>562</v>
      </c>
      <c r="T603" s="598"/>
      <c r="U603" s="623" t="s">
        <v>1015</v>
      </c>
      <c r="V603" s="663" t="s">
        <v>610</v>
      </c>
      <c r="W603" s="781" t="s">
        <v>2601</v>
      </c>
      <c r="X603" s="598" t="s">
        <v>950</v>
      </c>
      <c r="Y603" s="624">
        <v>33100</v>
      </c>
      <c r="Z603" s="625">
        <f t="shared" ca="1" si="12"/>
        <v>35</v>
      </c>
      <c r="AA603" s="616" t="s">
        <v>2602</v>
      </c>
      <c r="AB603" s="598" t="s">
        <v>2603</v>
      </c>
      <c r="AC603" s="598" t="s">
        <v>996</v>
      </c>
      <c r="AD603" s="598" t="s">
        <v>997</v>
      </c>
      <c r="AE603" s="616" t="s">
        <v>729</v>
      </c>
      <c r="AF603" s="640" t="s">
        <v>729</v>
      </c>
      <c r="AG603" s="633" t="s">
        <v>2424</v>
      </c>
      <c r="AH603" s="598"/>
      <c r="AI603" s="598"/>
      <c r="AJ603" s="598" t="s">
        <v>1125</v>
      </c>
      <c r="AK603" s="598"/>
      <c r="AL603" s="626"/>
      <c r="AM603" s="626"/>
    </row>
    <row r="604" spans="3:39" ht="18" customHeight="1">
      <c r="C604" s="598">
        <v>583</v>
      </c>
      <c r="D604" s="598" t="s">
        <v>2425</v>
      </c>
      <c r="E604" s="598">
        <f t="shared" si="11"/>
        <v>553</v>
      </c>
      <c r="F604" s="616" t="s">
        <v>4978</v>
      </c>
      <c r="G604" s="616" t="s">
        <v>4904</v>
      </c>
      <c r="H604" s="618" t="s">
        <v>1195</v>
      </c>
      <c r="I604" s="618" t="s">
        <v>80</v>
      </c>
      <c r="J604" s="618" t="s">
        <v>1051</v>
      </c>
      <c r="K604" s="618" t="s">
        <v>1051</v>
      </c>
      <c r="L604" s="618" t="s">
        <v>2600</v>
      </c>
      <c r="M604" s="619"/>
      <c r="N604" s="620"/>
      <c r="O604" s="620"/>
      <c r="P604" s="663" t="s">
        <v>2625</v>
      </c>
      <c r="Q604" s="621"/>
      <c r="R604" s="598"/>
      <c r="S604" s="598"/>
      <c r="T604" s="598"/>
      <c r="U604" s="623" t="s">
        <v>1015</v>
      </c>
      <c r="V604" s="663" t="s">
        <v>4907</v>
      </c>
      <c r="W604" s="781" t="s">
        <v>4908</v>
      </c>
      <c r="X604" s="598" t="s">
        <v>950</v>
      </c>
      <c r="Y604" s="624">
        <v>32267</v>
      </c>
      <c r="Z604" s="625">
        <f t="shared" ca="1" si="12"/>
        <v>37</v>
      </c>
      <c r="AA604" s="616" t="s">
        <v>2428</v>
      </c>
      <c r="AB604" s="598" t="s">
        <v>2429</v>
      </c>
      <c r="AC604" s="598" t="s">
        <v>996</v>
      </c>
      <c r="AD604" s="598" t="s">
        <v>1018</v>
      </c>
      <c r="AE604" s="616" t="s">
        <v>729</v>
      </c>
      <c r="AF604" s="640" t="s">
        <v>729</v>
      </c>
      <c r="AG604" s="633" t="s">
        <v>2424</v>
      </c>
      <c r="AH604" s="598"/>
      <c r="AI604" s="598" t="s">
        <v>2430</v>
      </c>
      <c r="AJ604" s="598" t="s">
        <v>1125</v>
      </c>
      <c r="AK604" s="598"/>
      <c r="AL604" s="626"/>
      <c r="AM604" s="626"/>
    </row>
    <row r="605" spans="3:39" ht="18" customHeight="1">
      <c r="C605" s="598">
        <v>584</v>
      </c>
      <c r="D605" s="598" t="s">
        <v>2419</v>
      </c>
      <c r="E605" s="598">
        <f t="shared" si="11"/>
        <v>554</v>
      </c>
      <c r="F605" s="616" t="s">
        <v>4978</v>
      </c>
      <c r="G605" s="616" t="s">
        <v>4904</v>
      </c>
      <c r="H605" s="618" t="s">
        <v>1195</v>
      </c>
      <c r="I605" s="618" t="s">
        <v>80</v>
      </c>
      <c r="J605" s="618" t="s">
        <v>1051</v>
      </c>
      <c r="K605" s="618" t="s">
        <v>1051</v>
      </c>
      <c r="L605" s="618" t="s">
        <v>2600</v>
      </c>
      <c r="M605" s="619"/>
      <c r="N605" s="620"/>
      <c r="O605" s="620"/>
      <c r="P605" s="663" t="s">
        <v>2625</v>
      </c>
      <c r="Q605" s="621"/>
      <c r="R605" s="598"/>
      <c r="S605" s="598"/>
      <c r="T605" s="598"/>
      <c r="U605" s="623" t="s">
        <v>1015</v>
      </c>
      <c r="V605" s="663" t="s">
        <v>2420</v>
      </c>
      <c r="W605" s="781" t="s">
        <v>2421</v>
      </c>
      <c r="X605" s="598" t="s">
        <v>950</v>
      </c>
      <c r="Y605" s="624">
        <v>35591</v>
      </c>
      <c r="Z605" s="625">
        <f t="shared" ca="1" si="12"/>
        <v>28</v>
      </c>
      <c r="AA605" s="616" t="s">
        <v>2422</v>
      </c>
      <c r="AB605" s="730" t="s">
        <v>2423</v>
      </c>
      <c r="AC605" s="598" t="s">
        <v>966</v>
      </c>
      <c r="AD605" s="598" t="s">
        <v>953</v>
      </c>
      <c r="AE605" s="616" t="s">
        <v>729</v>
      </c>
      <c r="AF605" s="640" t="s">
        <v>729</v>
      </c>
      <c r="AG605" s="633" t="s">
        <v>2424</v>
      </c>
      <c r="AH605" s="598"/>
      <c r="AI605" s="598"/>
      <c r="AJ605" s="598" t="s">
        <v>1125</v>
      </c>
      <c r="AK605" s="598"/>
      <c r="AL605" s="626"/>
      <c r="AM605" s="626"/>
    </row>
    <row r="606" spans="3:39" ht="18" customHeight="1">
      <c r="C606" s="598">
        <v>585</v>
      </c>
      <c r="D606" s="598" t="s">
        <v>2395</v>
      </c>
      <c r="E606" s="598">
        <f t="shared" si="11"/>
        <v>555</v>
      </c>
      <c r="F606" s="616" t="s">
        <v>4978</v>
      </c>
      <c r="G606" s="616" t="s">
        <v>4904</v>
      </c>
      <c r="H606" s="618" t="s">
        <v>1195</v>
      </c>
      <c r="I606" s="618" t="s">
        <v>80</v>
      </c>
      <c r="J606" s="618" t="s">
        <v>1051</v>
      </c>
      <c r="K606" s="618" t="s">
        <v>1051</v>
      </c>
      <c r="L606" s="618" t="s">
        <v>2600</v>
      </c>
      <c r="M606" s="619"/>
      <c r="N606" s="620"/>
      <c r="O606" s="620"/>
      <c r="P606" s="663" t="s">
        <v>2625</v>
      </c>
      <c r="Q606" s="621" t="s">
        <v>319</v>
      </c>
      <c r="R606" s="598"/>
      <c r="S606" s="598"/>
      <c r="T606" s="598"/>
      <c r="U606" s="623" t="s">
        <v>1015</v>
      </c>
      <c r="V606" s="663" t="s">
        <v>2399</v>
      </c>
      <c r="W606" s="781" t="s">
        <v>2400</v>
      </c>
      <c r="X606" s="598" t="s">
        <v>950</v>
      </c>
      <c r="Y606" s="624">
        <v>31113</v>
      </c>
      <c r="Z606" s="625">
        <f t="shared" ca="1" si="12"/>
        <v>40</v>
      </c>
      <c r="AA606" s="616" t="s">
        <v>2401</v>
      </c>
      <c r="AB606" s="598" t="s">
        <v>2402</v>
      </c>
      <c r="AC606" s="598" t="s">
        <v>996</v>
      </c>
      <c r="AD606" s="598" t="s">
        <v>1018</v>
      </c>
      <c r="AE606" s="616" t="s">
        <v>729</v>
      </c>
      <c r="AF606" s="640" t="s">
        <v>729</v>
      </c>
      <c r="AG606" s="633" t="s">
        <v>2403</v>
      </c>
      <c r="AH606" s="598"/>
      <c r="AI606" s="598"/>
      <c r="AJ606" s="634" t="s">
        <v>1359</v>
      </c>
      <c r="AK606" s="598"/>
      <c r="AL606" s="626"/>
      <c r="AM606" s="626"/>
    </row>
    <row r="607" spans="3:39" ht="18" customHeight="1">
      <c r="C607" s="598">
        <v>586</v>
      </c>
      <c r="D607" s="598" t="s">
        <v>2408</v>
      </c>
      <c r="E607" s="598">
        <f t="shared" si="11"/>
        <v>556</v>
      </c>
      <c r="F607" s="616" t="s">
        <v>4978</v>
      </c>
      <c r="G607" s="616" t="s">
        <v>4904</v>
      </c>
      <c r="H607" s="618" t="s">
        <v>1195</v>
      </c>
      <c r="I607" s="618" t="s">
        <v>80</v>
      </c>
      <c r="J607" s="618" t="s">
        <v>1051</v>
      </c>
      <c r="K607" s="618" t="s">
        <v>1051</v>
      </c>
      <c r="L607" s="618" t="s">
        <v>2600</v>
      </c>
      <c r="M607" s="619"/>
      <c r="N607" s="620"/>
      <c r="O607" s="620"/>
      <c r="P607" s="663" t="s">
        <v>2625</v>
      </c>
      <c r="Q607" s="621" t="s">
        <v>319</v>
      </c>
      <c r="R607" s="598"/>
      <c r="S607" s="598"/>
      <c r="T607" s="598"/>
      <c r="U607" s="623" t="s">
        <v>1015</v>
      </c>
      <c r="V607" s="664" t="s">
        <v>2409</v>
      </c>
      <c r="W607" s="781" t="s">
        <v>2410</v>
      </c>
      <c r="X607" s="598" t="s">
        <v>950</v>
      </c>
      <c r="Y607" s="624">
        <v>30783</v>
      </c>
      <c r="Z607" s="625">
        <f t="shared" ca="1" si="12"/>
        <v>41</v>
      </c>
      <c r="AA607" s="616" t="s">
        <v>2411</v>
      </c>
      <c r="AB607" s="598" t="s">
        <v>2412</v>
      </c>
      <c r="AC607" s="598" t="s">
        <v>996</v>
      </c>
      <c r="AD607" s="598" t="s">
        <v>1018</v>
      </c>
      <c r="AE607" s="616" t="s">
        <v>729</v>
      </c>
      <c r="AF607" s="640" t="s">
        <v>729</v>
      </c>
      <c r="AG607" s="616" t="s">
        <v>2413</v>
      </c>
      <c r="AH607" s="598"/>
      <c r="AI607" s="598"/>
      <c r="AJ607" s="700" t="s">
        <v>1612</v>
      </c>
      <c r="AK607" s="598"/>
      <c r="AL607" s="626"/>
      <c r="AM607" s="626"/>
    </row>
    <row r="608" spans="3:39" ht="18" customHeight="1">
      <c r="C608" s="598">
        <v>587</v>
      </c>
      <c r="D608" s="598" t="s">
        <v>2398</v>
      </c>
      <c r="E608" s="598">
        <f t="shared" si="11"/>
        <v>557</v>
      </c>
      <c r="F608" s="616" t="s">
        <v>4978</v>
      </c>
      <c r="G608" s="616" t="s">
        <v>4904</v>
      </c>
      <c r="H608" s="618" t="s">
        <v>1195</v>
      </c>
      <c r="I608" s="618" t="s">
        <v>80</v>
      </c>
      <c r="J608" s="618" t="s">
        <v>1051</v>
      </c>
      <c r="K608" s="618" t="s">
        <v>1051</v>
      </c>
      <c r="L608" s="618" t="s">
        <v>2600</v>
      </c>
      <c r="M608" s="619"/>
      <c r="N608" s="620"/>
      <c r="O608" s="620"/>
      <c r="P608" s="663" t="s">
        <v>2625</v>
      </c>
      <c r="Q608" s="621" t="s">
        <v>319</v>
      </c>
      <c r="R608" s="598"/>
      <c r="S608" s="598"/>
      <c r="T608" s="598"/>
      <c r="U608" s="623" t="s">
        <v>1015</v>
      </c>
      <c r="V608" s="710" t="s">
        <v>699</v>
      </c>
      <c r="W608" s="781" t="s">
        <v>2404</v>
      </c>
      <c r="X608" s="598" t="s">
        <v>950</v>
      </c>
      <c r="Y608" s="624">
        <v>31732</v>
      </c>
      <c r="Z608" s="625">
        <f t="shared" ca="1" si="12"/>
        <v>39</v>
      </c>
      <c r="AA608" s="616" t="s">
        <v>2405</v>
      </c>
      <c r="AB608" s="598" t="s">
        <v>2406</v>
      </c>
      <c r="AC608" s="598" t="s">
        <v>996</v>
      </c>
      <c r="AD608" s="598" t="s">
        <v>1018</v>
      </c>
      <c r="AE608" s="616" t="s">
        <v>729</v>
      </c>
      <c r="AF608" s="616" t="s">
        <v>729</v>
      </c>
      <c r="AG608" s="616" t="s">
        <v>2418</v>
      </c>
      <c r="AH608" s="598"/>
      <c r="AI608" s="598"/>
      <c r="AJ608" s="748" t="s">
        <v>1566</v>
      </c>
      <c r="AK608" s="598"/>
      <c r="AL608" s="626"/>
      <c r="AM608" s="626"/>
    </row>
    <row r="609" spans="3:39" ht="18" customHeight="1">
      <c r="C609" s="598">
        <v>588</v>
      </c>
      <c r="D609" s="598" t="s">
        <v>2414</v>
      </c>
      <c r="E609" s="598">
        <f t="shared" si="11"/>
        <v>558</v>
      </c>
      <c r="F609" s="616" t="s">
        <v>4978</v>
      </c>
      <c r="G609" s="616" t="s">
        <v>4904</v>
      </c>
      <c r="H609" s="618" t="s">
        <v>1195</v>
      </c>
      <c r="I609" s="618" t="s">
        <v>80</v>
      </c>
      <c r="J609" s="618" t="s">
        <v>1051</v>
      </c>
      <c r="K609" s="618" t="s">
        <v>1051</v>
      </c>
      <c r="L609" s="618" t="s">
        <v>2600</v>
      </c>
      <c r="M609" s="619"/>
      <c r="N609" s="620"/>
      <c r="O609" s="620"/>
      <c r="P609" s="663" t="s">
        <v>2625</v>
      </c>
      <c r="Q609" s="621" t="s">
        <v>319</v>
      </c>
      <c r="R609" s="598"/>
      <c r="S609" s="598"/>
      <c r="T609" s="598"/>
      <c r="U609" s="623" t="s">
        <v>1015</v>
      </c>
      <c r="V609" s="676" t="s">
        <v>709</v>
      </c>
      <c r="W609" s="781" t="s">
        <v>2415</v>
      </c>
      <c r="X609" s="598" t="s">
        <v>950</v>
      </c>
      <c r="Y609" s="624">
        <v>32987</v>
      </c>
      <c r="Z609" s="625">
        <f t="shared" ca="1" si="12"/>
        <v>35</v>
      </c>
      <c r="AA609" s="616" t="s">
        <v>2416</v>
      </c>
      <c r="AB609" s="598" t="s">
        <v>2417</v>
      </c>
      <c r="AC609" s="598" t="s">
        <v>996</v>
      </c>
      <c r="AD609" s="598" t="s">
        <v>1018</v>
      </c>
      <c r="AE609" s="616" t="s">
        <v>729</v>
      </c>
      <c r="AF609" s="640" t="s">
        <v>729</v>
      </c>
      <c r="AG609" s="616" t="s">
        <v>2418</v>
      </c>
      <c r="AH609" s="598"/>
      <c r="AI609" s="598"/>
      <c r="AJ609" s="748" t="s">
        <v>1566</v>
      </c>
      <c r="AK609" s="598"/>
      <c r="AL609" s="626"/>
      <c r="AM609" s="626"/>
    </row>
    <row r="610" spans="3:39" ht="18" customHeight="1">
      <c r="C610" s="598">
        <v>589</v>
      </c>
      <c r="D610" s="598" t="s">
        <v>1304</v>
      </c>
      <c r="E610" s="598">
        <f t="shared" si="11"/>
        <v>559</v>
      </c>
      <c r="F610" s="616" t="s">
        <v>4978</v>
      </c>
      <c r="G610" s="616" t="s">
        <v>4904</v>
      </c>
      <c r="H610" s="618" t="s">
        <v>1195</v>
      </c>
      <c r="I610" s="618" t="s">
        <v>80</v>
      </c>
      <c r="J610" s="618" t="s">
        <v>1051</v>
      </c>
      <c r="K610" s="618" t="s">
        <v>1051</v>
      </c>
      <c r="L610" s="795" t="s">
        <v>1361</v>
      </c>
      <c r="M610" s="619" t="s">
        <v>1304</v>
      </c>
      <c r="N610" s="620"/>
      <c r="O610" s="620"/>
      <c r="P610" s="667" t="s">
        <v>2668</v>
      </c>
      <c r="Q610" s="621"/>
      <c r="R610" s="598" t="s">
        <v>69</v>
      </c>
      <c r="S610" s="598" t="s">
        <v>562</v>
      </c>
      <c r="T610" s="598"/>
      <c r="U610" s="598" t="s">
        <v>1015</v>
      </c>
      <c r="V610" s="669" t="s">
        <v>1308</v>
      </c>
      <c r="W610" s="779" t="s">
        <v>1309</v>
      </c>
      <c r="X610" s="598" t="s">
        <v>950</v>
      </c>
      <c r="Y610" s="624">
        <v>21995</v>
      </c>
      <c r="Z610" s="625">
        <f t="shared" ca="1" si="12"/>
        <v>65</v>
      </c>
      <c r="AA610" s="616" t="s">
        <v>1310</v>
      </c>
      <c r="AB610" s="598" t="s">
        <v>1311</v>
      </c>
      <c r="AC610" s="598" t="s">
        <v>966</v>
      </c>
      <c r="AD610" s="598" t="s">
        <v>953</v>
      </c>
      <c r="AE610" s="643" t="s">
        <v>1250</v>
      </c>
      <c r="AF610" s="616" t="s">
        <v>1250</v>
      </c>
      <c r="AG610" s="616" t="s">
        <v>1312</v>
      </c>
      <c r="AH610" s="598"/>
      <c r="AI610" s="598"/>
      <c r="AJ610" s="598" t="s">
        <v>1125</v>
      </c>
      <c r="AK610" s="598"/>
      <c r="AL610" s="626"/>
      <c r="AM610" s="626"/>
    </row>
    <row r="611" spans="3:39" ht="18" customHeight="1">
      <c r="C611" s="598">
        <v>590</v>
      </c>
      <c r="D611" s="598" t="s">
        <v>1361</v>
      </c>
      <c r="E611" s="598">
        <f t="shared" si="11"/>
        <v>560</v>
      </c>
      <c r="F611" s="616" t="s">
        <v>4978</v>
      </c>
      <c r="G611" s="616" t="s">
        <v>4904</v>
      </c>
      <c r="H611" s="618" t="s">
        <v>1195</v>
      </c>
      <c r="I611" s="618" t="s">
        <v>80</v>
      </c>
      <c r="J611" s="618" t="s">
        <v>1051</v>
      </c>
      <c r="K611" s="618" t="s">
        <v>1051</v>
      </c>
      <c r="L611" s="795" t="s">
        <v>1361</v>
      </c>
      <c r="M611" s="619" t="s">
        <v>1304</v>
      </c>
      <c r="N611" s="620"/>
      <c r="O611" s="620"/>
      <c r="P611" s="663" t="s">
        <v>2668</v>
      </c>
      <c r="Q611" s="621"/>
      <c r="R611" s="598" t="s">
        <v>69</v>
      </c>
      <c r="S611" s="598" t="s">
        <v>562</v>
      </c>
      <c r="T611" s="598"/>
      <c r="U611" s="598" t="s">
        <v>1015</v>
      </c>
      <c r="V611" s="663" t="s">
        <v>1365</v>
      </c>
      <c r="W611" s="779" t="s">
        <v>1366</v>
      </c>
      <c r="X611" s="598" t="s">
        <v>950</v>
      </c>
      <c r="Y611" s="624">
        <v>28273</v>
      </c>
      <c r="Z611" s="625">
        <f t="shared" ca="1" si="12"/>
        <v>48</v>
      </c>
      <c r="AA611" s="616" t="s">
        <v>1367</v>
      </c>
      <c r="AB611" s="598" t="s">
        <v>1368</v>
      </c>
      <c r="AC611" s="598" t="s">
        <v>996</v>
      </c>
      <c r="AD611" s="598" t="s">
        <v>997</v>
      </c>
      <c r="AE611" s="643" t="s">
        <v>1250</v>
      </c>
      <c r="AF611" s="616" t="s">
        <v>1250</v>
      </c>
      <c r="AG611" s="616" t="s">
        <v>1369</v>
      </c>
      <c r="AH611" s="598"/>
      <c r="AI611" s="598"/>
      <c r="AJ611" s="598" t="s">
        <v>1125</v>
      </c>
      <c r="AK611" s="598"/>
      <c r="AL611" s="626"/>
      <c r="AM611" s="626"/>
    </row>
    <row r="612" spans="3:39" ht="18" customHeight="1">
      <c r="C612" s="598">
        <v>591</v>
      </c>
      <c r="D612" s="598" t="s">
        <v>1980</v>
      </c>
      <c r="E612" s="598">
        <f t="shared" si="11"/>
        <v>561</v>
      </c>
      <c r="F612" s="616" t="s">
        <v>4978</v>
      </c>
      <c r="G612" s="616" t="s">
        <v>4904</v>
      </c>
      <c r="H612" s="618" t="s">
        <v>1195</v>
      </c>
      <c r="I612" s="618" t="s">
        <v>80</v>
      </c>
      <c r="J612" s="618" t="s">
        <v>1051</v>
      </c>
      <c r="K612" s="618" t="s">
        <v>1051</v>
      </c>
      <c r="L612" s="795" t="s">
        <v>1361</v>
      </c>
      <c r="M612" s="619" t="s">
        <v>1304</v>
      </c>
      <c r="N612" s="620"/>
      <c r="O612" s="620"/>
      <c r="P612" s="663" t="s">
        <v>2668</v>
      </c>
      <c r="Q612" s="621"/>
      <c r="R612" s="598"/>
      <c r="S612" s="598"/>
      <c r="T612" s="598"/>
      <c r="U612" s="598" t="s">
        <v>1015</v>
      </c>
      <c r="V612" s="663" t="s">
        <v>1981</v>
      </c>
      <c r="W612" s="779" t="s">
        <v>1982</v>
      </c>
      <c r="X612" s="598" t="s">
        <v>950</v>
      </c>
      <c r="Y612" s="624">
        <v>31463</v>
      </c>
      <c r="Z612" s="625">
        <f t="shared" ca="1" si="12"/>
        <v>39</v>
      </c>
      <c r="AA612" s="616" t="s">
        <v>1983</v>
      </c>
      <c r="AB612" s="598" t="s">
        <v>1984</v>
      </c>
      <c r="AC612" s="598" t="s">
        <v>996</v>
      </c>
      <c r="AD612" s="598" t="s">
        <v>997</v>
      </c>
      <c r="AE612" s="616" t="s">
        <v>729</v>
      </c>
      <c r="AF612" s="616" t="s">
        <v>729</v>
      </c>
      <c r="AG612" s="643" t="s">
        <v>1835</v>
      </c>
      <c r="AH612" s="598"/>
      <c r="AI612" s="598"/>
      <c r="AJ612" s="598" t="s">
        <v>1125</v>
      </c>
      <c r="AK612" s="598"/>
      <c r="AL612" s="626"/>
      <c r="AM612" s="626"/>
    </row>
    <row r="613" spans="3:39" ht="18" customHeight="1">
      <c r="C613" s="598">
        <v>592</v>
      </c>
      <c r="D613" s="598" t="s">
        <v>1370</v>
      </c>
      <c r="E613" s="598">
        <f t="shared" si="11"/>
        <v>562</v>
      </c>
      <c r="F613" s="616" t="s">
        <v>4978</v>
      </c>
      <c r="G613" s="616" t="s">
        <v>4904</v>
      </c>
      <c r="H613" s="618" t="s">
        <v>1195</v>
      </c>
      <c r="I613" s="618" t="s">
        <v>80</v>
      </c>
      <c r="J613" s="618" t="s">
        <v>1051</v>
      </c>
      <c r="K613" s="618" t="s">
        <v>1051</v>
      </c>
      <c r="L613" s="795" t="s">
        <v>1361</v>
      </c>
      <c r="M613" s="619" t="s">
        <v>1304</v>
      </c>
      <c r="N613" s="620"/>
      <c r="O613" s="620"/>
      <c r="P613" s="663" t="s">
        <v>2668</v>
      </c>
      <c r="Q613" s="621"/>
      <c r="R613" s="598"/>
      <c r="S613" s="598"/>
      <c r="T613" s="598"/>
      <c r="U613" s="598" t="s">
        <v>1015</v>
      </c>
      <c r="V613" s="663" t="s">
        <v>1371</v>
      </c>
      <c r="W613" s="779" t="s">
        <v>1372</v>
      </c>
      <c r="X613" s="598" t="s">
        <v>950</v>
      </c>
      <c r="Y613" s="624">
        <v>30230</v>
      </c>
      <c r="Z613" s="625">
        <f t="shared" ca="1" si="12"/>
        <v>43</v>
      </c>
      <c r="AA613" s="616" t="s">
        <v>1373</v>
      </c>
      <c r="AB613" s="598" t="s">
        <v>1374</v>
      </c>
      <c r="AC613" s="598" t="s">
        <v>996</v>
      </c>
      <c r="AD613" s="598" t="s">
        <v>997</v>
      </c>
      <c r="AE613" s="643" t="s">
        <v>1375</v>
      </c>
      <c r="AF613" s="616" t="s">
        <v>1375</v>
      </c>
      <c r="AG613" s="616" t="s">
        <v>1376</v>
      </c>
      <c r="AH613" s="598"/>
      <c r="AI613" s="598"/>
      <c r="AJ613" s="598" t="s">
        <v>1125</v>
      </c>
      <c r="AK613" s="598"/>
      <c r="AL613" s="626"/>
      <c r="AM613" s="626"/>
    </row>
    <row r="614" spans="3:39" ht="18" customHeight="1">
      <c r="C614" s="598">
        <v>593</v>
      </c>
      <c r="D614" s="598" t="s">
        <v>1377</v>
      </c>
      <c r="E614" s="598">
        <f t="shared" si="11"/>
        <v>563</v>
      </c>
      <c r="F614" s="616" t="s">
        <v>4978</v>
      </c>
      <c r="G614" s="616" t="s">
        <v>4904</v>
      </c>
      <c r="H614" s="618" t="s">
        <v>1195</v>
      </c>
      <c r="I614" s="618" t="s">
        <v>80</v>
      </c>
      <c r="J614" s="618" t="s">
        <v>1051</v>
      </c>
      <c r="K614" s="618" t="s">
        <v>1051</v>
      </c>
      <c r="L614" s="795" t="s">
        <v>1361</v>
      </c>
      <c r="M614" s="619" t="s">
        <v>1304</v>
      </c>
      <c r="N614" s="620"/>
      <c r="O614" s="620"/>
      <c r="P614" s="663" t="s">
        <v>2668</v>
      </c>
      <c r="Q614" s="621"/>
      <c r="R614" s="598"/>
      <c r="S614" s="598"/>
      <c r="T614" s="598"/>
      <c r="U614" s="598" t="s">
        <v>1015</v>
      </c>
      <c r="V614" s="663" t="s">
        <v>1378</v>
      </c>
      <c r="W614" s="779" t="s">
        <v>1379</v>
      </c>
      <c r="X614" s="598" t="s">
        <v>950</v>
      </c>
      <c r="Y614" s="624">
        <v>32894</v>
      </c>
      <c r="Z614" s="625">
        <f t="shared" ca="1" si="12"/>
        <v>36</v>
      </c>
      <c r="AA614" s="616" t="s">
        <v>1380</v>
      </c>
      <c r="AB614" s="598" t="s">
        <v>1381</v>
      </c>
      <c r="AC614" s="598" t="s">
        <v>996</v>
      </c>
      <c r="AD614" s="598" t="s">
        <v>997</v>
      </c>
      <c r="AE614" s="643" t="s">
        <v>1375</v>
      </c>
      <c r="AF614" s="616" t="s">
        <v>1375</v>
      </c>
      <c r="AG614" s="616" t="s">
        <v>1376</v>
      </c>
      <c r="AH614" s="598"/>
      <c r="AI614" s="598"/>
      <c r="AJ614" s="598" t="s">
        <v>1125</v>
      </c>
      <c r="AK614" s="598"/>
      <c r="AL614" s="626"/>
      <c r="AM614" s="626"/>
    </row>
    <row r="615" spans="3:39" ht="18" customHeight="1">
      <c r="C615" s="598">
        <v>594</v>
      </c>
      <c r="D615" s="598" t="s">
        <v>1383</v>
      </c>
      <c r="E615" s="598">
        <f t="shared" si="11"/>
        <v>564</v>
      </c>
      <c r="F615" s="616" t="s">
        <v>1798</v>
      </c>
      <c r="G615" s="616" t="s">
        <v>4904</v>
      </c>
      <c r="H615" s="618" t="s">
        <v>1195</v>
      </c>
      <c r="I615" s="618" t="s">
        <v>80</v>
      </c>
      <c r="J615" s="618" t="s">
        <v>1051</v>
      </c>
      <c r="K615" s="618" t="s">
        <v>1051</v>
      </c>
      <c r="L615" s="795" t="s">
        <v>1361</v>
      </c>
      <c r="M615" s="619" t="s">
        <v>1304</v>
      </c>
      <c r="N615" s="620"/>
      <c r="O615" s="620"/>
      <c r="P615" s="673" t="s">
        <v>2668</v>
      </c>
      <c r="Q615" s="621"/>
      <c r="R615" s="598"/>
      <c r="S615" s="598"/>
      <c r="T615" s="598"/>
      <c r="U615" s="598" t="s">
        <v>1015</v>
      </c>
      <c r="V615" s="673" t="s">
        <v>1384</v>
      </c>
      <c r="W615" s="779" t="s">
        <v>1385</v>
      </c>
      <c r="X615" s="598" t="s">
        <v>950</v>
      </c>
      <c r="Y615" s="624">
        <v>25602</v>
      </c>
      <c r="Z615" s="625">
        <f t="shared" ca="1" si="12"/>
        <v>55</v>
      </c>
      <c r="AA615" s="616"/>
      <c r="AB615" s="598" t="s">
        <v>1386</v>
      </c>
      <c r="AC615" s="598" t="s">
        <v>996</v>
      </c>
      <c r="AD615" s="598" t="s">
        <v>997</v>
      </c>
      <c r="AE615" s="616" t="s">
        <v>1250</v>
      </c>
      <c r="AF615" s="616" t="s">
        <v>1250</v>
      </c>
      <c r="AG615" s="616" t="s">
        <v>1387</v>
      </c>
      <c r="AH615" s="598"/>
      <c r="AI615" s="598"/>
      <c r="AJ615" s="598" t="s">
        <v>1011</v>
      </c>
      <c r="AK615" s="598"/>
      <c r="AL615" s="626"/>
      <c r="AM615" s="626"/>
    </row>
    <row r="616" spans="3:39" ht="18" customHeight="1">
      <c r="C616" s="598">
        <v>595</v>
      </c>
      <c r="D616" s="598" t="s">
        <v>1991</v>
      </c>
      <c r="E616" s="598">
        <f t="shared" si="11"/>
        <v>564</v>
      </c>
      <c r="F616" s="616"/>
      <c r="G616" s="616" t="s">
        <v>4904</v>
      </c>
      <c r="H616" s="618" t="s">
        <v>1202</v>
      </c>
      <c r="I616" s="618" t="s">
        <v>80</v>
      </c>
      <c r="J616" s="618" t="s">
        <v>1051</v>
      </c>
      <c r="K616" s="618" t="s">
        <v>1991</v>
      </c>
      <c r="L616" s="618" t="s">
        <v>2521</v>
      </c>
      <c r="M616" s="619"/>
      <c r="N616" s="620"/>
      <c r="O616" s="620"/>
      <c r="P616" s="667" t="s">
        <v>1074</v>
      </c>
      <c r="Q616" s="621"/>
      <c r="R616" s="598" t="s">
        <v>55</v>
      </c>
      <c r="S616" s="598" t="s">
        <v>178</v>
      </c>
      <c r="T616" s="598"/>
      <c r="U616" s="598"/>
      <c r="V616" s="667" t="s">
        <v>289</v>
      </c>
      <c r="W616" s="779" t="s">
        <v>1993</v>
      </c>
      <c r="X616" s="598" t="s">
        <v>950</v>
      </c>
      <c r="Y616" s="624">
        <v>28944</v>
      </c>
      <c r="Z616" s="625">
        <f t="shared" ca="1" si="12"/>
        <v>46</v>
      </c>
      <c r="AA616" s="616" t="s">
        <v>1994</v>
      </c>
      <c r="AB616" s="598" t="s">
        <v>4909</v>
      </c>
      <c r="AC616" s="598" t="s">
        <v>966</v>
      </c>
      <c r="AD616" s="598" t="s">
        <v>953</v>
      </c>
      <c r="AE616" s="616" t="s">
        <v>246</v>
      </c>
      <c r="AF616" s="616" t="s">
        <v>246</v>
      </c>
      <c r="AG616" s="616" t="s">
        <v>4586</v>
      </c>
      <c r="AH616" s="598" t="s">
        <v>955</v>
      </c>
      <c r="AI616" s="598"/>
      <c r="AJ616" s="598"/>
      <c r="AK616" s="598"/>
      <c r="AL616" s="626"/>
      <c r="AM616" s="626"/>
    </row>
    <row r="617" spans="3:39" ht="18" customHeight="1">
      <c r="C617" s="598">
        <v>596</v>
      </c>
      <c r="D617" s="598" t="s">
        <v>2521</v>
      </c>
      <c r="E617" s="598">
        <f t="shared" si="11"/>
        <v>565</v>
      </c>
      <c r="F617" s="616" t="s">
        <v>4978</v>
      </c>
      <c r="G617" s="616" t="s">
        <v>4904</v>
      </c>
      <c r="H617" s="618" t="s">
        <v>1195</v>
      </c>
      <c r="I617" s="618" t="s">
        <v>80</v>
      </c>
      <c r="J617" s="618" t="s">
        <v>1051</v>
      </c>
      <c r="K617" s="618" t="s">
        <v>1991</v>
      </c>
      <c r="L617" s="618" t="s">
        <v>2521</v>
      </c>
      <c r="M617" s="619"/>
      <c r="N617" s="620"/>
      <c r="O617" s="620"/>
      <c r="P617" s="663" t="s">
        <v>1074</v>
      </c>
      <c r="Q617" s="621"/>
      <c r="R617" s="598" t="s">
        <v>69</v>
      </c>
      <c r="S617" s="598" t="s">
        <v>562</v>
      </c>
      <c r="T617" s="598"/>
      <c r="U617" s="598" t="s">
        <v>1015</v>
      </c>
      <c r="V617" s="663" t="s">
        <v>611</v>
      </c>
      <c r="W617" s="779" t="s">
        <v>2522</v>
      </c>
      <c r="X617" s="598" t="s">
        <v>950</v>
      </c>
      <c r="Y617" s="624">
        <v>30933</v>
      </c>
      <c r="Z617" s="625">
        <f t="shared" ca="1" si="12"/>
        <v>41</v>
      </c>
      <c r="AA617" s="616" t="s">
        <v>2523</v>
      </c>
      <c r="AB617" s="598" t="s">
        <v>2524</v>
      </c>
      <c r="AC617" s="598" t="s">
        <v>996</v>
      </c>
      <c r="AD617" s="598" t="s">
        <v>997</v>
      </c>
      <c r="AE617" s="616" t="s">
        <v>729</v>
      </c>
      <c r="AF617" s="640" t="s">
        <v>729</v>
      </c>
      <c r="AG617" s="616" t="s">
        <v>2525</v>
      </c>
      <c r="AH617" s="598"/>
      <c r="AI617" s="598"/>
      <c r="AJ617" s="598" t="s">
        <v>1025</v>
      </c>
      <c r="AK617" s="598"/>
      <c r="AL617" s="626"/>
      <c r="AM617" s="626"/>
    </row>
    <row r="618" spans="3:39" ht="18" customHeight="1">
      <c r="C618" s="598">
        <v>597</v>
      </c>
      <c r="D618" s="598" t="s">
        <v>1388</v>
      </c>
      <c r="E618" s="598">
        <f t="shared" si="11"/>
        <v>566</v>
      </c>
      <c r="F618" s="616" t="s">
        <v>4978</v>
      </c>
      <c r="G618" s="616" t="s">
        <v>4904</v>
      </c>
      <c r="H618" s="618" t="s">
        <v>1195</v>
      </c>
      <c r="I618" s="618" t="s">
        <v>80</v>
      </c>
      <c r="J618" s="618" t="s">
        <v>1051</v>
      </c>
      <c r="K618" s="618" t="s">
        <v>1991</v>
      </c>
      <c r="L618" s="618" t="s">
        <v>2521</v>
      </c>
      <c r="M618" s="619"/>
      <c r="N618" s="620"/>
      <c r="O618" s="620"/>
      <c r="P618" s="663" t="s">
        <v>1074</v>
      </c>
      <c r="Q618" s="621"/>
      <c r="R618" s="598"/>
      <c r="S618" s="598"/>
      <c r="T618" s="598"/>
      <c r="U618" s="598" t="s">
        <v>1015</v>
      </c>
      <c r="V618" s="663" t="s">
        <v>630</v>
      </c>
      <c r="W618" s="779" t="s">
        <v>1389</v>
      </c>
      <c r="X618" s="598" t="s">
        <v>950</v>
      </c>
      <c r="Y618" s="624">
        <v>26339</v>
      </c>
      <c r="Z618" s="625">
        <f t="shared" ca="1" si="12"/>
        <v>53</v>
      </c>
      <c r="AA618" s="616" t="s">
        <v>1390</v>
      </c>
      <c r="AB618" s="598" t="s">
        <v>1391</v>
      </c>
      <c r="AC618" s="598" t="s">
        <v>996</v>
      </c>
      <c r="AD618" s="598" t="s">
        <v>997</v>
      </c>
      <c r="AE618" s="616" t="s">
        <v>729</v>
      </c>
      <c r="AF618" s="640" t="s">
        <v>729</v>
      </c>
      <c r="AG618" s="616" t="s">
        <v>1392</v>
      </c>
      <c r="AH618" s="598"/>
      <c r="AI618" s="598"/>
      <c r="AJ618" s="598" t="s">
        <v>1025</v>
      </c>
      <c r="AK618" s="598"/>
      <c r="AL618" s="626"/>
      <c r="AM618" s="626"/>
    </row>
    <row r="619" spans="3:39" ht="18" customHeight="1">
      <c r="C619" s="598">
        <v>598</v>
      </c>
      <c r="D619" s="598" t="s">
        <v>4910</v>
      </c>
      <c r="E619" s="598">
        <f t="shared" si="11"/>
        <v>567</v>
      </c>
      <c r="F619" s="616" t="s">
        <v>4978</v>
      </c>
      <c r="G619" s="616" t="s">
        <v>4904</v>
      </c>
      <c r="H619" s="618" t="s">
        <v>1195</v>
      </c>
      <c r="I619" s="618" t="s">
        <v>80</v>
      </c>
      <c r="J619" s="618" t="s">
        <v>1051</v>
      </c>
      <c r="K619" s="618" t="s">
        <v>1991</v>
      </c>
      <c r="L619" s="618" t="s">
        <v>2521</v>
      </c>
      <c r="M619" s="619"/>
      <c r="N619" s="620"/>
      <c r="O619" s="620"/>
      <c r="P619" s="663" t="s">
        <v>1074</v>
      </c>
      <c r="Q619" s="621"/>
      <c r="R619" s="598"/>
      <c r="S619" s="598"/>
      <c r="T619" s="598"/>
      <c r="U619" s="598" t="s">
        <v>1015</v>
      </c>
      <c r="V619" s="663" t="s">
        <v>648</v>
      </c>
      <c r="W619" s="779" t="s">
        <v>4911</v>
      </c>
      <c r="X619" s="598" t="s">
        <v>950</v>
      </c>
      <c r="Y619" s="624">
        <v>31788</v>
      </c>
      <c r="Z619" s="625">
        <f t="shared" ca="1" si="12"/>
        <v>39</v>
      </c>
      <c r="AA619" s="616" t="s">
        <v>4912</v>
      </c>
      <c r="AB619" s="598"/>
      <c r="AC619" s="598" t="s">
        <v>996</v>
      </c>
      <c r="AD619" s="598" t="s">
        <v>997</v>
      </c>
      <c r="AE619" s="616" t="s">
        <v>729</v>
      </c>
      <c r="AF619" s="640" t="s">
        <v>729</v>
      </c>
      <c r="AG619" s="616" t="s">
        <v>4913</v>
      </c>
      <c r="AH619" s="598" t="s">
        <v>1775</v>
      </c>
      <c r="AI619" s="749" t="s">
        <v>5003</v>
      </c>
      <c r="AJ619" s="598" t="s">
        <v>1025</v>
      </c>
      <c r="AK619" s="598"/>
      <c r="AL619" s="626"/>
      <c r="AM619" s="626"/>
    </row>
    <row r="620" spans="3:39" ht="18" customHeight="1">
      <c r="C620" s="598">
        <v>599</v>
      </c>
      <c r="D620" s="598" t="s">
        <v>4915</v>
      </c>
      <c r="E620" s="598">
        <f t="shared" si="11"/>
        <v>568</v>
      </c>
      <c r="F620" s="616" t="s">
        <v>4978</v>
      </c>
      <c r="G620" s="616" t="s">
        <v>4904</v>
      </c>
      <c r="H620" s="618" t="s">
        <v>1195</v>
      </c>
      <c r="I620" s="618" t="s">
        <v>80</v>
      </c>
      <c r="J620" s="618" t="s">
        <v>1051</v>
      </c>
      <c r="K620" s="618" t="s">
        <v>1991</v>
      </c>
      <c r="L620" s="618" t="s">
        <v>2521</v>
      </c>
      <c r="M620" s="619"/>
      <c r="N620" s="620"/>
      <c r="O620" s="620"/>
      <c r="P620" s="663" t="s">
        <v>1074</v>
      </c>
      <c r="Q620" s="621"/>
      <c r="R620" s="598"/>
      <c r="S620" s="598"/>
      <c r="T620" s="598"/>
      <c r="U620" s="598" t="s">
        <v>1015</v>
      </c>
      <c r="V620" s="663" t="s">
        <v>4916</v>
      </c>
      <c r="W620" s="779" t="s">
        <v>4917</v>
      </c>
      <c r="X620" s="598" t="s">
        <v>950</v>
      </c>
      <c r="Y620" s="624">
        <v>21929</v>
      </c>
      <c r="Z620" s="625">
        <f t="shared" ca="1" si="12"/>
        <v>66</v>
      </c>
      <c r="AA620" s="616" t="s">
        <v>4918</v>
      </c>
      <c r="AB620" s="652"/>
      <c r="AC620" s="598" t="s">
        <v>996</v>
      </c>
      <c r="AD620" s="598" t="s">
        <v>1018</v>
      </c>
      <c r="AE620" s="616" t="s">
        <v>729</v>
      </c>
      <c r="AF620" s="616" t="s">
        <v>729</v>
      </c>
      <c r="AG620" s="616" t="s">
        <v>4919</v>
      </c>
      <c r="AH620" s="598"/>
      <c r="AI620" s="598" t="s">
        <v>1019</v>
      </c>
      <c r="AJ620" s="598" t="s">
        <v>1025</v>
      </c>
      <c r="AK620" s="598"/>
      <c r="AL620" s="626"/>
      <c r="AM620" s="626"/>
    </row>
    <row r="621" spans="3:39" ht="18" customHeight="1">
      <c r="C621" s="598">
        <v>600</v>
      </c>
      <c r="D621" s="598" t="s">
        <v>2384</v>
      </c>
      <c r="E621" s="598">
        <f t="shared" si="11"/>
        <v>569</v>
      </c>
      <c r="F621" s="616" t="s">
        <v>4978</v>
      </c>
      <c r="G621" s="616" t="s">
        <v>4904</v>
      </c>
      <c r="H621" s="618" t="s">
        <v>1195</v>
      </c>
      <c r="I621" s="618" t="s">
        <v>80</v>
      </c>
      <c r="J621" s="618" t="s">
        <v>1051</v>
      </c>
      <c r="K621" s="618" t="s">
        <v>1991</v>
      </c>
      <c r="L621" s="618" t="s">
        <v>2521</v>
      </c>
      <c r="M621" s="619"/>
      <c r="N621" s="620"/>
      <c r="O621" s="620"/>
      <c r="P621" s="673" t="s">
        <v>1074</v>
      </c>
      <c r="Q621" s="621"/>
      <c r="R621" s="598"/>
      <c r="S621" s="598"/>
      <c r="T621" s="598"/>
      <c r="U621" s="598" t="s">
        <v>1015</v>
      </c>
      <c r="V621" s="673" t="s">
        <v>2387</v>
      </c>
      <c r="W621" s="779" t="s">
        <v>2388</v>
      </c>
      <c r="X621" s="598" t="s">
        <v>950</v>
      </c>
      <c r="Y621" s="624">
        <v>32411</v>
      </c>
      <c r="Z621" s="625">
        <f t="shared" ca="1" si="12"/>
        <v>37</v>
      </c>
      <c r="AA621" s="616" t="s">
        <v>2389</v>
      </c>
      <c r="AB621" s="652"/>
      <c r="AC621" s="598" t="s">
        <v>996</v>
      </c>
      <c r="AD621" s="598" t="s">
        <v>1018</v>
      </c>
      <c r="AE621" s="616" t="s">
        <v>729</v>
      </c>
      <c r="AF621" s="616" t="s">
        <v>729</v>
      </c>
      <c r="AG621" s="616" t="s">
        <v>2390</v>
      </c>
      <c r="AH621" s="598"/>
      <c r="AI621" s="598" t="s">
        <v>1019</v>
      </c>
      <c r="AJ621" s="598" t="s">
        <v>1114</v>
      </c>
      <c r="AK621" s="598"/>
      <c r="AL621" s="626"/>
      <c r="AM621" s="626"/>
    </row>
    <row r="622" spans="3:39" ht="18" customHeight="1">
      <c r="C622" s="598">
        <v>601</v>
      </c>
      <c r="D622" s="598" t="s">
        <v>1871</v>
      </c>
      <c r="E622" s="598">
        <f t="shared" si="11"/>
        <v>570</v>
      </c>
      <c r="F622" s="616" t="s">
        <v>4978</v>
      </c>
      <c r="G622" s="616" t="s">
        <v>4904</v>
      </c>
      <c r="H622" s="618" t="s">
        <v>1195</v>
      </c>
      <c r="I622" s="618" t="s">
        <v>80</v>
      </c>
      <c r="J622" s="618" t="s">
        <v>1051</v>
      </c>
      <c r="K622" s="618" t="s">
        <v>1658</v>
      </c>
      <c r="L622" s="618" t="s">
        <v>1871</v>
      </c>
      <c r="M622" s="619"/>
      <c r="N622" s="620"/>
      <c r="O622" s="620"/>
      <c r="P622" s="667" t="s">
        <v>1115</v>
      </c>
      <c r="Q622" s="621"/>
      <c r="R622" s="598" t="s">
        <v>55</v>
      </c>
      <c r="S622" s="598" t="s">
        <v>178</v>
      </c>
      <c r="T622" s="598"/>
      <c r="U622" s="598" t="s">
        <v>1015</v>
      </c>
      <c r="V622" s="667" t="s">
        <v>1878</v>
      </c>
      <c r="W622" s="779" t="s">
        <v>1879</v>
      </c>
      <c r="X622" s="598" t="s">
        <v>950</v>
      </c>
      <c r="Y622" s="624">
        <v>33871</v>
      </c>
      <c r="Z622" s="625">
        <f t="shared" ca="1" si="12"/>
        <v>33</v>
      </c>
      <c r="AA622" s="616" t="s">
        <v>1880</v>
      </c>
      <c r="AB622" s="598" t="s">
        <v>1881</v>
      </c>
      <c r="AC622" s="598" t="s">
        <v>996</v>
      </c>
      <c r="AD622" s="598" t="s">
        <v>997</v>
      </c>
      <c r="AE622" s="616" t="s">
        <v>1494</v>
      </c>
      <c r="AF622" s="616" t="s">
        <v>1494</v>
      </c>
      <c r="AG622" s="616"/>
      <c r="AH622" s="598"/>
      <c r="AI622" s="598"/>
      <c r="AJ622" s="598" t="s">
        <v>1114</v>
      </c>
      <c r="AK622" s="598"/>
      <c r="AL622" s="626"/>
      <c r="AM622" s="626"/>
    </row>
    <row r="623" spans="3:39" ht="18" customHeight="1">
      <c r="C623" s="598">
        <v>602</v>
      </c>
      <c r="D623" s="598" t="s">
        <v>1404</v>
      </c>
      <c r="E623" s="598">
        <f t="shared" si="11"/>
        <v>571</v>
      </c>
      <c r="F623" s="616" t="s">
        <v>4978</v>
      </c>
      <c r="G623" s="616" t="s">
        <v>4904</v>
      </c>
      <c r="H623" s="618" t="s">
        <v>1195</v>
      </c>
      <c r="I623" s="618" t="s">
        <v>80</v>
      </c>
      <c r="J623" s="618" t="s">
        <v>1051</v>
      </c>
      <c r="K623" s="618" t="s">
        <v>1658</v>
      </c>
      <c r="L623" s="618" t="s">
        <v>1871</v>
      </c>
      <c r="M623" s="619"/>
      <c r="N623" s="620"/>
      <c r="O623" s="620"/>
      <c r="P623" s="663" t="s">
        <v>1115</v>
      </c>
      <c r="Q623" s="621"/>
      <c r="R623" s="598" t="s">
        <v>69</v>
      </c>
      <c r="S623" s="598" t="s">
        <v>562</v>
      </c>
      <c r="T623" s="598"/>
      <c r="U623" s="598" t="s">
        <v>1015</v>
      </c>
      <c r="V623" s="663" t="s">
        <v>612</v>
      </c>
      <c r="W623" s="779" t="s">
        <v>1411</v>
      </c>
      <c r="X623" s="598" t="s">
        <v>950</v>
      </c>
      <c r="Y623" s="624">
        <v>35425</v>
      </c>
      <c r="Z623" s="625">
        <f t="shared" ca="1" si="12"/>
        <v>29</v>
      </c>
      <c r="AA623" s="616" t="s">
        <v>1412</v>
      </c>
      <c r="AB623" s="598" t="s">
        <v>1413</v>
      </c>
      <c r="AC623" s="598" t="s">
        <v>996</v>
      </c>
      <c r="AD623" s="598" t="s">
        <v>997</v>
      </c>
      <c r="AE623" s="616" t="s">
        <v>729</v>
      </c>
      <c r="AF623" s="640" t="s">
        <v>729</v>
      </c>
      <c r="AG623" s="616" t="s">
        <v>1335</v>
      </c>
      <c r="AH623" s="598"/>
      <c r="AI623" s="598"/>
      <c r="AJ623" s="598" t="s">
        <v>1114</v>
      </c>
      <c r="AK623" s="598"/>
      <c r="AL623" s="626"/>
      <c r="AM623" s="626"/>
    </row>
    <row r="624" spans="3:39" ht="18" customHeight="1">
      <c r="C624" s="598">
        <v>603</v>
      </c>
      <c r="D624" s="598" t="s">
        <v>1888</v>
      </c>
      <c r="E624" s="598">
        <f t="shared" si="11"/>
        <v>572</v>
      </c>
      <c r="F624" s="616" t="s">
        <v>4978</v>
      </c>
      <c r="G624" s="616" t="s">
        <v>4904</v>
      </c>
      <c r="H624" s="618" t="s">
        <v>1195</v>
      </c>
      <c r="I624" s="618" t="s">
        <v>80</v>
      </c>
      <c r="J624" s="618" t="s">
        <v>1051</v>
      </c>
      <c r="K624" s="618" t="s">
        <v>1658</v>
      </c>
      <c r="L624" s="618" t="s">
        <v>1871</v>
      </c>
      <c r="M624" s="619"/>
      <c r="N624" s="620"/>
      <c r="O624" s="620"/>
      <c r="P624" s="663" t="s">
        <v>1115</v>
      </c>
      <c r="Q624" s="621"/>
      <c r="R624" s="598"/>
      <c r="S624" s="598"/>
      <c r="T624" s="598"/>
      <c r="U624" s="598" t="s">
        <v>1015</v>
      </c>
      <c r="V624" s="663" t="s">
        <v>631</v>
      </c>
      <c r="W624" s="779" t="s">
        <v>1889</v>
      </c>
      <c r="X624" s="598" t="s">
        <v>950</v>
      </c>
      <c r="Y624" s="624">
        <v>35131</v>
      </c>
      <c r="Z624" s="625">
        <f t="shared" ca="1" si="12"/>
        <v>29</v>
      </c>
      <c r="AA624" s="616" t="s">
        <v>1890</v>
      </c>
      <c r="AB624" s="598" t="s">
        <v>1891</v>
      </c>
      <c r="AC624" s="598" t="s">
        <v>996</v>
      </c>
      <c r="AD624" s="598" t="s">
        <v>997</v>
      </c>
      <c r="AE624" s="616" t="s">
        <v>1494</v>
      </c>
      <c r="AF624" s="616" t="s">
        <v>1494</v>
      </c>
      <c r="AG624" s="616" t="s">
        <v>1892</v>
      </c>
      <c r="AH624" s="598"/>
      <c r="AI624" s="598"/>
      <c r="AJ624" s="598" t="s">
        <v>1114</v>
      </c>
      <c r="AK624" s="598"/>
      <c r="AL624" s="626"/>
      <c r="AM624" s="626"/>
    </row>
    <row r="625" spans="3:39" ht="18" customHeight="1">
      <c r="C625" s="598">
        <v>604</v>
      </c>
      <c r="D625" s="598" t="s">
        <v>2454</v>
      </c>
      <c r="E625" s="598">
        <f t="shared" si="11"/>
        <v>573</v>
      </c>
      <c r="F625" s="616" t="s">
        <v>4978</v>
      </c>
      <c r="G625" s="616" t="s">
        <v>4904</v>
      </c>
      <c r="H625" s="618" t="s">
        <v>1195</v>
      </c>
      <c r="I625" s="618" t="s">
        <v>80</v>
      </c>
      <c r="J625" s="618" t="s">
        <v>1051</v>
      </c>
      <c r="K625" s="618" t="s">
        <v>1658</v>
      </c>
      <c r="L625" s="618" t="s">
        <v>1871</v>
      </c>
      <c r="M625" s="619"/>
      <c r="N625" s="620"/>
      <c r="O625" s="620"/>
      <c r="P625" s="663" t="s">
        <v>1115</v>
      </c>
      <c r="Q625" s="621"/>
      <c r="R625" s="598"/>
      <c r="S625" s="598"/>
      <c r="T625" s="598"/>
      <c r="U625" s="598" t="s">
        <v>1015</v>
      </c>
      <c r="V625" s="663" t="s">
        <v>649</v>
      </c>
      <c r="W625" s="779" t="s">
        <v>2455</v>
      </c>
      <c r="X625" s="598" t="s">
        <v>950</v>
      </c>
      <c r="Y625" s="624">
        <v>31175</v>
      </c>
      <c r="Z625" s="625">
        <f t="shared" ca="1" si="12"/>
        <v>40</v>
      </c>
      <c r="AA625" s="616" t="s">
        <v>2456</v>
      </c>
      <c r="AB625" s="598" t="s">
        <v>2457</v>
      </c>
      <c r="AC625" s="598" t="s">
        <v>996</v>
      </c>
      <c r="AD625" s="598" t="s">
        <v>997</v>
      </c>
      <c r="AE625" s="616" t="s">
        <v>729</v>
      </c>
      <c r="AF625" s="640" t="s">
        <v>729</v>
      </c>
      <c r="AG625" s="616" t="s">
        <v>2458</v>
      </c>
      <c r="AH625" s="598"/>
      <c r="AI625" s="598"/>
      <c r="AJ625" s="598" t="s">
        <v>1114</v>
      </c>
      <c r="AK625" s="598"/>
      <c r="AL625" s="626"/>
      <c r="AM625" s="626"/>
    </row>
    <row r="626" spans="3:39" ht="18" customHeight="1">
      <c r="C626" s="598">
        <v>605</v>
      </c>
      <c r="D626" s="598" t="s">
        <v>1426</v>
      </c>
      <c r="E626" s="598">
        <f t="shared" si="11"/>
        <v>574</v>
      </c>
      <c r="F626" s="616" t="s">
        <v>4978</v>
      </c>
      <c r="G626" s="616" t="s">
        <v>4904</v>
      </c>
      <c r="H626" s="618" t="s">
        <v>1195</v>
      </c>
      <c r="I626" s="618" t="s">
        <v>80</v>
      </c>
      <c r="J626" s="618" t="s">
        <v>1051</v>
      </c>
      <c r="K626" s="618" t="s">
        <v>1658</v>
      </c>
      <c r="L626" s="618" t="s">
        <v>1871</v>
      </c>
      <c r="M626" s="619"/>
      <c r="N626" s="620"/>
      <c r="O626" s="620"/>
      <c r="P626" s="663" t="s">
        <v>1115</v>
      </c>
      <c r="Q626" s="621"/>
      <c r="R626" s="598"/>
      <c r="S626" s="598"/>
      <c r="T626" s="598"/>
      <c r="U626" s="598" t="s">
        <v>1015</v>
      </c>
      <c r="V626" s="663" t="s">
        <v>668</v>
      </c>
      <c r="W626" s="779" t="s">
        <v>1427</v>
      </c>
      <c r="X626" s="598" t="s">
        <v>950</v>
      </c>
      <c r="Y626" s="624">
        <v>31279</v>
      </c>
      <c r="Z626" s="625">
        <f t="shared" ca="1" si="12"/>
        <v>40</v>
      </c>
      <c r="AA626" s="616" t="s">
        <v>1428</v>
      </c>
      <c r="AB626" s="652"/>
      <c r="AC626" s="598" t="s">
        <v>996</v>
      </c>
      <c r="AD626" s="598" t="s">
        <v>1018</v>
      </c>
      <c r="AE626" s="616" t="s">
        <v>729</v>
      </c>
      <c r="AF626" s="640" t="s">
        <v>729</v>
      </c>
      <c r="AG626" s="616" t="s">
        <v>1429</v>
      </c>
      <c r="AH626" s="598"/>
      <c r="AI626" s="598"/>
      <c r="AJ626" s="598" t="s">
        <v>1114</v>
      </c>
      <c r="AK626" s="598"/>
      <c r="AL626" s="626"/>
      <c r="AM626" s="626"/>
    </row>
    <row r="627" spans="3:39" ht="18" customHeight="1">
      <c r="C627" s="598">
        <v>606</v>
      </c>
      <c r="D627" s="598" t="s">
        <v>1430</v>
      </c>
      <c r="E627" s="598">
        <f t="shared" si="11"/>
        <v>575</v>
      </c>
      <c r="F627" s="616" t="s">
        <v>4978</v>
      </c>
      <c r="G627" s="616" t="s">
        <v>4904</v>
      </c>
      <c r="H627" s="618" t="s">
        <v>1195</v>
      </c>
      <c r="I627" s="618" t="s">
        <v>80</v>
      </c>
      <c r="J627" s="618" t="s">
        <v>1051</v>
      </c>
      <c r="K627" s="618" t="s">
        <v>1658</v>
      </c>
      <c r="L627" s="618" t="s">
        <v>1871</v>
      </c>
      <c r="M627" s="619"/>
      <c r="N627" s="620"/>
      <c r="O627" s="620"/>
      <c r="P627" s="663" t="s">
        <v>1115</v>
      </c>
      <c r="Q627" s="621"/>
      <c r="R627" s="598"/>
      <c r="S627" s="598"/>
      <c r="T627" s="598"/>
      <c r="U627" s="598" t="s">
        <v>1015</v>
      </c>
      <c r="V627" s="663" t="s">
        <v>686</v>
      </c>
      <c r="W627" s="779" t="s">
        <v>1431</v>
      </c>
      <c r="X627" s="598" t="s">
        <v>950</v>
      </c>
      <c r="Y627" s="624">
        <v>34479</v>
      </c>
      <c r="Z627" s="625">
        <f t="shared" ca="1" si="12"/>
        <v>31</v>
      </c>
      <c r="AA627" s="616" t="s">
        <v>1432</v>
      </c>
      <c r="AB627" s="598" t="s">
        <v>1433</v>
      </c>
      <c r="AC627" s="598" t="s">
        <v>996</v>
      </c>
      <c r="AD627" s="598" t="s">
        <v>997</v>
      </c>
      <c r="AE627" s="616" t="s">
        <v>729</v>
      </c>
      <c r="AF627" s="640" t="s">
        <v>729</v>
      </c>
      <c r="AG627" s="616" t="s">
        <v>1335</v>
      </c>
      <c r="AH627" s="598"/>
      <c r="AI627" s="598"/>
      <c r="AJ627" s="598" t="s">
        <v>1114</v>
      </c>
      <c r="AK627" s="598"/>
      <c r="AL627" s="626"/>
      <c r="AM627" s="626"/>
    </row>
    <row r="628" spans="3:39" ht="18" customHeight="1">
      <c r="C628" s="598">
        <v>607</v>
      </c>
      <c r="D628" s="598" t="s">
        <v>2431</v>
      </c>
      <c r="E628" s="598">
        <f t="shared" si="11"/>
        <v>576</v>
      </c>
      <c r="F628" s="616" t="s">
        <v>4978</v>
      </c>
      <c r="G628" s="616" t="s">
        <v>4904</v>
      </c>
      <c r="H628" s="618" t="s">
        <v>1195</v>
      </c>
      <c r="I628" s="618" t="s">
        <v>80</v>
      </c>
      <c r="J628" s="618" t="s">
        <v>1051</v>
      </c>
      <c r="K628" s="618" t="s">
        <v>1658</v>
      </c>
      <c r="L628" s="618" t="s">
        <v>1871</v>
      </c>
      <c r="M628" s="619"/>
      <c r="N628" s="620"/>
      <c r="O628" s="620"/>
      <c r="P628" s="673" t="s">
        <v>1115</v>
      </c>
      <c r="Q628" s="621"/>
      <c r="R628" s="598"/>
      <c r="S628" s="598"/>
      <c r="T628" s="598"/>
      <c r="U628" s="598" t="s">
        <v>1015</v>
      </c>
      <c r="V628" s="673" t="s">
        <v>700</v>
      </c>
      <c r="W628" s="779" t="s">
        <v>2432</v>
      </c>
      <c r="X628" s="598" t="s">
        <v>950</v>
      </c>
      <c r="Y628" s="624" t="s">
        <v>2433</v>
      </c>
      <c r="Z628" s="625">
        <f t="shared" ca="1" si="12"/>
        <v>25</v>
      </c>
      <c r="AA628" s="616" t="s">
        <v>2434</v>
      </c>
      <c r="AB628" s="598" t="s">
        <v>2435</v>
      </c>
      <c r="AC628" s="598" t="s">
        <v>996</v>
      </c>
      <c r="AD628" s="598" t="s">
        <v>997</v>
      </c>
      <c r="AE628" s="616" t="s">
        <v>729</v>
      </c>
      <c r="AF628" s="640" t="s">
        <v>729</v>
      </c>
      <c r="AG628" s="616" t="s">
        <v>2436</v>
      </c>
      <c r="AH628" s="598"/>
      <c r="AI628" s="598"/>
      <c r="AJ628" s="598" t="s">
        <v>1114</v>
      </c>
      <c r="AK628" s="598"/>
      <c r="AL628" s="626"/>
      <c r="AM628" s="626"/>
    </row>
    <row r="629" spans="3:39" ht="18" customHeight="1">
      <c r="C629" s="598">
        <v>608</v>
      </c>
      <c r="D629" s="598" t="s">
        <v>1360</v>
      </c>
      <c r="E629" s="598">
        <f t="shared" si="11"/>
        <v>576</v>
      </c>
      <c r="F629" s="616"/>
      <c r="G629" s="616" t="s">
        <v>4904</v>
      </c>
      <c r="H629" s="618" t="s">
        <v>1195</v>
      </c>
      <c r="I629" s="618" t="s">
        <v>80</v>
      </c>
      <c r="J629" s="618" t="s">
        <v>1051</v>
      </c>
      <c r="K629" s="618" t="s">
        <v>1360</v>
      </c>
      <c r="L629" s="618" t="s">
        <v>2971</v>
      </c>
      <c r="M629" s="619"/>
      <c r="N629" s="620"/>
      <c r="O629" s="620"/>
      <c r="P629" s="667" t="s">
        <v>1127</v>
      </c>
      <c r="Q629" s="621"/>
      <c r="R629" s="598" t="s">
        <v>55</v>
      </c>
      <c r="S629" s="598" t="s">
        <v>178</v>
      </c>
      <c r="T629" s="598"/>
      <c r="U629" s="598"/>
      <c r="V629" s="667" t="s">
        <v>305</v>
      </c>
      <c r="W629" s="779" t="s">
        <v>1362</v>
      </c>
      <c r="X629" s="598" t="s">
        <v>950</v>
      </c>
      <c r="Y629" s="624">
        <v>25307</v>
      </c>
      <c r="Z629" s="625">
        <f t="shared" ca="1" si="12"/>
        <v>56</v>
      </c>
      <c r="AA629" s="616" t="s">
        <v>1363</v>
      </c>
      <c r="AB629" s="598" t="s">
        <v>4920</v>
      </c>
      <c r="AC629" s="598" t="s">
        <v>966</v>
      </c>
      <c r="AD629" s="598" t="s">
        <v>953</v>
      </c>
      <c r="AE629" s="616" t="s">
        <v>729</v>
      </c>
      <c r="AF629" s="616" t="s">
        <v>1239</v>
      </c>
      <c r="AG629" s="616" t="s">
        <v>1240</v>
      </c>
      <c r="AH629" s="598" t="s">
        <v>955</v>
      </c>
      <c r="AI629" s="598"/>
      <c r="AJ629" s="598"/>
      <c r="AK629" s="598"/>
      <c r="AL629" s="626"/>
      <c r="AM629" s="626"/>
    </row>
    <row r="630" spans="3:39" ht="18" customHeight="1">
      <c r="C630" s="598">
        <v>609</v>
      </c>
      <c r="D630" s="598" t="s">
        <v>2971</v>
      </c>
      <c r="E630" s="598">
        <f t="shared" si="11"/>
        <v>577</v>
      </c>
      <c r="F630" s="616" t="s">
        <v>1798</v>
      </c>
      <c r="G630" s="616" t="s">
        <v>4904</v>
      </c>
      <c r="H630" s="618" t="s">
        <v>1195</v>
      </c>
      <c r="I630" s="618" t="s">
        <v>80</v>
      </c>
      <c r="J630" s="618" t="s">
        <v>1051</v>
      </c>
      <c r="K630" s="618" t="s">
        <v>1360</v>
      </c>
      <c r="L630" s="618" t="s">
        <v>2971</v>
      </c>
      <c r="M630" s="619"/>
      <c r="N630" s="620"/>
      <c r="O630" s="620"/>
      <c r="P630" s="663" t="s">
        <v>1127</v>
      </c>
      <c r="Q630" s="621"/>
      <c r="R630" s="598" t="s">
        <v>69</v>
      </c>
      <c r="S630" s="598" t="s">
        <v>562</v>
      </c>
      <c r="T630" s="598"/>
      <c r="U630" s="598" t="s">
        <v>1015</v>
      </c>
      <c r="V630" s="663" t="s">
        <v>613</v>
      </c>
      <c r="W630" s="779" t="s">
        <v>2973</v>
      </c>
      <c r="X630" s="598" t="s">
        <v>950</v>
      </c>
      <c r="Y630" s="624">
        <v>27337</v>
      </c>
      <c r="Z630" s="625">
        <f t="shared" ca="1" si="12"/>
        <v>51</v>
      </c>
      <c r="AA630" s="616" t="s">
        <v>2974</v>
      </c>
      <c r="AB630" s="598" t="s">
        <v>2975</v>
      </c>
      <c r="AC630" s="598" t="s">
        <v>996</v>
      </c>
      <c r="AD630" s="598" t="s">
        <v>997</v>
      </c>
      <c r="AE630" s="616" t="s">
        <v>1041</v>
      </c>
      <c r="AF630" s="721" t="s">
        <v>1041</v>
      </c>
      <c r="AG630" s="616" t="s">
        <v>1473</v>
      </c>
      <c r="AH630" s="598"/>
      <c r="AI630" s="598"/>
      <c r="AJ630" s="598" t="s">
        <v>1107</v>
      </c>
      <c r="AK630" s="598"/>
      <c r="AL630" s="626"/>
      <c r="AM630" s="626"/>
    </row>
    <row r="631" spans="3:39" ht="18" customHeight="1">
      <c r="C631" s="598">
        <v>610</v>
      </c>
      <c r="D631" s="598" t="s">
        <v>2560</v>
      </c>
      <c r="E631" s="598">
        <f t="shared" si="11"/>
        <v>578</v>
      </c>
      <c r="F631" s="616" t="s">
        <v>4978</v>
      </c>
      <c r="G631" s="616" t="s">
        <v>4904</v>
      </c>
      <c r="H631" s="618" t="s">
        <v>1195</v>
      </c>
      <c r="I631" s="618" t="s">
        <v>80</v>
      </c>
      <c r="J631" s="618" t="s">
        <v>1051</v>
      </c>
      <c r="K631" s="618" t="s">
        <v>1360</v>
      </c>
      <c r="L631" s="618" t="s">
        <v>2971</v>
      </c>
      <c r="M631" s="619"/>
      <c r="N631" s="620"/>
      <c r="O631" s="620"/>
      <c r="P631" s="663" t="s">
        <v>1127</v>
      </c>
      <c r="Q631" s="621"/>
      <c r="R631" s="598"/>
      <c r="S631" s="598"/>
      <c r="T631" s="598"/>
      <c r="U631" s="598" t="s">
        <v>1015</v>
      </c>
      <c r="V631" s="663" t="s">
        <v>632</v>
      </c>
      <c r="W631" s="779" t="s">
        <v>2561</v>
      </c>
      <c r="X631" s="598" t="s">
        <v>950</v>
      </c>
      <c r="Y631" s="624">
        <v>26046</v>
      </c>
      <c r="Z631" s="625">
        <f t="shared" ca="1" si="12"/>
        <v>54</v>
      </c>
      <c r="AA631" s="616" t="s">
        <v>2562</v>
      </c>
      <c r="AB631" s="652"/>
      <c r="AC631" s="598" t="s">
        <v>996</v>
      </c>
      <c r="AD631" s="598" t="s">
        <v>1018</v>
      </c>
      <c r="AE631" s="616" t="s">
        <v>729</v>
      </c>
      <c r="AF631" s="640" t="s">
        <v>729</v>
      </c>
      <c r="AG631" s="616" t="s">
        <v>2563</v>
      </c>
      <c r="AH631" s="598"/>
      <c r="AI631" s="598"/>
      <c r="AJ631" s="598" t="s">
        <v>1107</v>
      </c>
      <c r="AK631" s="598"/>
      <c r="AL631" s="626"/>
      <c r="AM631" s="626"/>
    </row>
    <row r="632" spans="3:39" ht="18" customHeight="1">
      <c r="C632" s="598">
        <v>611</v>
      </c>
      <c r="D632" s="598" t="s">
        <v>2987</v>
      </c>
      <c r="E632" s="598">
        <f t="shared" si="11"/>
        <v>579</v>
      </c>
      <c r="F632" s="616" t="s">
        <v>1798</v>
      </c>
      <c r="G632" s="616" t="s">
        <v>4904</v>
      </c>
      <c r="H632" s="618" t="s">
        <v>1195</v>
      </c>
      <c r="I632" s="618" t="s">
        <v>80</v>
      </c>
      <c r="J632" s="618" t="s">
        <v>1051</v>
      </c>
      <c r="K632" s="618" t="s">
        <v>1360</v>
      </c>
      <c r="L632" s="618" t="s">
        <v>2971</v>
      </c>
      <c r="M632" s="619"/>
      <c r="N632" s="620"/>
      <c r="O632" s="620"/>
      <c r="P632" s="663" t="s">
        <v>1127</v>
      </c>
      <c r="Q632" s="621"/>
      <c r="R632" s="598"/>
      <c r="S632" s="598"/>
      <c r="T632" s="598"/>
      <c r="U632" s="598" t="s">
        <v>1015</v>
      </c>
      <c r="V632" s="663" t="s">
        <v>650</v>
      </c>
      <c r="W632" s="779" t="s">
        <v>2988</v>
      </c>
      <c r="X632" s="598" t="s">
        <v>950</v>
      </c>
      <c r="Y632" s="624">
        <v>26397</v>
      </c>
      <c r="Z632" s="625">
        <f t="shared" ca="1" si="12"/>
        <v>53</v>
      </c>
      <c r="AA632" s="616" t="s">
        <v>2989</v>
      </c>
      <c r="AB632" s="598" t="s">
        <v>2990</v>
      </c>
      <c r="AC632" s="598" t="s">
        <v>996</v>
      </c>
      <c r="AD632" s="598" t="s">
        <v>997</v>
      </c>
      <c r="AE632" s="616" t="s">
        <v>729</v>
      </c>
      <c r="AF632" s="721" t="s">
        <v>1041</v>
      </c>
      <c r="AG632" s="616" t="s">
        <v>2991</v>
      </c>
      <c r="AH632" s="598"/>
      <c r="AI632" s="598"/>
      <c r="AJ632" s="598" t="s">
        <v>1107</v>
      </c>
      <c r="AK632" s="598"/>
      <c r="AL632" s="626"/>
      <c r="AM632" s="626"/>
    </row>
    <row r="633" spans="3:39" ht="18" customHeight="1">
      <c r="C633" s="598">
        <v>612</v>
      </c>
      <c r="D633" s="598" t="s">
        <v>1996</v>
      </c>
      <c r="E633" s="598">
        <f t="shared" si="11"/>
        <v>580</v>
      </c>
      <c r="F633" s="616" t="s">
        <v>4978</v>
      </c>
      <c r="G633" s="616" t="s">
        <v>4904</v>
      </c>
      <c r="H633" s="618" t="s">
        <v>1195</v>
      </c>
      <c r="I633" s="618" t="s">
        <v>80</v>
      </c>
      <c r="J633" s="618" t="s">
        <v>1051</v>
      </c>
      <c r="K633" s="618" t="s">
        <v>1360</v>
      </c>
      <c r="L633" s="618" t="s">
        <v>2971</v>
      </c>
      <c r="M633" s="619"/>
      <c r="N633" s="620"/>
      <c r="O633" s="620"/>
      <c r="P633" s="663" t="s">
        <v>1127</v>
      </c>
      <c r="Q633" s="621"/>
      <c r="R633" s="598"/>
      <c r="S633" s="598"/>
      <c r="T633" s="598"/>
      <c r="U633" s="598" t="s">
        <v>1015</v>
      </c>
      <c r="V633" s="663" t="s">
        <v>669</v>
      </c>
      <c r="W633" s="779" t="s">
        <v>1997</v>
      </c>
      <c r="X633" s="598" t="s">
        <v>950</v>
      </c>
      <c r="Y633" s="624">
        <v>26636</v>
      </c>
      <c r="Z633" s="625">
        <f t="shared" ca="1" si="12"/>
        <v>53</v>
      </c>
      <c r="AA633" s="616" t="s">
        <v>1998</v>
      </c>
      <c r="AB633" s="598" t="s">
        <v>1999</v>
      </c>
      <c r="AC633" s="598" t="s">
        <v>996</v>
      </c>
      <c r="AD633" s="598" t="s">
        <v>1018</v>
      </c>
      <c r="AE633" s="616" t="s">
        <v>729</v>
      </c>
      <c r="AF633" s="616" t="s">
        <v>729</v>
      </c>
      <c r="AG633" s="616" t="s">
        <v>2000</v>
      </c>
      <c r="AH633" s="598"/>
      <c r="AI633" s="598"/>
      <c r="AJ633" s="598" t="s">
        <v>1107</v>
      </c>
      <c r="AK633" s="598"/>
      <c r="AL633" s="626"/>
      <c r="AM633" s="626"/>
    </row>
    <row r="634" spans="3:39" ht="18" customHeight="1">
      <c r="C634" s="598">
        <v>613</v>
      </c>
      <c r="D634" s="598" t="s">
        <v>1398</v>
      </c>
      <c r="E634" s="598">
        <f t="shared" si="11"/>
        <v>581</v>
      </c>
      <c r="F634" s="616" t="s">
        <v>4978</v>
      </c>
      <c r="G634" s="616" t="s">
        <v>4904</v>
      </c>
      <c r="H634" s="618" t="s">
        <v>1195</v>
      </c>
      <c r="I634" s="618" t="s">
        <v>80</v>
      </c>
      <c r="J634" s="618" t="s">
        <v>1051</v>
      </c>
      <c r="K634" s="618" t="s">
        <v>1360</v>
      </c>
      <c r="L634" s="618" t="s">
        <v>2971</v>
      </c>
      <c r="M634" s="619"/>
      <c r="N634" s="620"/>
      <c r="O634" s="620"/>
      <c r="P634" s="663" t="s">
        <v>1127</v>
      </c>
      <c r="Q634" s="621"/>
      <c r="R634" s="598"/>
      <c r="S634" s="598"/>
      <c r="T634" s="598"/>
      <c r="U634" s="598" t="s">
        <v>1015</v>
      </c>
      <c r="V634" s="663" t="s">
        <v>701</v>
      </c>
      <c r="W634" s="779" t="s">
        <v>1399</v>
      </c>
      <c r="X634" s="598" t="s">
        <v>950</v>
      </c>
      <c r="Y634" s="624">
        <v>27745</v>
      </c>
      <c r="Z634" s="625">
        <f t="shared" ca="1" si="12"/>
        <v>50</v>
      </c>
      <c r="AA634" s="616" t="s">
        <v>1400</v>
      </c>
      <c r="AB634" s="598" t="s">
        <v>1401</v>
      </c>
      <c r="AC634" s="598" t="s">
        <v>996</v>
      </c>
      <c r="AD634" s="598" t="s">
        <v>1018</v>
      </c>
      <c r="AE634" s="616" t="s">
        <v>1375</v>
      </c>
      <c r="AF634" s="616" t="s">
        <v>1375</v>
      </c>
      <c r="AG634" s="616" t="s">
        <v>1402</v>
      </c>
      <c r="AH634" s="598"/>
      <c r="AI634" s="598"/>
      <c r="AJ634" s="598" t="s">
        <v>1107</v>
      </c>
      <c r="AK634" s="598"/>
      <c r="AL634" s="626"/>
      <c r="AM634" s="626"/>
    </row>
    <row r="635" spans="3:39" ht="18" customHeight="1">
      <c r="C635" s="598">
        <v>614</v>
      </c>
      <c r="D635" s="598" t="s">
        <v>2023</v>
      </c>
      <c r="E635" s="598">
        <f t="shared" si="11"/>
        <v>582</v>
      </c>
      <c r="F635" s="616" t="s">
        <v>4978</v>
      </c>
      <c r="G635" s="616" t="s">
        <v>4904</v>
      </c>
      <c r="H635" s="618" t="s">
        <v>1195</v>
      </c>
      <c r="I635" s="618" t="s">
        <v>80</v>
      </c>
      <c r="J635" s="618" t="s">
        <v>1051</v>
      </c>
      <c r="K635" s="618" t="s">
        <v>1360</v>
      </c>
      <c r="L635" s="618" t="s">
        <v>2971</v>
      </c>
      <c r="M635" s="619"/>
      <c r="N635" s="620"/>
      <c r="O635" s="620"/>
      <c r="P635" s="663" t="s">
        <v>1127</v>
      </c>
      <c r="Q635" s="621"/>
      <c r="R635" s="598"/>
      <c r="S635" s="598"/>
      <c r="T635" s="598"/>
      <c r="U635" s="598" t="s">
        <v>1015</v>
      </c>
      <c r="V635" s="663" t="s">
        <v>710</v>
      </c>
      <c r="W635" s="779" t="s">
        <v>2024</v>
      </c>
      <c r="X635" s="598" t="s">
        <v>950</v>
      </c>
      <c r="Y635" s="624">
        <v>28463</v>
      </c>
      <c r="Z635" s="625">
        <f t="shared" ca="1" si="12"/>
        <v>48</v>
      </c>
      <c r="AA635" s="616" t="s">
        <v>2025</v>
      </c>
      <c r="AB635" s="598" t="s">
        <v>2026</v>
      </c>
      <c r="AC635" s="598" t="s">
        <v>996</v>
      </c>
      <c r="AD635" s="598" t="s">
        <v>997</v>
      </c>
      <c r="AE635" s="616" t="s">
        <v>729</v>
      </c>
      <c r="AF635" s="640" t="s">
        <v>729</v>
      </c>
      <c r="AG635" s="616" t="s">
        <v>2027</v>
      </c>
      <c r="AH635" s="598"/>
      <c r="AI635" s="598"/>
      <c r="AJ635" s="598" t="s">
        <v>1107</v>
      </c>
      <c r="AK635" s="598"/>
      <c r="AL635" s="626"/>
      <c r="AM635" s="626"/>
    </row>
    <row r="636" spans="3:39" ht="18" customHeight="1">
      <c r="C636" s="598">
        <v>615</v>
      </c>
      <c r="D636" s="598" t="s">
        <v>1934</v>
      </c>
      <c r="E636" s="598">
        <f t="shared" si="11"/>
        <v>583</v>
      </c>
      <c r="F636" s="616" t="s">
        <v>4978</v>
      </c>
      <c r="G636" s="616" t="s">
        <v>4904</v>
      </c>
      <c r="H636" s="618" t="s">
        <v>1195</v>
      </c>
      <c r="I636" s="618" t="s">
        <v>80</v>
      </c>
      <c r="J636" s="618" t="s">
        <v>1051</v>
      </c>
      <c r="K636" s="618" t="s">
        <v>1360</v>
      </c>
      <c r="L636" s="618" t="s">
        <v>2971</v>
      </c>
      <c r="M636" s="619"/>
      <c r="N636" s="620"/>
      <c r="O636" s="620"/>
      <c r="P636" s="663" t="s">
        <v>1127</v>
      </c>
      <c r="Q636" s="621"/>
      <c r="R636" s="598"/>
      <c r="S636" s="598"/>
      <c r="T636" s="598"/>
      <c r="U636" s="598" t="s">
        <v>1015</v>
      </c>
      <c r="V636" s="663" t="s">
        <v>1935</v>
      </c>
      <c r="W636" s="779" t="s">
        <v>1936</v>
      </c>
      <c r="X636" s="598" t="s">
        <v>950</v>
      </c>
      <c r="Y636" s="624">
        <v>29857</v>
      </c>
      <c r="Z636" s="625">
        <f t="shared" ca="1" si="12"/>
        <v>44</v>
      </c>
      <c r="AA636" s="616" t="s">
        <v>1937</v>
      </c>
      <c r="AB636" s="598" t="s">
        <v>1938</v>
      </c>
      <c r="AC636" s="598" t="s">
        <v>996</v>
      </c>
      <c r="AD636" s="598" t="s">
        <v>997</v>
      </c>
      <c r="AE636" s="616" t="s">
        <v>246</v>
      </c>
      <c r="AF636" s="640" t="s">
        <v>729</v>
      </c>
      <c r="AG636" s="616" t="s">
        <v>1808</v>
      </c>
      <c r="AH636" s="598"/>
      <c r="AI636" s="598"/>
      <c r="AJ636" s="598" t="s">
        <v>1107</v>
      </c>
      <c r="AK636" s="598"/>
      <c r="AL636" s="626"/>
      <c r="AM636" s="626"/>
    </row>
    <row r="637" spans="3:39" ht="18" customHeight="1">
      <c r="C637" s="598">
        <v>616</v>
      </c>
      <c r="D637" s="598" t="s">
        <v>1939</v>
      </c>
      <c r="E637" s="598">
        <f t="shared" si="11"/>
        <v>584</v>
      </c>
      <c r="F637" s="616" t="s">
        <v>4978</v>
      </c>
      <c r="G637" s="616" t="s">
        <v>4904</v>
      </c>
      <c r="H637" s="618" t="s">
        <v>1195</v>
      </c>
      <c r="I637" s="618" t="s">
        <v>80</v>
      </c>
      <c r="J637" s="618" t="s">
        <v>1051</v>
      </c>
      <c r="K637" s="618" t="s">
        <v>1360</v>
      </c>
      <c r="L637" s="618" t="s">
        <v>2971</v>
      </c>
      <c r="M637" s="619"/>
      <c r="N637" s="620"/>
      <c r="O637" s="620"/>
      <c r="P637" s="663" t="s">
        <v>1127</v>
      </c>
      <c r="Q637" s="621"/>
      <c r="R637" s="598"/>
      <c r="S637" s="598"/>
      <c r="T637" s="598"/>
      <c r="U637" s="598" t="s">
        <v>1015</v>
      </c>
      <c r="V637" s="663" t="s">
        <v>1940</v>
      </c>
      <c r="W637" s="779" t="s">
        <v>1941</v>
      </c>
      <c r="X637" s="598" t="s">
        <v>950</v>
      </c>
      <c r="Y637" s="624">
        <v>30123</v>
      </c>
      <c r="Z637" s="625">
        <f t="shared" ca="1" si="12"/>
        <v>43</v>
      </c>
      <c r="AA637" s="616" t="s">
        <v>1942</v>
      </c>
      <c r="AB637" s="598" t="s">
        <v>1943</v>
      </c>
      <c r="AC637" s="598" t="s">
        <v>996</v>
      </c>
      <c r="AD637" s="598" t="s">
        <v>1018</v>
      </c>
      <c r="AE637" s="616" t="s">
        <v>729</v>
      </c>
      <c r="AF637" s="640" t="s">
        <v>729</v>
      </c>
      <c r="AG637" s="616" t="s">
        <v>1808</v>
      </c>
      <c r="AH637" s="598"/>
      <c r="AI637" s="598"/>
      <c r="AJ637" s="598" t="s">
        <v>1107</v>
      </c>
      <c r="AK637" s="598"/>
      <c r="AL637" s="626"/>
      <c r="AM637" s="626"/>
    </row>
    <row r="638" spans="3:39" ht="18" customHeight="1">
      <c r="C638" s="598">
        <v>617</v>
      </c>
      <c r="D638" s="598" t="s">
        <v>1944</v>
      </c>
      <c r="E638" s="598">
        <f t="shared" si="11"/>
        <v>585</v>
      </c>
      <c r="F638" s="616" t="s">
        <v>4978</v>
      </c>
      <c r="G638" s="616" t="s">
        <v>4904</v>
      </c>
      <c r="H638" s="618" t="s">
        <v>1195</v>
      </c>
      <c r="I638" s="618" t="s">
        <v>80</v>
      </c>
      <c r="J638" s="618" t="s">
        <v>1051</v>
      </c>
      <c r="K638" s="618" t="s">
        <v>1360</v>
      </c>
      <c r="L638" s="618" t="s">
        <v>2971</v>
      </c>
      <c r="M638" s="619"/>
      <c r="N638" s="620"/>
      <c r="O638" s="620"/>
      <c r="P638" s="673" t="s">
        <v>1127</v>
      </c>
      <c r="Q638" s="621"/>
      <c r="R638" s="598"/>
      <c r="S638" s="598"/>
      <c r="T638" s="598"/>
      <c r="U638" s="598" t="s">
        <v>1015</v>
      </c>
      <c r="V638" s="673" t="s">
        <v>1945</v>
      </c>
      <c r="W638" s="779" t="s">
        <v>1946</v>
      </c>
      <c r="X638" s="598" t="s">
        <v>950</v>
      </c>
      <c r="Y638" s="624">
        <v>30594</v>
      </c>
      <c r="Z638" s="625">
        <f t="shared" ca="1" si="12"/>
        <v>42</v>
      </c>
      <c r="AA638" s="616" t="s">
        <v>1947</v>
      </c>
      <c r="AB638" s="598" t="s">
        <v>1948</v>
      </c>
      <c r="AC638" s="598" t="s">
        <v>996</v>
      </c>
      <c r="AD638" s="598" t="s">
        <v>997</v>
      </c>
      <c r="AE638" s="616" t="s">
        <v>729</v>
      </c>
      <c r="AF638" s="640" t="s">
        <v>729</v>
      </c>
      <c r="AG638" s="616" t="s">
        <v>1808</v>
      </c>
      <c r="AH638" s="598"/>
      <c r="AI638" s="598"/>
      <c r="AJ638" s="598" t="s">
        <v>1107</v>
      </c>
      <c r="AK638" s="598"/>
      <c r="AL638" s="626"/>
      <c r="AM638" s="626"/>
    </row>
    <row r="639" spans="3:39" ht="18" customHeight="1">
      <c r="C639" s="598">
        <v>618</v>
      </c>
      <c r="D639" s="598" t="s">
        <v>2168</v>
      </c>
      <c r="E639" s="598">
        <f t="shared" si="11"/>
        <v>586</v>
      </c>
      <c r="F639" s="616" t="s">
        <v>4978</v>
      </c>
      <c r="G639" s="616" t="s">
        <v>4904</v>
      </c>
      <c r="H639" s="618" t="s">
        <v>1195</v>
      </c>
      <c r="I639" s="618" t="s">
        <v>80</v>
      </c>
      <c r="J639" s="618" t="s">
        <v>1051</v>
      </c>
      <c r="K639" s="618" t="s">
        <v>2168</v>
      </c>
      <c r="L639" s="618" t="s">
        <v>1963</v>
      </c>
      <c r="M639" s="619"/>
      <c r="N639" s="620"/>
      <c r="O639" s="620"/>
      <c r="P639" s="667" t="s">
        <v>1157</v>
      </c>
      <c r="Q639" s="621"/>
      <c r="R639" s="598" t="s">
        <v>55</v>
      </c>
      <c r="S639" s="598" t="s">
        <v>178</v>
      </c>
      <c r="T639" s="598"/>
      <c r="U639" s="598" t="s">
        <v>1015</v>
      </c>
      <c r="V639" s="667" t="s">
        <v>605</v>
      </c>
      <c r="W639" s="779" t="s">
        <v>2169</v>
      </c>
      <c r="X639" s="598" t="s">
        <v>950</v>
      </c>
      <c r="Y639" s="624">
        <v>21524</v>
      </c>
      <c r="Z639" s="625">
        <f t="shared" ca="1" si="12"/>
        <v>67</v>
      </c>
      <c r="AA639" s="616" t="s">
        <v>2170</v>
      </c>
      <c r="AB639" s="598" t="s">
        <v>2171</v>
      </c>
      <c r="AC639" s="598" t="s">
        <v>966</v>
      </c>
      <c r="AD639" s="598" t="s">
        <v>953</v>
      </c>
      <c r="AE639" s="616" t="s">
        <v>729</v>
      </c>
      <c r="AF639" s="640" t="s">
        <v>729</v>
      </c>
      <c r="AG639" s="616" t="s">
        <v>2172</v>
      </c>
      <c r="AH639" s="598"/>
      <c r="AI639" s="598"/>
      <c r="AJ639" s="598" t="s">
        <v>1025</v>
      </c>
      <c r="AK639" s="598"/>
      <c r="AL639" s="626"/>
      <c r="AM639" s="626"/>
    </row>
    <row r="640" spans="3:39" ht="18" customHeight="1">
      <c r="C640" s="598">
        <v>619</v>
      </c>
      <c r="D640" s="598" t="s">
        <v>1963</v>
      </c>
      <c r="E640" s="598">
        <f t="shared" si="11"/>
        <v>587</v>
      </c>
      <c r="F640" s="616" t="s">
        <v>4978</v>
      </c>
      <c r="G640" s="616" t="s">
        <v>4904</v>
      </c>
      <c r="H640" s="618" t="s">
        <v>1195</v>
      </c>
      <c r="I640" s="618" t="s">
        <v>80</v>
      </c>
      <c r="J640" s="618" t="s">
        <v>1051</v>
      </c>
      <c r="K640" s="618" t="s">
        <v>2168</v>
      </c>
      <c r="L640" s="618" t="s">
        <v>1963</v>
      </c>
      <c r="M640" s="619"/>
      <c r="N640" s="620"/>
      <c r="O640" s="620"/>
      <c r="P640" s="663" t="s">
        <v>1157</v>
      </c>
      <c r="Q640" s="621"/>
      <c r="R640" s="598" t="s">
        <v>69</v>
      </c>
      <c r="S640" s="598" t="s">
        <v>562</v>
      </c>
      <c r="T640" s="598"/>
      <c r="U640" s="598" t="s">
        <v>1015</v>
      </c>
      <c r="V640" s="663" t="s">
        <v>633</v>
      </c>
      <c r="W640" s="779" t="s">
        <v>1964</v>
      </c>
      <c r="X640" s="598" t="s">
        <v>950</v>
      </c>
      <c r="Y640" s="624">
        <v>25485</v>
      </c>
      <c r="Z640" s="625">
        <f t="shared" ca="1" si="12"/>
        <v>56</v>
      </c>
      <c r="AA640" s="616" t="s">
        <v>1965</v>
      </c>
      <c r="AB640" s="598" t="s">
        <v>1966</v>
      </c>
      <c r="AC640" s="598" t="s">
        <v>996</v>
      </c>
      <c r="AD640" s="598" t="s">
        <v>1018</v>
      </c>
      <c r="AE640" s="616" t="s">
        <v>729</v>
      </c>
      <c r="AF640" s="640" t="s">
        <v>729</v>
      </c>
      <c r="AG640" s="616" t="s">
        <v>1760</v>
      </c>
      <c r="AH640" s="598"/>
      <c r="AI640" s="598"/>
      <c r="AJ640" s="598" t="s">
        <v>1107</v>
      </c>
      <c r="AK640" s="598"/>
      <c r="AL640" s="626"/>
      <c r="AM640" s="626"/>
    </row>
    <row r="641" spans="3:39" ht="18" customHeight="1">
      <c r="C641" s="598">
        <v>620</v>
      </c>
      <c r="D641" s="598" t="s">
        <v>2508</v>
      </c>
      <c r="E641" s="598">
        <f t="shared" si="11"/>
        <v>588</v>
      </c>
      <c r="F641" s="616" t="s">
        <v>4978</v>
      </c>
      <c r="G641" s="616" t="s">
        <v>4904</v>
      </c>
      <c r="H641" s="618" t="s">
        <v>1195</v>
      </c>
      <c r="I641" s="618" t="s">
        <v>80</v>
      </c>
      <c r="J641" s="618" t="s">
        <v>1051</v>
      </c>
      <c r="K641" s="618" t="s">
        <v>2168</v>
      </c>
      <c r="L641" s="618" t="s">
        <v>1963</v>
      </c>
      <c r="M641" s="619"/>
      <c r="N641" s="620"/>
      <c r="O641" s="620"/>
      <c r="P641" s="663" t="s">
        <v>1157</v>
      </c>
      <c r="Q641" s="621"/>
      <c r="R641" s="598"/>
      <c r="S641" s="598"/>
      <c r="T641" s="598"/>
      <c r="U641" s="598" t="s">
        <v>1015</v>
      </c>
      <c r="V641" s="663" t="s">
        <v>614</v>
      </c>
      <c r="W641" s="779" t="s">
        <v>2509</v>
      </c>
      <c r="X641" s="598" t="s">
        <v>950</v>
      </c>
      <c r="Y641" s="624">
        <v>21286</v>
      </c>
      <c r="Z641" s="625">
        <f t="shared" ca="1" si="12"/>
        <v>67</v>
      </c>
      <c r="AA641" s="616" t="s">
        <v>2510</v>
      </c>
      <c r="AB641" s="598" t="s">
        <v>2511</v>
      </c>
      <c r="AC641" s="598" t="s">
        <v>996</v>
      </c>
      <c r="AD641" s="598" t="s">
        <v>997</v>
      </c>
      <c r="AE641" s="616" t="s">
        <v>729</v>
      </c>
      <c r="AF641" s="640" t="s">
        <v>729</v>
      </c>
      <c r="AG641" s="616" t="s">
        <v>2512</v>
      </c>
      <c r="AH641" s="598"/>
      <c r="AI641" s="598"/>
      <c r="AJ641" s="598" t="s">
        <v>1107</v>
      </c>
      <c r="AK641" s="598"/>
      <c r="AL641" s="626"/>
      <c r="AM641" s="626"/>
    </row>
    <row r="642" spans="3:39" ht="18" customHeight="1">
      <c r="C642" s="598">
        <v>621</v>
      </c>
      <c r="D642" s="598" t="s">
        <v>2531</v>
      </c>
      <c r="E642" s="598">
        <f t="shared" si="11"/>
        <v>589</v>
      </c>
      <c r="F642" s="616" t="s">
        <v>4978</v>
      </c>
      <c r="G642" s="616" t="s">
        <v>4904</v>
      </c>
      <c r="H642" s="618" t="s">
        <v>1195</v>
      </c>
      <c r="I642" s="618" t="s">
        <v>80</v>
      </c>
      <c r="J642" s="618" t="s">
        <v>1051</v>
      </c>
      <c r="K642" s="618" t="s">
        <v>2168</v>
      </c>
      <c r="L642" s="618" t="s">
        <v>1963</v>
      </c>
      <c r="M642" s="619"/>
      <c r="N642" s="620"/>
      <c r="O642" s="620"/>
      <c r="P642" s="663" t="s">
        <v>1157</v>
      </c>
      <c r="Q642" s="621"/>
      <c r="R642" s="598"/>
      <c r="S642" s="598"/>
      <c r="T642" s="598"/>
      <c r="U642" s="598" t="s">
        <v>1015</v>
      </c>
      <c r="V642" s="664" t="s">
        <v>651</v>
      </c>
      <c r="W642" s="779" t="s">
        <v>2532</v>
      </c>
      <c r="X642" s="598" t="s">
        <v>950</v>
      </c>
      <c r="Y642" s="624">
        <v>26525</v>
      </c>
      <c r="Z642" s="625">
        <f t="shared" ca="1" si="12"/>
        <v>53</v>
      </c>
      <c r="AA642" s="616" t="s">
        <v>2533</v>
      </c>
      <c r="AB642" s="598" t="s">
        <v>2534</v>
      </c>
      <c r="AC642" s="598" t="s">
        <v>996</v>
      </c>
      <c r="AD642" s="598" t="s">
        <v>1018</v>
      </c>
      <c r="AE642" s="616" t="s">
        <v>729</v>
      </c>
      <c r="AF642" s="640" t="s">
        <v>729</v>
      </c>
      <c r="AG642" s="616" t="s">
        <v>2535</v>
      </c>
      <c r="AH642" s="598"/>
      <c r="AI642" s="598"/>
      <c r="AJ642" s="598" t="s">
        <v>1107</v>
      </c>
      <c r="AK642" s="598"/>
      <c r="AL642" s="626"/>
      <c r="AM642" s="626"/>
    </row>
    <row r="643" spans="3:39" ht="18" customHeight="1">
      <c r="C643" s="598">
        <v>622</v>
      </c>
      <c r="D643" s="598" t="s">
        <v>2498</v>
      </c>
      <c r="E643" s="598">
        <f t="shared" si="11"/>
        <v>590</v>
      </c>
      <c r="F643" s="616" t="s">
        <v>4978</v>
      </c>
      <c r="G643" s="616" t="s">
        <v>4904</v>
      </c>
      <c r="H643" s="618" t="s">
        <v>1195</v>
      </c>
      <c r="I643" s="618" t="s">
        <v>80</v>
      </c>
      <c r="J643" s="618" t="s">
        <v>1051</v>
      </c>
      <c r="K643" s="618" t="s">
        <v>2168</v>
      </c>
      <c r="L643" s="618" t="s">
        <v>1963</v>
      </c>
      <c r="M643" s="619"/>
      <c r="N643" s="620"/>
      <c r="O643" s="620"/>
      <c r="P643" s="663" t="s">
        <v>1157</v>
      </c>
      <c r="Q643" s="621" t="s">
        <v>319</v>
      </c>
      <c r="R643" s="598"/>
      <c r="S643" s="598"/>
      <c r="T643" s="598"/>
      <c r="U643" s="598" t="s">
        <v>1015</v>
      </c>
      <c r="V643" s="664" t="s">
        <v>670</v>
      </c>
      <c r="W643" s="779" t="s">
        <v>2499</v>
      </c>
      <c r="X643" s="598" t="s">
        <v>950</v>
      </c>
      <c r="Y643" s="624">
        <v>21228</v>
      </c>
      <c r="Z643" s="625">
        <f t="shared" ca="1" si="12"/>
        <v>67</v>
      </c>
      <c r="AA643" s="616" t="s">
        <v>2500</v>
      </c>
      <c r="AB643" s="598" t="s">
        <v>2501</v>
      </c>
      <c r="AC643" s="598" t="s">
        <v>996</v>
      </c>
      <c r="AD643" s="598" t="s">
        <v>1018</v>
      </c>
      <c r="AE643" s="616" t="s">
        <v>729</v>
      </c>
      <c r="AF643" s="640" t="s">
        <v>729</v>
      </c>
      <c r="AG643" s="616" t="s">
        <v>2502</v>
      </c>
      <c r="AH643" s="598"/>
      <c r="AI643" s="598"/>
      <c r="AJ643" s="748" t="s">
        <v>1566</v>
      </c>
      <c r="AK643" s="598"/>
      <c r="AL643" s="626"/>
      <c r="AM643" s="626"/>
    </row>
    <row r="644" spans="3:39" ht="18" customHeight="1">
      <c r="C644" s="598">
        <v>623</v>
      </c>
      <c r="D644" s="598" t="s">
        <v>2191</v>
      </c>
      <c r="E644" s="598">
        <f t="shared" si="11"/>
        <v>591</v>
      </c>
      <c r="F644" s="616" t="s">
        <v>4978</v>
      </c>
      <c r="G644" s="616" t="s">
        <v>4904</v>
      </c>
      <c r="H644" s="618" t="s">
        <v>1195</v>
      </c>
      <c r="I644" s="618" t="s">
        <v>80</v>
      </c>
      <c r="J644" s="618" t="s">
        <v>1051</v>
      </c>
      <c r="K644" s="618" t="s">
        <v>2168</v>
      </c>
      <c r="L644" s="618" t="s">
        <v>1963</v>
      </c>
      <c r="M644" s="619"/>
      <c r="N644" s="620"/>
      <c r="O644" s="620"/>
      <c r="P644" s="663" t="s">
        <v>1157</v>
      </c>
      <c r="Q644" s="621" t="s">
        <v>319</v>
      </c>
      <c r="R644" s="598"/>
      <c r="S644" s="598"/>
      <c r="T644" s="598"/>
      <c r="U644" s="598" t="s">
        <v>1015</v>
      </c>
      <c r="V644" s="664" t="s">
        <v>687</v>
      </c>
      <c r="W644" s="779" t="s">
        <v>2192</v>
      </c>
      <c r="X644" s="598" t="s">
        <v>950</v>
      </c>
      <c r="Y644" s="624">
        <v>23272</v>
      </c>
      <c r="Z644" s="625">
        <f t="shared" ca="1" si="12"/>
        <v>62</v>
      </c>
      <c r="AA644" s="616" t="s">
        <v>2193</v>
      </c>
      <c r="AB644" s="598" t="s">
        <v>2194</v>
      </c>
      <c r="AC644" s="598" t="s">
        <v>996</v>
      </c>
      <c r="AD644" s="598" t="s">
        <v>1018</v>
      </c>
      <c r="AE644" s="616" t="s">
        <v>729</v>
      </c>
      <c r="AF644" s="640" t="s">
        <v>729</v>
      </c>
      <c r="AG644" s="616" t="s">
        <v>2172</v>
      </c>
      <c r="AH644" s="598"/>
      <c r="AI644" s="598"/>
      <c r="AJ644" s="748" t="s">
        <v>1566</v>
      </c>
      <c r="AK644" s="598"/>
      <c r="AL644" s="626"/>
      <c r="AM644" s="626"/>
    </row>
    <row r="645" spans="3:39" ht="18" customHeight="1">
      <c r="C645" s="598">
        <v>624</v>
      </c>
      <c r="D645" s="598" t="s">
        <v>2555</v>
      </c>
      <c r="E645" s="598">
        <f t="shared" si="11"/>
        <v>592</v>
      </c>
      <c r="F645" s="616" t="s">
        <v>4978</v>
      </c>
      <c r="G645" s="616" t="s">
        <v>4904</v>
      </c>
      <c r="H645" s="618" t="s">
        <v>1195</v>
      </c>
      <c r="I645" s="618" t="s">
        <v>80</v>
      </c>
      <c r="J645" s="618" t="s">
        <v>1051</v>
      </c>
      <c r="K645" s="618" t="s">
        <v>2168</v>
      </c>
      <c r="L645" s="618" t="s">
        <v>1963</v>
      </c>
      <c r="M645" s="619"/>
      <c r="N645" s="620"/>
      <c r="O645" s="620"/>
      <c r="P645" s="663" t="s">
        <v>1157</v>
      </c>
      <c r="Q645" s="621" t="s">
        <v>319</v>
      </c>
      <c r="R645" s="598"/>
      <c r="S645" s="598"/>
      <c r="T645" s="598"/>
      <c r="U645" s="598" t="s">
        <v>1015</v>
      </c>
      <c r="V645" s="673" t="s">
        <v>702</v>
      </c>
      <c r="W645" s="779" t="s">
        <v>2556</v>
      </c>
      <c r="X645" s="598" t="s">
        <v>950</v>
      </c>
      <c r="Y645" s="624">
        <v>23843</v>
      </c>
      <c r="Z645" s="625">
        <f t="shared" ca="1" si="12"/>
        <v>60</v>
      </c>
      <c r="AA645" s="616" t="s">
        <v>2557</v>
      </c>
      <c r="AB645" s="598" t="s">
        <v>2558</v>
      </c>
      <c r="AC645" s="598" t="s">
        <v>996</v>
      </c>
      <c r="AD645" s="598" t="s">
        <v>1018</v>
      </c>
      <c r="AE645" s="616" t="s">
        <v>729</v>
      </c>
      <c r="AF645" s="616" t="s">
        <v>729</v>
      </c>
      <c r="AG645" s="616" t="s">
        <v>2559</v>
      </c>
      <c r="AH645" s="598"/>
      <c r="AI645" s="598"/>
      <c r="AJ645" s="748" t="s">
        <v>1566</v>
      </c>
      <c r="AK645" s="598"/>
      <c r="AL645" s="626"/>
      <c r="AM645" s="626"/>
    </row>
    <row r="646" spans="3:39" ht="18" customHeight="1">
      <c r="C646" s="598">
        <v>625</v>
      </c>
      <c r="D646" s="598" t="s">
        <v>1241</v>
      </c>
      <c r="E646" s="598">
        <f t="shared" si="11"/>
        <v>592</v>
      </c>
      <c r="F646" s="616"/>
      <c r="G646" s="616" t="s">
        <v>4921</v>
      </c>
      <c r="H646" s="618" t="s">
        <v>1195</v>
      </c>
      <c r="I646" s="618" t="s">
        <v>254</v>
      </c>
      <c r="J646" s="618" t="s">
        <v>1241</v>
      </c>
      <c r="K646" s="618" t="s">
        <v>1241</v>
      </c>
      <c r="L646" s="618" t="s">
        <v>2214</v>
      </c>
      <c r="M646" s="743" t="s">
        <v>2028</v>
      </c>
      <c r="N646" s="620"/>
      <c r="O646" s="620"/>
      <c r="P646" s="667" t="s">
        <v>1480</v>
      </c>
      <c r="Q646" s="621"/>
      <c r="R646" s="598" t="s">
        <v>173</v>
      </c>
      <c r="S646" s="598" t="s">
        <v>514</v>
      </c>
      <c r="T646" s="598"/>
      <c r="U646" s="623"/>
      <c r="V646" s="667" t="s">
        <v>254</v>
      </c>
      <c r="W646" s="781" t="s">
        <v>4922</v>
      </c>
      <c r="X646" s="598" t="s">
        <v>950</v>
      </c>
      <c r="Y646" s="624">
        <v>20283</v>
      </c>
      <c r="Z646" s="625">
        <f t="shared" ca="1" si="12"/>
        <v>70</v>
      </c>
      <c r="AA646" s="616" t="s">
        <v>1243</v>
      </c>
      <c r="AB646" s="598"/>
      <c r="AC646" s="598" t="s">
        <v>966</v>
      </c>
      <c r="AD646" s="598" t="s">
        <v>953</v>
      </c>
      <c r="AE646" s="616" t="s">
        <v>729</v>
      </c>
      <c r="AF646" s="616" t="s">
        <v>1239</v>
      </c>
      <c r="AG646" s="616" t="s">
        <v>1240</v>
      </c>
      <c r="AH646" s="598" t="s">
        <v>955</v>
      </c>
      <c r="AI646" s="598"/>
      <c r="AJ646" s="598"/>
      <c r="AK646" s="598"/>
      <c r="AL646" s="626"/>
      <c r="AM646" s="626"/>
    </row>
    <row r="647" spans="3:39" ht="18" customHeight="1">
      <c r="C647" s="598">
        <v>626</v>
      </c>
      <c r="D647" s="598" t="s">
        <v>2214</v>
      </c>
      <c r="E647" s="598">
        <f t="shared" si="11"/>
        <v>593</v>
      </c>
      <c r="F647" s="616" t="s">
        <v>4978</v>
      </c>
      <c r="G647" s="616" t="s">
        <v>4921</v>
      </c>
      <c r="H647" s="618" t="s">
        <v>1195</v>
      </c>
      <c r="I647" s="618" t="s">
        <v>254</v>
      </c>
      <c r="J647" s="618" t="s">
        <v>1241</v>
      </c>
      <c r="K647" s="618" t="s">
        <v>1241</v>
      </c>
      <c r="L647" s="618" t="s">
        <v>2214</v>
      </c>
      <c r="M647" s="743" t="s">
        <v>2028</v>
      </c>
      <c r="N647" s="620"/>
      <c r="O647" s="620"/>
      <c r="P647" s="663" t="s">
        <v>1480</v>
      </c>
      <c r="Q647" s="621" t="s">
        <v>319</v>
      </c>
      <c r="R647" s="598" t="s">
        <v>69</v>
      </c>
      <c r="S647" s="598" t="s">
        <v>562</v>
      </c>
      <c r="T647" s="598"/>
      <c r="U647" s="623" t="s">
        <v>1015</v>
      </c>
      <c r="V647" s="663" t="s">
        <v>615</v>
      </c>
      <c r="W647" s="781" t="s">
        <v>2216</v>
      </c>
      <c r="X647" s="598" t="s">
        <v>950</v>
      </c>
      <c r="Y647" s="624">
        <v>26069</v>
      </c>
      <c r="Z647" s="625">
        <f t="shared" ca="1" si="12"/>
        <v>54</v>
      </c>
      <c r="AA647" s="616" t="s">
        <v>2217</v>
      </c>
      <c r="AB647" s="598" t="s">
        <v>2218</v>
      </c>
      <c r="AC647" s="598" t="s">
        <v>996</v>
      </c>
      <c r="AD647" s="598" t="s">
        <v>997</v>
      </c>
      <c r="AE647" s="616" t="s">
        <v>729</v>
      </c>
      <c r="AF647" s="640" t="s">
        <v>729</v>
      </c>
      <c r="AG647" s="640" t="s">
        <v>1252</v>
      </c>
      <c r="AH647" s="598"/>
      <c r="AI647" s="598"/>
      <c r="AJ647" s="598" t="s">
        <v>1318</v>
      </c>
      <c r="AK647" s="598"/>
      <c r="AL647" s="626"/>
      <c r="AM647" s="626"/>
    </row>
    <row r="648" spans="3:39" ht="18" customHeight="1">
      <c r="C648" s="598">
        <v>627</v>
      </c>
      <c r="D648" s="598" t="s">
        <v>1319</v>
      </c>
      <c r="E648" s="598">
        <f t="shared" si="11"/>
        <v>594</v>
      </c>
      <c r="F648" s="616" t="s">
        <v>4978</v>
      </c>
      <c r="G648" s="616" t="s">
        <v>4921</v>
      </c>
      <c r="H648" s="618" t="s">
        <v>1195</v>
      </c>
      <c r="I648" s="618" t="s">
        <v>254</v>
      </c>
      <c r="J648" s="618" t="s">
        <v>1241</v>
      </c>
      <c r="K648" s="618" t="s">
        <v>1241</v>
      </c>
      <c r="L648" s="618" t="s">
        <v>2214</v>
      </c>
      <c r="M648" s="743" t="s">
        <v>2028</v>
      </c>
      <c r="N648" s="620"/>
      <c r="O648" s="620"/>
      <c r="P648" s="663" t="s">
        <v>1480</v>
      </c>
      <c r="Q648" s="621" t="s">
        <v>319</v>
      </c>
      <c r="R648" s="598"/>
      <c r="S648" s="598"/>
      <c r="T648" s="598"/>
      <c r="U648" s="623" t="s">
        <v>1015</v>
      </c>
      <c r="V648" s="663" t="s">
        <v>634</v>
      </c>
      <c r="W648" s="781" t="s">
        <v>1320</v>
      </c>
      <c r="X648" s="598" t="s">
        <v>950</v>
      </c>
      <c r="Y648" s="624">
        <v>21767</v>
      </c>
      <c r="Z648" s="625">
        <f t="shared" ca="1" si="12"/>
        <v>66</v>
      </c>
      <c r="AA648" s="616" t="s">
        <v>1321</v>
      </c>
      <c r="AB648" s="598" t="s">
        <v>1322</v>
      </c>
      <c r="AC648" s="598" t="s">
        <v>996</v>
      </c>
      <c r="AD648" s="598" t="s">
        <v>997</v>
      </c>
      <c r="AE648" s="616" t="s">
        <v>729</v>
      </c>
      <c r="AF648" s="640" t="s">
        <v>729</v>
      </c>
      <c r="AG648" s="616" t="s">
        <v>1323</v>
      </c>
      <c r="AH648" s="598"/>
      <c r="AI648" s="598"/>
      <c r="AJ648" s="598" t="s">
        <v>1318</v>
      </c>
      <c r="AK648" s="598"/>
      <c r="AL648" s="626"/>
      <c r="AM648" s="626"/>
    </row>
    <row r="649" spans="3:39" ht="18" customHeight="1">
      <c r="C649" s="598">
        <v>628</v>
      </c>
      <c r="D649" s="598" t="s">
        <v>2037</v>
      </c>
      <c r="E649" s="598">
        <f t="shared" si="11"/>
        <v>595</v>
      </c>
      <c r="F649" s="616" t="s">
        <v>4978</v>
      </c>
      <c r="G649" s="616" t="s">
        <v>4921</v>
      </c>
      <c r="H649" s="618" t="s">
        <v>1195</v>
      </c>
      <c r="I649" s="618" t="s">
        <v>254</v>
      </c>
      <c r="J649" s="618" t="s">
        <v>1241</v>
      </c>
      <c r="K649" s="618" t="s">
        <v>1241</v>
      </c>
      <c r="L649" s="618" t="s">
        <v>2214</v>
      </c>
      <c r="M649" s="743" t="s">
        <v>2028</v>
      </c>
      <c r="N649" s="620"/>
      <c r="O649" s="620"/>
      <c r="P649" s="663" t="s">
        <v>1480</v>
      </c>
      <c r="Q649" s="621" t="s">
        <v>319</v>
      </c>
      <c r="R649" s="598"/>
      <c r="S649" s="598"/>
      <c r="T649" s="598"/>
      <c r="U649" s="623" t="s">
        <v>1015</v>
      </c>
      <c r="V649" s="663" t="s">
        <v>652</v>
      </c>
      <c r="W649" s="781" t="s">
        <v>2038</v>
      </c>
      <c r="X649" s="598" t="s">
        <v>950</v>
      </c>
      <c r="Y649" s="624">
        <v>21805</v>
      </c>
      <c r="Z649" s="625">
        <f t="shared" ca="1" si="12"/>
        <v>66</v>
      </c>
      <c r="AA649" s="616" t="s">
        <v>2039</v>
      </c>
      <c r="AB649" s="598" t="s">
        <v>2040</v>
      </c>
      <c r="AC649" s="598" t="s">
        <v>996</v>
      </c>
      <c r="AD649" s="598" t="s">
        <v>1018</v>
      </c>
      <c r="AE649" s="616" t="s">
        <v>729</v>
      </c>
      <c r="AF649" s="640" t="s">
        <v>729</v>
      </c>
      <c r="AG649" s="640" t="s">
        <v>1252</v>
      </c>
      <c r="AH649" s="598"/>
      <c r="AI649" s="598"/>
      <c r="AJ649" s="598" t="s">
        <v>1318</v>
      </c>
      <c r="AK649" s="598"/>
      <c r="AL649" s="626"/>
      <c r="AM649" s="626"/>
    </row>
    <row r="650" spans="3:39" ht="18" customHeight="1">
      <c r="C650" s="598">
        <v>629</v>
      </c>
      <c r="D650" s="598" t="s">
        <v>2046</v>
      </c>
      <c r="E650" s="598">
        <f t="shared" si="11"/>
        <v>596</v>
      </c>
      <c r="F650" s="616" t="s">
        <v>4978</v>
      </c>
      <c r="G650" s="616" t="s">
        <v>4921</v>
      </c>
      <c r="H650" s="618" t="s">
        <v>1195</v>
      </c>
      <c r="I650" s="618" t="s">
        <v>254</v>
      </c>
      <c r="J650" s="618" t="s">
        <v>1241</v>
      </c>
      <c r="K650" s="618" t="s">
        <v>1241</v>
      </c>
      <c r="L650" s="618" t="s">
        <v>2214</v>
      </c>
      <c r="M650" s="743" t="s">
        <v>2028</v>
      </c>
      <c r="N650" s="620"/>
      <c r="O650" s="620"/>
      <c r="P650" s="663" t="s">
        <v>1480</v>
      </c>
      <c r="Q650" s="621" t="s">
        <v>319</v>
      </c>
      <c r="R650" s="598"/>
      <c r="S650" s="598"/>
      <c r="T650" s="598"/>
      <c r="U650" s="623" t="s">
        <v>1015</v>
      </c>
      <c r="V650" s="663" t="s">
        <v>671</v>
      </c>
      <c r="W650" s="781" t="s">
        <v>2047</v>
      </c>
      <c r="X650" s="598" t="s">
        <v>950</v>
      </c>
      <c r="Y650" s="624">
        <v>22122</v>
      </c>
      <c r="Z650" s="625">
        <f t="shared" ca="1" si="12"/>
        <v>65</v>
      </c>
      <c r="AA650" s="616" t="s">
        <v>2048</v>
      </c>
      <c r="AB650" s="598" t="s">
        <v>2049</v>
      </c>
      <c r="AC650" s="598" t="s">
        <v>996</v>
      </c>
      <c r="AD650" s="598" t="s">
        <v>997</v>
      </c>
      <c r="AE650" s="616" t="s">
        <v>729</v>
      </c>
      <c r="AF650" s="640" t="s">
        <v>729</v>
      </c>
      <c r="AG650" s="616" t="s">
        <v>1764</v>
      </c>
      <c r="AH650" s="598"/>
      <c r="AI650" s="598"/>
      <c r="AJ650" s="598" t="s">
        <v>1318</v>
      </c>
      <c r="AK650" s="598"/>
      <c r="AL650" s="626"/>
      <c r="AM650" s="626"/>
    </row>
    <row r="651" spans="3:39" ht="18" customHeight="1">
      <c r="C651" s="598">
        <v>630</v>
      </c>
      <c r="D651" s="796" t="s">
        <v>1325</v>
      </c>
      <c r="E651" s="598">
        <f t="shared" si="11"/>
        <v>597</v>
      </c>
      <c r="F651" s="797" t="s">
        <v>4978</v>
      </c>
      <c r="G651" s="797" t="s">
        <v>4921</v>
      </c>
      <c r="H651" s="798" t="s">
        <v>1195</v>
      </c>
      <c r="I651" s="798" t="s">
        <v>254</v>
      </c>
      <c r="J651" s="798" t="s">
        <v>1241</v>
      </c>
      <c r="K651" s="798" t="s">
        <v>1241</v>
      </c>
      <c r="L651" s="798" t="s">
        <v>2214</v>
      </c>
      <c r="M651" s="799" t="s">
        <v>2028</v>
      </c>
      <c r="N651" s="800"/>
      <c r="O651" s="800"/>
      <c r="P651" s="801" t="s">
        <v>1480</v>
      </c>
      <c r="Q651" s="802"/>
      <c r="R651" s="796"/>
      <c r="S651" s="796"/>
      <c r="T651" s="796"/>
      <c r="U651" s="803" t="s">
        <v>1015</v>
      </c>
      <c r="V651" s="663" t="s">
        <v>688</v>
      </c>
      <c r="W651" s="804" t="s">
        <v>1326</v>
      </c>
      <c r="X651" s="796" t="s">
        <v>950</v>
      </c>
      <c r="Y651" s="805">
        <v>23390</v>
      </c>
      <c r="Z651" s="806">
        <f t="shared" ca="1" si="12"/>
        <v>62</v>
      </c>
      <c r="AA651" s="797" t="s">
        <v>1327</v>
      </c>
      <c r="AB651" s="796" t="s">
        <v>1328</v>
      </c>
      <c r="AC651" s="796" t="s">
        <v>996</v>
      </c>
      <c r="AD651" s="796" t="s">
        <v>1018</v>
      </c>
      <c r="AE651" s="797" t="s">
        <v>729</v>
      </c>
      <c r="AF651" s="796" t="s">
        <v>729</v>
      </c>
      <c r="AG651" s="797" t="s">
        <v>1329</v>
      </c>
      <c r="AH651" s="796"/>
      <c r="AI651" s="796"/>
      <c r="AJ651" s="796" t="s">
        <v>1318</v>
      </c>
      <c r="AK651" s="796"/>
      <c r="AL651" s="807"/>
      <c r="AM651" s="807"/>
    </row>
    <row r="652" spans="3:39" ht="18" customHeight="1">
      <c r="C652" s="598">
        <v>631</v>
      </c>
      <c r="D652" s="598" t="s">
        <v>2028</v>
      </c>
      <c r="E652" s="598">
        <f t="shared" si="11"/>
        <v>598</v>
      </c>
      <c r="F652" s="616" t="s">
        <v>4978</v>
      </c>
      <c r="G652" s="616" t="s">
        <v>4921</v>
      </c>
      <c r="H652" s="618" t="s">
        <v>1195</v>
      </c>
      <c r="I652" s="618" t="s">
        <v>254</v>
      </c>
      <c r="J652" s="618" t="s">
        <v>1241</v>
      </c>
      <c r="K652" s="618" t="s">
        <v>1241</v>
      </c>
      <c r="L652" s="618" t="s">
        <v>2214</v>
      </c>
      <c r="M652" s="743" t="s">
        <v>2028</v>
      </c>
      <c r="N652" s="620"/>
      <c r="O652" s="620"/>
      <c r="P652" s="663" t="s">
        <v>1480</v>
      </c>
      <c r="Q652" s="621" t="s">
        <v>319</v>
      </c>
      <c r="R652" s="598" t="s">
        <v>69</v>
      </c>
      <c r="S652" s="598" t="s">
        <v>562</v>
      </c>
      <c r="T652" s="598"/>
      <c r="U652" s="623" t="s">
        <v>1015</v>
      </c>
      <c r="V652" s="663" t="s">
        <v>703</v>
      </c>
      <c r="W652" s="781" t="s">
        <v>2030</v>
      </c>
      <c r="X652" s="598" t="s">
        <v>950</v>
      </c>
      <c r="Y652" s="624">
        <v>26671</v>
      </c>
      <c r="Z652" s="625">
        <f t="shared" ca="1" si="12"/>
        <v>53</v>
      </c>
      <c r="AA652" s="616" t="s">
        <v>2031</v>
      </c>
      <c r="AB652" s="598" t="s">
        <v>2032</v>
      </c>
      <c r="AC652" s="598" t="s">
        <v>996</v>
      </c>
      <c r="AD652" s="598" t="s">
        <v>997</v>
      </c>
      <c r="AE652" s="616" t="s">
        <v>729</v>
      </c>
      <c r="AF652" s="640" t="s">
        <v>729</v>
      </c>
      <c r="AG652" s="640" t="s">
        <v>1252</v>
      </c>
      <c r="AH652" s="598"/>
      <c r="AI652" s="598"/>
      <c r="AJ652" s="598" t="s">
        <v>1318</v>
      </c>
      <c r="AK652" s="598"/>
      <c r="AL652" s="626"/>
      <c r="AM652" s="626"/>
    </row>
    <row r="653" spans="3:39" ht="18" customHeight="1">
      <c r="C653" s="598">
        <v>632</v>
      </c>
      <c r="D653" s="598" t="s">
        <v>2241</v>
      </c>
      <c r="E653" s="598">
        <f t="shared" si="11"/>
        <v>599</v>
      </c>
      <c r="F653" s="616" t="s">
        <v>1351</v>
      </c>
      <c r="G653" s="616" t="s">
        <v>4921</v>
      </c>
      <c r="H653" s="618" t="s">
        <v>1195</v>
      </c>
      <c r="I653" s="618" t="s">
        <v>254</v>
      </c>
      <c r="J653" s="618" t="s">
        <v>1241</v>
      </c>
      <c r="K653" s="618" t="s">
        <v>1241</v>
      </c>
      <c r="L653" s="618" t="s">
        <v>2214</v>
      </c>
      <c r="M653" s="743" t="s">
        <v>2028</v>
      </c>
      <c r="N653" s="620"/>
      <c r="O653" s="620"/>
      <c r="P653" s="663" t="s">
        <v>1480</v>
      </c>
      <c r="Q653" s="621"/>
      <c r="R653" s="598"/>
      <c r="S653" s="598"/>
      <c r="T653" s="598"/>
      <c r="U653" s="623" t="s">
        <v>1015</v>
      </c>
      <c r="V653" s="663" t="s">
        <v>2242</v>
      </c>
      <c r="W653" s="781" t="s">
        <v>2243</v>
      </c>
      <c r="X653" s="598" t="s">
        <v>950</v>
      </c>
      <c r="Y653" s="624">
        <v>23348</v>
      </c>
      <c r="Z653" s="625">
        <f t="shared" ca="1" si="12"/>
        <v>62</v>
      </c>
      <c r="AA653" s="616" t="s">
        <v>2244</v>
      </c>
      <c r="AB653" s="598" t="s">
        <v>2245</v>
      </c>
      <c r="AC653" s="598" t="s">
        <v>996</v>
      </c>
      <c r="AD653" s="598" t="s">
        <v>1018</v>
      </c>
      <c r="AE653" s="616" t="s">
        <v>729</v>
      </c>
      <c r="AF653" s="616" t="s">
        <v>729</v>
      </c>
      <c r="AG653" s="640" t="s">
        <v>1252</v>
      </c>
      <c r="AH653" s="598"/>
      <c r="AI653" s="598"/>
      <c r="AJ653" s="700" t="s">
        <v>1446</v>
      </c>
      <c r="AK653" s="598"/>
      <c r="AL653" s="626"/>
      <c r="AM653" s="626"/>
    </row>
    <row r="654" spans="3:39" ht="18" customHeight="1">
      <c r="C654" s="598">
        <v>633</v>
      </c>
      <c r="D654" s="598" t="s">
        <v>2379</v>
      </c>
      <c r="E654" s="598">
        <f t="shared" si="11"/>
        <v>600</v>
      </c>
      <c r="F654" s="616" t="s">
        <v>4978</v>
      </c>
      <c r="G654" s="616" t="s">
        <v>4921</v>
      </c>
      <c r="H654" s="618" t="s">
        <v>1195</v>
      </c>
      <c r="I654" s="618" t="s">
        <v>254</v>
      </c>
      <c r="J654" s="618" t="s">
        <v>1241</v>
      </c>
      <c r="K654" s="618" t="s">
        <v>1241</v>
      </c>
      <c r="L654" s="618" t="s">
        <v>2214</v>
      </c>
      <c r="M654" s="743" t="s">
        <v>2028</v>
      </c>
      <c r="N654" s="620"/>
      <c r="O654" s="620"/>
      <c r="P654" s="663" t="s">
        <v>1480</v>
      </c>
      <c r="Q654" s="621" t="s">
        <v>319</v>
      </c>
      <c r="R654" s="598"/>
      <c r="S654" s="598"/>
      <c r="T654" s="598"/>
      <c r="U654" s="623" t="s">
        <v>1015</v>
      </c>
      <c r="V654" s="668" t="s">
        <v>2380</v>
      </c>
      <c r="W654" s="781" t="s">
        <v>2381</v>
      </c>
      <c r="X654" s="598" t="s">
        <v>950</v>
      </c>
      <c r="Y654" s="624">
        <v>25538</v>
      </c>
      <c r="Z654" s="625">
        <f t="shared" ca="1" si="12"/>
        <v>56</v>
      </c>
      <c r="AA654" s="616" t="s">
        <v>2382</v>
      </c>
      <c r="AB654" s="598"/>
      <c r="AC654" s="598" t="s">
        <v>996</v>
      </c>
      <c r="AD654" s="598" t="s">
        <v>1018</v>
      </c>
      <c r="AE654" s="616" t="s">
        <v>729</v>
      </c>
      <c r="AF654" s="616" t="s">
        <v>729</v>
      </c>
      <c r="AG654" s="616" t="s">
        <v>1899</v>
      </c>
      <c r="AH654" s="598" t="s">
        <v>1775</v>
      </c>
      <c r="AI654" s="598" t="s">
        <v>2383</v>
      </c>
      <c r="AJ654" s="598" t="s">
        <v>1114</v>
      </c>
      <c r="AK654" s="598"/>
      <c r="AL654" s="626"/>
      <c r="AM654" s="626"/>
    </row>
    <row r="655" spans="3:39" ht="18" customHeight="1">
      <c r="C655" s="598">
        <v>634</v>
      </c>
      <c r="D655" s="598" t="s">
        <v>1562</v>
      </c>
      <c r="E655" s="598">
        <f t="shared" si="11"/>
        <v>601</v>
      </c>
      <c r="F655" s="616" t="s">
        <v>4978</v>
      </c>
      <c r="G655" s="616" t="s">
        <v>4921</v>
      </c>
      <c r="H655" s="618" t="s">
        <v>1195</v>
      </c>
      <c r="I655" s="618" t="s">
        <v>254</v>
      </c>
      <c r="J655" s="618" t="s">
        <v>1241</v>
      </c>
      <c r="K655" s="618" t="s">
        <v>1241</v>
      </c>
      <c r="L655" s="618" t="s">
        <v>2214</v>
      </c>
      <c r="M655" s="743" t="s">
        <v>2028</v>
      </c>
      <c r="N655" s="620"/>
      <c r="O655" s="620"/>
      <c r="P655" s="663" t="s">
        <v>1480</v>
      </c>
      <c r="Q655" s="621" t="s">
        <v>319</v>
      </c>
      <c r="R655" s="598"/>
      <c r="S655" s="598"/>
      <c r="T655" s="598"/>
      <c r="U655" s="623" t="s">
        <v>1090</v>
      </c>
      <c r="V655" s="763" t="s">
        <v>717</v>
      </c>
      <c r="W655" s="781" t="s">
        <v>1563</v>
      </c>
      <c r="X655" s="598" t="s">
        <v>950</v>
      </c>
      <c r="Y655" s="624">
        <v>18961</v>
      </c>
      <c r="Z655" s="625">
        <f t="shared" ca="1" si="12"/>
        <v>74</v>
      </c>
      <c r="AA655" s="616" t="s">
        <v>1564</v>
      </c>
      <c r="AB655" s="598" t="s">
        <v>1565</v>
      </c>
      <c r="AC655" s="598" t="s">
        <v>996</v>
      </c>
      <c r="AD655" s="598" t="s">
        <v>1018</v>
      </c>
      <c r="AE655" s="616" t="s">
        <v>729</v>
      </c>
      <c r="AF655" s="616" t="s">
        <v>729</v>
      </c>
      <c r="AG655" s="616" t="s">
        <v>1533</v>
      </c>
      <c r="AH655" s="598"/>
      <c r="AI655" s="598"/>
      <c r="AJ655" s="748" t="s">
        <v>1566</v>
      </c>
      <c r="AK655" s="598"/>
      <c r="AL655" s="626"/>
      <c r="AM655" s="626"/>
    </row>
    <row r="656" spans="3:39" ht="18" customHeight="1">
      <c r="C656" s="598">
        <v>635</v>
      </c>
      <c r="D656" s="598" t="s">
        <v>2177</v>
      </c>
      <c r="E656" s="598">
        <f t="shared" si="11"/>
        <v>602</v>
      </c>
      <c r="F656" s="616" t="s">
        <v>4978</v>
      </c>
      <c r="G656" s="616" t="s">
        <v>4921</v>
      </c>
      <c r="H656" s="618" t="s">
        <v>1195</v>
      </c>
      <c r="I656" s="618" t="s">
        <v>254</v>
      </c>
      <c r="J656" s="618" t="s">
        <v>1241</v>
      </c>
      <c r="K656" s="618" t="s">
        <v>1241</v>
      </c>
      <c r="L656" s="618" t="s">
        <v>2214</v>
      </c>
      <c r="M656" s="743" t="s">
        <v>2028</v>
      </c>
      <c r="N656" s="620"/>
      <c r="O656" s="620"/>
      <c r="P656" s="663" t="s">
        <v>1480</v>
      </c>
      <c r="Q656" s="621" t="s">
        <v>319</v>
      </c>
      <c r="R656" s="598"/>
      <c r="S656" s="598"/>
      <c r="T656" s="598"/>
      <c r="U656" s="623" t="s">
        <v>1015</v>
      </c>
      <c r="V656" s="574" t="s">
        <v>722</v>
      </c>
      <c r="W656" s="781" t="s">
        <v>2178</v>
      </c>
      <c r="X656" s="598" t="s">
        <v>950</v>
      </c>
      <c r="Y656" s="624">
        <v>21527</v>
      </c>
      <c r="Z656" s="625">
        <f t="shared" ca="1" si="12"/>
        <v>67</v>
      </c>
      <c r="AA656" s="616" t="s">
        <v>2179</v>
      </c>
      <c r="AB656" s="598" t="s">
        <v>2180</v>
      </c>
      <c r="AC656" s="598" t="s">
        <v>996</v>
      </c>
      <c r="AD656" s="598" t="s">
        <v>1018</v>
      </c>
      <c r="AE656" s="616" t="s">
        <v>729</v>
      </c>
      <c r="AF656" s="616" t="s">
        <v>729</v>
      </c>
      <c r="AG656" s="616" t="s">
        <v>2000</v>
      </c>
      <c r="AH656" s="598"/>
      <c r="AI656" s="598"/>
      <c r="AJ656" s="683" t="s">
        <v>1566</v>
      </c>
      <c r="AK656" s="598"/>
      <c r="AL656" s="626"/>
      <c r="AM656" s="626"/>
    </row>
    <row r="657" spans="3:39" ht="18" customHeight="1">
      <c r="C657" s="598">
        <v>636</v>
      </c>
      <c r="D657" s="598" t="s">
        <v>1403</v>
      </c>
      <c r="E657" s="598">
        <f t="shared" si="11"/>
        <v>603</v>
      </c>
      <c r="F657" s="616" t="s">
        <v>4978</v>
      </c>
      <c r="G657" s="616" t="s">
        <v>4921</v>
      </c>
      <c r="H657" s="618" t="s">
        <v>1195</v>
      </c>
      <c r="I657" s="618" t="s">
        <v>254</v>
      </c>
      <c r="J657" s="618" t="s">
        <v>1241</v>
      </c>
      <c r="K657" s="618" t="s">
        <v>1403</v>
      </c>
      <c r="L657" s="792" t="s">
        <v>2041</v>
      </c>
      <c r="M657" s="619"/>
      <c r="N657" s="620"/>
      <c r="O657" s="620"/>
      <c r="P657" s="667" t="s">
        <v>1515</v>
      </c>
      <c r="Q657" s="621"/>
      <c r="R657" s="598" t="s">
        <v>55</v>
      </c>
      <c r="S657" s="598" t="s">
        <v>178</v>
      </c>
      <c r="T657" s="598"/>
      <c r="U657" s="598" t="s">
        <v>1015</v>
      </c>
      <c r="V657" s="667" t="s">
        <v>606</v>
      </c>
      <c r="W657" s="779" t="s">
        <v>1406</v>
      </c>
      <c r="X657" s="598" t="s">
        <v>950</v>
      </c>
      <c r="Y657" s="624">
        <v>28783</v>
      </c>
      <c r="Z657" s="625">
        <f t="shared" ca="1" si="12"/>
        <v>47</v>
      </c>
      <c r="AA657" s="616" t="s">
        <v>1407</v>
      </c>
      <c r="AB657" s="645" t="s">
        <v>1408</v>
      </c>
      <c r="AC657" s="598" t="s">
        <v>996</v>
      </c>
      <c r="AD657" s="598" t="s">
        <v>997</v>
      </c>
      <c r="AE657" s="616" t="s">
        <v>729</v>
      </c>
      <c r="AF657" s="616" t="s">
        <v>1250</v>
      </c>
      <c r="AG657" s="616" t="s">
        <v>1409</v>
      </c>
      <c r="AH657" s="598"/>
      <c r="AI657" s="598"/>
      <c r="AJ657" s="598" t="s">
        <v>1114</v>
      </c>
      <c r="AK657" s="598"/>
      <c r="AL657" s="626"/>
      <c r="AM657" s="626"/>
    </row>
    <row r="658" spans="3:39" ht="18" customHeight="1">
      <c r="C658" s="598">
        <v>637</v>
      </c>
      <c r="D658" s="598" t="s">
        <v>2065</v>
      </c>
      <c r="E658" s="598">
        <f t="shared" si="11"/>
        <v>604</v>
      </c>
      <c r="F658" s="616" t="s">
        <v>4978</v>
      </c>
      <c r="G658" s="616" t="s">
        <v>4921</v>
      </c>
      <c r="H658" s="618" t="s">
        <v>1195</v>
      </c>
      <c r="I658" s="618" t="s">
        <v>254</v>
      </c>
      <c r="J658" s="618" t="s">
        <v>1241</v>
      </c>
      <c r="K658" s="618" t="s">
        <v>1403</v>
      </c>
      <c r="L658" s="792" t="s">
        <v>2041</v>
      </c>
      <c r="M658" s="619"/>
      <c r="N658" s="620"/>
      <c r="O658" s="620"/>
      <c r="P658" s="663" t="s">
        <v>1515</v>
      </c>
      <c r="Q658" s="621"/>
      <c r="R658" s="598"/>
      <c r="S658" s="598"/>
      <c r="T658" s="598"/>
      <c r="U658" s="598" t="s">
        <v>1090</v>
      </c>
      <c r="V658" s="663" t="s">
        <v>616</v>
      </c>
      <c r="W658" s="779" t="s">
        <v>5004</v>
      </c>
      <c r="X658" s="598" t="s">
        <v>950</v>
      </c>
      <c r="Y658" s="624">
        <v>19196</v>
      </c>
      <c r="Z658" s="625">
        <f t="shared" ca="1" si="12"/>
        <v>73</v>
      </c>
      <c r="AA658" s="616" t="s">
        <v>2067</v>
      </c>
      <c r="AB658" s="598" t="s">
        <v>2068</v>
      </c>
      <c r="AC658" s="598" t="s">
        <v>996</v>
      </c>
      <c r="AD658" s="598" t="s">
        <v>997</v>
      </c>
      <c r="AE658" s="616" t="s">
        <v>2069</v>
      </c>
      <c r="AF658" s="616" t="s">
        <v>2069</v>
      </c>
      <c r="AG658" s="616" t="s">
        <v>2070</v>
      </c>
      <c r="AH658" s="598"/>
      <c r="AI658" s="598"/>
      <c r="AJ658" s="598" t="s">
        <v>1114</v>
      </c>
      <c r="AK658" s="598"/>
      <c r="AL658" s="626"/>
      <c r="AM658" s="626"/>
    </row>
    <row r="659" spans="3:39" ht="18" customHeight="1">
      <c r="C659" s="598">
        <v>638</v>
      </c>
      <c r="D659" s="598" t="s">
        <v>2041</v>
      </c>
      <c r="E659" s="598">
        <f t="shared" si="11"/>
        <v>605</v>
      </c>
      <c r="F659" s="616" t="s">
        <v>4978</v>
      </c>
      <c r="G659" s="616" t="s">
        <v>4921</v>
      </c>
      <c r="H659" s="618" t="s">
        <v>1195</v>
      </c>
      <c r="I659" s="618" t="s">
        <v>254</v>
      </c>
      <c r="J659" s="618" t="s">
        <v>1241</v>
      </c>
      <c r="K659" s="618" t="s">
        <v>1403</v>
      </c>
      <c r="L659" s="792" t="s">
        <v>2041</v>
      </c>
      <c r="M659" s="619"/>
      <c r="N659" s="620"/>
      <c r="O659" s="620"/>
      <c r="P659" s="663" t="s">
        <v>1515</v>
      </c>
      <c r="Q659" s="621"/>
      <c r="R659" s="598" t="s">
        <v>69</v>
      </c>
      <c r="S659" s="598" t="s">
        <v>562</v>
      </c>
      <c r="T659" s="598"/>
      <c r="U659" s="598" t="s">
        <v>1015</v>
      </c>
      <c r="V659" s="663" t="s">
        <v>635</v>
      </c>
      <c r="W659" s="779" t="s">
        <v>2042</v>
      </c>
      <c r="X659" s="598" t="s">
        <v>950</v>
      </c>
      <c r="Y659" s="624">
        <v>22484</v>
      </c>
      <c r="Z659" s="625">
        <f t="shared" ca="1" si="12"/>
        <v>64</v>
      </c>
      <c r="AA659" s="616" t="s">
        <v>2043</v>
      </c>
      <c r="AB659" s="598" t="s">
        <v>2044</v>
      </c>
      <c r="AC659" s="598" t="s">
        <v>996</v>
      </c>
      <c r="AD659" s="598" t="s">
        <v>997</v>
      </c>
      <c r="AE659" s="616" t="s">
        <v>729</v>
      </c>
      <c r="AF659" s="616" t="s">
        <v>1494</v>
      </c>
      <c r="AG659" s="616" t="s">
        <v>2045</v>
      </c>
      <c r="AH659" s="598"/>
      <c r="AI659" s="598"/>
      <c r="AJ659" s="598" t="s">
        <v>1114</v>
      </c>
      <c r="AK659" s="598"/>
      <c r="AL659" s="626"/>
      <c r="AM659" s="626"/>
    </row>
    <row r="660" spans="3:39" ht="18" customHeight="1">
      <c r="C660" s="598">
        <v>639</v>
      </c>
      <c r="D660" s="598" t="s">
        <v>4923</v>
      </c>
      <c r="E660" s="598">
        <f t="shared" si="11"/>
        <v>606</v>
      </c>
      <c r="F660" s="616" t="s">
        <v>4978</v>
      </c>
      <c r="G660" s="616" t="s">
        <v>4921</v>
      </c>
      <c r="H660" s="618" t="s">
        <v>1195</v>
      </c>
      <c r="I660" s="618" t="s">
        <v>254</v>
      </c>
      <c r="J660" s="618" t="s">
        <v>1241</v>
      </c>
      <c r="K660" s="618" t="s">
        <v>1403</v>
      </c>
      <c r="L660" s="792" t="s">
        <v>2041</v>
      </c>
      <c r="M660" s="619"/>
      <c r="N660" s="620"/>
      <c r="O660" s="620"/>
      <c r="P660" s="673" t="s">
        <v>1515</v>
      </c>
      <c r="Q660" s="621"/>
      <c r="R660" s="598"/>
      <c r="S660" s="598"/>
      <c r="T660" s="598"/>
      <c r="U660" s="598" t="s">
        <v>1015</v>
      </c>
      <c r="V660" s="673" t="s">
        <v>672</v>
      </c>
      <c r="W660" s="779" t="s">
        <v>4924</v>
      </c>
      <c r="X660" s="598" t="s">
        <v>950</v>
      </c>
      <c r="Y660" s="624">
        <v>26250</v>
      </c>
      <c r="Z660" s="625">
        <f t="shared" ca="1" si="12"/>
        <v>54</v>
      </c>
      <c r="AA660" s="616" t="s">
        <v>4925</v>
      </c>
      <c r="AB660" s="652"/>
      <c r="AC660" s="598" t="s">
        <v>996</v>
      </c>
      <c r="AD660" s="598" t="s">
        <v>1018</v>
      </c>
      <c r="AE660" s="616" t="s">
        <v>729</v>
      </c>
      <c r="AF660" s="640" t="s">
        <v>729</v>
      </c>
      <c r="AG660" s="616" t="s">
        <v>1962</v>
      </c>
      <c r="AH660" s="598"/>
      <c r="AI660" s="598" t="s">
        <v>4926</v>
      </c>
      <c r="AJ660" s="598" t="s">
        <v>1114</v>
      </c>
      <c r="AK660" s="598"/>
      <c r="AL660" s="626"/>
      <c r="AM660" s="626"/>
    </row>
    <row r="661" spans="3:39" ht="18" customHeight="1">
      <c r="C661" s="598">
        <v>640</v>
      </c>
      <c r="D661" s="598" t="s">
        <v>1923</v>
      </c>
      <c r="E661" s="598">
        <f t="shared" si="11"/>
        <v>606</v>
      </c>
      <c r="F661" s="616"/>
      <c r="G661" s="616" t="s">
        <v>4921</v>
      </c>
      <c r="H661" s="618" t="s">
        <v>1195</v>
      </c>
      <c r="I661" s="618" t="s">
        <v>254</v>
      </c>
      <c r="J661" s="618" t="s">
        <v>1241</v>
      </c>
      <c r="K661" s="618" t="s">
        <v>1923</v>
      </c>
      <c r="L661" s="618" t="s">
        <v>959</v>
      </c>
      <c r="M661" s="619"/>
      <c r="N661" s="620"/>
      <c r="O661" s="620"/>
      <c r="P661" s="667" t="s">
        <v>1529</v>
      </c>
      <c r="Q661" s="621"/>
      <c r="R661" s="598" t="s">
        <v>55</v>
      </c>
      <c r="S661" s="598" t="s">
        <v>178</v>
      </c>
      <c r="T661" s="598"/>
      <c r="U661" s="598"/>
      <c r="V661" s="667" t="s">
        <v>299</v>
      </c>
      <c r="W661" s="779" t="s">
        <v>1925</v>
      </c>
      <c r="X661" s="598" t="s">
        <v>950</v>
      </c>
      <c r="Y661" s="624">
        <v>22549</v>
      </c>
      <c r="Z661" s="625">
        <f t="shared" ca="1" si="12"/>
        <v>64</v>
      </c>
      <c r="AA661" s="654" t="s">
        <v>1926</v>
      </c>
      <c r="AB661" s="598" t="s">
        <v>4927</v>
      </c>
      <c r="AC661" s="598" t="s">
        <v>966</v>
      </c>
      <c r="AD661" s="598" t="s">
        <v>953</v>
      </c>
      <c r="AE661" s="616" t="s">
        <v>729</v>
      </c>
      <c r="AF661" s="616" t="s">
        <v>729</v>
      </c>
      <c r="AG661" s="616" t="s">
        <v>1928</v>
      </c>
      <c r="AH661" s="598" t="s">
        <v>955</v>
      </c>
      <c r="AI661" s="598"/>
      <c r="AJ661" s="598"/>
      <c r="AK661" s="598"/>
      <c r="AL661" s="626"/>
      <c r="AM661" s="626"/>
    </row>
    <row r="662" spans="3:39" ht="18" customHeight="1">
      <c r="C662" s="598">
        <v>641</v>
      </c>
      <c r="D662" s="598" t="s">
        <v>2474</v>
      </c>
      <c r="E662" s="598">
        <f t="shared" si="11"/>
        <v>607</v>
      </c>
      <c r="F662" s="616" t="s">
        <v>4978</v>
      </c>
      <c r="G662" s="616" t="s">
        <v>4921</v>
      </c>
      <c r="H662" s="618" t="s">
        <v>1195</v>
      </c>
      <c r="I662" s="618" t="s">
        <v>254</v>
      </c>
      <c r="J662" s="618" t="s">
        <v>1241</v>
      </c>
      <c r="K662" s="618" t="s">
        <v>1923</v>
      </c>
      <c r="L662" s="618" t="s">
        <v>2474</v>
      </c>
      <c r="M662" s="619"/>
      <c r="N662" s="620"/>
      <c r="O662" s="620"/>
      <c r="P662" s="663" t="s">
        <v>1529</v>
      </c>
      <c r="Q662" s="621"/>
      <c r="R662" s="598" t="s">
        <v>69</v>
      </c>
      <c r="S662" s="598" t="s">
        <v>562</v>
      </c>
      <c r="T662" s="598"/>
      <c r="U662" s="598" t="s">
        <v>1090</v>
      </c>
      <c r="V662" s="663" t="s">
        <v>617</v>
      </c>
      <c r="W662" s="779" t="s">
        <v>2475</v>
      </c>
      <c r="X662" s="598" t="s">
        <v>950</v>
      </c>
      <c r="Y662" s="624">
        <v>20098</v>
      </c>
      <c r="Z662" s="625">
        <f t="shared" ca="1" si="12"/>
        <v>71</v>
      </c>
      <c r="AA662" s="616" t="s">
        <v>2476</v>
      </c>
      <c r="AB662" s="598" t="s">
        <v>2477</v>
      </c>
      <c r="AC662" s="598" t="s">
        <v>996</v>
      </c>
      <c r="AD662" s="598" t="s">
        <v>997</v>
      </c>
      <c r="AE662" s="616" t="s">
        <v>729</v>
      </c>
      <c r="AF662" s="640" t="s">
        <v>729</v>
      </c>
      <c r="AG662" s="616" t="s">
        <v>2478</v>
      </c>
      <c r="AH662" s="598"/>
      <c r="AI662" s="598"/>
      <c r="AJ662" s="598" t="s">
        <v>1452</v>
      </c>
      <c r="AK662" s="598"/>
      <c r="AL662" s="626"/>
      <c r="AM662" s="626"/>
    </row>
    <row r="663" spans="3:39" ht="18" customHeight="1">
      <c r="C663" s="598">
        <v>642</v>
      </c>
      <c r="D663" s="598" t="s">
        <v>4928</v>
      </c>
      <c r="E663" s="598">
        <f t="shared" si="11"/>
        <v>608</v>
      </c>
      <c r="F663" s="616" t="s">
        <v>4978</v>
      </c>
      <c r="G663" s="616" t="s">
        <v>4921</v>
      </c>
      <c r="H663" s="618" t="s">
        <v>1195</v>
      </c>
      <c r="I663" s="618" t="s">
        <v>254</v>
      </c>
      <c r="J663" s="618" t="s">
        <v>1241</v>
      </c>
      <c r="K663" s="618" t="s">
        <v>1923</v>
      </c>
      <c r="L663" s="618" t="s">
        <v>2474</v>
      </c>
      <c r="M663" s="619"/>
      <c r="N663" s="620"/>
      <c r="O663" s="620"/>
      <c r="P663" s="663" t="s">
        <v>1529</v>
      </c>
      <c r="Q663" s="621"/>
      <c r="R663" s="598"/>
      <c r="S663" s="598"/>
      <c r="T663" s="598"/>
      <c r="U663" s="598" t="s">
        <v>1015</v>
      </c>
      <c r="V663" s="663" t="s">
        <v>636</v>
      </c>
      <c r="W663" s="779" t="s">
        <v>4929</v>
      </c>
      <c r="X663" s="598" t="s">
        <v>950</v>
      </c>
      <c r="Y663" s="624">
        <v>27355</v>
      </c>
      <c r="Z663" s="625">
        <f t="shared" ca="1" si="12"/>
        <v>51</v>
      </c>
      <c r="AA663" s="616" t="s">
        <v>4930</v>
      </c>
      <c r="AB663" s="598" t="s">
        <v>4931</v>
      </c>
      <c r="AC663" s="598" t="s">
        <v>996</v>
      </c>
      <c r="AD663" s="598" t="s">
        <v>997</v>
      </c>
      <c r="AE663" s="616" t="s">
        <v>729</v>
      </c>
      <c r="AF663" s="640" t="s">
        <v>729</v>
      </c>
      <c r="AG663" s="616" t="s">
        <v>4932</v>
      </c>
      <c r="AH663" s="598"/>
      <c r="AI663" s="598"/>
      <c r="AJ663" s="598" t="s">
        <v>1452</v>
      </c>
      <c r="AK663" s="598"/>
      <c r="AL663" s="626"/>
      <c r="AM663" s="626"/>
    </row>
    <row r="664" spans="3:39" ht="18" customHeight="1">
      <c r="C664" s="598">
        <v>643</v>
      </c>
      <c r="D664" s="598" t="s">
        <v>2479</v>
      </c>
      <c r="E664" s="598">
        <f t="shared" si="11"/>
        <v>609</v>
      </c>
      <c r="F664" s="616" t="s">
        <v>4978</v>
      </c>
      <c r="G664" s="616" t="s">
        <v>4921</v>
      </c>
      <c r="H664" s="618" t="s">
        <v>1195</v>
      </c>
      <c r="I664" s="618" t="s">
        <v>254</v>
      </c>
      <c r="J664" s="618" t="s">
        <v>1241</v>
      </c>
      <c r="K664" s="618" t="s">
        <v>1923</v>
      </c>
      <c r="L664" s="618" t="s">
        <v>2474</v>
      </c>
      <c r="M664" s="619"/>
      <c r="N664" s="620"/>
      <c r="O664" s="620"/>
      <c r="P664" s="663" t="s">
        <v>1529</v>
      </c>
      <c r="Q664" s="621"/>
      <c r="R664" s="598"/>
      <c r="S664" s="598"/>
      <c r="T664" s="598"/>
      <c r="U664" s="598" t="s">
        <v>1090</v>
      </c>
      <c r="V664" s="663" t="s">
        <v>654</v>
      </c>
      <c r="W664" s="779" t="s">
        <v>2480</v>
      </c>
      <c r="X664" s="598" t="s">
        <v>950</v>
      </c>
      <c r="Y664" s="624">
        <v>15828</v>
      </c>
      <c r="Z664" s="625">
        <f t="shared" ca="1" si="12"/>
        <v>82</v>
      </c>
      <c r="AA664" s="616" t="s">
        <v>2481</v>
      </c>
      <c r="AB664" s="598" t="s">
        <v>2482</v>
      </c>
      <c r="AC664" s="598" t="s">
        <v>996</v>
      </c>
      <c r="AD664" s="598" t="s">
        <v>997</v>
      </c>
      <c r="AE664" s="616" t="s">
        <v>729</v>
      </c>
      <c r="AF664" s="640" t="s">
        <v>729</v>
      </c>
      <c r="AG664" s="616" t="s">
        <v>2483</v>
      </c>
      <c r="AH664" s="598"/>
      <c r="AI664" s="598"/>
      <c r="AJ664" s="598" t="s">
        <v>1452</v>
      </c>
      <c r="AK664" s="598"/>
      <c r="AL664" s="626"/>
      <c r="AM664" s="626"/>
    </row>
    <row r="665" spans="3:39" ht="18" customHeight="1">
      <c r="C665" s="598">
        <v>644</v>
      </c>
      <c r="D665" s="598" t="s">
        <v>2493</v>
      </c>
      <c r="E665" s="598">
        <f t="shared" si="11"/>
        <v>610</v>
      </c>
      <c r="F665" s="616" t="s">
        <v>4978</v>
      </c>
      <c r="G665" s="616" t="s">
        <v>4921</v>
      </c>
      <c r="H665" s="618" t="s">
        <v>1195</v>
      </c>
      <c r="I665" s="618" t="s">
        <v>254</v>
      </c>
      <c r="J665" s="618" t="s">
        <v>1241</v>
      </c>
      <c r="K665" s="618" t="s">
        <v>1923</v>
      </c>
      <c r="L665" s="618" t="s">
        <v>2474</v>
      </c>
      <c r="M665" s="619"/>
      <c r="N665" s="620"/>
      <c r="O665" s="620"/>
      <c r="P665" s="663" t="s">
        <v>1529</v>
      </c>
      <c r="Q665" s="621"/>
      <c r="R665" s="598"/>
      <c r="S665" s="598"/>
      <c r="T665" s="598"/>
      <c r="U665" s="598" t="s">
        <v>1015</v>
      </c>
      <c r="V665" s="663" t="s">
        <v>673</v>
      </c>
      <c r="W665" s="779" t="s">
        <v>2494</v>
      </c>
      <c r="X665" s="598" t="s">
        <v>950</v>
      </c>
      <c r="Y665" s="624">
        <v>21451</v>
      </c>
      <c r="Z665" s="625">
        <f t="shared" ca="1" si="12"/>
        <v>67</v>
      </c>
      <c r="AA665" s="616" t="s">
        <v>2495</v>
      </c>
      <c r="AB665" s="598" t="s">
        <v>2496</v>
      </c>
      <c r="AC665" s="598" t="s">
        <v>996</v>
      </c>
      <c r="AD665" s="598" t="s">
        <v>997</v>
      </c>
      <c r="AE665" s="616" t="s">
        <v>729</v>
      </c>
      <c r="AF665" s="640" t="s">
        <v>729</v>
      </c>
      <c r="AG665" s="616" t="s">
        <v>2497</v>
      </c>
      <c r="AH665" s="598"/>
      <c r="AI665" s="598"/>
      <c r="AJ665" s="598" t="s">
        <v>1452</v>
      </c>
      <c r="AK665" s="598"/>
      <c r="AL665" s="626"/>
      <c r="AM665" s="626"/>
    </row>
    <row r="666" spans="3:39" ht="18" customHeight="1">
      <c r="C666" s="598">
        <v>645</v>
      </c>
      <c r="D666" s="598" t="s">
        <v>2550</v>
      </c>
      <c r="E666" s="598">
        <f t="shared" si="11"/>
        <v>611</v>
      </c>
      <c r="F666" s="616" t="s">
        <v>4978</v>
      </c>
      <c r="G666" s="616" t="s">
        <v>4921</v>
      </c>
      <c r="H666" s="618" t="s">
        <v>1195</v>
      </c>
      <c r="I666" s="618" t="s">
        <v>254</v>
      </c>
      <c r="J666" s="618" t="s">
        <v>1241</v>
      </c>
      <c r="K666" s="618" t="s">
        <v>1923</v>
      </c>
      <c r="L666" s="618" t="s">
        <v>2474</v>
      </c>
      <c r="M666" s="619"/>
      <c r="N666" s="620"/>
      <c r="O666" s="620"/>
      <c r="P666" s="663" t="s">
        <v>1529</v>
      </c>
      <c r="Q666" s="621"/>
      <c r="R666" s="598"/>
      <c r="S666" s="598"/>
      <c r="T666" s="598"/>
      <c r="U666" s="598" t="s">
        <v>1015</v>
      </c>
      <c r="V666" s="663" t="s">
        <v>689</v>
      </c>
      <c r="W666" s="779" t="s">
        <v>2551</v>
      </c>
      <c r="X666" s="598" t="s">
        <v>950</v>
      </c>
      <c r="Y666" s="624">
        <v>25299</v>
      </c>
      <c r="Z666" s="625">
        <f t="shared" ca="1" si="12"/>
        <v>56</v>
      </c>
      <c r="AA666" s="616" t="s">
        <v>2552</v>
      </c>
      <c r="AB666" s="598" t="s">
        <v>2553</v>
      </c>
      <c r="AC666" s="598" t="s">
        <v>996</v>
      </c>
      <c r="AD666" s="598" t="s">
        <v>997</v>
      </c>
      <c r="AE666" s="616" t="s">
        <v>729</v>
      </c>
      <c r="AF666" s="640" t="s">
        <v>729</v>
      </c>
      <c r="AG666" s="616" t="s">
        <v>2554</v>
      </c>
      <c r="AH666" s="598"/>
      <c r="AI666" s="598"/>
      <c r="AJ666" s="598" t="s">
        <v>1452</v>
      </c>
      <c r="AK666" s="598"/>
      <c r="AL666" s="626"/>
      <c r="AM666" s="626"/>
    </row>
    <row r="667" spans="3:39" ht="18" customHeight="1">
      <c r="C667" s="598">
        <v>646</v>
      </c>
      <c r="D667" s="598" t="s">
        <v>2469</v>
      </c>
      <c r="E667" s="598">
        <f t="shared" si="11"/>
        <v>612</v>
      </c>
      <c r="F667" s="616" t="s">
        <v>4978</v>
      </c>
      <c r="G667" s="616" t="s">
        <v>4921</v>
      </c>
      <c r="H667" s="618" t="s">
        <v>1195</v>
      </c>
      <c r="I667" s="618" t="s">
        <v>254</v>
      </c>
      <c r="J667" s="618" t="s">
        <v>1241</v>
      </c>
      <c r="K667" s="618" t="s">
        <v>1923</v>
      </c>
      <c r="L667" s="618" t="s">
        <v>2474</v>
      </c>
      <c r="M667" s="619"/>
      <c r="N667" s="620"/>
      <c r="O667" s="620"/>
      <c r="P667" s="663" t="s">
        <v>1529</v>
      </c>
      <c r="Q667" s="621"/>
      <c r="R667" s="598"/>
      <c r="S667" s="598"/>
      <c r="T667" s="598"/>
      <c r="U667" s="598" t="s">
        <v>1015</v>
      </c>
      <c r="V667" s="663" t="s">
        <v>704</v>
      </c>
      <c r="W667" s="779" t="s">
        <v>2470</v>
      </c>
      <c r="X667" s="598" t="s">
        <v>950</v>
      </c>
      <c r="Y667" s="624">
        <v>29981</v>
      </c>
      <c r="Z667" s="625">
        <f t="shared" ca="1" si="12"/>
        <v>44</v>
      </c>
      <c r="AA667" s="616" t="s">
        <v>2471</v>
      </c>
      <c r="AB667" s="598" t="s">
        <v>2472</v>
      </c>
      <c r="AC667" s="598" t="s">
        <v>996</v>
      </c>
      <c r="AD667" s="598" t="s">
        <v>997</v>
      </c>
      <c r="AE667" s="616" t="s">
        <v>729</v>
      </c>
      <c r="AF667" s="640" t="s">
        <v>729</v>
      </c>
      <c r="AG667" s="616" t="s">
        <v>2473</v>
      </c>
      <c r="AH667" s="598"/>
      <c r="AI667" s="598"/>
      <c r="AJ667" s="598" t="s">
        <v>1452</v>
      </c>
      <c r="AK667" s="598"/>
      <c r="AL667" s="626"/>
      <c r="AM667" s="626"/>
    </row>
    <row r="668" spans="3:39" ht="18" customHeight="1">
      <c r="C668" s="598">
        <v>647</v>
      </c>
      <c r="D668" s="598" t="s">
        <v>2464</v>
      </c>
      <c r="E668" s="598">
        <f t="shared" si="11"/>
        <v>613</v>
      </c>
      <c r="F668" s="616" t="s">
        <v>4978</v>
      </c>
      <c r="G668" s="616" t="s">
        <v>4921</v>
      </c>
      <c r="H668" s="618" t="s">
        <v>1195</v>
      </c>
      <c r="I668" s="618" t="s">
        <v>254</v>
      </c>
      <c r="J668" s="618" t="s">
        <v>1241</v>
      </c>
      <c r="K668" s="618" t="s">
        <v>1923</v>
      </c>
      <c r="L668" s="618" t="s">
        <v>2474</v>
      </c>
      <c r="M668" s="619"/>
      <c r="N668" s="620"/>
      <c r="O668" s="620"/>
      <c r="P668" s="663" t="s">
        <v>1529</v>
      </c>
      <c r="Q668" s="621"/>
      <c r="R668" s="598"/>
      <c r="S668" s="598"/>
      <c r="T668" s="598"/>
      <c r="U668" s="598" t="s">
        <v>1015</v>
      </c>
      <c r="V668" s="663" t="s">
        <v>712</v>
      </c>
      <c r="W668" s="779" t="s">
        <v>2465</v>
      </c>
      <c r="X668" s="598" t="s">
        <v>950</v>
      </c>
      <c r="Y668" s="624">
        <v>30203</v>
      </c>
      <c r="Z668" s="625">
        <f t="shared" ca="1" si="12"/>
        <v>43</v>
      </c>
      <c r="AA668" s="616" t="s">
        <v>2466</v>
      </c>
      <c r="AB668" s="598" t="s">
        <v>2467</v>
      </c>
      <c r="AC668" s="598" t="s">
        <v>996</v>
      </c>
      <c r="AD668" s="598" t="s">
        <v>997</v>
      </c>
      <c r="AE668" s="616" t="s">
        <v>729</v>
      </c>
      <c r="AF668" s="640" t="s">
        <v>729</v>
      </c>
      <c r="AG668" s="616" t="s">
        <v>2468</v>
      </c>
      <c r="AH668" s="598"/>
      <c r="AI668" s="598"/>
      <c r="AJ668" s="598" t="s">
        <v>1452</v>
      </c>
      <c r="AK668" s="598"/>
      <c r="AL668" s="626"/>
      <c r="AM668" s="626"/>
    </row>
    <row r="669" spans="3:39" ht="18" customHeight="1">
      <c r="C669" s="598">
        <v>648</v>
      </c>
      <c r="D669" s="598" t="s">
        <v>4933</v>
      </c>
      <c r="E669" s="598">
        <f t="shared" si="11"/>
        <v>614</v>
      </c>
      <c r="F669" s="616" t="s">
        <v>4978</v>
      </c>
      <c r="G669" s="616" t="s">
        <v>4921</v>
      </c>
      <c r="H669" s="618" t="s">
        <v>1195</v>
      </c>
      <c r="I669" s="618" t="s">
        <v>254</v>
      </c>
      <c r="J669" s="618" t="s">
        <v>1241</v>
      </c>
      <c r="K669" s="618" t="s">
        <v>1923</v>
      </c>
      <c r="L669" s="618" t="s">
        <v>2474</v>
      </c>
      <c r="M669" s="619"/>
      <c r="N669" s="620"/>
      <c r="O669" s="620"/>
      <c r="P669" s="673" t="s">
        <v>1529</v>
      </c>
      <c r="Q669" s="621"/>
      <c r="R669" s="598"/>
      <c r="S669" s="598"/>
      <c r="T669" s="598"/>
      <c r="U669" s="598" t="s">
        <v>1015</v>
      </c>
      <c r="V669" s="673" t="s">
        <v>4934</v>
      </c>
      <c r="W669" s="779" t="s">
        <v>4935</v>
      </c>
      <c r="X669" s="598" t="s">
        <v>950</v>
      </c>
      <c r="Y669" s="624">
        <v>21232</v>
      </c>
      <c r="Z669" s="625">
        <f t="shared" ca="1" si="12"/>
        <v>67</v>
      </c>
      <c r="AA669" s="616" t="s">
        <v>4936</v>
      </c>
      <c r="AB669" s="598" t="s">
        <v>4937</v>
      </c>
      <c r="AC669" s="598" t="s">
        <v>996</v>
      </c>
      <c r="AD669" s="598" t="s">
        <v>1018</v>
      </c>
      <c r="AE669" s="616" t="s">
        <v>729</v>
      </c>
      <c r="AF669" s="616" t="s">
        <v>729</v>
      </c>
      <c r="AG669" s="616" t="s">
        <v>4938</v>
      </c>
      <c r="AH669" s="598"/>
      <c r="AI669" s="598" t="s">
        <v>1019</v>
      </c>
      <c r="AJ669" s="598" t="s">
        <v>1452</v>
      </c>
      <c r="AK669" s="598"/>
      <c r="AL669" s="626"/>
      <c r="AM669" s="626"/>
    </row>
    <row r="670" spans="3:39" ht="18" customHeight="1">
      <c r="C670" s="598">
        <v>649</v>
      </c>
      <c r="D670" s="598" t="s">
        <v>2775</v>
      </c>
      <c r="E670" s="598">
        <f t="shared" si="11"/>
        <v>614</v>
      </c>
      <c r="F670" s="616"/>
      <c r="G670" s="616" t="s">
        <v>4921</v>
      </c>
      <c r="H670" s="618" t="s">
        <v>1195</v>
      </c>
      <c r="I670" s="618" t="s">
        <v>254</v>
      </c>
      <c r="J670" s="618" t="s">
        <v>1241</v>
      </c>
      <c r="K670" s="618" t="s">
        <v>2775</v>
      </c>
      <c r="L670" s="618" t="s">
        <v>2082</v>
      </c>
      <c r="M670" s="679" t="s">
        <v>2029</v>
      </c>
      <c r="N670" s="620"/>
      <c r="O670" s="620"/>
      <c r="P670" s="667" t="s">
        <v>2057</v>
      </c>
      <c r="Q670" s="621"/>
      <c r="R670" s="598" t="s">
        <v>55</v>
      </c>
      <c r="S670" s="598" t="s">
        <v>178</v>
      </c>
      <c r="T670" s="598"/>
      <c r="U670" s="598"/>
      <c r="V670" s="667" t="s">
        <v>207</v>
      </c>
      <c r="W670" s="779" t="s">
        <v>2776</v>
      </c>
      <c r="X670" s="598" t="s">
        <v>950</v>
      </c>
      <c r="Y670" s="624">
        <v>28739</v>
      </c>
      <c r="Z670" s="625">
        <f t="shared" ca="1" si="12"/>
        <v>47</v>
      </c>
      <c r="AA670" s="616"/>
      <c r="AB670" s="598"/>
      <c r="AC670" s="598" t="s">
        <v>966</v>
      </c>
      <c r="AD670" s="598" t="s">
        <v>953</v>
      </c>
      <c r="AE670" s="616" t="s">
        <v>2737</v>
      </c>
      <c r="AF670" s="616" t="s">
        <v>2737</v>
      </c>
      <c r="AG670" s="616" t="s">
        <v>2779</v>
      </c>
      <c r="AH670" s="598" t="s">
        <v>955</v>
      </c>
      <c r="AI670" s="598"/>
      <c r="AJ670" s="598"/>
      <c r="AK670" s="598"/>
      <c r="AL670" s="626"/>
      <c r="AM670" s="626"/>
    </row>
    <row r="671" spans="3:39" ht="18" customHeight="1">
      <c r="C671" s="598">
        <v>650</v>
      </c>
      <c r="D671" s="598" t="s">
        <v>2082</v>
      </c>
      <c r="E671" s="598">
        <f t="shared" si="11"/>
        <v>615</v>
      </c>
      <c r="F671" s="616" t="s">
        <v>4978</v>
      </c>
      <c r="G671" s="616" t="s">
        <v>4921</v>
      </c>
      <c r="H671" s="618" t="s">
        <v>1195</v>
      </c>
      <c r="I671" s="618" t="s">
        <v>254</v>
      </c>
      <c r="J671" s="618" t="s">
        <v>1241</v>
      </c>
      <c r="K671" s="618" t="s">
        <v>2775</v>
      </c>
      <c r="L671" s="618" t="s">
        <v>2082</v>
      </c>
      <c r="M671" s="679" t="s">
        <v>2029</v>
      </c>
      <c r="N671" s="620"/>
      <c r="O671" s="620"/>
      <c r="P671" s="663" t="s">
        <v>2057</v>
      </c>
      <c r="Q671" s="621"/>
      <c r="R671" s="598" t="s">
        <v>69</v>
      </c>
      <c r="S671" s="598" t="s">
        <v>562</v>
      </c>
      <c r="T671" s="598"/>
      <c r="U671" s="598" t="s">
        <v>1015</v>
      </c>
      <c r="V671" s="663" t="s">
        <v>618</v>
      </c>
      <c r="W671" s="779" t="s">
        <v>2083</v>
      </c>
      <c r="X671" s="598" t="s">
        <v>950</v>
      </c>
      <c r="Y671" s="624">
        <v>24860</v>
      </c>
      <c r="Z671" s="625">
        <f t="shared" ca="1" si="12"/>
        <v>58</v>
      </c>
      <c r="AA671" s="616" t="s">
        <v>2084</v>
      </c>
      <c r="AB671" s="598" t="s">
        <v>2085</v>
      </c>
      <c r="AC671" s="598" t="s">
        <v>996</v>
      </c>
      <c r="AD671" s="598" t="s">
        <v>997</v>
      </c>
      <c r="AE671" s="616" t="s">
        <v>729</v>
      </c>
      <c r="AF671" s="640" t="s">
        <v>729</v>
      </c>
      <c r="AG671" s="616" t="s">
        <v>2086</v>
      </c>
      <c r="AH671" s="598"/>
      <c r="AI671" s="598"/>
      <c r="AJ671" s="598" t="s">
        <v>1452</v>
      </c>
      <c r="AK671" s="598"/>
      <c r="AL671" s="626"/>
      <c r="AM671" s="626"/>
    </row>
    <row r="672" spans="3:39" ht="18" customHeight="1">
      <c r="C672" s="598">
        <v>651</v>
      </c>
      <c r="D672" s="598" t="s">
        <v>2029</v>
      </c>
      <c r="E672" s="598">
        <f t="shared" si="11"/>
        <v>616</v>
      </c>
      <c r="F672" s="616" t="s">
        <v>4978</v>
      </c>
      <c r="G672" s="616" t="s">
        <v>4921</v>
      </c>
      <c r="H672" s="618" t="s">
        <v>1195</v>
      </c>
      <c r="I672" s="618" t="s">
        <v>254</v>
      </c>
      <c r="J672" s="618" t="s">
        <v>1241</v>
      </c>
      <c r="K672" s="618" t="s">
        <v>2775</v>
      </c>
      <c r="L672" s="618" t="s">
        <v>2082</v>
      </c>
      <c r="M672" s="679" t="s">
        <v>2029</v>
      </c>
      <c r="N672" s="620"/>
      <c r="O672" s="620"/>
      <c r="P672" s="663" t="s">
        <v>2057</v>
      </c>
      <c r="Q672" s="621"/>
      <c r="R672" s="598" t="s">
        <v>69</v>
      </c>
      <c r="S672" s="598" t="s">
        <v>562</v>
      </c>
      <c r="T672" s="598"/>
      <c r="U672" s="598" t="s">
        <v>1015</v>
      </c>
      <c r="V672" s="663" t="s">
        <v>637</v>
      </c>
      <c r="W672" s="779" t="s">
        <v>2033</v>
      </c>
      <c r="X672" s="598" t="s">
        <v>950</v>
      </c>
      <c r="Y672" s="624">
        <v>23911</v>
      </c>
      <c r="Z672" s="625">
        <f t="shared" ca="1" si="12"/>
        <v>60</v>
      </c>
      <c r="AA672" s="616" t="s">
        <v>2034</v>
      </c>
      <c r="AB672" s="598" t="s">
        <v>2035</v>
      </c>
      <c r="AC672" s="598" t="s">
        <v>996</v>
      </c>
      <c r="AD672" s="598" t="s">
        <v>997</v>
      </c>
      <c r="AE672" s="616" t="s">
        <v>729</v>
      </c>
      <c r="AF672" s="640" t="s">
        <v>729</v>
      </c>
      <c r="AG672" s="616" t="s">
        <v>2036</v>
      </c>
      <c r="AH672" s="598"/>
      <c r="AI672" s="598"/>
      <c r="AJ672" s="598" t="s">
        <v>1452</v>
      </c>
      <c r="AK672" s="598"/>
      <c r="AL672" s="626"/>
      <c r="AM672" s="626"/>
    </row>
    <row r="673" spans="3:39" ht="18" customHeight="1">
      <c r="C673" s="598">
        <v>652</v>
      </c>
      <c r="D673" s="598" t="s">
        <v>2050</v>
      </c>
      <c r="E673" s="598">
        <f t="shared" si="11"/>
        <v>617</v>
      </c>
      <c r="F673" s="616" t="s">
        <v>4978</v>
      </c>
      <c r="G673" s="616" t="s">
        <v>4921</v>
      </c>
      <c r="H673" s="618" t="s">
        <v>1195</v>
      </c>
      <c r="I673" s="618" t="s">
        <v>254</v>
      </c>
      <c r="J673" s="618" t="s">
        <v>1241</v>
      </c>
      <c r="K673" s="618" t="s">
        <v>2775</v>
      </c>
      <c r="L673" s="618" t="s">
        <v>2082</v>
      </c>
      <c r="M673" s="679" t="s">
        <v>2029</v>
      </c>
      <c r="N673" s="620"/>
      <c r="O673" s="620"/>
      <c r="P673" s="663" t="s">
        <v>2057</v>
      </c>
      <c r="Q673" s="621"/>
      <c r="R673" s="598"/>
      <c r="S673" s="598"/>
      <c r="T673" s="598"/>
      <c r="U673" s="598" t="s">
        <v>1015</v>
      </c>
      <c r="V673" s="663" t="s">
        <v>655</v>
      </c>
      <c r="W673" s="779" t="s">
        <v>2051</v>
      </c>
      <c r="X673" s="598" t="s">
        <v>950</v>
      </c>
      <c r="Y673" s="624">
        <v>24181</v>
      </c>
      <c r="Z673" s="625">
        <f t="shared" ca="1" si="12"/>
        <v>59</v>
      </c>
      <c r="AA673" s="616" t="s">
        <v>2052</v>
      </c>
      <c r="AB673" s="598" t="s">
        <v>2053</v>
      </c>
      <c r="AC673" s="598" t="s">
        <v>996</v>
      </c>
      <c r="AD673" s="598" t="s">
        <v>997</v>
      </c>
      <c r="AE673" s="616" t="s">
        <v>729</v>
      </c>
      <c r="AF673" s="640" t="s">
        <v>729</v>
      </c>
      <c r="AG673" s="616" t="s">
        <v>2054</v>
      </c>
      <c r="AH673" s="598"/>
      <c r="AI673" s="598"/>
      <c r="AJ673" s="598" t="s">
        <v>1452</v>
      </c>
      <c r="AK673" s="598"/>
      <c r="AL673" s="626"/>
      <c r="AM673" s="626"/>
    </row>
    <row r="674" spans="3:39" ht="18" customHeight="1">
      <c r="C674" s="598">
        <v>653</v>
      </c>
      <c r="D674" s="598" t="s">
        <v>2006</v>
      </c>
      <c r="E674" s="598">
        <f t="shared" si="11"/>
        <v>618</v>
      </c>
      <c r="F674" s="616" t="s">
        <v>4978</v>
      </c>
      <c r="G674" s="616" t="s">
        <v>4921</v>
      </c>
      <c r="H674" s="618" t="s">
        <v>1195</v>
      </c>
      <c r="I674" s="618" t="s">
        <v>254</v>
      </c>
      <c r="J674" s="618" t="s">
        <v>1241</v>
      </c>
      <c r="K674" s="618" t="s">
        <v>2775</v>
      </c>
      <c r="L674" s="618" t="s">
        <v>2082</v>
      </c>
      <c r="M674" s="679" t="s">
        <v>2029</v>
      </c>
      <c r="N674" s="620"/>
      <c r="O674" s="620"/>
      <c r="P674" s="663" t="s">
        <v>2057</v>
      </c>
      <c r="Q674" s="621"/>
      <c r="R674" s="598"/>
      <c r="S674" s="598"/>
      <c r="T674" s="598"/>
      <c r="U674" s="598" t="s">
        <v>1015</v>
      </c>
      <c r="V674" s="663" t="s">
        <v>674</v>
      </c>
      <c r="W674" s="779" t="s">
        <v>2007</v>
      </c>
      <c r="X674" s="598" t="s">
        <v>950</v>
      </c>
      <c r="Y674" s="624">
        <v>29947</v>
      </c>
      <c r="Z674" s="625">
        <f t="shared" ca="1" si="12"/>
        <v>44</v>
      </c>
      <c r="AA674" s="616" t="s">
        <v>2008</v>
      </c>
      <c r="AB674" s="598" t="s">
        <v>2009</v>
      </c>
      <c r="AC674" s="598" t="s">
        <v>996</v>
      </c>
      <c r="AD674" s="598" t="s">
        <v>997</v>
      </c>
      <c r="AE674" s="616" t="s">
        <v>1494</v>
      </c>
      <c r="AF674" s="616" t="s">
        <v>1494</v>
      </c>
      <c r="AG674" s="616" t="s">
        <v>2010</v>
      </c>
      <c r="AH674" s="598"/>
      <c r="AI674" s="598"/>
      <c r="AJ674" s="598" t="s">
        <v>1452</v>
      </c>
      <c r="AK674" s="598"/>
      <c r="AL674" s="626"/>
      <c r="AM674" s="626"/>
    </row>
    <row r="675" spans="3:39" ht="18" customHeight="1">
      <c r="C675" s="598">
        <v>654</v>
      </c>
      <c r="D675" s="598" t="s">
        <v>1929</v>
      </c>
      <c r="E675" s="598">
        <f t="shared" si="11"/>
        <v>619</v>
      </c>
      <c r="F675" s="616" t="s">
        <v>4978</v>
      </c>
      <c r="G675" s="616" t="s">
        <v>4921</v>
      </c>
      <c r="H675" s="618" t="s">
        <v>1195</v>
      </c>
      <c r="I675" s="618" t="s">
        <v>254</v>
      </c>
      <c r="J675" s="618" t="s">
        <v>1241</v>
      </c>
      <c r="K675" s="618" t="s">
        <v>2775</v>
      </c>
      <c r="L675" s="618" t="s">
        <v>2082</v>
      </c>
      <c r="M675" s="679" t="s">
        <v>2029</v>
      </c>
      <c r="N675" s="620"/>
      <c r="O675" s="620"/>
      <c r="P675" s="663" t="s">
        <v>2057</v>
      </c>
      <c r="Q675" s="621"/>
      <c r="R675" s="598"/>
      <c r="S675" s="598"/>
      <c r="T675" s="598"/>
      <c r="U675" s="598" t="s">
        <v>1015</v>
      </c>
      <c r="V675" s="663" t="s">
        <v>690</v>
      </c>
      <c r="W675" s="779" t="s">
        <v>1930</v>
      </c>
      <c r="X675" s="598" t="s">
        <v>950</v>
      </c>
      <c r="Y675" s="624">
        <v>30310</v>
      </c>
      <c r="Z675" s="625">
        <f t="shared" ca="1" si="12"/>
        <v>43</v>
      </c>
      <c r="AA675" s="616" t="s">
        <v>1931</v>
      </c>
      <c r="AB675" s="598" t="s">
        <v>1932</v>
      </c>
      <c r="AC675" s="598" t="s">
        <v>996</v>
      </c>
      <c r="AD675" s="598" t="s">
        <v>1018</v>
      </c>
      <c r="AE675" s="616" t="s">
        <v>729</v>
      </c>
      <c r="AF675" s="640" t="s">
        <v>729</v>
      </c>
      <c r="AG675" s="616" t="s">
        <v>4939</v>
      </c>
      <c r="AH675" s="598"/>
      <c r="AI675" s="598"/>
      <c r="AJ675" s="598" t="s">
        <v>1452</v>
      </c>
      <c r="AK675" s="598"/>
      <c r="AL675" s="626"/>
      <c r="AM675" s="626"/>
    </row>
    <row r="676" spans="3:39" ht="18" customHeight="1">
      <c r="C676" s="598">
        <v>655</v>
      </c>
      <c r="D676" s="598" t="s">
        <v>1447</v>
      </c>
      <c r="E676" s="598">
        <f t="shared" si="11"/>
        <v>620</v>
      </c>
      <c r="F676" s="616" t="s">
        <v>4978</v>
      </c>
      <c r="G676" s="616" t="s">
        <v>4921</v>
      </c>
      <c r="H676" s="618" t="s">
        <v>1195</v>
      </c>
      <c r="I676" s="618" t="s">
        <v>254</v>
      </c>
      <c r="J676" s="618" t="s">
        <v>1241</v>
      </c>
      <c r="K676" s="618" t="s">
        <v>2775</v>
      </c>
      <c r="L676" s="618" t="s">
        <v>2082</v>
      </c>
      <c r="M676" s="679" t="s">
        <v>2029</v>
      </c>
      <c r="N676" s="620"/>
      <c r="O676" s="620"/>
      <c r="P676" s="663" t="s">
        <v>2057</v>
      </c>
      <c r="Q676" s="621"/>
      <c r="R676" s="598"/>
      <c r="S676" s="598"/>
      <c r="T676" s="598"/>
      <c r="U676" s="598" t="s">
        <v>1015</v>
      </c>
      <c r="V676" s="663" t="s">
        <v>705</v>
      </c>
      <c r="W676" s="779" t="s">
        <v>1449</v>
      </c>
      <c r="X676" s="598" t="s">
        <v>950</v>
      </c>
      <c r="Y676" s="624">
        <v>32130</v>
      </c>
      <c r="Z676" s="625">
        <f t="shared" ca="1" si="12"/>
        <v>38</v>
      </c>
      <c r="AA676" s="616" t="s">
        <v>1450</v>
      </c>
      <c r="AB676" s="652"/>
      <c r="AC676" s="598" t="s">
        <v>996</v>
      </c>
      <c r="AD676" s="598" t="s">
        <v>1018</v>
      </c>
      <c r="AE676" s="616" t="s">
        <v>729</v>
      </c>
      <c r="AF676" s="640" t="s">
        <v>729</v>
      </c>
      <c r="AG676" s="616" t="s">
        <v>1451</v>
      </c>
      <c r="AH676" s="598"/>
      <c r="AI676" s="598"/>
      <c r="AJ676" s="598" t="s">
        <v>1452</v>
      </c>
      <c r="AK676" s="598"/>
      <c r="AL676" s="626"/>
      <c r="AM676" s="626"/>
    </row>
    <row r="677" spans="3:39" ht="18" customHeight="1">
      <c r="C677" s="598">
        <v>656</v>
      </c>
      <c r="D677" s="598" t="s">
        <v>1350</v>
      </c>
      <c r="E677" s="598">
        <f t="shared" si="11"/>
        <v>621</v>
      </c>
      <c r="F677" s="616" t="s">
        <v>4978</v>
      </c>
      <c r="G677" s="616" t="s">
        <v>4921</v>
      </c>
      <c r="H677" s="618" t="s">
        <v>1195</v>
      </c>
      <c r="I677" s="618" t="s">
        <v>254</v>
      </c>
      <c r="J677" s="618" t="s">
        <v>1241</v>
      </c>
      <c r="K677" s="618" t="s">
        <v>2775</v>
      </c>
      <c r="L677" s="618" t="s">
        <v>2082</v>
      </c>
      <c r="M677" s="679" t="s">
        <v>2029</v>
      </c>
      <c r="N677" s="620"/>
      <c r="O677" s="620"/>
      <c r="P677" s="663" t="s">
        <v>2057</v>
      </c>
      <c r="Q677" s="621" t="s">
        <v>319</v>
      </c>
      <c r="R677" s="598"/>
      <c r="S677" s="598"/>
      <c r="T677" s="598"/>
      <c r="U677" s="598" t="s">
        <v>1015</v>
      </c>
      <c r="V677" s="663" t="s">
        <v>1353</v>
      </c>
      <c r="W677" s="779" t="s">
        <v>1354</v>
      </c>
      <c r="X677" s="598" t="s">
        <v>950</v>
      </c>
      <c r="Y677" s="624">
        <v>22724</v>
      </c>
      <c r="Z677" s="625">
        <f t="shared" ca="1" si="12"/>
        <v>63</v>
      </c>
      <c r="AA677" s="616" t="s">
        <v>1355</v>
      </c>
      <c r="AB677" s="598" t="s">
        <v>1356</v>
      </c>
      <c r="AC677" s="598" t="s">
        <v>996</v>
      </c>
      <c r="AD677" s="598" t="s">
        <v>1018</v>
      </c>
      <c r="AE677" s="616" t="s">
        <v>729</v>
      </c>
      <c r="AF677" s="616" t="s">
        <v>1357</v>
      </c>
      <c r="AG677" s="616" t="s">
        <v>1358</v>
      </c>
      <c r="AH677" s="598"/>
      <c r="AI677" s="598"/>
      <c r="AJ677" s="634" t="s">
        <v>1359</v>
      </c>
      <c r="AK677" s="598"/>
      <c r="AL677" s="626"/>
      <c r="AM677" s="626"/>
    </row>
    <row r="678" spans="3:39" ht="18" customHeight="1">
      <c r="C678" s="598">
        <v>657</v>
      </c>
      <c r="D678" s="598" t="s">
        <v>2372</v>
      </c>
      <c r="E678" s="598">
        <f t="shared" si="11"/>
        <v>622</v>
      </c>
      <c r="F678" s="616" t="s">
        <v>4978</v>
      </c>
      <c r="G678" s="616" t="s">
        <v>4921</v>
      </c>
      <c r="H678" s="618" t="s">
        <v>1195</v>
      </c>
      <c r="I678" s="618" t="s">
        <v>254</v>
      </c>
      <c r="J678" s="618" t="s">
        <v>1241</v>
      </c>
      <c r="K678" s="618" t="s">
        <v>2775</v>
      </c>
      <c r="L678" s="618" t="s">
        <v>2082</v>
      </c>
      <c r="M678" s="679" t="s">
        <v>2029</v>
      </c>
      <c r="N678" s="620"/>
      <c r="O678" s="620"/>
      <c r="P678" s="663" t="s">
        <v>2057</v>
      </c>
      <c r="Q678" s="621" t="s">
        <v>319</v>
      </c>
      <c r="R678" s="598"/>
      <c r="S678" s="598"/>
      <c r="T678" s="598"/>
      <c r="U678" s="598" t="s">
        <v>1015</v>
      </c>
      <c r="V678" s="663" t="s">
        <v>2374</v>
      </c>
      <c r="W678" s="779" t="s">
        <v>2375</v>
      </c>
      <c r="X678" s="598" t="s">
        <v>950</v>
      </c>
      <c r="Y678" s="624">
        <v>22873</v>
      </c>
      <c r="Z678" s="625">
        <f t="shared" ca="1" si="12"/>
        <v>63</v>
      </c>
      <c r="AA678" s="616" t="s">
        <v>2376</v>
      </c>
      <c r="AB678" s="598"/>
      <c r="AC678" s="598" t="s">
        <v>996</v>
      </c>
      <c r="AD678" s="598" t="s">
        <v>1018</v>
      </c>
      <c r="AE678" s="616" t="s">
        <v>729</v>
      </c>
      <c r="AF678" s="616" t="s">
        <v>729</v>
      </c>
      <c r="AG678" s="616" t="s">
        <v>2377</v>
      </c>
      <c r="AH678" s="598" t="s">
        <v>1775</v>
      </c>
      <c r="AI678" s="598" t="s">
        <v>4940</v>
      </c>
      <c r="AJ678" s="634" t="s">
        <v>1359</v>
      </c>
      <c r="AK678" s="598"/>
      <c r="AL678" s="626"/>
      <c r="AM678" s="626"/>
    </row>
    <row r="679" spans="3:39" ht="18" customHeight="1">
      <c r="C679" s="598">
        <v>658</v>
      </c>
      <c r="D679" s="598" t="s">
        <v>2001</v>
      </c>
      <c r="E679" s="598">
        <f t="shared" si="11"/>
        <v>623</v>
      </c>
      <c r="F679" s="616" t="s">
        <v>4978</v>
      </c>
      <c r="G679" s="616" t="s">
        <v>4921</v>
      </c>
      <c r="H679" s="618" t="s">
        <v>1195</v>
      </c>
      <c r="I679" s="618" t="s">
        <v>254</v>
      </c>
      <c r="J679" s="618" t="s">
        <v>1241</v>
      </c>
      <c r="K679" s="618" t="s">
        <v>2775</v>
      </c>
      <c r="L679" s="618" t="s">
        <v>2082</v>
      </c>
      <c r="M679" s="679" t="s">
        <v>2029</v>
      </c>
      <c r="N679" s="620"/>
      <c r="O679" s="620"/>
      <c r="P679" s="673" t="s">
        <v>2057</v>
      </c>
      <c r="Q679" s="621" t="s">
        <v>319</v>
      </c>
      <c r="R679" s="598"/>
      <c r="S679" s="598"/>
      <c r="T679" s="598"/>
      <c r="U679" s="598" t="s">
        <v>1015</v>
      </c>
      <c r="V679" s="673" t="s">
        <v>2002</v>
      </c>
      <c r="W679" s="779" t="s">
        <v>2003</v>
      </c>
      <c r="X679" s="598" t="s">
        <v>950</v>
      </c>
      <c r="Y679" s="624">
        <v>25028</v>
      </c>
      <c r="Z679" s="625">
        <f t="shared" ca="1" si="12"/>
        <v>57</v>
      </c>
      <c r="AA679" s="616" t="s">
        <v>2004</v>
      </c>
      <c r="AB679" s="598" t="s">
        <v>2005</v>
      </c>
      <c r="AC679" s="598" t="s">
        <v>996</v>
      </c>
      <c r="AD679" s="598" t="s">
        <v>1018</v>
      </c>
      <c r="AE679" s="616" t="s">
        <v>729</v>
      </c>
      <c r="AF679" s="640" t="s">
        <v>729</v>
      </c>
      <c r="AG679" s="616" t="s">
        <v>2000</v>
      </c>
      <c r="AH679" s="598"/>
      <c r="AI679" s="598"/>
      <c r="AJ679" s="634" t="s">
        <v>1359</v>
      </c>
      <c r="AK679" s="598"/>
      <c r="AL679" s="626"/>
      <c r="AM679" s="626"/>
    </row>
    <row r="680" spans="3:39" ht="18" customHeight="1">
      <c r="C680" s="598">
        <v>659</v>
      </c>
      <c r="D680" s="598" t="s">
        <v>986</v>
      </c>
      <c r="E680" s="598">
        <f t="shared" si="11"/>
        <v>623</v>
      </c>
      <c r="F680" s="616"/>
      <c r="G680" s="616" t="s">
        <v>991</v>
      </c>
      <c r="H680" s="618" t="s">
        <v>1195</v>
      </c>
      <c r="I680" s="618" t="s">
        <v>78</v>
      </c>
      <c r="J680" s="618" t="s">
        <v>986</v>
      </c>
      <c r="K680" s="618" t="s">
        <v>986</v>
      </c>
      <c r="L680" s="618"/>
      <c r="M680" s="619"/>
      <c r="N680" s="620"/>
      <c r="O680" s="620"/>
      <c r="P680" s="667" t="s">
        <v>4941</v>
      </c>
      <c r="Q680" s="621"/>
      <c r="R680" s="598" t="s">
        <v>55</v>
      </c>
      <c r="S680" s="598" t="s">
        <v>178</v>
      </c>
      <c r="T680" s="598"/>
      <c r="U680" s="598"/>
      <c r="V680" s="667" t="s">
        <v>78</v>
      </c>
      <c r="W680" s="779" t="s">
        <v>987</v>
      </c>
      <c r="X680" s="598" t="s">
        <v>963</v>
      </c>
      <c r="Y680" s="624">
        <v>33031</v>
      </c>
      <c r="Z680" s="625">
        <f t="shared" ca="1" si="12"/>
        <v>35</v>
      </c>
      <c r="AA680" s="616" t="s">
        <v>988</v>
      </c>
      <c r="AB680" s="598" t="s">
        <v>2571</v>
      </c>
      <c r="AC680" s="598" t="s">
        <v>966</v>
      </c>
      <c r="AD680" s="598" t="s">
        <v>953</v>
      </c>
      <c r="AE680" s="616"/>
      <c r="AF680" s="616"/>
      <c r="AG680" s="616"/>
      <c r="AH680" s="598" t="s">
        <v>955</v>
      </c>
      <c r="AI680" s="598"/>
      <c r="AJ680" s="598"/>
      <c r="AK680" s="598"/>
      <c r="AL680" s="626"/>
      <c r="AM680" s="626"/>
    </row>
    <row r="681" spans="3:39" ht="18" customHeight="1">
      <c r="C681" s="598">
        <v>660</v>
      </c>
      <c r="D681" s="598" t="s">
        <v>4942</v>
      </c>
      <c r="E681" s="598">
        <f t="shared" si="11"/>
        <v>624</v>
      </c>
      <c r="F681" s="616" t="s">
        <v>4978</v>
      </c>
      <c r="G681" s="616" t="s">
        <v>991</v>
      </c>
      <c r="H681" s="618" t="s">
        <v>1195</v>
      </c>
      <c r="I681" s="618" t="s">
        <v>78</v>
      </c>
      <c r="J681" s="618" t="s">
        <v>986</v>
      </c>
      <c r="K681" s="618" t="s">
        <v>986</v>
      </c>
      <c r="L681" s="618" t="s">
        <v>959</v>
      </c>
      <c r="M681" s="619"/>
      <c r="N681" s="620"/>
      <c r="O681" s="620"/>
      <c r="P681" s="663" t="s">
        <v>4941</v>
      </c>
      <c r="Q681" s="621" t="s">
        <v>319</v>
      </c>
      <c r="R681" s="598"/>
      <c r="S681" s="598"/>
      <c r="T681" s="598"/>
      <c r="U681" s="598" t="s">
        <v>992</v>
      </c>
      <c r="V681" s="663" t="s">
        <v>4943</v>
      </c>
      <c r="W681" s="779" t="s">
        <v>4944</v>
      </c>
      <c r="X681" s="598" t="s">
        <v>963</v>
      </c>
      <c r="Y681" s="624">
        <v>34371</v>
      </c>
      <c r="Z681" s="625">
        <f t="shared" ca="1" si="12"/>
        <v>31</v>
      </c>
      <c r="AA681" s="616" t="s">
        <v>4945</v>
      </c>
      <c r="AB681" s="598" t="s">
        <v>4946</v>
      </c>
      <c r="AC681" s="598" t="s">
        <v>996</v>
      </c>
      <c r="AD681" s="598" t="s">
        <v>1018</v>
      </c>
      <c r="AE681" s="616" t="s">
        <v>729</v>
      </c>
      <c r="AF681" s="640" t="s">
        <v>729</v>
      </c>
      <c r="AG681" s="616" t="s">
        <v>4947</v>
      </c>
      <c r="AH681" s="598"/>
      <c r="AI681" s="598"/>
      <c r="AJ681" s="598" t="s">
        <v>1107</v>
      </c>
      <c r="AK681" s="598"/>
      <c r="AL681" s="626"/>
      <c r="AM681" s="626"/>
    </row>
    <row r="682" spans="3:39" ht="18" customHeight="1">
      <c r="C682" s="598">
        <v>661</v>
      </c>
      <c r="D682" s="598" t="s">
        <v>2727</v>
      </c>
      <c r="E682" s="598">
        <f t="shared" si="11"/>
        <v>625</v>
      </c>
      <c r="F682" s="616" t="s">
        <v>4978</v>
      </c>
      <c r="G682" s="616" t="s">
        <v>991</v>
      </c>
      <c r="H682" s="618" t="s">
        <v>1195</v>
      </c>
      <c r="I682" s="618" t="s">
        <v>78</v>
      </c>
      <c r="J682" s="618" t="s">
        <v>986</v>
      </c>
      <c r="K682" s="618" t="s">
        <v>986</v>
      </c>
      <c r="L682" s="618" t="s">
        <v>959</v>
      </c>
      <c r="M682" s="619"/>
      <c r="N682" s="620"/>
      <c r="O682" s="620"/>
      <c r="P682" s="673" t="s">
        <v>4941</v>
      </c>
      <c r="Q682" s="621" t="s">
        <v>319</v>
      </c>
      <c r="R682" s="598"/>
      <c r="S682" s="598"/>
      <c r="T682" s="598"/>
      <c r="U682" s="598" t="s">
        <v>962</v>
      </c>
      <c r="V682" s="673" t="s">
        <v>2728</v>
      </c>
      <c r="W682" s="779" t="s">
        <v>2729</v>
      </c>
      <c r="X682" s="598" t="s">
        <v>963</v>
      </c>
      <c r="Y682" s="624">
        <v>30717</v>
      </c>
      <c r="Z682" s="625">
        <f t="shared" ca="1" si="12"/>
        <v>41</v>
      </c>
      <c r="AA682" s="616" t="s">
        <v>2730</v>
      </c>
      <c r="AB682" s="598"/>
      <c r="AC682" s="598" t="s">
        <v>996</v>
      </c>
      <c r="AD682" s="598" t="s">
        <v>1018</v>
      </c>
      <c r="AE682" s="616" t="s">
        <v>1041</v>
      </c>
      <c r="AF682" s="616" t="s">
        <v>1041</v>
      </c>
      <c r="AG682" s="616" t="s">
        <v>2672</v>
      </c>
      <c r="AH682" s="598" t="s">
        <v>1775</v>
      </c>
      <c r="AI682" s="598" t="s">
        <v>2731</v>
      </c>
      <c r="AJ682" s="598" t="s">
        <v>1107</v>
      </c>
      <c r="AK682" s="598"/>
      <c r="AL682" s="626"/>
      <c r="AM682" s="626"/>
    </row>
    <row r="683" spans="3:39" ht="18" customHeight="1">
      <c r="C683" s="598">
        <v>662</v>
      </c>
      <c r="D683" s="598" t="s">
        <v>956</v>
      </c>
      <c r="E683" s="598">
        <f t="shared" si="11"/>
        <v>625</v>
      </c>
      <c r="F683" s="616"/>
      <c r="G683" s="616" t="s">
        <v>991</v>
      </c>
      <c r="H683" s="618" t="s">
        <v>1195</v>
      </c>
      <c r="I683" s="618" t="s">
        <v>78</v>
      </c>
      <c r="J683" s="618" t="s">
        <v>986</v>
      </c>
      <c r="K683" s="618" t="s">
        <v>956</v>
      </c>
      <c r="L683" s="618" t="s">
        <v>3825</v>
      </c>
      <c r="M683" s="619" t="s">
        <v>3963</v>
      </c>
      <c r="N683" s="620"/>
      <c r="O683" s="620"/>
      <c r="P683" s="667" t="s">
        <v>4948</v>
      </c>
      <c r="Q683" s="621"/>
      <c r="R683" s="598" t="s">
        <v>173</v>
      </c>
      <c r="S683" s="598" t="s">
        <v>173</v>
      </c>
      <c r="T683" s="598" t="s">
        <v>178</v>
      </c>
      <c r="U683" s="598"/>
      <c r="V683" s="667" t="s">
        <v>64</v>
      </c>
      <c r="W683" s="779" t="s">
        <v>4949</v>
      </c>
      <c r="X683" s="598" t="s">
        <v>963</v>
      </c>
      <c r="Y683" s="624">
        <v>32431</v>
      </c>
      <c r="Z683" s="625">
        <f t="shared" ca="1" si="12"/>
        <v>37</v>
      </c>
      <c r="AA683" s="616" t="s">
        <v>964</v>
      </c>
      <c r="AB683" s="598" t="s">
        <v>4950</v>
      </c>
      <c r="AC683" s="598" t="s">
        <v>966</v>
      </c>
      <c r="AD683" s="598" t="s">
        <v>953</v>
      </c>
      <c r="AE683" s="616" t="s">
        <v>967</v>
      </c>
      <c r="AF683" s="616" t="s">
        <v>954</v>
      </c>
      <c r="AG683" s="616" t="s">
        <v>974</v>
      </c>
      <c r="AH683" s="598" t="s">
        <v>955</v>
      </c>
      <c r="AI683" s="598"/>
      <c r="AJ683" s="598"/>
      <c r="AK683" s="598"/>
      <c r="AL683" s="626"/>
      <c r="AM683" s="626"/>
    </row>
    <row r="684" spans="3:39" ht="18" customHeight="1">
      <c r="C684" s="598">
        <v>663</v>
      </c>
      <c r="D684" s="598" t="s">
        <v>3825</v>
      </c>
      <c r="E684" s="598">
        <f t="shared" si="11"/>
        <v>626</v>
      </c>
      <c r="F684" s="616" t="s">
        <v>3808</v>
      </c>
      <c r="G684" s="616" t="s">
        <v>991</v>
      </c>
      <c r="H684" s="618" t="s">
        <v>1195</v>
      </c>
      <c r="I684" s="618" t="s">
        <v>78</v>
      </c>
      <c r="J684" s="618" t="s">
        <v>986</v>
      </c>
      <c r="K684" s="618" t="s">
        <v>956</v>
      </c>
      <c r="L684" s="618" t="s">
        <v>3825</v>
      </c>
      <c r="M684" s="619" t="s">
        <v>3963</v>
      </c>
      <c r="N684" s="620"/>
      <c r="O684" s="620"/>
      <c r="P684" s="663" t="s">
        <v>4948</v>
      </c>
      <c r="Q684" s="621" t="s">
        <v>319</v>
      </c>
      <c r="R684" s="598" t="s">
        <v>69</v>
      </c>
      <c r="S684" s="598" t="s">
        <v>562</v>
      </c>
      <c r="T684" s="598"/>
      <c r="U684" s="598" t="s">
        <v>962</v>
      </c>
      <c r="V684" s="663" t="s">
        <v>620</v>
      </c>
      <c r="W684" s="779" t="s">
        <v>3826</v>
      </c>
      <c r="X684" s="598" t="s">
        <v>963</v>
      </c>
      <c r="Y684" s="624">
        <v>22474</v>
      </c>
      <c r="Z684" s="625">
        <f t="shared" ca="1" si="12"/>
        <v>64</v>
      </c>
      <c r="AA684" s="616" t="s">
        <v>3827</v>
      </c>
      <c r="AB684" s="598" t="s">
        <v>3828</v>
      </c>
      <c r="AC684" s="598" t="s">
        <v>996</v>
      </c>
      <c r="AD684" s="598" t="s">
        <v>1018</v>
      </c>
      <c r="AE684" s="616" t="s">
        <v>246</v>
      </c>
      <c r="AF684" s="616" t="s">
        <v>246</v>
      </c>
      <c r="AG684" s="653" t="s">
        <v>3829</v>
      </c>
      <c r="AH684" s="598"/>
      <c r="AI684" s="598"/>
      <c r="AJ684" s="598" t="s">
        <v>1114</v>
      </c>
      <c r="AK684" s="598"/>
      <c r="AL684" s="626"/>
      <c r="AM684" s="626"/>
    </row>
    <row r="685" spans="3:39" ht="18" customHeight="1">
      <c r="C685" s="598">
        <v>664</v>
      </c>
      <c r="D685" s="598" t="s">
        <v>3963</v>
      </c>
      <c r="E685" s="598">
        <f t="shared" si="11"/>
        <v>627</v>
      </c>
      <c r="F685" s="616" t="s">
        <v>3808</v>
      </c>
      <c r="G685" s="616" t="s">
        <v>991</v>
      </c>
      <c r="H685" s="618" t="s">
        <v>1195</v>
      </c>
      <c r="I685" s="618" t="s">
        <v>78</v>
      </c>
      <c r="J685" s="618" t="s">
        <v>986</v>
      </c>
      <c r="K685" s="618" t="s">
        <v>956</v>
      </c>
      <c r="L685" s="618" t="s">
        <v>3825</v>
      </c>
      <c r="M685" s="619" t="s">
        <v>3963</v>
      </c>
      <c r="N685" s="620"/>
      <c r="O685" s="620"/>
      <c r="P685" s="663" t="s">
        <v>4948</v>
      </c>
      <c r="Q685" s="621" t="s">
        <v>319</v>
      </c>
      <c r="R685" s="598" t="s">
        <v>69</v>
      </c>
      <c r="S685" s="598" t="s">
        <v>562</v>
      </c>
      <c r="T685" s="598"/>
      <c r="U685" s="598" t="s">
        <v>1015</v>
      </c>
      <c r="V685" s="663" t="s">
        <v>639</v>
      </c>
      <c r="W685" s="779" t="s">
        <v>3964</v>
      </c>
      <c r="X685" s="598" t="s">
        <v>950</v>
      </c>
      <c r="Y685" s="624">
        <v>26681</v>
      </c>
      <c r="Z685" s="625">
        <f t="shared" ca="1" si="12"/>
        <v>53</v>
      </c>
      <c r="AA685" s="616" t="s">
        <v>3965</v>
      </c>
      <c r="AB685" s="598" t="s">
        <v>3966</v>
      </c>
      <c r="AC685" s="598" t="s">
        <v>996</v>
      </c>
      <c r="AD685" s="598" t="s">
        <v>997</v>
      </c>
      <c r="AE685" s="616" t="s">
        <v>246</v>
      </c>
      <c r="AF685" s="616" t="s">
        <v>246</v>
      </c>
      <c r="AG685" s="653" t="s">
        <v>3829</v>
      </c>
      <c r="AH685" s="598"/>
      <c r="AI685" s="598"/>
      <c r="AJ685" s="598" t="s">
        <v>1114</v>
      </c>
      <c r="AK685" s="598"/>
      <c r="AL685" s="626"/>
      <c r="AM685" s="626"/>
    </row>
    <row r="686" spans="3:39" ht="18" customHeight="1">
      <c r="C686" s="598">
        <v>665</v>
      </c>
      <c r="D686" s="598" t="s">
        <v>3851</v>
      </c>
      <c r="E686" s="598">
        <f t="shared" si="11"/>
        <v>628</v>
      </c>
      <c r="F686" s="616" t="s">
        <v>3808</v>
      </c>
      <c r="G686" s="616" t="s">
        <v>991</v>
      </c>
      <c r="H686" s="618" t="s">
        <v>1195</v>
      </c>
      <c r="I686" s="618" t="s">
        <v>78</v>
      </c>
      <c r="J686" s="618" t="s">
        <v>986</v>
      </c>
      <c r="K686" s="618" t="s">
        <v>956</v>
      </c>
      <c r="L686" s="618" t="s">
        <v>3825</v>
      </c>
      <c r="M686" s="619" t="s">
        <v>3963</v>
      </c>
      <c r="N686" s="620"/>
      <c r="O686" s="620"/>
      <c r="P686" s="663" t="s">
        <v>4948</v>
      </c>
      <c r="Q686" s="621" t="s">
        <v>319</v>
      </c>
      <c r="R686" s="598"/>
      <c r="S686" s="598"/>
      <c r="T686" s="598"/>
      <c r="U686" s="598" t="s">
        <v>962</v>
      </c>
      <c r="V686" s="663" t="s">
        <v>3852</v>
      </c>
      <c r="W686" s="779" t="s">
        <v>3853</v>
      </c>
      <c r="X686" s="598" t="s">
        <v>963</v>
      </c>
      <c r="Y686" s="624">
        <v>26062</v>
      </c>
      <c r="Z686" s="625">
        <f t="shared" ca="1" si="12"/>
        <v>54</v>
      </c>
      <c r="AA686" s="616" t="s">
        <v>3854</v>
      </c>
      <c r="AB686" s="598" t="s">
        <v>3855</v>
      </c>
      <c r="AC686" s="598" t="s">
        <v>996</v>
      </c>
      <c r="AD686" s="598" t="s">
        <v>1018</v>
      </c>
      <c r="AE686" s="616" t="s">
        <v>246</v>
      </c>
      <c r="AF686" s="616" t="s">
        <v>246</v>
      </c>
      <c r="AG686" s="616" t="s">
        <v>3856</v>
      </c>
      <c r="AH686" s="598"/>
      <c r="AI686" s="598"/>
      <c r="AJ686" s="598" t="s">
        <v>1107</v>
      </c>
      <c r="AK686" s="598"/>
      <c r="AL686" s="626"/>
      <c r="AM686" s="626"/>
    </row>
    <row r="687" spans="3:39" ht="18" customHeight="1">
      <c r="C687" s="598">
        <v>666</v>
      </c>
      <c r="D687" s="598" t="s">
        <v>3515</v>
      </c>
      <c r="E687" s="598">
        <f t="shared" si="11"/>
        <v>629</v>
      </c>
      <c r="F687" s="616" t="s">
        <v>1810</v>
      </c>
      <c r="G687" s="616" t="s">
        <v>991</v>
      </c>
      <c r="H687" s="618" t="s">
        <v>1195</v>
      </c>
      <c r="I687" s="618" t="s">
        <v>78</v>
      </c>
      <c r="J687" s="618" t="s">
        <v>986</v>
      </c>
      <c r="K687" s="618" t="s">
        <v>956</v>
      </c>
      <c r="L687" s="618" t="s">
        <v>3825</v>
      </c>
      <c r="M687" s="619" t="s">
        <v>3963</v>
      </c>
      <c r="N687" s="620"/>
      <c r="O687" s="620"/>
      <c r="P687" s="663" t="s">
        <v>4948</v>
      </c>
      <c r="Q687" s="621" t="s">
        <v>319</v>
      </c>
      <c r="R687" s="598"/>
      <c r="S687" s="598"/>
      <c r="T687" s="598"/>
      <c r="U687" s="598" t="s">
        <v>962</v>
      </c>
      <c r="V687" s="663" t="s">
        <v>675</v>
      </c>
      <c r="W687" s="779" t="s">
        <v>3516</v>
      </c>
      <c r="X687" s="598" t="s">
        <v>963</v>
      </c>
      <c r="Y687" s="624">
        <v>24209</v>
      </c>
      <c r="Z687" s="625">
        <f t="shared" ca="1" si="12"/>
        <v>59</v>
      </c>
      <c r="AA687" s="616" t="s">
        <v>3517</v>
      </c>
      <c r="AB687" s="598" t="s">
        <v>3518</v>
      </c>
      <c r="AC687" s="598" t="s">
        <v>996</v>
      </c>
      <c r="AD687" s="598" t="s">
        <v>1018</v>
      </c>
      <c r="AE687" s="616" t="s">
        <v>973</v>
      </c>
      <c r="AF687" s="616" t="s">
        <v>973</v>
      </c>
      <c r="AG687" s="616" t="s">
        <v>3519</v>
      </c>
      <c r="AH687" s="598"/>
      <c r="AI687" s="598"/>
      <c r="AJ687" s="598" t="s">
        <v>1114</v>
      </c>
      <c r="AK687" s="598" t="s">
        <v>3510</v>
      </c>
      <c r="AL687" s="626"/>
      <c r="AM687" s="626"/>
    </row>
    <row r="688" spans="3:39" ht="18" customHeight="1">
      <c r="C688" s="598">
        <v>667</v>
      </c>
      <c r="D688" s="598" t="s">
        <v>3520</v>
      </c>
      <c r="E688" s="598">
        <f t="shared" si="11"/>
        <v>630</v>
      </c>
      <c r="F688" s="616" t="s">
        <v>1810</v>
      </c>
      <c r="G688" s="616" t="s">
        <v>991</v>
      </c>
      <c r="H688" s="618" t="s">
        <v>1195</v>
      </c>
      <c r="I688" s="618" t="s">
        <v>78</v>
      </c>
      <c r="J688" s="618" t="s">
        <v>986</v>
      </c>
      <c r="K688" s="618" t="s">
        <v>956</v>
      </c>
      <c r="L688" s="618" t="s">
        <v>3825</v>
      </c>
      <c r="M688" s="619" t="s">
        <v>3963</v>
      </c>
      <c r="N688" s="620"/>
      <c r="O688" s="620"/>
      <c r="P688" s="663" t="s">
        <v>4948</v>
      </c>
      <c r="Q688" s="621" t="s">
        <v>319</v>
      </c>
      <c r="R688" s="598"/>
      <c r="S688" s="598"/>
      <c r="T688" s="598"/>
      <c r="U688" s="598" t="s">
        <v>962</v>
      </c>
      <c r="V688" s="663" t="s">
        <v>691</v>
      </c>
      <c r="W688" s="779" t="s">
        <v>3521</v>
      </c>
      <c r="X688" s="598" t="s">
        <v>963</v>
      </c>
      <c r="Y688" s="624">
        <v>26119</v>
      </c>
      <c r="Z688" s="625">
        <f t="shared" ca="1" si="12"/>
        <v>54</v>
      </c>
      <c r="AA688" s="616"/>
      <c r="AB688" s="598" t="s">
        <v>3522</v>
      </c>
      <c r="AC688" s="598" t="s">
        <v>996</v>
      </c>
      <c r="AD688" s="598" t="s">
        <v>1018</v>
      </c>
      <c r="AE688" s="616" t="s">
        <v>973</v>
      </c>
      <c r="AF688" s="616" t="s">
        <v>973</v>
      </c>
      <c r="AG688" s="616" t="s">
        <v>3519</v>
      </c>
      <c r="AH688" s="598"/>
      <c r="AI688" s="598"/>
      <c r="AJ688" s="598" t="s">
        <v>1114</v>
      </c>
      <c r="AK688" s="598" t="s">
        <v>3510</v>
      </c>
      <c r="AL688" s="626"/>
      <c r="AM688" s="626"/>
    </row>
    <row r="689" spans="3:39" ht="18" customHeight="1">
      <c r="C689" s="598">
        <v>668</v>
      </c>
      <c r="D689" s="598" t="s">
        <v>4951</v>
      </c>
      <c r="E689" s="598">
        <f t="shared" si="11"/>
        <v>631</v>
      </c>
      <c r="F689" s="616" t="s">
        <v>1810</v>
      </c>
      <c r="G689" s="616" t="s">
        <v>991</v>
      </c>
      <c r="H689" s="618" t="s">
        <v>1195</v>
      </c>
      <c r="I689" s="618" t="s">
        <v>78</v>
      </c>
      <c r="J689" s="618" t="s">
        <v>986</v>
      </c>
      <c r="K689" s="618" t="s">
        <v>956</v>
      </c>
      <c r="L689" s="618" t="s">
        <v>3825</v>
      </c>
      <c r="M689" s="619" t="s">
        <v>3963</v>
      </c>
      <c r="N689" s="620"/>
      <c r="O689" s="620"/>
      <c r="P689" s="663" t="s">
        <v>4948</v>
      </c>
      <c r="Q689" s="621" t="s">
        <v>319</v>
      </c>
      <c r="R689" s="598"/>
      <c r="S689" s="598"/>
      <c r="T689" s="598"/>
      <c r="U689" s="598" t="s">
        <v>1015</v>
      </c>
      <c r="V689" s="668" t="s">
        <v>4952</v>
      </c>
      <c r="W689" s="779" t="s">
        <v>4953</v>
      </c>
      <c r="X689" s="598" t="s">
        <v>950</v>
      </c>
      <c r="Y689" s="624">
        <v>22399</v>
      </c>
      <c r="Z689" s="625">
        <f t="shared" ca="1" si="12"/>
        <v>64</v>
      </c>
      <c r="AA689" s="616" t="s">
        <v>4954</v>
      </c>
      <c r="AB689" s="652"/>
      <c r="AC689" s="598" t="s">
        <v>996</v>
      </c>
      <c r="AD689" s="598" t="s">
        <v>1018</v>
      </c>
      <c r="AE689" s="616" t="s">
        <v>973</v>
      </c>
      <c r="AF689" s="616" t="s">
        <v>973</v>
      </c>
      <c r="AG689" s="616" t="s">
        <v>3519</v>
      </c>
      <c r="AH689" s="598"/>
      <c r="AI689" s="598" t="s">
        <v>4955</v>
      </c>
      <c r="AJ689" s="598" t="s">
        <v>1114</v>
      </c>
      <c r="AK689" s="598" t="s">
        <v>1020</v>
      </c>
      <c r="AL689" s="626" t="s">
        <v>1121</v>
      </c>
      <c r="AM689" s="626"/>
    </row>
    <row r="690" spans="3:39" ht="18" customHeight="1">
      <c r="C690" s="598">
        <v>669</v>
      </c>
      <c r="D690" s="598" t="s">
        <v>2572</v>
      </c>
      <c r="E690" s="598">
        <f t="shared" si="11"/>
        <v>632</v>
      </c>
      <c r="F690" s="616" t="s">
        <v>4978</v>
      </c>
      <c r="G690" s="616" t="s">
        <v>991</v>
      </c>
      <c r="H690" s="618" t="s">
        <v>1195</v>
      </c>
      <c r="I690" s="618" t="s">
        <v>78</v>
      </c>
      <c r="J690" s="618" t="s">
        <v>986</v>
      </c>
      <c r="K690" s="618" t="s">
        <v>956</v>
      </c>
      <c r="L690" s="618" t="s">
        <v>3825</v>
      </c>
      <c r="M690" s="619" t="s">
        <v>3963</v>
      </c>
      <c r="N690" s="620"/>
      <c r="O690" s="620"/>
      <c r="P690" s="663" t="s">
        <v>4948</v>
      </c>
      <c r="Q690" s="621" t="s">
        <v>319</v>
      </c>
      <c r="R690" s="598"/>
      <c r="S690" s="598"/>
      <c r="T690" s="598"/>
      <c r="U690" s="598" t="s">
        <v>962</v>
      </c>
      <c r="V690" s="675" t="s">
        <v>714</v>
      </c>
      <c r="W690" s="779" t="s">
        <v>2573</v>
      </c>
      <c r="X690" s="598" t="s">
        <v>963</v>
      </c>
      <c r="Y690" s="624">
        <v>26765</v>
      </c>
      <c r="Z690" s="625">
        <f t="shared" ca="1" si="12"/>
        <v>52</v>
      </c>
      <c r="AA690" s="616" t="s">
        <v>2574</v>
      </c>
      <c r="AB690" s="598" t="s">
        <v>2575</v>
      </c>
      <c r="AC690" s="598" t="s">
        <v>996</v>
      </c>
      <c r="AD690" s="598" t="s">
        <v>1018</v>
      </c>
      <c r="AE690" s="616" t="s">
        <v>729</v>
      </c>
      <c r="AF690" s="616" t="s">
        <v>729</v>
      </c>
      <c r="AG690" s="616" t="s">
        <v>2576</v>
      </c>
      <c r="AH690" s="598"/>
      <c r="AI690" s="598"/>
      <c r="AJ690" s="644" t="s">
        <v>1566</v>
      </c>
      <c r="AK690" s="598"/>
      <c r="AL690" s="626"/>
      <c r="AM690" s="626"/>
    </row>
    <row r="691" spans="3:39" ht="18" customHeight="1">
      <c r="C691" s="598">
        <v>670</v>
      </c>
      <c r="D691" s="598" t="s">
        <v>1514</v>
      </c>
      <c r="E691" s="598">
        <f t="shared" si="11"/>
        <v>632</v>
      </c>
      <c r="F691" s="616"/>
      <c r="G691" s="616" t="s">
        <v>991</v>
      </c>
      <c r="H691" s="618" t="s">
        <v>1195</v>
      </c>
      <c r="I691" s="618" t="s">
        <v>78</v>
      </c>
      <c r="J691" s="618" t="s">
        <v>986</v>
      </c>
      <c r="K691" s="618" t="s">
        <v>1514</v>
      </c>
      <c r="L691" s="618" t="s">
        <v>959</v>
      </c>
      <c r="M691" s="619"/>
      <c r="N691" s="620"/>
      <c r="O691" s="620"/>
      <c r="P691" s="667" t="s">
        <v>4956</v>
      </c>
      <c r="Q691" s="621"/>
      <c r="R691" s="598" t="s">
        <v>55</v>
      </c>
      <c r="S691" s="598" t="s">
        <v>178</v>
      </c>
      <c r="T691" s="598"/>
      <c r="U691" s="598"/>
      <c r="V691" s="667" t="s">
        <v>191</v>
      </c>
      <c r="W691" s="779" t="s">
        <v>1516</v>
      </c>
      <c r="X691" s="598" t="s">
        <v>963</v>
      </c>
      <c r="Y691" s="624">
        <v>19232</v>
      </c>
      <c r="Z691" s="625">
        <f t="shared" ca="1" si="12"/>
        <v>73</v>
      </c>
      <c r="AA691" s="616" t="s">
        <v>1517</v>
      </c>
      <c r="AB691" s="598" t="s">
        <v>4957</v>
      </c>
      <c r="AC691" s="598" t="s">
        <v>966</v>
      </c>
      <c r="AD691" s="598" t="s">
        <v>953</v>
      </c>
      <c r="AE691" s="616" t="s">
        <v>729</v>
      </c>
      <c r="AF691" s="616" t="s">
        <v>1239</v>
      </c>
      <c r="AG691" s="616" t="s">
        <v>1240</v>
      </c>
      <c r="AH691" s="598" t="s">
        <v>955</v>
      </c>
      <c r="AI691" s="598"/>
      <c r="AJ691" s="598"/>
      <c r="AK691" s="598"/>
      <c r="AL691" s="626"/>
      <c r="AM691" s="626"/>
    </row>
    <row r="692" spans="3:39" ht="18" customHeight="1">
      <c r="C692" s="598">
        <v>671</v>
      </c>
      <c r="D692" s="598" t="s">
        <v>1765</v>
      </c>
      <c r="E692" s="598">
        <f t="shared" si="11"/>
        <v>633</v>
      </c>
      <c r="F692" s="616" t="s">
        <v>4978</v>
      </c>
      <c r="G692" s="616" t="s">
        <v>991</v>
      </c>
      <c r="H692" s="618" t="s">
        <v>1195</v>
      </c>
      <c r="I692" s="618" t="s">
        <v>78</v>
      </c>
      <c r="J692" s="618" t="s">
        <v>986</v>
      </c>
      <c r="K692" s="618" t="s">
        <v>1514</v>
      </c>
      <c r="L692" s="618" t="s">
        <v>959</v>
      </c>
      <c r="M692" s="619"/>
      <c r="N692" s="620"/>
      <c r="O692" s="620"/>
      <c r="P692" s="663" t="s">
        <v>4956</v>
      </c>
      <c r="Q692" s="621" t="s">
        <v>319</v>
      </c>
      <c r="R692" s="598"/>
      <c r="S692" s="598"/>
      <c r="T692" s="598"/>
      <c r="U692" s="598" t="s">
        <v>962</v>
      </c>
      <c r="V692" s="663" t="s">
        <v>621</v>
      </c>
      <c r="W692" s="779" t="s">
        <v>1766</v>
      </c>
      <c r="X692" s="598" t="s">
        <v>963</v>
      </c>
      <c r="Y692" s="624">
        <v>22720</v>
      </c>
      <c r="Z692" s="625">
        <f t="shared" ca="1" si="12"/>
        <v>63</v>
      </c>
      <c r="AA692" s="616" t="s">
        <v>1767</v>
      </c>
      <c r="AB692" s="598" t="s">
        <v>1768</v>
      </c>
      <c r="AC692" s="598" t="s">
        <v>996</v>
      </c>
      <c r="AD692" s="598" t="s">
        <v>997</v>
      </c>
      <c r="AE692" s="616" t="s">
        <v>729</v>
      </c>
      <c r="AF692" s="640" t="s">
        <v>729</v>
      </c>
      <c r="AG692" s="616" t="s">
        <v>1769</v>
      </c>
      <c r="AH692" s="598"/>
      <c r="AI692" s="598"/>
      <c r="AJ692" s="598" t="s">
        <v>1452</v>
      </c>
      <c r="AK692" s="598"/>
      <c r="AL692" s="626"/>
      <c r="AM692" s="626"/>
    </row>
    <row r="693" spans="3:39" ht="18" customHeight="1">
      <c r="C693" s="598">
        <v>672</v>
      </c>
      <c r="D693" s="598" t="s">
        <v>2577</v>
      </c>
      <c r="E693" s="598">
        <f t="shared" si="11"/>
        <v>634</v>
      </c>
      <c r="F693" s="616" t="s">
        <v>4978</v>
      </c>
      <c r="G693" s="616" t="s">
        <v>991</v>
      </c>
      <c r="H693" s="618" t="s">
        <v>1195</v>
      </c>
      <c r="I693" s="618" t="s">
        <v>78</v>
      </c>
      <c r="J693" s="618" t="s">
        <v>986</v>
      </c>
      <c r="K693" s="618" t="s">
        <v>1514</v>
      </c>
      <c r="L693" s="618" t="s">
        <v>959</v>
      </c>
      <c r="M693" s="619"/>
      <c r="N693" s="620"/>
      <c r="O693" s="620"/>
      <c r="P693" s="663" t="s">
        <v>4956</v>
      </c>
      <c r="Q693" s="621" t="s">
        <v>319</v>
      </c>
      <c r="R693" s="598"/>
      <c r="S693" s="598"/>
      <c r="T693" s="598"/>
      <c r="U693" s="598" t="s">
        <v>962</v>
      </c>
      <c r="V693" s="663" t="s">
        <v>657</v>
      </c>
      <c r="W693" s="779" t="s">
        <v>2578</v>
      </c>
      <c r="X693" s="598" t="s">
        <v>963</v>
      </c>
      <c r="Y693" s="624">
        <v>35402</v>
      </c>
      <c r="Z693" s="625">
        <f t="shared" ca="1" si="12"/>
        <v>29</v>
      </c>
      <c r="AA693" s="616" t="s">
        <v>2579</v>
      </c>
      <c r="AB693" s="764"/>
      <c r="AC693" s="598" t="s">
        <v>996</v>
      </c>
      <c r="AD693" s="598" t="s">
        <v>997</v>
      </c>
      <c r="AE693" s="616" t="s">
        <v>729</v>
      </c>
      <c r="AF693" s="640" t="s">
        <v>729</v>
      </c>
      <c r="AG693" s="616" t="s">
        <v>2580</v>
      </c>
      <c r="AH693" s="598"/>
      <c r="AI693" s="598"/>
      <c r="AJ693" s="598" t="s">
        <v>1452</v>
      </c>
      <c r="AK693" s="598"/>
      <c r="AL693" s="626"/>
      <c r="AM693" s="626"/>
    </row>
    <row r="694" spans="3:39" ht="18" customHeight="1">
      <c r="C694" s="598">
        <v>673</v>
      </c>
      <c r="D694" s="598" t="s">
        <v>2581</v>
      </c>
      <c r="E694" s="598">
        <f t="shared" si="11"/>
        <v>635</v>
      </c>
      <c r="F694" s="616" t="s">
        <v>4978</v>
      </c>
      <c r="G694" s="616" t="s">
        <v>991</v>
      </c>
      <c r="H694" s="618" t="s">
        <v>1195</v>
      </c>
      <c r="I694" s="618" t="s">
        <v>78</v>
      </c>
      <c r="J694" s="618" t="s">
        <v>986</v>
      </c>
      <c r="K694" s="618" t="s">
        <v>1514</v>
      </c>
      <c r="L694" s="618" t="s">
        <v>959</v>
      </c>
      <c r="M694" s="619"/>
      <c r="N694" s="620"/>
      <c r="O694" s="620"/>
      <c r="P694" s="663" t="s">
        <v>4956</v>
      </c>
      <c r="Q694" s="621" t="s">
        <v>319</v>
      </c>
      <c r="R694" s="598"/>
      <c r="S694" s="598"/>
      <c r="T694" s="598"/>
      <c r="U694" s="598" t="s">
        <v>962</v>
      </c>
      <c r="V694" s="663" t="s">
        <v>676</v>
      </c>
      <c r="W694" s="779" t="s">
        <v>2582</v>
      </c>
      <c r="X694" s="598" t="s">
        <v>963</v>
      </c>
      <c r="Y694" s="624">
        <v>35555</v>
      </c>
      <c r="Z694" s="625">
        <f t="shared" ca="1" si="12"/>
        <v>28</v>
      </c>
      <c r="AA694" s="616" t="s">
        <v>2583</v>
      </c>
      <c r="AB694" s="598" t="s">
        <v>2584</v>
      </c>
      <c r="AC694" s="598" t="s">
        <v>996</v>
      </c>
      <c r="AD694" s="598" t="s">
        <v>1018</v>
      </c>
      <c r="AE694" s="616" t="s">
        <v>729</v>
      </c>
      <c r="AF694" s="640" t="s">
        <v>729</v>
      </c>
      <c r="AG694" s="616" t="s">
        <v>2580</v>
      </c>
      <c r="AH694" s="598"/>
      <c r="AI694" s="598"/>
      <c r="AJ694" s="598" t="s">
        <v>1452</v>
      </c>
      <c r="AK694" s="598"/>
      <c r="AL694" s="626"/>
      <c r="AM694" s="626"/>
    </row>
    <row r="695" spans="3:39" ht="18" customHeight="1">
      <c r="C695" s="598">
        <v>674</v>
      </c>
      <c r="D695" s="598" t="s">
        <v>1746</v>
      </c>
      <c r="E695" s="598">
        <f t="shared" si="11"/>
        <v>636</v>
      </c>
      <c r="F695" s="616" t="s">
        <v>4978</v>
      </c>
      <c r="G695" s="616" t="s">
        <v>991</v>
      </c>
      <c r="H695" s="618" t="s">
        <v>1195</v>
      </c>
      <c r="I695" s="618" t="s">
        <v>78</v>
      </c>
      <c r="J695" s="618" t="s">
        <v>986</v>
      </c>
      <c r="K695" s="618" t="s">
        <v>1514</v>
      </c>
      <c r="L695" s="618" t="s">
        <v>959</v>
      </c>
      <c r="M695" s="619"/>
      <c r="N695" s="620"/>
      <c r="O695" s="620"/>
      <c r="P695" s="663" t="s">
        <v>4956</v>
      </c>
      <c r="Q695" s="621" t="s">
        <v>319</v>
      </c>
      <c r="R695" s="598"/>
      <c r="S695" s="598"/>
      <c r="T695" s="598"/>
      <c r="U695" s="598" t="s">
        <v>1090</v>
      </c>
      <c r="V695" s="663" t="s">
        <v>707</v>
      </c>
      <c r="W695" s="779" t="s">
        <v>1747</v>
      </c>
      <c r="X695" s="598" t="s">
        <v>963</v>
      </c>
      <c r="Y695" s="624">
        <v>18218</v>
      </c>
      <c r="Z695" s="625">
        <f t="shared" ca="1" si="12"/>
        <v>76</v>
      </c>
      <c r="AA695" s="616" t="s">
        <v>1748</v>
      </c>
      <c r="AB695" s="598" t="s">
        <v>1749</v>
      </c>
      <c r="AC695" s="598" t="s">
        <v>996</v>
      </c>
      <c r="AD695" s="598" t="s">
        <v>1018</v>
      </c>
      <c r="AE695" s="616" t="s">
        <v>729</v>
      </c>
      <c r="AF695" s="640" t="s">
        <v>729</v>
      </c>
      <c r="AG695" s="616" t="s">
        <v>1750</v>
      </c>
      <c r="AH695" s="598"/>
      <c r="AI695" s="598"/>
      <c r="AJ695" s="598" t="s">
        <v>1107</v>
      </c>
      <c r="AK695" s="598"/>
      <c r="AL695" s="626"/>
      <c r="AM695" s="626"/>
    </row>
    <row r="696" spans="3:39" ht="18" customHeight="1">
      <c r="C696" s="598">
        <v>675</v>
      </c>
      <c r="D696" s="598" t="s">
        <v>2739</v>
      </c>
      <c r="E696" s="598">
        <f t="shared" si="11"/>
        <v>637</v>
      </c>
      <c r="F696" s="616" t="s">
        <v>4978</v>
      </c>
      <c r="G696" s="616" t="s">
        <v>991</v>
      </c>
      <c r="H696" s="618" t="s">
        <v>1195</v>
      </c>
      <c r="I696" s="618" t="s">
        <v>78</v>
      </c>
      <c r="J696" s="618" t="s">
        <v>986</v>
      </c>
      <c r="K696" s="618" t="s">
        <v>1514</v>
      </c>
      <c r="L696" s="618" t="s">
        <v>959</v>
      </c>
      <c r="M696" s="619"/>
      <c r="N696" s="620"/>
      <c r="O696" s="620"/>
      <c r="P696" s="663" t="s">
        <v>4956</v>
      </c>
      <c r="Q696" s="621" t="s">
        <v>319</v>
      </c>
      <c r="R696" s="598"/>
      <c r="S696" s="598"/>
      <c r="T696" s="598"/>
      <c r="U696" s="598" t="s">
        <v>962</v>
      </c>
      <c r="V696" s="663" t="s">
        <v>2740</v>
      </c>
      <c r="W696" s="779" t="s">
        <v>2741</v>
      </c>
      <c r="X696" s="598" t="s">
        <v>963</v>
      </c>
      <c r="Y696" s="624">
        <v>22220</v>
      </c>
      <c r="Z696" s="625">
        <f t="shared" ca="1" si="12"/>
        <v>65</v>
      </c>
      <c r="AA696" s="616" t="s">
        <v>2742</v>
      </c>
      <c r="AB696" s="598" t="s">
        <v>2743</v>
      </c>
      <c r="AC696" s="598" t="s">
        <v>996</v>
      </c>
      <c r="AD696" s="598" t="s">
        <v>997</v>
      </c>
      <c r="AE696" s="616" t="s">
        <v>729</v>
      </c>
      <c r="AF696" s="616" t="s">
        <v>2737</v>
      </c>
      <c r="AG696" s="616" t="s">
        <v>2744</v>
      </c>
      <c r="AH696" s="598"/>
      <c r="AI696" s="598"/>
      <c r="AJ696" s="598" t="s">
        <v>1107</v>
      </c>
      <c r="AK696" s="598"/>
      <c r="AL696" s="626"/>
      <c r="AM696" s="626"/>
    </row>
    <row r="697" spans="3:39" ht="18" customHeight="1">
      <c r="C697" s="598">
        <v>676</v>
      </c>
      <c r="D697" s="598" t="s">
        <v>2732</v>
      </c>
      <c r="E697" s="598">
        <f t="shared" si="11"/>
        <v>638</v>
      </c>
      <c r="F697" s="616" t="s">
        <v>1798</v>
      </c>
      <c r="G697" s="616" t="s">
        <v>991</v>
      </c>
      <c r="H697" s="618" t="s">
        <v>1195</v>
      </c>
      <c r="I697" s="618" t="s">
        <v>78</v>
      </c>
      <c r="J697" s="618" t="s">
        <v>986</v>
      </c>
      <c r="K697" s="618" t="s">
        <v>1514</v>
      </c>
      <c r="L697" s="618" t="s">
        <v>959</v>
      </c>
      <c r="M697" s="619"/>
      <c r="N697" s="620"/>
      <c r="O697" s="620"/>
      <c r="P697" s="663" t="s">
        <v>4956</v>
      </c>
      <c r="Q697" s="621" t="s">
        <v>319</v>
      </c>
      <c r="R697" s="598"/>
      <c r="S697" s="598"/>
      <c r="T697" s="598"/>
      <c r="U697" s="598" t="s">
        <v>1090</v>
      </c>
      <c r="V697" s="663" t="s">
        <v>2733</v>
      </c>
      <c r="W697" s="779" t="s">
        <v>2734</v>
      </c>
      <c r="X697" s="598" t="s">
        <v>963</v>
      </c>
      <c r="Y697" s="624">
        <v>18796</v>
      </c>
      <c r="Z697" s="625">
        <f t="shared" ca="1" si="12"/>
        <v>74</v>
      </c>
      <c r="AA697" s="616" t="s">
        <v>2735</v>
      </c>
      <c r="AB697" s="598" t="s">
        <v>2736</v>
      </c>
      <c r="AC697" s="598" t="s">
        <v>996</v>
      </c>
      <c r="AD697" s="598" t="s">
        <v>1018</v>
      </c>
      <c r="AE697" s="616" t="s">
        <v>1041</v>
      </c>
      <c r="AF697" s="616" t="s">
        <v>2737</v>
      </c>
      <c r="AG697" s="616" t="s">
        <v>2738</v>
      </c>
      <c r="AH697" s="598"/>
      <c r="AI697" s="598"/>
      <c r="AJ697" s="598" t="s">
        <v>1318</v>
      </c>
      <c r="AK697" s="598"/>
      <c r="AL697" s="626"/>
      <c r="AM697" s="626"/>
    </row>
    <row r="698" spans="3:39" ht="18" customHeight="1">
      <c r="C698" s="598">
        <v>677</v>
      </c>
      <c r="D698" s="598" t="s">
        <v>1523</v>
      </c>
      <c r="E698" s="598">
        <f t="shared" si="11"/>
        <v>639</v>
      </c>
      <c r="F698" s="616" t="s">
        <v>4978</v>
      </c>
      <c r="G698" s="616" t="s">
        <v>991</v>
      </c>
      <c r="H698" s="618" t="s">
        <v>1195</v>
      </c>
      <c r="I698" s="618" t="s">
        <v>78</v>
      </c>
      <c r="J698" s="618" t="s">
        <v>986</v>
      </c>
      <c r="K698" s="618" t="s">
        <v>1514</v>
      </c>
      <c r="L698" s="618" t="s">
        <v>959</v>
      </c>
      <c r="M698" s="619"/>
      <c r="N698" s="620"/>
      <c r="O698" s="620"/>
      <c r="P698" s="663" t="s">
        <v>4956</v>
      </c>
      <c r="Q698" s="621" t="s">
        <v>319</v>
      </c>
      <c r="R698" s="598"/>
      <c r="S698" s="598"/>
      <c r="T698" s="598"/>
      <c r="U698" s="598" t="s">
        <v>962</v>
      </c>
      <c r="V698" s="663" t="s">
        <v>1524</v>
      </c>
      <c r="W698" s="779" t="s">
        <v>1525</v>
      </c>
      <c r="X698" s="598" t="s">
        <v>963</v>
      </c>
      <c r="Y698" s="624">
        <v>21313</v>
      </c>
      <c r="Z698" s="625">
        <f t="shared" ca="1" si="12"/>
        <v>67</v>
      </c>
      <c r="AA698" s="616" t="s">
        <v>1526</v>
      </c>
      <c r="AB698" s="598" t="s">
        <v>1527</v>
      </c>
      <c r="AC698" s="598" t="s">
        <v>996</v>
      </c>
      <c r="AD698" s="598" t="s">
        <v>1018</v>
      </c>
      <c r="AE698" s="616" t="s">
        <v>729</v>
      </c>
      <c r="AF698" s="616" t="s">
        <v>729</v>
      </c>
      <c r="AG698" s="616" t="s">
        <v>1323</v>
      </c>
      <c r="AH698" s="598"/>
      <c r="AI698" s="598"/>
      <c r="AJ698" s="598" t="s">
        <v>1318</v>
      </c>
      <c r="AK698" s="598"/>
      <c r="AL698" s="626"/>
      <c r="AM698" s="626"/>
    </row>
    <row r="699" spans="3:39" ht="18" customHeight="1">
      <c r="C699" s="598">
        <v>678</v>
      </c>
      <c r="D699" s="598" t="s">
        <v>4958</v>
      </c>
      <c r="E699" s="598">
        <f t="shared" si="11"/>
        <v>640</v>
      </c>
      <c r="F699" s="616" t="s">
        <v>4978</v>
      </c>
      <c r="G699" s="616" t="s">
        <v>991</v>
      </c>
      <c r="H699" s="618" t="s">
        <v>1195</v>
      </c>
      <c r="I699" s="618" t="s">
        <v>78</v>
      </c>
      <c r="J699" s="618" t="s">
        <v>986</v>
      </c>
      <c r="K699" s="618" t="s">
        <v>1514</v>
      </c>
      <c r="L699" s="618" t="s">
        <v>959</v>
      </c>
      <c r="M699" s="619"/>
      <c r="N699" s="620"/>
      <c r="O699" s="620"/>
      <c r="P699" s="673" t="s">
        <v>4956</v>
      </c>
      <c r="Q699" s="621" t="s">
        <v>319</v>
      </c>
      <c r="R699" s="598"/>
      <c r="S699" s="598"/>
      <c r="T699" s="598"/>
      <c r="U699" s="598" t="s">
        <v>962</v>
      </c>
      <c r="V699" s="673" t="s">
        <v>4959</v>
      </c>
      <c r="W699" s="779" t="s">
        <v>4960</v>
      </c>
      <c r="X699" s="598" t="s">
        <v>963</v>
      </c>
      <c r="Y699" s="624">
        <v>26711</v>
      </c>
      <c r="Z699" s="625">
        <f t="shared" ca="1" si="12"/>
        <v>52</v>
      </c>
      <c r="AA699" s="616" t="s">
        <v>4961</v>
      </c>
      <c r="AB699" s="652"/>
      <c r="AC699" s="598" t="s">
        <v>996</v>
      </c>
      <c r="AD699" s="598" t="s">
        <v>1018</v>
      </c>
      <c r="AE699" s="616" t="s">
        <v>729</v>
      </c>
      <c r="AF699" s="616" t="s">
        <v>729</v>
      </c>
      <c r="AG699" s="616" t="s">
        <v>4962</v>
      </c>
      <c r="AH699" s="598"/>
      <c r="AI699" s="598" t="s">
        <v>1019</v>
      </c>
      <c r="AJ699" s="598" t="s">
        <v>1452</v>
      </c>
      <c r="AK699" s="598"/>
      <c r="AL699" s="626"/>
      <c r="AM699" s="626"/>
    </row>
    <row r="700" spans="3:39" ht="18" customHeight="1">
      <c r="C700" s="598">
        <v>679</v>
      </c>
      <c r="D700" s="598" t="s">
        <v>1658</v>
      </c>
      <c r="E700" s="598">
        <f t="shared" si="11"/>
        <v>640</v>
      </c>
      <c r="F700" s="616"/>
      <c r="G700" s="616" t="s">
        <v>4963</v>
      </c>
      <c r="H700" s="618" t="s">
        <v>1195</v>
      </c>
      <c r="I700" s="618" t="s">
        <v>87</v>
      </c>
      <c r="J700" s="618" t="s">
        <v>1043</v>
      </c>
      <c r="K700" s="618" t="s">
        <v>1658</v>
      </c>
      <c r="L700" s="618"/>
      <c r="M700" s="619"/>
      <c r="N700" s="620"/>
      <c r="O700" s="620"/>
      <c r="P700" s="667" t="s">
        <v>4964</v>
      </c>
      <c r="Q700" s="621"/>
      <c r="R700" s="598" t="s">
        <v>55</v>
      </c>
      <c r="S700" s="598" t="s">
        <v>178</v>
      </c>
      <c r="T700" s="598"/>
      <c r="U700" s="598"/>
      <c r="V700" s="667" t="s">
        <v>286</v>
      </c>
      <c r="W700" s="779" t="s">
        <v>4965</v>
      </c>
      <c r="X700" s="598" t="s">
        <v>950</v>
      </c>
      <c r="Y700" s="624">
        <v>29090</v>
      </c>
      <c r="Z700" s="625">
        <f t="shared" ca="1" si="12"/>
        <v>46</v>
      </c>
      <c r="AA700" s="616" t="s">
        <v>1661</v>
      </c>
      <c r="AB700" s="598" t="s">
        <v>1662</v>
      </c>
      <c r="AC700" s="598" t="s">
        <v>966</v>
      </c>
      <c r="AD700" s="598" t="s">
        <v>953</v>
      </c>
      <c r="AE700" s="616" t="s">
        <v>729</v>
      </c>
      <c r="AF700" s="616" t="s">
        <v>1239</v>
      </c>
      <c r="AG700" s="616" t="s">
        <v>1258</v>
      </c>
      <c r="AH700" s="598" t="s">
        <v>955</v>
      </c>
      <c r="AI700" s="598"/>
      <c r="AJ700" s="598"/>
      <c r="AK700" s="598"/>
      <c r="AL700" s="626"/>
      <c r="AM700" s="626"/>
    </row>
    <row r="701" spans="3:39" ht="18" customHeight="1">
      <c r="C701" s="598">
        <v>680</v>
      </c>
      <c r="D701" s="598" t="s">
        <v>1663</v>
      </c>
      <c r="E701" s="598">
        <f t="shared" si="11"/>
        <v>641</v>
      </c>
      <c r="F701" s="616" t="s">
        <v>4978</v>
      </c>
      <c r="G701" s="616" t="s">
        <v>4963</v>
      </c>
      <c r="H701" s="618" t="s">
        <v>1195</v>
      </c>
      <c r="I701" s="618" t="s">
        <v>87</v>
      </c>
      <c r="J701" s="618" t="s">
        <v>1202</v>
      </c>
      <c r="K701" s="618" t="s">
        <v>1658</v>
      </c>
      <c r="L701" s="618"/>
      <c r="M701" s="619"/>
      <c r="N701" s="620"/>
      <c r="O701" s="620"/>
      <c r="P701" s="663" t="s">
        <v>4964</v>
      </c>
      <c r="Q701" s="621" t="s">
        <v>319</v>
      </c>
      <c r="R701" s="598"/>
      <c r="S701" s="598"/>
      <c r="T701" s="598"/>
      <c r="U701" s="598" t="s">
        <v>1015</v>
      </c>
      <c r="V701" s="663" t="s">
        <v>622</v>
      </c>
      <c r="W701" s="779" t="s">
        <v>1664</v>
      </c>
      <c r="X701" s="598" t="s">
        <v>950</v>
      </c>
      <c r="Y701" s="624">
        <v>24600</v>
      </c>
      <c r="Z701" s="625">
        <f t="shared" ca="1" si="12"/>
        <v>58</v>
      </c>
      <c r="AA701" s="616" t="s">
        <v>1665</v>
      </c>
      <c r="AB701" s="598" t="s">
        <v>1666</v>
      </c>
      <c r="AC701" s="598" t="s">
        <v>996</v>
      </c>
      <c r="AD701" s="598" t="s">
        <v>1018</v>
      </c>
      <c r="AE701" s="616" t="s">
        <v>729</v>
      </c>
      <c r="AF701" s="616" t="s">
        <v>729</v>
      </c>
      <c r="AG701" s="616" t="s">
        <v>1323</v>
      </c>
      <c r="AH701" s="598"/>
      <c r="AI701" s="598"/>
      <c r="AJ701" s="647" t="s">
        <v>1513</v>
      </c>
      <c r="AK701" s="598"/>
      <c r="AL701" s="626"/>
      <c r="AM701" s="626"/>
    </row>
    <row r="702" spans="3:39" ht="18" customHeight="1">
      <c r="C702" s="598">
        <v>681</v>
      </c>
      <c r="D702" s="598" t="s">
        <v>2391</v>
      </c>
      <c r="E702" s="598">
        <f t="shared" si="11"/>
        <v>642</v>
      </c>
      <c r="F702" s="616" t="s">
        <v>4978</v>
      </c>
      <c r="G702" s="616" t="s">
        <v>4963</v>
      </c>
      <c r="H702" s="618" t="s">
        <v>1195</v>
      </c>
      <c r="I702" s="618" t="s">
        <v>87</v>
      </c>
      <c r="J702" s="618" t="s">
        <v>1195</v>
      </c>
      <c r="K702" s="618" t="s">
        <v>1658</v>
      </c>
      <c r="L702" s="618"/>
      <c r="M702" s="619"/>
      <c r="N702" s="620"/>
      <c r="O702" s="620"/>
      <c r="P702" s="663" t="s">
        <v>4964</v>
      </c>
      <c r="Q702" s="621" t="s">
        <v>319</v>
      </c>
      <c r="R702" s="598"/>
      <c r="S702" s="598"/>
      <c r="T702" s="598"/>
      <c r="U702" s="598" t="s">
        <v>1015</v>
      </c>
      <c r="V702" s="663" t="s">
        <v>641</v>
      </c>
      <c r="W702" s="779" t="s">
        <v>2392</v>
      </c>
      <c r="X702" s="598" t="s">
        <v>950</v>
      </c>
      <c r="Y702" s="624">
        <v>26817</v>
      </c>
      <c r="Z702" s="625">
        <f t="shared" ca="1" si="12"/>
        <v>52</v>
      </c>
      <c r="AA702" s="616" t="s">
        <v>2393</v>
      </c>
      <c r="AB702" s="652"/>
      <c r="AC702" s="598" t="s">
        <v>996</v>
      </c>
      <c r="AD702" s="598" t="s">
        <v>1018</v>
      </c>
      <c r="AE702" s="616" t="s">
        <v>729</v>
      </c>
      <c r="AF702" s="616" t="s">
        <v>729</v>
      </c>
      <c r="AG702" s="616" t="s">
        <v>2142</v>
      </c>
      <c r="AH702" s="598"/>
      <c r="AI702" s="598"/>
      <c r="AJ702" s="647" t="s">
        <v>1513</v>
      </c>
      <c r="AK702" s="598"/>
      <c r="AL702" s="626"/>
      <c r="AM702" s="626"/>
    </row>
    <row r="703" spans="3:39" ht="18" customHeight="1">
      <c r="C703" s="598">
        <v>682</v>
      </c>
      <c r="D703" s="598" t="s">
        <v>1992</v>
      </c>
      <c r="E703" s="598">
        <f t="shared" si="11"/>
        <v>643</v>
      </c>
      <c r="F703" s="616" t="s">
        <v>4978</v>
      </c>
      <c r="G703" s="616" t="s">
        <v>4963</v>
      </c>
      <c r="H703" s="618" t="s">
        <v>1195</v>
      </c>
      <c r="I703" s="618" t="s">
        <v>87</v>
      </c>
      <c r="J703" s="618" t="s">
        <v>1195</v>
      </c>
      <c r="K703" s="618" t="s">
        <v>1658</v>
      </c>
      <c r="L703" s="618"/>
      <c r="M703" s="619"/>
      <c r="N703" s="620"/>
      <c r="O703" s="620"/>
      <c r="P703" s="663" t="s">
        <v>4964</v>
      </c>
      <c r="Q703" s="621" t="s">
        <v>319</v>
      </c>
      <c r="R703" s="598"/>
      <c r="S703" s="598"/>
      <c r="T703" s="598"/>
      <c r="U703" s="598" t="s">
        <v>1015</v>
      </c>
      <c r="V703" s="663" t="s">
        <v>658</v>
      </c>
      <c r="W703" s="779" t="s">
        <v>5005</v>
      </c>
      <c r="X703" s="598" t="s">
        <v>950</v>
      </c>
      <c r="Y703" s="624">
        <v>27630</v>
      </c>
      <c r="Z703" s="625">
        <f t="shared" ca="1" si="12"/>
        <v>50</v>
      </c>
      <c r="AA703" s="616" t="s">
        <v>2263</v>
      </c>
      <c r="AB703" s="598" t="s">
        <v>2264</v>
      </c>
      <c r="AC703" s="598" t="s">
        <v>996</v>
      </c>
      <c r="AD703" s="598" t="s">
        <v>1018</v>
      </c>
      <c r="AE703" s="616" t="s">
        <v>729</v>
      </c>
      <c r="AF703" s="616" t="s">
        <v>729</v>
      </c>
      <c r="AG703" s="616" t="s">
        <v>2265</v>
      </c>
      <c r="AH703" s="598"/>
      <c r="AI703" s="598"/>
      <c r="AJ703" s="647" t="s">
        <v>1513</v>
      </c>
      <c r="AK703" s="598"/>
      <c r="AL703" s="626"/>
      <c r="AM703" s="626"/>
    </row>
    <row r="704" spans="3:39" ht="18" customHeight="1">
      <c r="C704" s="598">
        <v>683</v>
      </c>
      <c r="D704" s="598" t="s">
        <v>1667</v>
      </c>
      <c r="E704" s="598">
        <f t="shared" si="11"/>
        <v>644</v>
      </c>
      <c r="F704" s="616" t="s">
        <v>4978</v>
      </c>
      <c r="G704" s="616" t="s">
        <v>4963</v>
      </c>
      <c r="H704" s="618" t="s">
        <v>1195</v>
      </c>
      <c r="I704" s="618" t="s">
        <v>87</v>
      </c>
      <c r="J704" s="618" t="s">
        <v>1195</v>
      </c>
      <c r="K704" s="618" t="s">
        <v>1658</v>
      </c>
      <c r="L704" s="618"/>
      <c r="M704" s="619"/>
      <c r="N704" s="620"/>
      <c r="O704" s="620"/>
      <c r="P704" s="663" t="s">
        <v>4964</v>
      </c>
      <c r="Q704" s="621" t="s">
        <v>319</v>
      </c>
      <c r="R704" s="598"/>
      <c r="S704" s="598"/>
      <c r="T704" s="598"/>
      <c r="U704" s="598" t="s">
        <v>1015</v>
      </c>
      <c r="V704" s="663" t="s">
        <v>677</v>
      </c>
      <c r="W704" s="779" t="s">
        <v>1668</v>
      </c>
      <c r="X704" s="598" t="s">
        <v>950</v>
      </c>
      <c r="Y704" s="624">
        <v>29536</v>
      </c>
      <c r="Z704" s="625">
        <f t="shared" ca="1" si="12"/>
        <v>45</v>
      </c>
      <c r="AA704" s="616" t="s">
        <v>1669</v>
      </c>
      <c r="AB704" s="598"/>
      <c r="AC704" s="598" t="s">
        <v>996</v>
      </c>
      <c r="AD704" s="598" t="s">
        <v>1018</v>
      </c>
      <c r="AE704" s="616" t="s">
        <v>1670</v>
      </c>
      <c r="AF704" s="616" t="s">
        <v>1670</v>
      </c>
      <c r="AG704" s="616" t="s">
        <v>1671</v>
      </c>
      <c r="AH704" s="598"/>
      <c r="AI704" s="598"/>
      <c r="AJ704" s="647" t="s">
        <v>1513</v>
      </c>
      <c r="AK704" s="598"/>
      <c r="AL704" s="626"/>
      <c r="AM704" s="626"/>
    </row>
    <row r="705" spans="3:39" ht="18" customHeight="1">
      <c r="C705" s="598">
        <v>684</v>
      </c>
      <c r="D705" s="598" t="s">
        <v>1672</v>
      </c>
      <c r="E705" s="598">
        <f t="shared" si="11"/>
        <v>645</v>
      </c>
      <c r="F705" s="616" t="s">
        <v>4978</v>
      </c>
      <c r="G705" s="616" t="s">
        <v>4963</v>
      </c>
      <c r="H705" s="618" t="s">
        <v>1195</v>
      </c>
      <c r="I705" s="618" t="s">
        <v>87</v>
      </c>
      <c r="J705" s="618" t="s">
        <v>1195</v>
      </c>
      <c r="K705" s="618" t="s">
        <v>1658</v>
      </c>
      <c r="L705" s="618"/>
      <c r="M705" s="619"/>
      <c r="N705" s="620"/>
      <c r="O705" s="620"/>
      <c r="P705" s="673" t="s">
        <v>4964</v>
      </c>
      <c r="Q705" s="621" t="s">
        <v>319</v>
      </c>
      <c r="R705" s="598"/>
      <c r="S705" s="598"/>
      <c r="T705" s="598"/>
      <c r="U705" s="598" t="s">
        <v>1015</v>
      </c>
      <c r="V705" s="673" t="s">
        <v>693</v>
      </c>
      <c r="W705" s="779" t="s">
        <v>1673</v>
      </c>
      <c r="X705" s="598" t="s">
        <v>950</v>
      </c>
      <c r="Y705" s="624">
        <v>31881</v>
      </c>
      <c r="Z705" s="625">
        <f t="shared" ca="1" si="12"/>
        <v>38</v>
      </c>
      <c r="AA705" s="616" t="s">
        <v>1674</v>
      </c>
      <c r="AB705" s="598" t="s">
        <v>1675</v>
      </c>
      <c r="AC705" s="598" t="s">
        <v>996</v>
      </c>
      <c r="AD705" s="598" t="s">
        <v>1018</v>
      </c>
      <c r="AE705" s="616" t="s">
        <v>1670</v>
      </c>
      <c r="AF705" s="616" t="s">
        <v>729</v>
      </c>
      <c r="AG705" s="616" t="s">
        <v>1323</v>
      </c>
      <c r="AH705" s="598"/>
      <c r="AI705" s="598"/>
      <c r="AJ705" s="647" t="s">
        <v>1513</v>
      </c>
      <c r="AK705" s="598"/>
      <c r="AL705" s="626"/>
      <c r="AM705" s="626"/>
    </row>
    <row r="706" spans="3:39" ht="18" customHeight="1">
      <c r="C706" s="598">
        <v>685</v>
      </c>
      <c r="D706" s="598" t="s">
        <v>2168</v>
      </c>
      <c r="E706" s="598">
        <f t="shared" si="11"/>
        <v>645</v>
      </c>
      <c r="F706" s="616"/>
      <c r="G706" s="616" t="s">
        <v>4963</v>
      </c>
      <c r="H706" s="618" t="s">
        <v>1195</v>
      </c>
      <c r="I706" s="618" t="s">
        <v>87</v>
      </c>
      <c r="J706" s="618" t="s">
        <v>1195</v>
      </c>
      <c r="K706" s="618" t="s">
        <v>2168</v>
      </c>
      <c r="L706" s="618"/>
      <c r="M706" s="619"/>
      <c r="N706" s="620"/>
      <c r="O706" s="620"/>
      <c r="P706" s="667" t="s">
        <v>4966</v>
      </c>
      <c r="Q706" s="621"/>
      <c r="R706" s="598" t="s">
        <v>55</v>
      </c>
      <c r="S706" s="598" t="s">
        <v>178</v>
      </c>
      <c r="T706" s="598"/>
      <c r="U706" s="598"/>
      <c r="V706" s="667" t="s">
        <v>605</v>
      </c>
      <c r="W706" s="779" t="s">
        <v>2169</v>
      </c>
      <c r="X706" s="598" t="s">
        <v>950</v>
      </c>
      <c r="Y706" s="624">
        <v>21524</v>
      </c>
      <c r="Z706" s="625">
        <f t="shared" ca="1" si="12"/>
        <v>67</v>
      </c>
      <c r="AA706" s="616" t="s">
        <v>2170</v>
      </c>
      <c r="AB706" s="598" t="s">
        <v>4967</v>
      </c>
      <c r="AC706" s="598" t="s">
        <v>966</v>
      </c>
      <c r="AD706" s="598" t="s">
        <v>953</v>
      </c>
      <c r="AE706" s="616"/>
      <c r="AF706" s="616"/>
      <c r="AG706" s="616"/>
      <c r="AH706" s="598" t="s">
        <v>955</v>
      </c>
      <c r="AI706" s="598"/>
      <c r="AJ706" s="598"/>
      <c r="AK706" s="598"/>
      <c r="AL706" s="626"/>
      <c r="AM706" s="626"/>
    </row>
    <row r="707" spans="3:39" ht="18" customHeight="1">
      <c r="C707" s="598">
        <v>686</v>
      </c>
      <c r="D707" s="598" t="s">
        <v>2536</v>
      </c>
      <c r="E707" s="598">
        <f t="shared" si="11"/>
        <v>646</v>
      </c>
      <c r="F707" s="616" t="s">
        <v>4978</v>
      </c>
      <c r="G707" s="616" t="s">
        <v>4963</v>
      </c>
      <c r="H707" s="618" t="s">
        <v>1195</v>
      </c>
      <c r="I707" s="618" t="s">
        <v>87</v>
      </c>
      <c r="J707" s="618" t="s">
        <v>1195</v>
      </c>
      <c r="K707" s="618" t="s">
        <v>2168</v>
      </c>
      <c r="L707" s="618"/>
      <c r="M707" s="619"/>
      <c r="N707" s="620"/>
      <c r="O707" s="620"/>
      <c r="P707" s="663" t="s">
        <v>4966</v>
      </c>
      <c r="Q707" s="621" t="s">
        <v>319</v>
      </c>
      <c r="R707" s="598"/>
      <c r="S707" s="598"/>
      <c r="T707" s="598"/>
      <c r="U707" s="598" t="s">
        <v>1015</v>
      </c>
      <c r="V707" s="663" t="s">
        <v>623</v>
      </c>
      <c r="W707" s="779" t="s">
        <v>2537</v>
      </c>
      <c r="X707" s="598" t="s">
        <v>950</v>
      </c>
      <c r="Y707" s="624">
        <v>22993</v>
      </c>
      <c r="Z707" s="625">
        <f t="shared" ca="1" si="12"/>
        <v>63</v>
      </c>
      <c r="AA707" s="616" t="s">
        <v>2538</v>
      </c>
      <c r="AB707" s="598" t="s">
        <v>2539</v>
      </c>
      <c r="AC707" s="598" t="s">
        <v>996</v>
      </c>
      <c r="AD707" s="598" t="s">
        <v>1018</v>
      </c>
      <c r="AE707" s="616" t="s">
        <v>729</v>
      </c>
      <c r="AF707" s="616" t="s">
        <v>729</v>
      </c>
      <c r="AG707" s="616" t="s">
        <v>2463</v>
      </c>
      <c r="AH707" s="598"/>
      <c r="AI707" s="598"/>
      <c r="AJ707" s="647" t="s">
        <v>1513</v>
      </c>
      <c r="AK707" s="598"/>
      <c r="AL707" s="626"/>
      <c r="AM707" s="626"/>
    </row>
    <row r="708" spans="3:39" ht="18" customHeight="1">
      <c r="C708" s="598">
        <v>687</v>
      </c>
      <c r="D708" s="598" t="s">
        <v>2181</v>
      </c>
      <c r="E708" s="598">
        <f t="shared" si="11"/>
        <v>647</v>
      </c>
      <c r="F708" s="616" t="s">
        <v>4978</v>
      </c>
      <c r="G708" s="616" t="s">
        <v>4963</v>
      </c>
      <c r="H708" s="618" t="s">
        <v>1195</v>
      </c>
      <c r="I708" s="618" t="s">
        <v>87</v>
      </c>
      <c r="J708" s="618" t="s">
        <v>1195</v>
      </c>
      <c r="K708" s="618" t="s">
        <v>2168</v>
      </c>
      <c r="L708" s="618"/>
      <c r="M708" s="619"/>
      <c r="N708" s="620"/>
      <c r="O708" s="620"/>
      <c r="P708" s="663" t="s">
        <v>4966</v>
      </c>
      <c r="Q708" s="621" t="s">
        <v>319</v>
      </c>
      <c r="R708" s="598"/>
      <c r="S708" s="598"/>
      <c r="T708" s="598"/>
      <c r="U708" s="598" t="s">
        <v>1015</v>
      </c>
      <c r="V708" s="663" t="s">
        <v>642</v>
      </c>
      <c r="W708" s="779" t="s">
        <v>2182</v>
      </c>
      <c r="X708" s="598" t="s">
        <v>950</v>
      </c>
      <c r="Y708" s="624">
        <v>24691</v>
      </c>
      <c r="Z708" s="625">
        <f t="shared" ca="1" si="12"/>
        <v>58</v>
      </c>
      <c r="AA708" s="616" t="s">
        <v>2183</v>
      </c>
      <c r="AB708" s="598" t="s">
        <v>2184</v>
      </c>
      <c r="AC708" s="598" t="s">
        <v>996</v>
      </c>
      <c r="AD708" s="598" t="s">
        <v>1018</v>
      </c>
      <c r="AE708" s="616" t="s">
        <v>729</v>
      </c>
      <c r="AF708" s="616" t="s">
        <v>729</v>
      </c>
      <c r="AG708" s="616" t="s">
        <v>2185</v>
      </c>
      <c r="AH708" s="598"/>
      <c r="AI708" s="598"/>
      <c r="AJ708" s="647" t="s">
        <v>1513</v>
      </c>
      <c r="AK708" s="598"/>
      <c r="AL708" s="626"/>
      <c r="AM708" s="626"/>
    </row>
    <row r="709" spans="3:39" ht="18" customHeight="1">
      <c r="C709" s="598">
        <v>688</v>
      </c>
      <c r="D709" s="598" t="s">
        <v>2173</v>
      </c>
      <c r="E709" s="598">
        <f t="shared" si="11"/>
        <v>648</v>
      </c>
      <c r="F709" s="616" t="s">
        <v>4978</v>
      </c>
      <c r="G709" s="616" t="s">
        <v>4963</v>
      </c>
      <c r="H709" s="618" t="s">
        <v>1195</v>
      </c>
      <c r="I709" s="618" t="s">
        <v>87</v>
      </c>
      <c r="J709" s="618" t="s">
        <v>1195</v>
      </c>
      <c r="K709" s="618" t="s">
        <v>2168</v>
      </c>
      <c r="L709" s="618"/>
      <c r="M709" s="619"/>
      <c r="N709" s="620"/>
      <c r="O709" s="620"/>
      <c r="P709" s="663" t="s">
        <v>4966</v>
      </c>
      <c r="Q709" s="621" t="s">
        <v>319</v>
      </c>
      <c r="R709" s="598"/>
      <c r="S709" s="598"/>
      <c r="T709" s="598"/>
      <c r="U709" s="598" t="s">
        <v>1015</v>
      </c>
      <c r="V709" s="663" t="s">
        <v>659</v>
      </c>
      <c r="W709" s="779" t="s">
        <v>2174</v>
      </c>
      <c r="X709" s="598" t="s">
        <v>950</v>
      </c>
      <c r="Y709" s="624">
        <v>24929</v>
      </c>
      <c r="Z709" s="625">
        <f t="shared" ca="1" si="12"/>
        <v>57</v>
      </c>
      <c r="AA709" s="616" t="s">
        <v>2175</v>
      </c>
      <c r="AB709" s="598" t="s">
        <v>2176</v>
      </c>
      <c r="AC709" s="598" t="s">
        <v>996</v>
      </c>
      <c r="AD709" s="598" t="s">
        <v>1018</v>
      </c>
      <c r="AE709" s="616" t="s">
        <v>729</v>
      </c>
      <c r="AF709" s="616" t="s">
        <v>729</v>
      </c>
      <c r="AG709" s="616" t="s">
        <v>1760</v>
      </c>
      <c r="AH709" s="598"/>
      <c r="AI709" s="598"/>
      <c r="AJ709" s="647" t="s">
        <v>1513</v>
      </c>
      <c r="AK709" s="598"/>
      <c r="AL709" s="626"/>
      <c r="AM709" s="626"/>
    </row>
    <row r="710" spans="3:39" ht="18" customHeight="1">
      <c r="C710" s="598">
        <v>689</v>
      </c>
      <c r="D710" s="598" t="s">
        <v>2540</v>
      </c>
      <c r="E710" s="598">
        <f t="shared" si="11"/>
        <v>649</v>
      </c>
      <c r="F710" s="616" t="s">
        <v>4978</v>
      </c>
      <c r="G710" s="616" t="s">
        <v>4963</v>
      </c>
      <c r="H710" s="618" t="s">
        <v>1195</v>
      </c>
      <c r="I710" s="618" t="s">
        <v>87</v>
      </c>
      <c r="J710" s="618" t="s">
        <v>2168</v>
      </c>
      <c r="K710" s="618" t="s">
        <v>2168</v>
      </c>
      <c r="L710" s="618"/>
      <c r="M710" s="619"/>
      <c r="N710" s="620"/>
      <c r="O710" s="620"/>
      <c r="P710" s="663" t="s">
        <v>4966</v>
      </c>
      <c r="Q710" s="621" t="s">
        <v>319</v>
      </c>
      <c r="R710" s="598"/>
      <c r="S710" s="598"/>
      <c r="T710" s="598"/>
      <c r="U710" s="598" t="s">
        <v>1015</v>
      </c>
      <c r="V710" s="663" t="s">
        <v>678</v>
      </c>
      <c r="W710" s="779" t="s">
        <v>2541</v>
      </c>
      <c r="X710" s="598" t="s">
        <v>950</v>
      </c>
      <c r="Y710" s="624">
        <v>26306</v>
      </c>
      <c r="Z710" s="625">
        <f t="shared" ca="1" si="12"/>
        <v>54</v>
      </c>
      <c r="AA710" s="616" t="s">
        <v>2542</v>
      </c>
      <c r="AB710" s="598" t="s">
        <v>2543</v>
      </c>
      <c r="AC710" s="598" t="s">
        <v>996</v>
      </c>
      <c r="AD710" s="598" t="s">
        <v>1018</v>
      </c>
      <c r="AE710" s="616" t="s">
        <v>729</v>
      </c>
      <c r="AF710" s="616" t="s">
        <v>729</v>
      </c>
      <c r="AG710" s="616" t="s">
        <v>2544</v>
      </c>
      <c r="AH710" s="598"/>
      <c r="AI710" s="598"/>
      <c r="AJ710" s="647" t="s">
        <v>1513</v>
      </c>
      <c r="AK710" s="598"/>
      <c r="AL710" s="626"/>
      <c r="AM710" s="626"/>
    </row>
    <row r="711" spans="3:39" ht="18" customHeight="1">
      <c r="C711" s="598">
        <v>690</v>
      </c>
      <c r="D711" s="598" t="s">
        <v>2545</v>
      </c>
      <c r="E711" s="598">
        <f t="shared" si="11"/>
        <v>650</v>
      </c>
      <c r="F711" s="616" t="s">
        <v>4978</v>
      </c>
      <c r="G711" s="616" t="s">
        <v>4963</v>
      </c>
      <c r="H711" s="618" t="s">
        <v>1195</v>
      </c>
      <c r="I711" s="618" t="s">
        <v>87</v>
      </c>
      <c r="J711" s="618" t="s">
        <v>2168</v>
      </c>
      <c r="K711" s="618" t="s">
        <v>2168</v>
      </c>
      <c r="L711" s="618"/>
      <c r="M711" s="619"/>
      <c r="N711" s="620"/>
      <c r="O711" s="620"/>
      <c r="P711" s="673" t="s">
        <v>4966</v>
      </c>
      <c r="Q711" s="621" t="s">
        <v>319</v>
      </c>
      <c r="R711" s="598"/>
      <c r="S711" s="598"/>
      <c r="T711" s="598"/>
      <c r="U711" s="598" t="s">
        <v>1015</v>
      </c>
      <c r="V711" s="673" t="s">
        <v>694</v>
      </c>
      <c r="W711" s="779" t="s">
        <v>2546</v>
      </c>
      <c r="X711" s="598" t="s">
        <v>950</v>
      </c>
      <c r="Y711" s="624">
        <v>28381</v>
      </c>
      <c r="Z711" s="625">
        <f t="shared" ca="1" si="12"/>
        <v>48</v>
      </c>
      <c r="AA711" s="616" t="s">
        <v>2547</v>
      </c>
      <c r="AB711" s="598" t="s">
        <v>2548</v>
      </c>
      <c r="AC711" s="598" t="s">
        <v>996</v>
      </c>
      <c r="AD711" s="598" t="s">
        <v>1018</v>
      </c>
      <c r="AE711" s="616" t="s">
        <v>729</v>
      </c>
      <c r="AF711" s="616" t="s">
        <v>729</v>
      </c>
      <c r="AG711" s="616" t="s">
        <v>2549</v>
      </c>
      <c r="AH711" s="598"/>
      <c r="AI711" s="598"/>
      <c r="AJ711" s="647" t="s">
        <v>1513</v>
      </c>
      <c r="AK711" s="598"/>
      <c r="AL711" s="626"/>
      <c r="AM711" s="626"/>
    </row>
    <row r="712" spans="3:39" ht="18" customHeight="1">
      <c r="C712" s="598">
        <v>691</v>
      </c>
      <c r="D712" s="598" t="s">
        <v>2926</v>
      </c>
      <c r="E712" s="598">
        <f t="shared" si="11"/>
        <v>650</v>
      </c>
      <c r="F712" s="616"/>
      <c r="G712" s="616" t="s">
        <v>4963</v>
      </c>
      <c r="H712" s="618" t="s">
        <v>1195</v>
      </c>
      <c r="I712" s="618" t="s">
        <v>87</v>
      </c>
      <c r="J712" s="618" t="s">
        <v>2926</v>
      </c>
      <c r="K712" s="618" t="s">
        <v>2926</v>
      </c>
      <c r="L712" s="618"/>
      <c r="M712" s="619"/>
      <c r="N712" s="620"/>
      <c r="O712" s="620"/>
      <c r="P712" s="667" t="s">
        <v>4968</v>
      </c>
      <c r="Q712" s="621"/>
      <c r="R712" s="598"/>
      <c r="S712" s="598" t="s">
        <v>178</v>
      </c>
      <c r="T712" s="598"/>
      <c r="U712" s="598"/>
      <c r="V712" s="667" t="s">
        <v>190</v>
      </c>
      <c r="W712" s="779" t="s">
        <v>2928</v>
      </c>
      <c r="X712" s="598" t="s">
        <v>950</v>
      </c>
      <c r="Y712" s="624">
        <v>25699</v>
      </c>
      <c r="Z712" s="625">
        <f t="shared" ca="1" si="12"/>
        <v>55</v>
      </c>
      <c r="AA712" s="616" t="s">
        <v>2929</v>
      </c>
      <c r="AB712" s="598"/>
      <c r="AC712" s="598" t="s">
        <v>966</v>
      </c>
      <c r="AD712" s="598" t="s">
        <v>953</v>
      </c>
      <c r="AE712" s="616" t="s">
        <v>1041</v>
      </c>
      <c r="AF712" s="616" t="s">
        <v>1041</v>
      </c>
      <c r="AG712" s="616" t="s">
        <v>2784</v>
      </c>
      <c r="AH712" s="598" t="s">
        <v>955</v>
      </c>
      <c r="AI712" s="598"/>
      <c r="AJ712" s="598"/>
      <c r="AK712" s="598"/>
      <c r="AL712" s="626"/>
      <c r="AM712" s="626"/>
    </row>
    <row r="713" spans="3:39" ht="18" customHeight="1">
      <c r="C713" s="598">
        <v>692</v>
      </c>
      <c r="D713" s="598" t="s">
        <v>2950</v>
      </c>
      <c r="E713" s="598">
        <f t="shared" si="11"/>
        <v>651</v>
      </c>
      <c r="F713" s="616" t="s">
        <v>1798</v>
      </c>
      <c r="G713" s="616" t="s">
        <v>4963</v>
      </c>
      <c r="H713" s="618" t="s">
        <v>1195</v>
      </c>
      <c r="I713" s="618" t="s">
        <v>87</v>
      </c>
      <c r="J713" s="618" t="s">
        <v>2926</v>
      </c>
      <c r="K713" s="618" t="s">
        <v>2926</v>
      </c>
      <c r="L713" s="618"/>
      <c r="M713" s="619"/>
      <c r="N713" s="620"/>
      <c r="O713" s="620"/>
      <c r="P713" s="663" t="s">
        <v>4968</v>
      </c>
      <c r="Q713" s="621" t="s">
        <v>319</v>
      </c>
      <c r="R713" s="598"/>
      <c r="S713" s="598"/>
      <c r="T713" s="598"/>
      <c r="U713" s="598" t="s">
        <v>1015</v>
      </c>
      <c r="V713" s="663" t="s">
        <v>2951</v>
      </c>
      <c r="W713" s="779" t="s">
        <v>2952</v>
      </c>
      <c r="X713" s="598" t="s">
        <v>950</v>
      </c>
      <c r="Y713" s="624">
        <v>20919</v>
      </c>
      <c r="Z713" s="625">
        <f t="shared" ca="1" si="12"/>
        <v>68</v>
      </c>
      <c r="AA713" s="616" t="s">
        <v>2953</v>
      </c>
      <c r="AB713" s="598" t="s">
        <v>2954</v>
      </c>
      <c r="AC713" s="598" t="s">
        <v>996</v>
      </c>
      <c r="AD713" s="598" t="s">
        <v>1018</v>
      </c>
      <c r="AE713" s="616" t="s">
        <v>1041</v>
      </c>
      <c r="AF713" s="616" t="s">
        <v>1250</v>
      </c>
      <c r="AG713" s="616" t="s">
        <v>1684</v>
      </c>
      <c r="AH713" s="598"/>
      <c r="AI713" s="598"/>
      <c r="AJ713" s="647" t="s">
        <v>1513</v>
      </c>
      <c r="AK713" s="598"/>
      <c r="AL713" s="626"/>
      <c r="AM713" s="626"/>
    </row>
    <row r="714" spans="3:39" ht="18" customHeight="1">
      <c r="C714" s="598">
        <v>693</v>
      </c>
      <c r="D714" s="598" t="s">
        <v>2955</v>
      </c>
      <c r="E714" s="598">
        <f t="shared" si="11"/>
        <v>652</v>
      </c>
      <c r="F714" s="616" t="s">
        <v>1798</v>
      </c>
      <c r="G714" s="616" t="s">
        <v>4963</v>
      </c>
      <c r="H714" s="618" t="s">
        <v>1195</v>
      </c>
      <c r="I714" s="618" t="s">
        <v>87</v>
      </c>
      <c r="J714" s="618" t="s">
        <v>2926</v>
      </c>
      <c r="K714" s="618" t="s">
        <v>2926</v>
      </c>
      <c r="L714" s="618"/>
      <c r="M714" s="619"/>
      <c r="N714" s="620"/>
      <c r="O714" s="620"/>
      <c r="P714" s="663" t="s">
        <v>4968</v>
      </c>
      <c r="Q714" s="621" t="s">
        <v>319</v>
      </c>
      <c r="R714" s="598"/>
      <c r="S714" s="598"/>
      <c r="T714" s="598"/>
      <c r="U714" s="598" t="s">
        <v>1015</v>
      </c>
      <c r="V714" s="663" t="s">
        <v>643</v>
      </c>
      <c r="W714" s="779" t="s">
        <v>2956</v>
      </c>
      <c r="X714" s="598" t="s">
        <v>950</v>
      </c>
      <c r="Y714" s="624">
        <v>22040</v>
      </c>
      <c r="Z714" s="625">
        <f t="shared" ca="1" si="12"/>
        <v>65</v>
      </c>
      <c r="AA714" s="616" t="s">
        <v>2957</v>
      </c>
      <c r="AB714" s="598" t="s">
        <v>2958</v>
      </c>
      <c r="AC714" s="598" t="s">
        <v>996</v>
      </c>
      <c r="AD714" s="598" t="s">
        <v>1018</v>
      </c>
      <c r="AE714" s="616" t="s">
        <v>1041</v>
      </c>
      <c r="AF714" s="616" t="s">
        <v>1041</v>
      </c>
      <c r="AG714" s="616" t="s">
        <v>2761</v>
      </c>
      <c r="AH714" s="598"/>
      <c r="AI714" s="598"/>
      <c r="AJ714" s="647" t="s">
        <v>1513</v>
      </c>
      <c r="AK714" s="598"/>
      <c r="AL714" s="626"/>
      <c r="AM714" s="626"/>
    </row>
    <row r="715" spans="3:39" ht="18" customHeight="1">
      <c r="C715" s="598">
        <v>694</v>
      </c>
      <c r="D715" s="598" t="s">
        <v>2959</v>
      </c>
      <c r="E715" s="598">
        <f t="shared" si="11"/>
        <v>653</v>
      </c>
      <c r="F715" s="616" t="s">
        <v>1798</v>
      </c>
      <c r="G715" s="616" t="s">
        <v>4963</v>
      </c>
      <c r="H715" s="618" t="s">
        <v>1195</v>
      </c>
      <c r="I715" s="618" t="s">
        <v>87</v>
      </c>
      <c r="J715" s="618" t="s">
        <v>2926</v>
      </c>
      <c r="K715" s="618" t="s">
        <v>2926</v>
      </c>
      <c r="L715" s="618"/>
      <c r="M715" s="619"/>
      <c r="N715" s="620"/>
      <c r="O715" s="620"/>
      <c r="P715" s="663" t="s">
        <v>4968</v>
      </c>
      <c r="Q715" s="621" t="s">
        <v>319</v>
      </c>
      <c r="R715" s="598"/>
      <c r="S715" s="598"/>
      <c r="T715" s="598"/>
      <c r="U715" s="598" t="s">
        <v>1015</v>
      </c>
      <c r="V715" s="663" t="s">
        <v>660</v>
      </c>
      <c r="W715" s="779" t="s">
        <v>2960</v>
      </c>
      <c r="X715" s="598" t="s">
        <v>950</v>
      </c>
      <c r="Y715" s="624">
        <v>26478</v>
      </c>
      <c r="Z715" s="625">
        <f t="shared" ca="1" si="12"/>
        <v>53</v>
      </c>
      <c r="AA715" s="616" t="s">
        <v>2961</v>
      </c>
      <c r="AB715" s="598" t="s">
        <v>2962</v>
      </c>
      <c r="AC715" s="598" t="s">
        <v>996</v>
      </c>
      <c r="AD715" s="598" t="s">
        <v>1018</v>
      </c>
      <c r="AE715" s="616" t="s">
        <v>1041</v>
      </c>
      <c r="AF715" s="616" t="s">
        <v>1041</v>
      </c>
      <c r="AG715" s="616" t="s">
        <v>2761</v>
      </c>
      <c r="AH715" s="598"/>
      <c r="AI715" s="598"/>
      <c r="AJ715" s="647" t="s">
        <v>1513</v>
      </c>
      <c r="AK715" s="598"/>
      <c r="AL715" s="626"/>
      <c r="AM715" s="626"/>
    </row>
    <row r="716" spans="3:39" ht="18" customHeight="1">
      <c r="C716" s="598">
        <v>695</v>
      </c>
      <c r="D716" s="598" t="s">
        <v>2963</v>
      </c>
      <c r="E716" s="598">
        <f t="shared" si="11"/>
        <v>654</v>
      </c>
      <c r="F716" s="616" t="s">
        <v>1798</v>
      </c>
      <c r="G716" s="616" t="s">
        <v>4963</v>
      </c>
      <c r="H716" s="618" t="s">
        <v>1195</v>
      </c>
      <c r="I716" s="618" t="s">
        <v>87</v>
      </c>
      <c r="J716" s="618" t="s">
        <v>2926</v>
      </c>
      <c r="K716" s="618" t="s">
        <v>2926</v>
      </c>
      <c r="L716" s="618"/>
      <c r="M716" s="619"/>
      <c r="N716" s="620"/>
      <c r="O716" s="620"/>
      <c r="P716" s="663" t="s">
        <v>4968</v>
      </c>
      <c r="Q716" s="621" t="s">
        <v>319</v>
      </c>
      <c r="R716" s="598"/>
      <c r="S716" s="598"/>
      <c r="T716" s="598"/>
      <c r="U716" s="598" t="s">
        <v>1015</v>
      </c>
      <c r="V716" s="663" t="s">
        <v>679</v>
      </c>
      <c r="W716" s="779" t="s">
        <v>2964</v>
      </c>
      <c r="X716" s="598" t="s">
        <v>950</v>
      </c>
      <c r="Y716" s="624">
        <v>27186</v>
      </c>
      <c r="Z716" s="625">
        <f t="shared" ca="1" si="12"/>
        <v>51</v>
      </c>
      <c r="AA716" s="616" t="s">
        <v>2965</v>
      </c>
      <c r="AB716" s="598" t="s">
        <v>2966</v>
      </c>
      <c r="AC716" s="598" t="s">
        <v>996</v>
      </c>
      <c r="AD716" s="598" t="s">
        <v>1018</v>
      </c>
      <c r="AE716" s="616" t="s">
        <v>1041</v>
      </c>
      <c r="AF716" s="616" t="s">
        <v>1041</v>
      </c>
      <c r="AG716" s="616" t="s">
        <v>1473</v>
      </c>
      <c r="AH716" s="598"/>
      <c r="AI716" s="598"/>
      <c r="AJ716" s="647" t="s">
        <v>1513</v>
      </c>
      <c r="AK716" s="598"/>
      <c r="AL716" s="626"/>
      <c r="AM716" s="626"/>
    </row>
    <row r="717" spans="3:39" ht="18" customHeight="1">
      <c r="C717" s="598">
        <v>696</v>
      </c>
      <c r="D717" s="598" t="s">
        <v>2967</v>
      </c>
      <c r="E717" s="598">
        <f t="shared" si="11"/>
        <v>655</v>
      </c>
      <c r="F717" s="616" t="s">
        <v>1798</v>
      </c>
      <c r="G717" s="616" t="s">
        <v>4963</v>
      </c>
      <c r="H717" s="618" t="s">
        <v>1195</v>
      </c>
      <c r="I717" s="618" t="s">
        <v>87</v>
      </c>
      <c r="J717" s="618" t="s">
        <v>2926</v>
      </c>
      <c r="K717" s="618" t="s">
        <v>2926</v>
      </c>
      <c r="L717" s="618"/>
      <c r="M717" s="619"/>
      <c r="N717" s="620"/>
      <c r="O717" s="620"/>
      <c r="P717" s="673" t="s">
        <v>4968</v>
      </c>
      <c r="Q717" s="621" t="s">
        <v>319</v>
      </c>
      <c r="R717" s="598"/>
      <c r="S717" s="598"/>
      <c r="T717" s="598"/>
      <c r="U717" s="598" t="s">
        <v>1015</v>
      </c>
      <c r="V717" s="673" t="s">
        <v>695</v>
      </c>
      <c r="W717" s="779" t="s">
        <v>2968</v>
      </c>
      <c r="X717" s="598" t="s">
        <v>950</v>
      </c>
      <c r="Y717" s="624">
        <v>28887</v>
      </c>
      <c r="Z717" s="625">
        <f t="shared" ca="1" si="12"/>
        <v>46</v>
      </c>
      <c r="AA717" s="616" t="s">
        <v>2969</v>
      </c>
      <c r="AB717" s="598" t="s">
        <v>2970</v>
      </c>
      <c r="AC717" s="598" t="s">
        <v>996</v>
      </c>
      <c r="AD717" s="598" t="s">
        <v>1018</v>
      </c>
      <c r="AE717" s="616" t="s">
        <v>1041</v>
      </c>
      <c r="AF717" s="616" t="s">
        <v>1041</v>
      </c>
      <c r="AG717" s="616" t="s">
        <v>2774</v>
      </c>
      <c r="AH717" s="598"/>
      <c r="AI717" s="598"/>
      <c r="AJ717" s="647" t="s">
        <v>1513</v>
      </c>
      <c r="AK717" s="598"/>
      <c r="AL717" s="626"/>
      <c r="AM717" s="626"/>
    </row>
    <row r="718" spans="3:39" ht="18" customHeight="1">
      <c r="C718" s="598">
        <v>697</v>
      </c>
      <c r="D718" s="598" t="s">
        <v>3811</v>
      </c>
      <c r="E718" s="598">
        <f t="shared" si="11"/>
        <v>655</v>
      </c>
      <c r="F718" s="616"/>
      <c r="G718" s="616" t="s">
        <v>4963</v>
      </c>
      <c r="H718" s="618" t="s">
        <v>1195</v>
      </c>
      <c r="I718" s="618" t="s">
        <v>87</v>
      </c>
      <c r="J718" s="618" t="s">
        <v>3811</v>
      </c>
      <c r="K718" s="618" t="s">
        <v>3811</v>
      </c>
      <c r="L718" s="618"/>
      <c r="M718" s="619"/>
      <c r="N718" s="620"/>
      <c r="O718" s="620"/>
      <c r="P718" s="667" t="s">
        <v>4970</v>
      </c>
      <c r="Q718" s="621"/>
      <c r="R718" s="598" t="s">
        <v>173</v>
      </c>
      <c r="S718" s="598" t="s">
        <v>514</v>
      </c>
      <c r="T718" s="598" t="s">
        <v>55</v>
      </c>
      <c r="U718" s="598"/>
      <c r="V718" s="667" t="s">
        <v>512</v>
      </c>
      <c r="W718" s="779" t="s">
        <v>4173</v>
      </c>
      <c r="X718" s="598" t="s">
        <v>950</v>
      </c>
      <c r="Y718" s="624">
        <v>22147</v>
      </c>
      <c r="Z718" s="625">
        <f t="shared" ca="1" si="12"/>
        <v>65</v>
      </c>
      <c r="AA718" s="616" t="s">
        <v>4174</v>
      </c>
      <c r="AB718" s="598" t="s">
        <v>4175</v>
      </c>
      <c r="AC718" s="598" t="s">
        <v>996</v>
      </c>
      <c r="AD718" s="598" t="s">
        <v>953</v>
      </c>
      <c r="AE718" s="616" t="s">
        <v>246</v>
      </c>
      <c r="AF718" s="616" t="s">
        <v>246</v>
      </c>
      <c r="AG718" s="616" t="s">
        <v>3815</v>
      </c>
      <c r="AH718" s="598" t="s">
        <v>955</v>
      </c>
      <c r="AI718" s="598"/>
      <c r="AJ718" s="598"/>
      <c r="AK718" s="598"/>
      <c r="AL718" s="626"/>
      <c r="AM718" s="626"/>
    </row>
    <row r="719" spans="3:39" ht="18" customHeight="1">
      <c r="C719" s="598">
        <v>698</v>
      </c>
      <c r="D719" s="598" t="s">
        <v>4123</v>
      </c>
      <c r="E719" s="598">
        <f t="shared" si="11"/>
        <v>656</v>
      </c>
      <c r="F719" s="616" t="s">
        <v>3808</v>
      </c>
      <c r="G719" s="616" t="s">
        <v>4963</v>
      </c>
      <c r="H719" s="618" t="s">
        <v>1195</v>
      </c>
      <c r="I719" s="618" t="s">
        <v>87</v>
      </c>
      <c r="J719" s="618" t="s">
        <v>3811</v>
      </c>
      <c r="K719" s="618" t="s">
        <v>3811</v>
      </c>
      <c r="L719" s="618"/>
      <c r="M719" s="619"/>
      <c r="N719" s="620"/>
      <c r="O719" s="620"/>
      <c r="P719" s="663" t="s">
        <v>4970</v>
      </c>
      <c r="Q719" s="621" t="s">
        <v>319</v>
      </c>
      <c r="R719" s="598"/>
      <c r="S719" s="598"/>
      <c r="T719" s="598"/>
      <c r="U719" s="598" t="s">
        <v>1015</v>
      </c>
      <c r="V719" s="663" t="s">
        <v>625</v>
      </c>
      <c r="W719" s="779" t="s">
        <v>4124</v>
      </c>
      <c r="X719" s="598" t="s">
        <v>950</v>
      </c>
      <c r="Y719" s="624">
        <v>20956</v>
      </c>
      <c r="Z719" s="625">
        <f t="shared" ca="1" si="12"/>
        <v>68</v>
      </c>
      <c r="AA719" s="616" t="s">
        <v>4125</v>
      </c>
      <c r="AB719" s="598" t="s">
        <v>4126</v>
      </c>
      <c r="AC719" s="598" t="s">
        <v>996</v>
      </c>
      <c r="AD719" s="598" t="s">
        <v>1018</v>
      </c>
      <c r="AE719" s="616" t="s">
        <v>246</v>
      </c>
      <c r="AF719" s="616" t="s">
        <v>246</v>
      </c>
      <c r="AG719" s="616" t="s">
        <v>3815</v>
      </c>
      <c r="AH719" s="598"/>
      <c r="AI719" s="598"/>
      <c r="AJ719" s="647" t="s">
        <v>4127</v>
      </c>
      <c r="AK719" s="598"/>
      <c r="AL719" s="626"/>
      <c r="AM719" s="626"/>
    </row>
    <row r="720" spans="3:39" ht="18" customHeight="1">
      <c r="C720" s="598">
        <v>699</v>
      </c>
      <c r="D720" s="598" t="s">
        <v>4418</v>
      </c>
      <c r="E720" s="598">
        <f t="shared" si="11"/>
        <v>657</v>
      </c>
      <c r="F720" s="616" t="s">
        <v>3862</v>
      </c>
      <c r="G720" s="616" t="s">
        <v>4963</v>
      </c>
      <c r="H720" s="618" t="s">
        <v>1195</v>
      </c>
      <c r="I720" s="618" t="s">
        <v>87</v>
      </c>
      <c r="J720" s="618" t="s">
        <v>3811</v>
      </c>
      <c r="K720" s="618" t="s">
        <v>3811</v>
      </c>
      <c r="L720" s="618"/>
      <c r="M720" s="619"/>
      <c r="N720" s="620"/>
      <c r="O720" s="620"/>
      <c r="P720" s="663" t="s">
        <v>4970</v>
      </c>
      <c r="Q720" s="621" t="s">
        <v>319</v>
      </c>
      <c r="R720" s="598"/>
      <c r="S720" s="598"/>
      <c r="T720" s="598"/>
      <c r="U720" s="598" t="s">
        <v>1015</v>
      </c>
      <c r="V720" s="663" t="s">
        <v>644</v>
      </c>
      <c r="W720" s="779" t="s">
        <v>4419</v>
      </c>
      <c r="X720" s="598" t="s">
        <v>950</v>
      </c>
      <c r="Y720" s="624">
        <v>23295</v>
      </c>
      <c r="Z720" s="625">
        <f t="shared" ca="1" si="12"/>
        <v>62</v>
      </c>
      <c r="AA720" s="616" t="s">
        <v>4420</v>
      </c>
      <c r="AB720" s="598" t="s">
        <v>4421</v>
      </c>
      <c r="AC720" s="598" t="s">
        <v>996</v>
      </c>
      <c r="AD720" s="598" t="s">
        <v>1018</v>
      </c>
      <c r="AE720" s="616" t="s">
        <v>246</v>
      </c>
      <c r="AF720" s="616" t="s">
        <v>246</v>
      </c>
      <c r="AG720" s="616" t="s">
        <v>4393</v>
      </c>
      <c r="AH720" s="598"/>
      <c r="AI720" s="598"/>
      <c r="AJ720" s="647" t="s">
        <v>1513</v>
      </c>
      <c r="AK720" s="598"/>
      <c r="AL720" s="626"/>
      <c r="AM720" s="626"/>
    </row>
    <row r="721" spans="3:39" ht="18" customHeight="1">
      <c r="C721" s="598">
        <v>700</v>
      </c>
      <c r="D721" s="598" t="s">
        <v>4422</v>
      </c>
      <c r="E721" s="598">
        <f t="shared" si="11"/>
        <v>658</v>
      </c>
      <c r="F721" s="616" t="s">
        <v>3862</v>
      </c>
      <c r="G721" s="616" t="s">
        <v>4963</v>
      </c>
      <c r="H721" s="618" t="s">
        <v>1195</v>
      </c>
      <c r="I721" s="618" t="s">
        <v>87</v>
      </c>
      <c r="J721" s="618" t="s">
        <v>3811</v>
      </c>
      <c r="K721" s="618" t="s">
        <v>3811</v>
      </c>
      <c r="L721" s="618"/>
      <c r="M721" s="619"/>
      <c r="N721" s="620"/>
      <c r="O721" s="620"/>
      <c r="P721" s="663" t="s">
        <v>4970</v>
      </c>
      <c r="Q721" s="621" t="s">
        <v>319</v>
      </c>
      <c r="R721" s="598"/>
      <c r="S721" s="598"/>
      <c r="T721" s="598"/>
      <c r="U721" s="598" t="s">
        <v>1015</v>
      </c>
      <c r="V721" s="663" t="s">
        <v>661</v>
      </c>
      <c r="W721" s="779" t="s">
        <v>4423</v>
      </c>
      <c r="X721" s="598" t="s">
        <v>950</v>
      </c>
      <c r="Y721" s="624">
        <v>23392</v>
      </c>
      <c r="Z721" s="625">
        <f t="shared" ca="1" si="12"/>
        <v>62</v>
      </c>
      <c r="AA721" s="616" t="s">
        <v>4424</v>
      </c>
      <c r="AB721" s="598" t="s">
        <v>4425</v>
      </c>
      <c r="AC721" s="598" t="s">
        <v>996</v>
      </c>
      <c r="AD721" s="598" t="s">
        <v>1018</v>
      </c>
      <c r="AE721" s="616" t="s">
        <v>246</v>
      </c>
      <c r="AF721" s="616" t="s">
        <v>246</v>
      </c>
      <c r="AG721" s="616" t="s">
        <v>3824</v>
      </c>
      <c r="AH721" s="598"/>
      <c r="AI721" s="598"/>
      <c r="AJ721" s="647" t="s">
        <v>1513</v>
      </c>
      <c r="AK721" s="598"/>
      <c r="AL721" s="626"/>
      <c r="AM721" s="626"/>
    </row>
    <row r="722" spans="3:39" ht="18" customHeight="1">
      <c r="C722" s="598">
        <v>701</v>
      </c>
      <c r="D722" s="598" t="s">
        <v>4060</v>
      </c>
      <c r="E722" s="598">
        <f t="shared" si="11"/>
        <v>659</v>
      </c>
      <c r="F722" s="616" t="s">
        <v>3862</v>
      </c>
      <c r="G722" s="616" t="s">
        <v>4963</v>
      </c>
      <c r="H722" s="618" t="s">
        <v>1195</v>
      </c>
      <c r="I722" s="618" t="s">
        <v>87</v>
      </c>
      <c r="J722" s="618" t="s">
        <v>3811</v>
      </c>
      <c r="K722" s="618" t="s">
        <v>3811</v>
      </c>
      <c r="L722" s="618"/>
      <c r="M722" s="619"/>
      <c r="N722" s="620"/>
      <c r="O722" s="620"/>
      <c r="P722" s="663" t="s">
        <v>4970</v>
      </c>
      <c r="Q722" s="621" t="s">
        <v>319</v>
      </c>
      <c r="R722" s="598"/>
      <c r="S722" s="598"/>
      <c r="T722" s="598"/>
      <c r="U722" s="598" t="s">
        <v>1015</v>
      </c>
      <c r="V722" s="663" t="s">
        <v>680</v>
      </c>
      <c r="W722" s="779" t="s">
        <v>4061</v>
      </c>
      <c r="X722" s="598" t="s">
        <v>950</v>
      </c>
      <c r="Y722" s="624">
        <v>23701</v>
      </c>
      <c r="Z722" s="625">
        <f t="shared" ca="1" si="12"/>
        <v>61</v>
      </c>
      <c r="AA722" s="616" t="s">
        <v>4062</v>
      </c>
      <c r="AB722" s="598" t="s">
        <v>4063</v>
      </c>
      <c r="AC722" s="598" t="s">
        <v>996</v>
      </c>
      <c r="AD722" s="598" t="s">
        <v>1018</v>
      </c>
      <c r="AE722" s="616" t="s">
        <v>246</v>
      </c>
      <c r="AF722" s="616" t="s">
        <v>246</v>
      </c>
      <c r="AG722" s="616" t="s">
        <v>4064</v>
      </c>
      <c r="AH722" s="598"/>
      <c r="AI722" s="598"/>
      <c r="AJ722" s="647" t="s">
        <v>1513</v>
      </c>
      <c r="AK722" s="598"/>
      <c r="AL722" s="626"/>
      <c r="AM722" s="626"/>
    </row>
    <row r="723" spans="3:39" ht="18" customHeight="1">
      <c r="C723" s="598">
        <v>702</v>
      </c>
      <c r="D723" s="598" t="s">
        <v>3743</v>
      </c>
      <c r="E723" s="598">
        <f t="shared" si="11"/>
        <v>660</v>
      </c>
      <c r="F723" s="616" t="s">
        <v>4978</v>
      </c>
      <c r="G723" s="616" t="s">
        <v>4963</v>
      </c>
      <c r="H723" s="618" t="s">
        <v>1195</v>
      </c>
      <c r="I723" s="618" t="s">
        <v>87</v>
      </c>
      <c r="J723" s="618" t="s">
        <v>3811</v>
      </c>
      <c r="K723" s="618" t="s">
        <v>3811</v>
      </c>
      <c r="L723" s="618"/>
      <c r="M723" s="619"/>
      <c r="N723" s="620"/>
      <c r="O723" s="620"/>
      <c r="P723" s="673" t="s">
        <v>4970</v>
      </c>
      <c r="Q723" s="621" t="s">
        <v>319</v>
      </c>
      <c r="R723" s="598"/>
      <c r="S723" s="598"/>
      <c r="T723" s="598"/>
      <c r="U723" s="598" t="s">
        <v>1015</v>
      </c>
      <c r="V723" s="664" t="s">
        <v>696</v>
      </c>
      <c r="W723" s="779" t="s">
        <v>3744</v>
      </c>
      <c r="X723" s="598" t="s">
        <v>950</v>
      </c>
      <c r="Y723" s="624">
        <v>24508</v>
      </c>
      <c r="Z723" s="625">
        <f t="shared" ca="1" si="12"/>
        <v>58</v>
      </c>
      <c r="AA723" s="616" t="s">
        <v>3745</v>
      </c>
      <c r="AB723" s="598"/>
      <c r="AC723" s="598" t="s">
        <v>996</v>
      </c>
      <c r="AD723" s="598" t="s">
        <v>1018</v>
      </c>
      <c r="AE723" s="616" t="s">
        <v>1078</v>
      </c>
      <c r="AF723" s="616" t="s">
        <v>1078</v>
      </c>
      <c r="AG723" s="616" t="s">
        <v>3746</v>
      </c>
      <c r="AH723" s="598"/>
      <c r="AI723" s="598"/>
      <c r="AJ723" s="647" t="s">
        <v>1513</v>
      </c>
      <c r="AK723" s="598"/>
      <c r="AL723" s="626"/>
      <c r="AM723" s="626"/>
    </row>
    <row r="724" spans="3:39" ht="18" customHeight="1">
      <c r="C724" s="598">
        <v>703</v>
      </c>
      <c r="D724" s="598" t="s">
        <v>1991</v>
      </c>
      <c r="E724" s="598">
        <f t="shared" si="11"/>
        <v>660</v>
      </c>
      <c r="F724" s="616"/>
      <c r="G724" s="616" t="s">
        <v>4971</v>
      </c>
      <c r="H724" s="618" t="s">
        <v>1195</v>
      </c>
      <c r="I724" s="618" t="s">
        <v>87</v>
      </c>
      <c r="J724" s="618" t="s">
        <v>1195</v>
      </c>
      <c r="K724" s="618" t="s">
        <v>1991</v>
      </c>
      <c r="L724" s="618" t="s">
        <v>959</v>
      </c>
      <c r="M724" s="619"/>
      <c r="N724" s="620"/>
      <c r="O724" s="620"/>
      <c r="P724" s="667" t="s">
        <v>4972</v>
      </c>
      <c r="Q724" s="621"/>
      <c r="R724" s="598" t="s">
        <v>55</v>
      </c>
      <c r="S724" s="598" t="s">
        <v>178</v>
      </c>
      <c r="T724" s="598"/>
      <c r="U724" s="623"/>
      <c r="V724" s="667" t="s">
        <v>289</v>
      </c>
      <c r="W724" s="781" t="s">
        <v>1993</v>
      </c>
      <c r="X724" s="598" t="s">
        <v>950</v>
      </c>
      <c r="Y724" s="624">
        <v>28944</v>
      </c>
      <c r="Z724" s="625">
        <f t="shared" ca="1" si="12"/>
        <v>46</v>
      </c>
      <c r="AA724" s="616" t="s">
        <v>1994</v>
      </c>
      <c r="AB724" s="598" t="s">
        <v>4909</v>
      </c>
      <c r="AC724" s="598" t="s">
        <v>966</v>
      </c>
      <c r="AD724" s="598" t="s">
        <v>953</v>
      </c>
      <c r="AE724" s="616" t="s">
        <v>246</v>
      </c>
      <c r="AF724" s="616" t="s">
        <v>246</v>
      </c>
      <c r="AG724" s="616" t="s">
        <v>4586</v>
      </c>
      <c r="AH724" s="598" t="s">
        <v>955</v>
      </c>
      <c r="AI724" s="598"/>
      <c r="AJ724" s="598"/>
      <c r="AK724" s="598"/>
      <c r="AL724" s="626"/>
      <c r="AM724" s="626"/>
    </row>
    <row r="725" spans="3:39" ht="18" customHeight="1">
      <c r="C725" s="598">
        <v>704</v>
      </c>
      <c r="D725" s="598" t="s">
        <v>2143</v>
      </c>
      <c r="E725" s="598">
        <f t="shared" si="11"/>
        <v>661</v>
      </c>
      <c r="F725" s="616" t="s">
        <v>4978</v>
      </c>
      <c r="G725" s="616" t="s">
        <v>4971</v>
      </c>
      <c r="H725" s="618" t="s">
        <v>1195</v>
      </c>
      <c r="I725" s="618" t="s">
        <v>87</v>
      </c>
      <c r="J725" s="618" t="s">
        <v>1195</v>
      </c>
      <c r="K725" s="618" t="s">
        <v>1991</v>
      </c>
      <c r="L725" s="618" t="s">
        <v>959</v>
      </c>
      <c r="M725" s="619"/>
      <c r="N725" s="620"/>
      <c r="O725" s="620"/>
      <c r="P725" s="663" t="s">
        <v>4972</v>
      </c>
      <c r="Q725" s="621" t="s">
        <v>319</v>
      </c>
      <c r="R725" s="598"/>
      <c r="S725" s="598"/>
      <c r="T725" s="598"/>
      <c r="U725" s="623" t="s">
        <v>1015</v>
      </c>
      <c r="V725" s="574" t="s">
        <v>626</v>
      </c>
      <c r="W725" s="781" t="s">
        <v>2144</v>
      </c>
      <c r="X725" s="598" t="s">
        <v>950</v>
      </c>
      <c r="Y725" s="624">
        <v>28386</v>
      </c>
      <c r="Z725" s="625">
        <f t="shared" ca="1" si="12"/>
        <v>48</v>
      </c>
      <c r="AA725" s="616" t="s">
        <v>2145</v>
      </c>
      <c r="AB725" s="598" t="s">
        <v>2146</v>
      </c>
      <c r="AC725" s="598" t="s">
        <v>996</v>
      </c>
      <c r="AD725" s="598" t="s">
        <v>1018</v>
      </c>
      <c r="AE725" s="616" t="s">
        <v>2147</v>
      </c>
      <c r="AF725" s="616" t="s">
        <v>2147</v>
      </c>
      <c r="AG725" s="616" t="s">
        <v>2148</v>
      </c>
      <c r="AH725" s="598"/>
      <c r="AI725" s="598"/>
      <c r="AJ725" s="683" t="s">
        <v>1566</v>
      </c>
      <c r="AK725" s="598"/>
      <c r="AL725" s="626"/>
      <c r="AM725" s="626"/>
    </row>
    <row r="726" spans="3:39" ht="18" customHeight="1">
      <c r="C726" s="598">
        <v>705</v>
      </c>
      <c r="D726" s="598" t="s">
        <v>2339</v>
      </c>
      <c r="E726" s="598">
        <f t="shared" si="11"/>
        <v>662</v>
      </c>
      <c r="F726" s="616" t="s">
        <v>4978</v>
      </c>
      <c r="G726" s="616" t="s">
        <v>4971</v>
      </c>
      <c r="H726" s="618" t="s">
        <v>1195</v>
      </c>
      <c r="I726" s="618" t="s">
        <v>87</v>
      </c>
      <c r="J726" s="618" t="s">
        <v>1195</v>
      </c>
      <c r="K726" s="618" t="s">
        <v>1991</v>
      </c>
      <c r="L726" s="618" t="s">
        <v>959</v>
      </c>
      <c r="M726" s="619"/>
      <c r="N726" s="620"/>
      <c r="O726" s="620"/>
      <c r="P726" s="663" t="s">
        <v>4972</v>
      </c>
      <c r="Q726" s="621" t="s">
        <v>319</v>
      </c>
      <c r="R726" s="598"/>
      <c r="S726" s="598"/>
      <c r="T726" s="598"/>
      <c r="U726" s="623" t="s">
        <v>1015</v>
      </c>
      <c r="V726" s="574" t="s">
        <v>645</v>
      </c>
      <c r="W726" s="781" t="s">
        <v>2344</v>
      </c>
      <c r="X726" s="598" t="s">
        <v>950</v>
      </c>
      <c r="Y726" s="624">
        <v>29120</v>
      </c>
      <c r="Z726" s="625">
        <f t="shared" ca="1" si="12"/>
        <v>46</v>
      </c>
      <c r="AA726" s="616" t="s">
        <v>2345</v>
      </c>
      <c r="AB726" s="598" t="s">
        <v>2346</v>
      </c>
      <c r="AC726" s="598" t="s">
        <v>996</v>
      </c>
      <c r="AD726" s="598" t="s">
        <v>1018</v>
      </c>
      <c r="AE726" s="616" t="s">
        <v>1494</v>
      </c>
      <c r="AF726" s="616" t="s">
        <v>1494</v>
      </c>
      <c r="AG726" s="616" t="s">
        <v>1623</v>
      </c>
      <c r="AH726" s="598"/>
      <c r="AI726" s="598"/>
      <c r="AJ726" s="683" t="s">
        <v>1566</v>
      </c>
      <c r="AK726" s="598"/>
      <c r="AL726" s="626"/>
      <c r="AM726" s="626"/>
    </row>
    <row r="727" spans="3:39" ht="18" customHeight="1">
      <c r="C727" s="598">
        <v>706</v>
      </c>
      <c r="D727" s="598" t="s">
        <v>1604</v>
      </c>
      <c r="E727" s="598">
        <f t="shared" si="11"/>
        <v>663</v>
      </c>
      <c r="F727" s="616" t="s">
        <v>4978</v>
      </c>
      <c r="G727" s="616" t="s">
        <v>4971</v>
      </c>
      <c r="H727" s="618" t="s">
        <v>1195</v>
      </c>
      <c r="I727" s="618" t="s">
        <v>87</v>
      </c>
      <c r="J727" s="618" t="s">
        <v>1195</v>
      </c>
      <c r="K727" s="618" t="s">
        <v>1991</v>
      </c>
      <c r="L727" s="618" t="s">
        <v>959</v>
      </c>
      <c r="M727" s="619"/>
      <c r="N727" s="620"/>
      <c r="O727" s="620"/>
      <c r="P727" s="663" t="s">
        <v>4972</v>
      </c>
      <c r="Q727" s="621" t="s">
        <v>319</v>
      </c>
      <c r="R727" s="598"/>
      <c r="S727" s="598"/>
      <c r="T727" s="598"/>
      <c r="U727" s="623" t="s">
        <v>1015</v>
      </c>
      <c r="V727" s="574" t="s">
        <v>662</v>
      </c>
      <c r="W727" s="781" t="s">
        <v>1605</v>
      </c>
      <c r="X727" s="598" t="s">
        <v>950</v>
      </c>
      <c r="Y727" s="624">
        <v>30879</v>
      </c>
      <c r="Z727" s="625">
        <f t="shared" ca="1" si="12"/>
        <v>41</v>
      </c>
      <c r="AA727" s="765" t="s">
        <v>1606</v>
      </c>
      <c r="AB727" s="598" t="s">
        <v>1607</v>
      </c>
      <c r="AC727" s="598" t="s">
        <v>996</v>
      </c>
      <c r="AD727" s="598" t="s">
        <v>1018</v>
      </c>
      <c r="AE727" s="616" t="s">
        <v>729</v>
      </c>
      <c r="AF727" s="616" t="s">
        <v>729</v>
      </c>
      <c r="AG727" s="616" t="s">
        <v>1533</v>
      </c>
      <c r="AH727" s="598"/>
      <c r="AI727" s="598"/>
      <c r="AJ727" s="683" t="s">
        <v>1566</v>
      </c>
      <c r="AK727" s="598"/>
      <c r="AL727" s="626"/>
      <c r="AM727" s="626"/>
    </row>
    <row r="728" spans="3:39" ht="18" customHeight="1">
      <c r="C728" s="598">
        <v>707</v>
      </c>
      <c r="D728" s="598" t="s">
        <v>1676</v>
      </c>
      <c r="E728" s="598">
        <f t="shared" si="11"/>
        <v>664</v>
      </c>
      <c r="F728" s="616" t="s">
        <v>4978</v>
      </c>
      <c r="G728" s="616" t="s">
        <v>4971</v>
      </c>
      <c r="H728" s="618" t="s">
        <v>1195</v>
      </c>
      <c r="I728" s="618" t="s">
        <v>87</v>
      </c>
      <c r="J728" s="618" t="s">
        <v>1195</v>
      </c>
      <c r="K728" s="618" t="s">
        <v>1991</v>
      </c>
      <c r="L728" s="618" t="s">
        <v>959</v>
      </c>
      <c r="M728" s="619"/>
      <c r="N728" s="620"/>
      <c r="O728" s="620"/>
      <c r="P728" s="663" t="s">
        <v>4972</v>
      </c>
      <c r="Q728" s="621" t="s">
        <v>319</v>
      </c>
      <c r="R728" s="598"/>
      <c r="S728" s="598"/>
      <c r="T728" s="598"/>
      <c r="U728" s="623" t="s">
        <v>1015</v>
      </c>
      <c r="V728" s="576" t="s">
        <v>681</v>
      </c>
      <c r="W728" s="781" t="s">
        <v>1677</v>
      </c>
      <c r="X728" s="598" t="s">
        <v>950</v>
      </c>
      <c r="Y728" s="624">
        <v>31503</v>
      </c>
      <c r="Z728" s="625">
        <f t="shared" ca="1" si="12"/>
        <v>39</v>
      </c>
      <c r="AA728" s="616" t="s">
        <v>1678</v>
      </c>
      <c r="AB728" s="598" t="s">
        <v>1679</v>
      </c>
      <c r="AC728" s="598" t="s">
        <v>996</v>
      </c>
      <c r="AD728" s="598" t="s">
        <v>1018</v>
      </c>
      <c r="AE728" s="616" t="s">
        <v>729</v>
      </c>
      <c r="AF728" s="616" t="s">
        <v>729</v>
      </c>
      <c r="AG728" s="616" t="s">
        <v>1680</v>
      </c>
      <c r="AH728" s="598"/>
      <c r="AI728" s="598"/>
      <c r="AJ728" s="683" t="s">
        <v>1566</v>
      </c>
      <c r="AK728" s="598"/>
      <c r="AL728" s="626"/>
      <c r="AM728" s="626"/>
    </row>
    <row r="729" spans="3:39" ht="18" customHeight="1">
      <c r="C729" s="598">
        <v>708</v>
      </c>
      <c r="D729" s="598" t="s">
        <v>1270</v>
      </c>
      <c r="E729" s="598">
        <f t="shared" si="11"/>
        <v>664</v>
      </c>
      <c r="F729" s="616"/>
      <c r="G729" s="616" t="s">
        <v>4971</v>
      </c>
      <c r="H729" s="618" t="s">
        <v>1195</v>
      </c>
      <c r="I729" s="618" t="s">
        <v>87</v>
      </c>
      <c r="J729" s="618" t="s">
        <v>1195</v>
      </c>
      <c r="K729" s="618" t="s">
        <v>1270</v>
      </c>
      <c r="L729" s="618" t="s">
        <v>959</v>
      </c>
      <c r="M729" s="619"/>
      <c r="N729" s="620"/>
      <c r="O729" s="620"/>
      <c r="P729" s="667" t="s">
        <v>4973</v>
      </c>
      <c r="Q729" s="621"/>
      <c r="R729" s="598" t="s">
        <v>55</v>
      </c>
      <c r="S729" s="598" t="s">
        <v>178</v>
      </c>
      <c r="T729" s="598"/>
      <c r="U729" s="623"/>
      <c r="V729" s="667" t="s">
        <v>609</v>
      </c>
      <c r="W729" s="781" t="s">
        <v>1271</v>
      </c>
      <c r="X729" s="598" t="s">
        <v>950</v>
      </c>
      <c r="Y729" s="624">
        <v>23479</v>
      </c>
      <c r="Z729" s="625">
        <f t="shared" ca="1" si="12"/>
        <v>61</v>
      </c>
      <c r="AA729" s="616" t="s">
        <v>1272</v>
      </c>
      <c r="AB729" s="598" t="s">
        <v>1273</v>
      </c>
      <c r="AC729" s="598" t="s">
        <v>966</v>
      </c>
      <c r="AD729" s="598" t="s">
        <v>953</v>
      </c>
      <c r="AE729" s="616" t="s">
        <v>729</v>
      </c>
      <c r="AF729" s="616" t="s">
        <v>1239</v>
      </c>
      <c r="AG729" s="616" t="s">
        <v>1274</v>
      </c>
      <c r="AH729" s="598" t="s">
        <v>955</v>
      </c>
      <c r="AI729" s="598"/>
      <c r="AJ729" s="598"/>
      <c r="AK729" s="598"/>
      <c r="AL729" s="626"/>
      <c r="AM729" s="626"/>
    </row>
    <row r="730" spans="3:39" ht="18" customHeight="1">
      <c r="C730" s="598">
        <v>709</v>
      </c>
      <c r="D730" s="598" t="s">
        <v>2195</v>
      </c>
      <c r="E730" s="598">
        <f t="shared" si="11"/>
        <v>665</v>
      </c>
      <c r="F730" s="616" t="s">
        <v>4978</v>
      </c>
      <c r="G730" s="616" t="s">
        <v>4971</v>
      </c>
      <c r="H730" s="618" t="s">
        <v>1195</v>
      </c>
      <c r="I730" s="618" t="s">
        <v>87</v>
      </c>
      <c r="J730" s="618" t="s">
        <v>1195</v>
      </c>
      <c r="K730" s="618" t="s">
        <v>1270</v>
      </c>
      <c r="L730" s="618" t="s">
        <v>959</v>
      </c>
      <c r="M730" s="619"/>
      <c r="N730" s="620"/>
      <c r="O730" s="620"/>
      <c r="P730" s="663" t="s">
        <v>4973</v>
      </c>
      <c r="Q730" s="621" t="s">
        <v>319</v>
      </c>
      <c r="R730" s="598"/>
      <c r="S730" s="598"/>
      <c r="T730" s="598"/>
      <c r="U730" s="623" t="s">
        <v>1015</v>
      </c>
      <c r="V730" s="768" t="s">
        <v>627</v>
      </c>
      <c r="W730" s="781" t="s">
        <v>2196</v>
      </c>
      <c r="X730" s="598" t="s">
        <v>950</v>
      </c>
      <c r="Y730" s="624">
        <v>23563</v>
      </c>
      <c r="Z730" s="625">
        <f t="shared" ca="1" si="12"/>
        <v>61</v>
      </c>
      <c r="AA730" s="616" t="s">
        <v>2197</v>
      </c>
      <c r="AB730" s="598" t="s">
        <v>2198</v>
      </c>
      <c r="AC730" s="598" t="s">
        <v>996</v>
      </c>
      <c r="AD730" s="598" t="s">
        <v>1018</v>
      </c>
      <c r="AE730" s="616" t="s">
        <v>729</v>
      </c>
      <c r="AF730" s="616" t="s">
        <v>729</v>
      </c>
      <c r="AG730" s="616" t="s">
        <v>1252</v>
      </c>
      <c r="AH730" s="598"/>
      <c r="AI730" s="598"/>
      <c r="AJ730" s="683" t="s">
        <v>1566</v>
      </c>
      <c r="AK730" s="598"/>
      <c r="AL730" s="626"/>
      <c r="AM730" s="626"/>
    </row>
    <row r="731" spans="3:39" ht="18" customHeight="1">
      <c r="C731" s="598">
        <v>710</v>
      </c>
      <c r="D731" s="598" t="s">
        <v>2186</v>
      </c>
      <c r="E731" s="598">
        <f t="shared" si="11"/>
        <v>666</v>
      </c>
      <c r="F731" s="616" t="s">
        <v>4978</v>
      </c>
      <c r="G731" s="616" t="s">
        <v>4971</v>
      </c>
      <c r="H731" s="618" t="s">
        <v>1195</v>
      </c>
      <c r="I731" s="618" t="s">
        <v>87</v>
      </c>
      <c r="J731" s="618" t="s">
        <v>1195</v>
      </c>
      <c r="K731" s="618" t="s">
        <v>1270</v>
      </c>
      <c r="L731" s="618" t="s">
        <v>959</v>
      </c>
      <c r="M731" s="619"/>
      <c r="N731" s="620"/>
      <c r="O731" s="620"/>
      <c r="P731" s="663" t="s">
        <v>4973</v>
      </c>
      <c r="Q731" s="621" t="s">
        <v>319</v>
      </c>
      <c r="R731" s="598"/>
      <c r="S731" s="598"/>
      <c r="T731" s="598"/>
      <c r="U731" s="623" t="s">
        <v>1015</v>
      </c>
      <c r="V731" s="769" t="s">
        <v>646</v>
      </c>
      <c r="W731" s="781" t="s">
        <v>2187</v>
      </c>
      <c r="X731" s="598" t="s">
        <v>950</v>
      </c>
      <c r="Y731" s="624">
        <v>25153</v>
      </c>
      <c r="Z731" s="625">
        <f t="shared" ca="1" si="12"/>
        <v>57</v>
      </c>
      <c r="AA731" s="616" t="s">
        <v>2188</v>
      </c>
      <c r="AB731" s="598" t="s">
        <v>2189</v>
      </c>
      <c r="AC731" s="598" t="s">
        <v>996</v>
      </c>
      <c r="AD731" s="598" t="s">
        <v>1018</v>
      </c>
      <c r="AE731" s="616" t="s">
        <v>729</v>
      </c>
      <c r="AF731" s="616" t="s">
        <v>729</v>
      </c>
      <c r="AG731" s="616" t="s">
        <v>2190</v>
      </c>
      <c r="AH731" s="598"/>
      <c r="AI731" s="598"/>
      <c r="AJ731" s="683" t="s">
        <v>1566</v>
      </c>
      <c r="AK731" s="598"/>
      <c r="AL731" s="626"/>
      <c r="AM731" s="626"/>
    </row>
    <row r="732" spans="3:39" ht="18" customHeight="1">
      <c r="C732" s="598">
        <v>711</v>
      </c>
      <c r="D732" s="598" t="s">
        <v>2203</v>
      </c>
      <c r="E732" s="598">
        <f t="shared" si="11"/>
        <v>667</v>
      </c>
      <c r="F732" s="616" t="s">
        <v>4978</v>
      </c>
      <c r="G732" s="616" t="s">
        <v>4971</v>
      </c>
      <c r="H732" s="618" t="s">
        <v>1195</v>
      </c>
      <c r="I732" s="618" t="s">
        <v>87</v>
      </c>
      <c r="J732" s="618" t="s">
        <v>1195</v>
      </c>
      <c r="K732" s="618" t="s">
        <v>1270</v>
      </c>
      <c r="L732" s="618" t="s">
        <v>959</v>
      </c>
      <c r="M732" s="619"/>
      <c r="N732" s="620"/>
      <c r="O732" s="620"/>
      <c r="P732" s="663" t="s">
        <v>4973</v>
      </c>
      <c r="Q732" s="621" t="s">
        <v>319</v>
      </c>
      <c r="R732" s="598"/>
      <c r="S732" s="598"/>
      <c r="T732" s="598"/>
      <c r="U732" s="623" t="s">
        <v>1015</v>
      </c>
      <c r="V732" s="768" t="s">
        <v>663</v>
      </c>
      <c r="W732" s="781" t="s">
        <v>2204</v>
      </c>
      <c r="X732" s="598" t="s">
        <v>950</v>
      </c>
      <c r="Y732" s="624">
        <v>25850</v>
      </c>
      <c r="Z732" s="625">
        <f t="shared" ca="1" si="12"/>
        <v>55</v>
      </c>
      <c r="AA732" s="616" t="s">
        <v>2205</v>
      </c>
      <c r="AB732" s="598" t="s">
        <v>2206</v>
      </c>
      <c r="AC732" s="598" t="s">
        <v>996</v>
      </c>
      <c r="AD732" s="598" t="s">
        <v>1018</v>
      </c>
      <c r="AE732" s="616" t="s">
        <v>729</v>
      </c>
      <c r="AF732" s="616" t="s">
        <v>729</v>
      </c>
      <c r="AG732" s="616" t="s">
        <v>2207</v>
      </c>
      <c r="AH732" s="598"/>
      <c r="AI732" s="598"/>
      <c r="AJ732" s="683" t="s">
        <v>1566</v>
      </c>
      <c r="AK732" s="598"/>
      <c r="AL732" s="626"/>
      <c r="AM732" s="626"/>
    </row>
    <row r="733" spans="3:39" ht="18" customHeight="1">
      <c r="C733" s="598">
        <v>712</v>
      </c>
      <c r="D733" s="598" t="s">
        <v>2235</v>
      </c>
      <c r="E733" s="598">
        <f t="shared" si="11"/>
        <v>668</v>
      </c>
      <c r="F733" s="616" t="s">
        <v>4978</v>
      </c>
      <c r="G733" s="616" t="s">
        <v>4971</v>
      </c>
      <c r="H733" s="618" t="s">
        <v>1195</v>
      </c>
      <c r="I733" s="618" t="s">
        <v>87</v>
      </c>
      <c r="J733" s="618" t="s">
        <v>1195</v>
      </c>
      <c r="K733" s="618" t="s">
        <v>1270</v>
      </c>
      <c r="L733" s="618" t="s">
        <v>959</v>
      </c>
      <c r="M733" s="619"/>
      <c r="N733" s="620"/>
      <c r="O733" s="620"/>
      <c r="P733" s="663" t="s">
        <v>4973</v>
      </c>
      <c r="Q733" s="621" t="s">
        <v>319</v>
      </c>
      <c r="R733" s="598"/>
      <c r="S733" s="598"/>
      <c r="T733" s="598"/>
      <c r="U733" s="623" t="s">
        <v>1015</v>
      </c>
      <c r="V733" s="768" t="s">
        <v>682</v>
      </c>
      <c r="W733" s="781" t="s">
        <v>5006</v>
      </c>
      <c r="X733" s="598" t="s">
        <v>950</v>
      </c>
      <c r="Y733" s="624">
        <v>25908</v>
      </c>
      <c r="Z733" s="625">
        <f t="shared" ca="1" si="12"/>
        <v>55</v>
      </c>
      <c r="AA733" s="616" t="s">
        <v>2238</v>
      </c>
      <c r="AB733" s="598" t="s">
        <v>2239</v>
      </c>
      <c r="AC733" s="598" t="s">
        <v>996</v>
      </c>
      <c r="AD733" s="598" t="s">
        <v>1018</v>
      </c>
      <c r="AE733" s="616" t="s">
        <v>729</v>
      </c>
      <c r="AF733" s="616" t="s">
        <v>729</v>
      </c>
      <c r="AG733" s="616" t="s">
        <v>2240</v>
      </c>
      <c r="AH733" s="598"/>
      <c r="AI733" s="598"/>
      <c r="AJ733" s="683" t="s">
        <v>1566</v>
      </c>
      <c r="AK733" s="598"/>
      <c r="AL733" s="626"/>
      <c r="AM733" s="626"/>
    </row>
    <row r="734" spans="3:39" ht="18" customHeight="1">
      <c r="C734" s="598">
        <v>713</v>
      </c>
      <c r="D734" s="598" t="s">
        <v>2219</v>
      </c>
      <c r="E734" s="598">
        <f t="shared" si="11"/>
        <v>669</v>
      </c>
      <c r="F734" s="616" t="s">
        <v>1351</v>
      </c>
      <c r="G734" s="616" t="s">
        <v>4971</v>
      </c>
      <c r="H734" s="618" t="s">
        <v>1195</v>
      </c>
      <c r="I734" s="618" t="s">
        <v>87</v>
      </c>
      <c r="J734" s="618" t="s">
        <v>1195</v>
      </c>
      <c r="K734" s="618" t="s">
        <v>1270</v>
      </c>
      <c r="L734" s="618" t="s">
        <v>959</v>
      </c>
      <c r="M734" s="619"/>
      <c r="N734" s="620"/>
      <c r="O734" s="620"/>
      <c r="P734" s="663" t="s">
        <v>4973</v>
      </c>
      <c r="Q734" s="621" t="s">
        <v>319</v>
      </c>
      <c r="R734" s="598"/>
      <c r="S734" s="598"/>
      <c r="T734" s="598"/>
      <c r="U734" s="623" t="s">
        <v>1015</v>
      </c>
      <c r="V734" s="770" t="s">
        <v>697</v>
      </c>
      <c r="W734" s="781" t="s">
        <v>2221</v>
      </c>
      <c r="X734" s="598" t="s">
        <v>950</v>
      </c>
      <c r="Y734" s="624">
        <v>24619</v>
      </c>
      <c r="Z734" s="625">
        <f t="shared" ca="1" si="12"/>
        <v>58</v>
      </c>
      <c r="AA734" s="616" t="s">
        <v>2222</v>
      </c>
      <c r="AB734" s="598" t="s">
        <v>2223</v>
      </c>
      <c r="AC734" s="598" t="s">
        <v>996</v>
      </c>
      <c r="AD734" s="598" t="s">
        <v>1018</v>
      </c>
      <c r="AE734" s="616" t="s">
        <v>729</v>
      </c>
      <c r="AF734" s="616" t="s">
        <v>729</v>
      </c>
      <c r="AG734" s="616" t="s">
        <v>1252</v>
      </c>
      <c r="AH734" s="598"/>
      <c r="AI734" s="598"/>
      <c r="AJ734" s="683" t="s">
        <v>1513</v>
      </c>
      <c r="AK734" s="598"/>
      <c r="AL734" s="626"/>
      <c r="AM734" s="626"/>
    </row>
    <row r="735" spans="3:39" ht="18" customHeight="1">
      <c r="C735" s="598">
        <v>714</v>
      </c>
      <c r="D735" s="598" t="s">
        <v>3559</v>
      </c>
      <c r="E735" s="598">
        <f t="shared" si="11"/>
        <v>669</v>
      </c>
      <c r="F735" s="616"/>
      <c r="G735" s="616" t="s">
        <v>4971</v>
      </c>
      <c r="H735" s="618" t="s">
        <v>1195</v>
      </c>
      <c r="I735" s="618" t="s">
        <v>87</v>
      </c>
      <c r="J735" s="618" t="s">
        <v>1195</v>
      </c>
      <c r="K735" s="618" t="s">
        <v>3559</v>
      </c>
      <c r="L735" s="618" t="s">
        <v>959</v>
      </c>
      <c r="M735" s="619"/>
      <c r="N735" s="620"/>
      <c r="O735" s="620"/>
      <c r="P735" s="667" t="s">
        <v>4974</v>
      </c>
      <c r="Q735" s="621"/>
      <c r="R735" s="598" t="s">
        <v>55</v>
      </c>
      <c r="S735" s="598" t="s">
        <v>178</v>
      </c>
      <c r="T735" s="598"/>
      <c r="U735" s="623"/>
      <c r="V735" s="667" t="s">
        <v>222</v>
      </c>
      <c r="W735" s="781" t="s">
        <v>3561</v>
      </c>
      <c r="X735" s="598" t="s">
        <v>950</v>
      </c>
      <c r="Y735" s="624">
        <v>21600</v>
      </c>
      <c r="Z735" s="625">
        <f t="shared" ca="1" si="12"/>
        <v>66</v>
      </c>
      <c r="AA735" s="616" t="s">
        <v>3562</v>
      </c>
      <c r="AB735" s="598" t="s">
        <v>3563</v>
      </c>
      <c r="AC735" s="598" t="s">
        <v>966</v>
      </c>
      <c r="AD735" s="598" t="s">
        <v>953</v>
      </c>
      <c r="AE735" s="616" t="s">
        <v>973</v>
      </c>
      <c r="AF735" s="616" t="s">
        <v>973</v>
      </c>
      <c r="AG735" s="616" t="s">
        <v>3509</v>
      </c>
      <c r="AH735" s="598" t="s">
        <v>955</v>
      </c>
      <c r="AI735" s="598"/>
      <c r="AJ735" s="598"/>
      <c r="AK735" s="598"/>
      <c r="AL735" s="626"/>
      <c r="AM735" s="626"/>
    </row>
    <row r="736" spans="3:39" ht="18" customHeight="1">
      <c r="C736" s="598">
        <v>715</v>
      </c>
      <c r="D736" s="598" t="s">
        <v>3732</v>
      </c>
      <c r="E736" s="598">
        <f t="shared" si="11"/>
        <v>670</v>
      </c>
      <c r="F736" s="616" t="s">
        <v>4978</v>
      </c>
      <c r="G736" s="616" t="s">
        <v>4971</v>
      </c>
      <c r="H736" s="618" t="s">
        <v>1195</v>
      </c>
      <c r="I736" s="618" t="s">
        <v>87</v>
      </c>
      <c r="J736" s="618" t="s">
        <v>1195</v>
      </c>
      <c r="K736" s="618" t="s">
        <v>3559</v>
      </c>
      <c r="L736" s="618"/>
      <c r="M736" s="619"/>
      <c r="N736" s="620"/>
      <c r="O736" s="620"/>
      <c r="P736" s="664" t="s">
        <v>4974</v>
      </c>
      <c r="Q736" s="621" t="s">
        <v>319</v>
      </c>
      <c r="R736" s="598"/>
      <c r="S736" s="598"/>
      <c r="T736" s="598"/>
      <c r="U736" s="623" t="s">
        <v>1015</v>
      </c>
      <c r="V736" s="576" t="s">
        <v>628</v>
      </c>
      <c r="W736" s="781" t="s">
        <v>3733</v>
      </c>
      <c r="X736" s="598" t="s">
        <v>950</v>
      </c>
      <c r="Y736" s="624">
        <v>21629</v>
      </c>
      <c r="Z736" s="625">
        <f t="shared" ca="1" si="12"/>
        <v>66</v>
      </c>
      <c r="AA736" s="616" t="s">
        <v>3734</v>
      </c>
      <c r="AB736" s="598" t="s">
        <v>3735</v>
      </c>
      <c r="AC736" s="598" t="s">
        <v>996</v>
      </c>
      <c r="AD736" s="598" t="s">
        <v>1018</v>
      </c>
      <c r="AE736" s="616" t="s">
        <v>973</v>
      </c>
      <c r="AF736" s="616" t="s">
        <v>973</v>
      </c>
      <c r="AG736" s="616" t="s">
        <v>3509</v>
      </c>
      <c r="AH736" s="598"/>
      <c r="AI736" s="598"/>
      <c r="AJ736" s="683" t="s">
        <v>1566</v>
      </c>
      <c r="AK736" s="598"/>
      <c r="AL736" s="626"/>
      <c r="AM736" s="626"/>
    </row>
    <row r="737" spans="3:39" ht="18" customHeight="1">
      <c r="C737" s="598">
        <v>716</v>
      </c>
      <c r="D737" s="598" t="s">
        <v>3751</v>
      </c>
      <c r="E737" s="598">
        <f t="shared" si="11"/>
        <v>671</v>
      </c>
      <c r="F737" s="616" t="s">
        <v>4978</v>
      </c>
      <c r="G737" s="616" t="s">
        <v>4971</v>
      </c>
      <c r="H737" s="618" t="s">
        <v>1195</v>
      </c>
      <c r="I737" s="618" t="s">
        <v>87</v>
      </c>
      <c r="J737" s="618" t="s">
        <v>1195</v>
      </c>
      <c r="K737" s="618" t="s">
        <v>3559</v>
      </c>
      <c r="L737" s="618"/>
      <c r="M737" s="619"/>
      <c r="N737" s="620"/>
      <c r="O737" s="620"/>
      <c r="P737" s="664" t="s">
        <v>4974</v>
      </c>
      <c r="Q737" s="621" t="s">
        <v>319</v>
      </c>
      <c r="R737" s="598"/>
      <c r="S737" s="598"/>
      <c r="T737" s="598"/>
      <c r="U737" s="623" t="s">
        <v>1015</v>
      </c>
      <c r="V737" s="578" t="s">
        <v>647</v>
      </c>
      <c r="W737" s="781" t="s">
        <v>3752</v>
      </c>
      <c r="X737" s="598" t="s">
        <v>950</v>
      </c>
      <c r="Y737" s="624">
        <v>22009</v>
      </c>
      <c r="Z737" s="625">
        <f t="shared" ca="1" si="12"/>
        <v>65</v>
      </c>
      <c r="AA737" s="342" t="s">
        <v>3753</v>
      </c>
      <c r="AB737" s="598" t="s">
        <v>3754</v>
      </c>
      <c r="AC737" s="598" t="s">
        <v>996</v>
      </c>
      <c r="AD737" s="598" t="s">
        <v>1018</v>
      </c>
      <c r="AE737" s="616" t="s">
        <v>1078</v>
      </c>
      <c r="AF737" s="616" t="s">
        <v>1078</v>
      </c>
      <c r="AG737" s="616" t="s">
        <v>3578</v>
      </c>
      <c r="AH737" s="598"/>
      <c r="AI737" s="598"/>
      <c r="AJ737" s="683" t="s">
        <v>1566</v>
      </c>
      <c r="AK737" s="598"/>
      <c r="AL737" s="626"/>
      <c r="AM737" s="626"/>
    </row>
    <row r="738" spans="3:39" ht="18" customHeight="1">
      <c r="C738" s="598">
        <v>717</v>
      </c>
      <c r="D738" s="598" t="s">
        <v>3747</v>
      </c>
      <c r="E738" s="598">
        <f t="shared" si="11"/>
        <v>672</v>
      </c>
      <c r="F738" s="616" t="s">
        <v>4978</v>
      </c>
      <c r="G738" s="616" t="s">
        <v>4971</v>
      </c>
      <c r="H738" s="618" t="s">
        <v>1195</v>
      </c>
      <c r="I738" s="618" t="s">
        <v>87</v>
      </c>
      <c r="J738" s="618" t="s">
        <v>1195</v>
      </c>
      <c r="K738" s="618" t="s">
        <v>3559</v>
      </c>
      <c r="L738" s="618"/>
      <c r="M738" s="619"/>
      <c r="N738" s="620"/>
      <c r="O738" s="620"/>
      <c r="P738" s="664" t="s">
        <v>4974</v>
      </c>
      <c r="Q738" s="621" t="s">
        <v>319</v>
      </c>
      <c r="R738" s="598"/>
      <c r="S738" s="598"/>
      <c r="T738" s="598"/>
      <c r="U738" s="623" t="s">
        <v>1015</v>
      </c>
      <c r="V738" s="574" t="s">
        <v>664</v>
      </c>
      <c r="W738" s="781" t="s">
        <v>3748</v>
      </c>
      <c r="X738" s="598" t="s">
        <v>950</v>
      </c>
      <c r="Y738" s="624">
        <v>22260</v>
      </c>
      <c r="Z738" s="625">
        <f t="shared" ca="1" si="12"/>
        <v>65</v>
      </c>
      <c r="AA738" s="616" t="s">
        <v>3749</v>
      </c>
      <c r="AB738" s="598" t="s">
        <v>3750</v>
      </c>
      <c r="AC738" s="598" t="s">
        <v>996</v>
      </c>
      <c r="AD738" s="598" t="s">
        <v>1018</v>
      </c>
      <c r="AE738" s="616" t="s">
        <v>1078</v>
      </c>
      <c r="AF738" s="616" t="s">
        <v>1078</v>
      </c>
      <c r="AG738" s="616" t="s">
        <v>3578</v>
      </c>
      <c r="AH738" s="598"/>
      <c r="AI738" s="598"/>
      <c r="AJ738" s="683" t="s">
        <v>1566</v>
      </c>
      <c r="AK738" s="598"/>
      <c r="AL738" s="626"/>
      <c r="AM738" s="626"/>
    </row>
    <row r="739" spans="3:39" ht="18" customHeight="1">
      <c r="C739" s="598">
        <v>718</v>
      </c>
      <c r="D739" s="598" t="s">
        <v>3736</v>
      </c>
      <c r="E739" s="598">
        <f t="shared" si="11"/>
        <v>673</v>
      </c>
      <c r="F739" s="616" t="s">
        <v>4978</v>
      </c>
      <c r="G739" s="616" t="s">
        <v>4971</v>
      </c>
      <c r="H739" s="618" t="s">
        <v>1195</v>
      </c>
      <c r="I739" s="618" t="s">
        <v>87</v>
      </c>
      <c r="J739" s="618" t="s">
        <v>1195</v>
      </c>
      <c r="K739" s="618" t="s">
        <v>3559</v>
      </c>
      <c r="L739" s="618"/>
      <c r="M739" s="619"/>
      <c r="N739" s="620"/>
      <c r="O739" s="620"/>
      <c r="P739" s="664" t="s">
        <v>4974</v>
      </c>
      <c r="Q739" s="621" t="s">
        <v>319</v>
      </c>
      <c r="R739" s="598"/>
      <c r="S739" s="598"/>
      <c r="T739" s="598"/>
      <c r="U739" s="623" t="s">
        <v>1015</v>
      </c>
      <c r="V739" s="574" t="s">
        <v>683</v>
      </c>
      <c r="W739" s="781" t="s">
        <v>3737</v>
      </c>
      <c r="X739" s="598" t="s">
        <v>950</v>
      </c>
      <c r="Y739" s="624">
        <v>22477</v>
      </c>
      <c r="Z739" s="625">
        <f t="shared" ca="1" si="12"/>
        <v>64</v>
      </c>
      <c r="AA739" s="616" t="s">
        <v>3738</v>
      </c>
      <c r="AB739" s="598"/>
      <c r="AC739" s="598" t="s">
        <v>996</v>
      </c>
      <c r="AD739" s="598" t="s">
        <v>1018</v>
      </c>
      <c r="AE739" s="616" t="s">
        <v>973</v>
      </c>
      <c r="AF739" s="616" t="s">
        <v>973</v>
      </c>
      <c r="AG739" s="616" t="s">
        <v>3509</v>
      </c>
      <c r="AH739" s="598"/>
      <c r="AI739" s="598"/>
      <c r="AJ739" s="683" t="s">
        <v>1566</v>
      </c>
      <c r="AK739" s="598"/>
      <c r="AL739" s="626"/>
      <c r="AM739" s="626"/>
    </row>
    <row r="740" spans="3:39" ht="18" customHeight="1">
      <c r="C740" s="598">
        <v>719</v>
      </c>
      <c r="D740" s="598" t="s">
        <v>3739</v>
      </c>
      <c r="E740" s="598">
        <f t="shared" si="11"/>
        <v>674</v>
      </c>
      <c r="F740" s="616" t="s">
        <v>4978</v>
      </c>
      <c r="G740" s="616" t="s">
        <v>4971</v>
      </c>
      <c r="H740" s="618" t="s">
        <v>1195</v>
      </c>
      <c r="I740" s="618" t="s">
        <v>87</v>
      </c>
      <c r="J740" s="618" t="s">
        <v>1195</v>
      </c>
      <c r="K740" s="618" t="s">
        <v>3559</v>
      </c>
      <c r="L740" s="618"/>
      <c r="M740" s="619"/>
      <c r="N740" s="620"/>
      <c r="O740" s="620"/>
      <c r="P740" s="664" t="s">
        <v>4974</v>
      </c>
      <c r="Q740" s="621" t="s">
        <v>319</v>
      </c>
      <c r="R740" s="598"/>
      <c r="S740" s="598"/>
      <c r="T740" s="598"/>
      <c r="U740" s="623" t="s">
        <v>1015</v>
      </c>
      <c r="V740" s="574" t="s">
        <v>698</v>
      </c>
      <c r="W740" s="781" t="s">
        <v>3740</v>
      </c>
      <c r="X740" s="598" t="s">
        <v>950</v>
      </c>
      <c r="Y740" s="624">
        <v>22929</v>
      </c>
      <c r="Z740" s="625">
        <f t="shared" ca="1" si="12"/>
        <v>63</v>
      </c>
      <c r="AA740" s="616" t="s">
        <v>3741</v>
      </c>
      <c r="AB740" s="598" t="s">
        <v>3742</v>
      </c>
      <c r="AC740" s="598" t="s">
        <v>996</v>
      </c>
      <c r="AD740" s="598" t="s">
        <v>1018</v>
      </c>
      <c r="AE740" s="616" t="s">
        <v>1078</v>
      </c>
      <c r="AF740" s="616" t="s">
        <v>1078</v>
      </c>
      <c r="AG740" s="616" t="s">
        <v>3578</v>
      </c>
      <c r="AH740" s="598"/>
      <c r="AI740" s="598"/>
      <c r="AJ740" s="683" t="s">
        <v>1566</v>
      </c>
      <c r="AK740" s="598"/>
      <c r="AL740" s="626"/>
      <c r="AM740" s="626"/>
    </row>
    <row r="741" spans="3:39" ht="18" customHeight="1">
      <c r="C741" s="598">
        <v>720</v>
      </c>
      <c r="D741" s="598" t="s">
        <v>3727</v>
      </c>
      <c r="E741" s="598">
        <f t="shared" si="11"/>
        <v>675</v>
      </c>
      <c r="F741" s="616" t="s">
        <v>4978</v>
      </c>
      <c r="G741" s="616" t="s">
        <v>4971</v>
      </c>
      <c r="H741" s="618" t="s">
        <v>1195</v>
      </c>
      <c r="I741" s="618" t="s">
        <v>87</v>
      </c>
      <c r="J741" s="618" t="s">
        <v>1195</v>
      </c>
      <c r="K741" s="618" t="s">
        <v>3559</v>
      </c>
      <c r="L741" s="618"/>
      <c r="M741" s="619"/>
      <c r="N741" s="620"/>
      <c r="O741" s="620"/>
      <c r="P741" s="664" t="s">
        <v>4974</v>
      </c>
      <c r="Q741" s="621" t="s">
        <v>319</v>
      </c>
      <c r="R741" s="598"/>
      <c r="S741" s="598"/>
      <c r="T741" s="598"/>
      <c r="U741" s="623" t="s">
        <v>1015</v>
      </c>
      <c r="V741" s="581" t="s">
        <v>708</v>
      </c>
      <c r="W741" s="781" t="s">
        <v>3728</v>
      </c>
      <c r="X741" s="598" t="s">
        <v>950</v>
      </c>
      <c r="Y741" s="624">
        <v>23749</v>
      </c>
      <c r="Z741" s="625">
        <f t="shared" ca="1" si="12"/>
        <v>61</v>
      </c>
      <c r="AA741" s="616" t="s">
        <v>3729</v>
      </c>
      <c r="AB741" s="598" t="s">
        <v>3730</v>
      </c>
      <c r="AC741" s="598" t="s">
        <v>996</v>
      </c>
      <c r="AD741" s="598" t="s">
        <v>1018</v>
      </c>
      <c r="AE741" s="616" t="s">
        <v>973</v>
      </c>
      <c r="AF741" s="616" t="s">
        <v>973</v>
      </c>
      <c r="AG741" s="616" t="s">
        <v>4975</v>
      </c>
      <c r="AH741" s="598"/>
      <c r="AI741" s="598"/>
      <c r="AJ741" s="683" t="s">
        <v>1566</v>
      </c>
      <c r="AK741" s="598"/>
      <c r="AL741" s="626"/>
      <c r="AM741" s="626"/>
    </row>
    <row r="742" spans="3:39" ht="18" customHeight="1">
      <c r="C742" s="585"/>
      <c r="D742" s="585"/>
      <c r="E742" s="585"/>
      <c r="F742" s="655"/>
      <c r="G742" s="592"/>
      <c r="H742" s="655"/>
      <c r="I742" s="655"/>
      <c r="J742" s="655"/>
      <c r="K742" s="655"/>
      <c r="L742" s="655"/>
      <c r="M742" s="656"/>
      <c r="N742" s="656"/>
      <c r="O742" s="656"/>
      <c r="P742" s="592"/>
      <c r="Q742" s="585"/>
      <c r="R742" s="585"/>
      <c r="S742" s="585"/>
      <c r="T742" s="585"/>
      <c r="U742" s="585"/>
      <c r="V742" s="592"/>
      <c r="W742" s="808"/>
      <c r="X742" s="585"/>
      <c r="Y742" s="657"/>
      <c r="Z742" s="658"/>
      <c r="AA742" s="592"/>
      <c r="AB742" s="585"/>
      <c r="AC742" s="585"/>
      <c r="AD742" s="585"/>
      <c r="AE742" s="592"/>
      <c r="AF742" s="592"/>
      <c r="AG742" s="592"/>
      <c r="AH742" s="585"/>
      <c r="AI742" s="585"/>
      <c r="AJ742" s="659"/>
      <c r="AK742" s="585"/>
      <c r="AL742" s="651"/>
      <c r="AM742" s="651"/>
    </row>
    <row r="743" spans="3:39" ht="18" customHeight="1">
      <c r="C743" s="585"/>
      <c r="D743" s="585"/>
      <c r="E743" s="585"/>
      <c r="F743" s="655"/>
      <c r="G743" s="592"/>
      <c r="H743" s="655"/>
      <c r="I743" s="655"/>
      <c r="J743" s="655"/>
      <c r="K743" s="655"/>
      <c r="L743" s="655"/>
      <c r="M743" s="656"/>
      <c r="N743" s="656"/>
      <c r="O743" s="656"/>
      <c r="P743" s="592"/>
      <c r="Q743" s="585"/>
      <c r="R743" s="585"/>
      <c r="S743" s="585"/>
      <c r="T743" s="585"/>
      <c r="U743" s="585"/>
      <c r="V743" s="592"/>
      <c r="W743" s="808"/>
      <c r="X743" s="585"/>
      <c r="Y743" s="657"/>
      <c r="Z743" s="658"/>
      <c r="AA743" s="592"/>
      <c r="AB743" s="585"/>
      <c r="AC743" s="585"/>
      <c r="AD743" s="585"/>
      <c r="AE743" s="592"/>
      <c r="AF743" s="592"/>
      <c r="AG743" s="592"/>
      <c r="AH743" s="585"/>
      <c r="AI743" s="585"/>
      <c r="AJ743" s="659"/>
      <c r="AK743" s="585"/>
      <c r="AL743" s="651"/>
      <c r="AM743" s="651"/>
    </row>
    <row r="744" spans="3:39" ht="18" customHeight="1">
      <c r="C744" s="585"/>
      <c r="D744" s="585"/>
      <c r="E744" s="585"/>
      <c r="F744" s="655"/>
      <c r="G744" s="592"/>
      <c r="H744" s="655"/>
      <c r="I744" s="655"/>
      <c r="J744" s="655"/>
      <c r="K744" s="655"/>
      <c r="L744" s="655"/>
      <c r="M744" s="656"/>
      <c r="N744" s="656"/>
      <c r="O744" s="656"/>
      <c r="P744" s="592"/>
      <c r="Q744" s="585"/>
      <c r="R744" s="585"/>
      <c r="S744" s="585"/>
      <c r="T744" s="585"/>
      <c r="U744" s="585"/>
      <c r="V744" s="592"/>
      <c r="W744" s="808"/>
      <c r="X744" s="585"/>
      <c r="Y744" s="657"/>
      <c r="Z744" s="658"/>
      <c r="AA744" s="592"/>
      <c r="AB744" s="585"/>
      <c r="AC744" s="585"/>
      <c r="AD744" s="585"/>
      <c r="AE744" s="592"/>
      <c r="AF744" s="592"/>
      <c r="AG744" s="592"/>
      <c r="AH744" s="585"/>
      <c r="AI744" s="585"/>
      <c r="AJ744" s="659"/>
      <c r="AK744" s="585"/>
      <c r="AL744" s="651"/>
      <c r="AM744" s="651"/>
    </row>
    <row r="745" spans="3:39" ht="18" customHeight="1">
      <c r="C745" s="585"/>
      <c r="D745" s="585"/>
      <c r="E745" s="585"/>
      <c r="F745" s="655"/>
      <c r="G745" s="592"/>
      <c r="H745" s="655"/>
      <c r="I745" s="655"/>
      <c r="J745" s="655"/>
      <c r="K745" s="655"/>
      <c r="L745" s="655"/>
      <c r="M745" s="656"/>
      <c r="N745" s="656"/>
      <c r="O745" s="656"/>
      <c r="P745" s="592"/>
      <c r="Q745" s="585"/>
      <c r="R745" s="585"/>
      <c r="S745" s="585"/>
      <c r="T745" s="585"/>
      <c r="U745" s="585"/>
      <c r="V745" s="592"/>
      <c r="W745" s="808"/>
      <c r="X745" s="585"/>
      <c r="Y745" s="657"/>
      <c r="Z745" s="658"/>
      <c r="AA745" s="592"/>
      <c r="AB745" s="585"/>
      <c r="AC745" s="585"/>
      <c r="AD745" s="585"/>
      <c r="AE745" s="592"/>
      <c r="AF745" s="592"/>
      <c r="AG745" s="592"/>
      <c r="AH745" s="585"/>
      <c r="AI745" s="585"/>
      <c r="AJ745" s="659"/>
      <c r="AK745" s="585"/>
      <c r="AL745" s="651"/>
      <c r="AM745" s="651"/>
    </row>
    <row r="746" spans="3:39" ht="18" customHeight="1">
      <c r="C746" s="585" t="s">
        <v>5007</v>
      </c>
      <c r="D746" s="585"/>
      <c r="E746" s="585"/>
      <c r="F746" s="655"/>
      <c r="G746" s="592"/>
      <c r="H746" s="655"/>
      <c r="I746" s="655"/>
      <c r="J746" s="655"/>
      <c r="K746" s="655"/>
      <c r="L746" s="655"/>
      <c r="M746" s="656"/>
      <c r="N746" s="656"/>
      <c r="O746" s="656"/>
      <c r="P746" s="592"/>
      <c r="Q746" s="585"/>
      <c r="R746" s="585"/>
      <c r="S746" s="585"/>
      <c r="T746" s="585"/>
      <c r="U746" s="585"/>
      <c r="V746" s="592"/>
      <c r="W746" s="808"/>
      <c r="X746" s="585"/>
      <c r="Y746" s="657"/>
      <c r="Z746" s="658"/>
      <c r="AA746" s="592"/>
      <c r="AB746" s="585"/>
      <c r="AC746" s="585"/>
      <c r="AD746" s="585"/>
      <c r="AE746" s="592"/>
      <c r="AF746" s="592"/>
      <c r="AG746" s="592"/>
      <c r="AH746" s="585"/>
      <c r="AI746" s="585"/>
      <c r="AJ746" s="659"/>
      <c r="AK746" s="585"/>
      <c r="AL746" s="651"/>
      <c r="AM746" s="651"/>
    </row>
    <row r="747" spans="3:39" ht="18" customHeight="1">
      <c r="C747" s="585"/>
      <c r="D747" s="585"/>
      <c r="E747" s="585"/>
      <c r="F747" s="655"/>
      <c r="G747" s="592"/>
      <c r="H747" s="655"/>
      <c r="I747" s="655"/>
      <c r="J747" s="655"/>
      <c r="K747" s="655"/>
      <c r="L747" s="655"/>
      <c r="M747" s="656"/>
      <c r="N747" s="656"/>
      <c r="O747" s="656"/>
      <c r="P747" s="592"/>
      <c r="Q747" s="585"/>
      <c r="R747" s="585"/>
      <c r="S747" s="585"/>
      <c r="T747" s="585"/>
      <c r="U747" s="585"/>
      <c r="V747" s="592"/>
      <c r="W747" s="808"/>
      <c r="X747" s="585"/>
      <c r="Y747" s="657"/>
      <c r="Z747" s="658"/>
      <c r="AA747" s="592"/>
      <c r="AB747" s="585"/>
      <c r="AC747" s="585"/>
      <c r="AD747" s="585"/>
      <c r="AE747" s="592"/>
      <c r="AF747" s="592"/>
      <c r="AG747" s="592"/>
      <c r="AH747" s="585"/>
      <c r="AI747" s="585"/>
      <c r="AJ747" s="659"/>
      <c r="AK747" s="585"/>
      <c r="AL747" s="651"/>
      <c r="AM747" s="651"/>
    </row>
    <row r="748" spans="3:39" ht="18" customHeight="1">
      <c r="C748" s="585"/>
      <c r="D748" s="585"/>
      <c r="E748" s="585"/>
      <c r="F748" s="655"/>
      <c r="G748" s="592"/>
      <c r="H748" s="655"/>
      <c r="I748" s="655"/>
      <c r="J748" s="655"/>
      <c r="K748" s="655"/>
      <c r="L748" s="655"/>
      <c r="M748" s="656"/>
      <c r="N748" s="656"/>
      <c r="O748" s="656"/>
      <c r="P748" s="592"/>
      <c r="Q748" s="585"/>
      <c r="R748" s="585"/>
      <c r="S748" s="585"/>
      <c r="T748" s="585"/>
      <c r="U748" s="585"/>
      <c r="V748" s="592"/>
      <c r="W748" s="808"/>
      <c r="X748" s="585"/>
      <c r="Y748" s="657"/>
      <c r="Z748" s="658"/>
      <c r="AA748" s="592"/>
      <c r="AB748" s="585"/>
      <c r="AC748" s="585"/>
      <c r="AD748" s="585"/>
      <c r="AE748" s="592"/>
      <c r="AF748" s="592"/>
      <c r="AG748" s="592"/>
      <c r="AH748" s="585"/>
      <c r="AI748" s="585"/>
      <c r="AJ748" s="659"/>
      <c r="AK748" s="585"/>
      <c r="AL748" s="651"/>
      <c r="AM748" s="651"/>
    </row>
    <row r="749" spans="3:39" ht="18" customHeight="1">
      <c r="C749" s="585"/>
      <c r="D749" s="585"/>
      <c r="E749" s="585"/>
      <c r="F749" s="655"/>
      <c r="G749" s="592"/>
      <c r="H749" s="655"/>
      <c r="I749" s="655"/>
      <c r="J749" s="655"/>
      <c r="K749" s="655"/>
      <c r="L749" s="655"/>
      <c r="M749" s="656"/>
      <c r="N749" s="656"/>
      <c r="O749" s="656"/>
      <c r="P749" s="592"/>
      <c r="Q749" s="585"/>
      <c r="R749" s="585"/>
      <c r="S749" s="585"/>
      <c r="T749" s="585"/>
      <c r="U749" s="585"/>
      <c r="V749" s="592"/>
      <c r="W749" s="808"/>
      <c r="X749" s="585"/>
      <c r="Y749" s="657"/>
      <c r="Z749" s="658"/>
      <c r="AA749" s="592"/>
      <c r="AB749" s="585"/>
      <c r="AC749" s="585"/>
      <c r="AD749" s="585"/>
      <c r="AE749" s="592"/>
      <c r="AF749" s="592"/>
      <c r="AG749" s="592"/>
      <c r="AH749" s="585"/>
      <c r="AI749" s="585"/>
      <c r="AJ749" s="659"/>
      <c r="AK749" s="585"/>
      <c r="AL749" s="651"/>
      <c r="AM749" s="651"/>
    </row>
    <row r="750" spans="3:39" ht="18" customHeight="1">
      <c r="C750" s="585"/>
      <c r="D750" s="585"/>
      <c r="E750" s="585"/>
      <c r="F750" s="655"/>
      <c r="G750" s="592"/>
      <c r="H750" s="655"/>
      <c r="I750" s="655"/>
      <c r="J750" s="655"/>
      <c r="K750" s="655"/>
      <c r="L750" s="655"/>
      <c r="M750" s="656"/>
      <c r="N750" s="656"/>
      <c r="O750" s="656"/>
      <c r="P750" s="592"/>
      <c r="Q750" s="585"/>
      <c r="R750" s="585"/>
      <c r="S750" s="585"/>
      <c r="T750" s="585"/>
      <c r="U750" s="585"/>
      <c r="V750" s="592"/>
      <c r="W750" s="808"/>
      <c r="X750" s="585"/>
      <c r="Y750" s="657"/>
      <c r="Z750" s="658"/>
      <c r="AA750" s="592"/>
      <c r="AB750" s="585"/>
      <c r="AC750" s="585"/>
      <c r="AD750" s="585"/>
      <c r="AE750" s="592"/>
      <c r="AF750" s="592"/>
      <c r="AG750" s="592"/>
      <c r="AH750" s="585"/>
      <c r="AI750" s="585"/>
      <c r="AJ750" s="659"/>
      <c r="AK750" s="585"/>
      <c r="AL750" s="651"/>
      <c r="AM750" s="651"/>
    </row>
    <row r="751" spans="3:39" ht="18" customHeight="1">
      <c r="C751" s="585"/>
      <c r="D751" s="585"/>
      <c r="E751" s="585"/>
      <c r="F751" s="655"/>
      <c r="G751" s="655"/>
      <c r="H751" s="655"/>
      <c r="I751" s="655"/>
      <c r="J751" s="655"/>
      <c r="K751" s="655"/>
      <c r="L751" s="655"/>
      <c r="M751" s="656"/>
      <c r="N751" s="656"/>
      <c r="O751" s="656"/>
      <c r="P751" s="592"/>
      <c r="Q751" s="585"/>
      <c r="R751" s="585"/>
      <c r="S751" s="585"/>
      <c r="T751" s="585"/>
      <c r="U751" s="585"/>
      <c r="V751" s="592"/>
      <c r="W751" s="808"/>
      <c r="X751" s="585"/>
      <c r="Y751" s="657"/>
      <c r="Z751" s="658"/>
      <c r="AA751" s="592"/>
      <c r="AB751" s="585"/>
      <c r="AC751" s="585"/>
      <c r="AD751" s="585"/>
      <c r="AE751" s="592"/>
      <c r="AF751" s="592"/>
      <c r="AG751" s="592"/>
      <c r="AH751" s="585"/>
      <c r="AI751" s="585"/>
      <c r="AJ751" s="659"/>
      <c r="AK751" s="585"/>
      <c r="AL751" s="651"/>
      <c r="AM751" s="651"/>
    </row>
    <row r="752" spans="3:39" ht="18" customHeight="1">
      <c r="C752" s="585"/>
      <c r="D752" s="585"/>
      <c r="E752" s="585"/>
      <c r="F752" s="655"/>
      <c r="G752" s="655"/>
      <c r="H752" s="655"/>
      <c r="I752" s="655"/>
      <c r="J752" s="655"/>
      <c r="K752" s="655"/>
      <c r="L752" s="655"/>
      <c r="M752" s="656"/>
      <c r="N752" s="656"/>
      <c r="O752" s="656"/>
      <c r="P752" s="592"/>
      <c r="Q752" s="585"/>
      <c r="R752" s="585"/>
      <c r="S752" s="585"/>
      <c r="T752" s="585"/>
      <c r="U752" s="585"/>
      <c r="V752" s="592"/>
      <c r="W752" s="808"/>
      <c r="X752" s="585"/>
      <c r="Y752" s="657"/>
      <c r="Z752" s="658"/>
      <c r="AA752" s="592"/>
      <c r="AB752" s="585"/>
      <c r="AC752" s="585"/>
      <c r="AD752" s="585"/>
      <c r="AE752" s="592"/>
      <c r="AF752" s="592"/>
      <c r="AG752" s="592"/>
      <c r="AH752" s="585"/>
      <c r="AI752" s="585"/>
      <c r="AJ752" s="659"/>
      <c r="AK752" s="585"/>
      <c r="AL752" s="651"/>
      <c r="AM752" s="651"/>
    </row>
    <row r="753" spans="3:39" ht="18" customHeight="1">
      <c r="C753" s="585"/>
      <c r="D753" s="585"/>
      <c r="E753" s="585"/>
      <c r="F753" s="655"/>
      <c r="G753" s="655"/>
      <c r="H753" s="655"/>
      <c r="I753" s="655"/>
      <c r="J753" s="655"/>
      <c r="K753" s="655"/>
      <c r="L753" s="655"/>
      <c r="M753" s="656"/>
      <c r="N753" s="656"/>
      <c r="O753" s="656"/>
      <c r="P753" s="592"/>
      <c r="Q753" s="585"/>
      <c r="R753" s="585"/>
      <c r="S753" s="585"/>
      <c r="T753" s="585"/>
      <c r="U753" s="585"/>
      <c r="V753" s="592"/>
      <c r="W753" s="808"/>
      <c r="X753" s="585"/>
      <c r="Y753" s="657"/>
      <c r="Z753" s="658"/>
      <c r="AA753" s="592"/>
      <c r="AB753" s="585"/>
      <c r="AC753" s="585"/>
      <c r="AD753" s="585"/>
      <c r="AE753" s="592"/>
      <c r="AF753" s="592"/>
      <c r="AG753" s="592"/>
      <c r="AH753" s="585"/>
      <c r="AI753" s="585"/>
      <c r="AJ753" s="659"/>
      <c r="AK753" s="585"/>
      <c r="AL753" s="651"/>
      <c r="AM753" s="651"/>
    </row>
    <row r="754" spans="3:39" ht="18" customHeight="1">
      <c r="C754" s="585"/>
      <c r="D754" s="585"/>
      <c r="E754" s="585"/>
      <c r="F754" s="655"/>
      <c r="G754" s="592"/>
      <c r="H754" s="655"/>
      <c r="I754" s="655"/>
      <c r="J754" s="655"/>
      <c r="K754" s="655"/>
      <c r="L754" s="655"/>
      <c r="M754" s="656"/>
      <c r="N754" s="656"/>
      <c r="O754" s="656"/>
      <c r="P754" s="592"/>
      <c r="Q754" s="585"/>
      <c r="R754" s="585"/>
      <c r="S754" s="585"/>
      <c r="T754" s="585"/>
      <c r="U754" s="585"/>
      <c r="V754" s="592"/>
      <c r="W754" s="808"/>
      <c r="X754" s="585"/>
      <c r="Y754" s="657"/>
      <c r="Z754" s="658"/>
      <c r="AA754" s="592"/>
      <c r="AB754" s="585"/>
      <c r="AC754" s="585"/>
      <c r="AD754" s="585"/>
      <c r="AE754" s="592"/>
      <c r="AF754" s="592"/>
      <c r="AG754" s="592"/>
      <c r="AH754" s="585"/>
      <c r="AI754" s="585"/>
      <c r="AJ754" s="659"/>
      <c r="AK754" s="585"/>
      <c r="AL754" s="651"/>
      <c r="AM754" s="651"/>
    </row>
    <row r="755" spans="3:39" ht="18" customHeight="1">
      <c r="C755" s="585"/>
      <c r="D755" s="585"/>
      <c r="E755" s="585"/>
      <c r="F755" s="655"/>
      <c r="G755" s="592"/>
      <c r="H755" s="655"/>
      <c r="I755" s="655"/>
      <c r="J755" s="655"/>
      <c r="K755" s="655"/>
      <c r="L755" s="655"/>
      <c r="M755" s="656"/>
      <c r="N755" s="656"/>
      <c r="O755" s="656"/>
      <c r="P755" s="592"/>
      <c r="Q755" s="585"/>
      <c r="R755" s="585"/>
      <c r="S755" s="585"/>
      <c r="T755" s="585"/>
      <c r="U755" s="585"/>
      <c r="V755" s="592"/>
      <c r="W755" s="808"/>
      <c r="X755" s="585"/>
      <c r="Y755" s="657"/>
      <c r="Z755" s="658"/>
      <c r="AA755" s="592"/>
      <c r="AB755" s="585"/>
      <c r="AC755" s="585"/>
      <c r="AD755" s="585"/>
      <c r="AE755" s="592"/>
      <c r="AF755" s="592"/>
      <c r="AG755" s="592"/>
      <c r="AH755" s="585"/>
      <c r="AI755" s="585"/>
      <c r="AJ755" s="659"/>
      <c r="AK755" s="585"/>
      <c r="AL755" s="651"/>
      <c r="AM755" s="651"/>
    </row>
  </sheetData>
  <autoFilter ref="C20:AM741" xr:uid="{00000000-0009-0000-0000-000006000000}"/>
  <mergeCells count="2">
    <mergeCell ref="A92:B92"/>
    <mergeCell ref="A98:B98"/>
  </mergeCells>
  <phoneticPr fontId="154" type="noConversion"/>
  <conditionalFormatting sqref="C20:U755 AI20:AI385 V20:V724 W20:AH755 AJ20:AK755 AI387:AI755 V729 V735 V742:V755">
    <cfRule type="expression" dxfId="101" priority="15">
      <formula>$AH20="중복"</formula>
    </cfRule>
  </conditionalFormatting>
  <conditionalFormatting sqref="D19">
    <cfRule type="expression" dxfId="100" priority="2">
      <formula>$AI19="출결제외"</formula>
    </cfRule>
    <cfRule type="containsText" dxfId="99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98" priority="4">
      <formula>$AH22="중복"</formula>
    </cfRule>
    <cfRule type="containsText" dxfId="97" priority="5" operator="containsText" text="출결제외">
      <formula>NOT(ISERROR(SEARCH(("출결제외"),(E22))))</formula>
    </cfRule>
    <cfRule type="expression" dxfId="96" priority="6">
      <formula>$AH22="출결제외"</formula>
    </cfRule>
  </conditionalFormatting>
  <conditionalFormatting sqref="F21:F755">
    <cfRule type="containsText" dxfId="95" priority="7" operator="containsText" text="카자흐스탄(악토베)">
      <formula>NOT(ISERROR(SEARCH(("카자흐스탄(악토베)"),(F21))))</formula>
    </cfRule>
    <cfRule type="containsText" dxfId="94" priority="8" operator="containsText" text="우즈베키스탄(타슈켄트)">
      <formula>NOT(ISERROR(SEARCH(("우즈베키스탄(타슈켄트)"),(F21))))</formula>
    </cfRule>
    <cfRule type="containsText" dxfId="93" priority="9" operator="containsText" text="러시아(모스크바)">
      <formula>NOT(ISERROR(SEARCH(("러시아(모스크바)"),(F21))))</formula>
    </cfRule>
    <cfRule type="containsText" dxfId="92" priority="10" operator="containsText" text="카자흐스탄(알마티)">
      <formula>NOT(ISERROR(SEARCH(("카자흐스탄(알마티)"),(F21))))</formula>
    </cfRule>
    <cfRule type="containsText" dxfId="91" priority="11" operator="containsText" text="우크라이나(키이우)">
      <formula>NOT(ISERROR(SEARCH(("우크라이나(키이우)"),(F21))))</formula>
    </cfRule>
    <cfRule type="containsText" dxfId="90" priority="12" operator="containsText" text="크림공화국">
      <formula>NOT(ISERROR(SEARCH(("크림공화국"),(F21))))</formula>
    </cfRule>
    <cfRule type="containsText" dxfId="89" priority="13" operator="containsText" text="해외개척">
      <formula>NOT(ISERROR(SEARCH(("해외개척"),(F21))))</formula>
    </cfRule>
    <cfRule type="containsText" dxfId="88" priority="14" operator="containsText" text="국내성도">
      <formula>NOT(ISERROR(SEARCH(("국내성도"),(F21))))</formula>
    </cfRule>
  </conditionalFormatting>
  <conditionalFormatting sqref="U21:U755">
    <cfRule type="containsText" dxfId="87" priority="17" operator="containsText" text="6유년">
      <formula>NOT(ISERROR(SEARCH(("6유년"),(U21))))</formula>
    </cfRule>
    <cfRule type="containsText" dxfId="86" priority="18" operator="containsText" text="5학생">
      <formula>NOT(ISERROR(SEARCH(("5학생"),(U21))))</formula>
    </cfRule>
    <cfRule type="containsText" dxfId="85" priority="19" operator="containsText" text="4청년">
      <formula>NOT(ISERROR(SEARCH(("4청년"),(U21))))</formula>
    </cfRule>
    <cfRule type="containsText" dxfId="84" priority="20" operator="containsText" text="3부녀">
      <formula>NOT(ISERROR(SEARCH(("3부녀"),(U21))))</formula>
    </cfRule>
    <cfRule type="containsText" dxfId="83" priority="21" operator="containsText" text="2장년">
      <formula>NOT(ISERROR(SEARCH(("2장년"),(U21))))</formula>
    </cfRule>
    <cfRule type="containsText" dxfId="82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81" priority="1">
      <formula>$AH20="출결제외"</formula>
    </cfRule>
    <cfRule type="containsText" dxfId="80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600-000000000000}">
      <formula1>#REF!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730">
        <v>7285</v>
      </c>
      <c r="E1" s="590"/>
      <c r="G1" s="587"/>
      <c r="H1" s="594"/>
      <c r="I1" s="594"/>
      <c r="J1" s="595"/>
      <c r="K1" s="595"/>
      <c r="L1" s="595"/>
      <c r="M1" s="595"/>
      <c r="N1" s="595"/>
      <c r="O1" s="595"/>
      <c r="Q1" s="587"/>
      <c r="R1" s="587"/>
      <c r="V1" s="587"/>
      <c r="W1" s="771"/>
      <c r="Z1" s="591"/>
      <c r="AA1" s="599"/>
      <c r="AF1" s="587"/>
      <c r="AG1" s="587"/>
      <c r="AH1" s="587"/>
    </row>
    <row r="2" spans="1:34" ht="18" hidden="1" customHeight="1">
      <c r="E2" s="590"/>
      <c r="G2" s="587"/>
      <c r="H2" s="594"/>
      <c r="I2" s="594"/>
      <c r="J2" s="595"/>
      <c r="K2" s="595"/>
      <c r="L2" s="595"/>
      <c r="M2" s="595"/>
      <c r="N2" s="595"/>
      <c r="O2" s="595"/>
      <c r="Q2" s="587"/>
      <c r="R2" s="587"/>
      <c r="V2" s="587"/>
      <c r="W2" s="771"/>
      <c r="Z2" s="591"/>
      <c r="AA2" s="599"/>
      <c r="AF2" s="772" t="s">
        <v>4426</v>
      </c>
      <c r="AG2" s="814"/>
      <c r="AH2" s="587"/>
    </row>
    <row r="3" spans="1:34" ht="18" hidden="1" customHeight="1">
      <c r="E3" s="590"/>
      <c r="G3" s="587"/>
      <c r="H3" s="594"/>
      <c r="I3" s="594"/>
      <c r="J3" s="595"/>
      <c r="K3" s="595"/>
      <c r="L3" s="595"/>
      <c r="M3" s="595"/>
      <c r="N3" s="595"/>
      <c r="O3" s="595"/>
      <c r="Q3" s="587"/>
      <c r="R3" s="587"/>
      <c r="V3" s="587"/>
      <c r="W3" s="771"/>
      <c r="Z3" s="591"/>
      <c r="AA3" s="599"/>
      <c r="AF3" s="774" t="s">
        <v>729</v>
      </c>
      <c r="AG3" s="815" t="s">
        <v>2512</v>
      </c>
      <c r="AH3" s="587"/>
    </row>
    <row r="4" spans="1:34" ht="18" hidden="1" customHeight="1">
      <c r="E4" s="590"/>
      <c r="G4" s="587"/>
      <c r="H4" s="594"/>
      <c r="I4" s="594"/>
      <c r="J4" s="595"/>
      <c r="K4" s="595"/>
      <c r="L4" s="595"/>
      <c r="M4" s="595"/>
      <c r="N4" s="595"/>
      <c r="O4" s="595"/>
      <c r="Q4" s="587"/>
      <c r="R4" s="587"/>
      <c r="V4" s="587"/>
      <c r="W4" s="771"/>
      <c r="Z4" s="591"/>
      <c r="AA4" s="599"/>
      <c r="AF4" s="774"/>
      <c r="AG4" s="815" t="s">
        <v>4427</v>
      </c>
      <c r="AH4" s="587"/>
    </row>
    <row r="5" spans="1:34" ht="18" hidden="1" customHeight="1">
      <c r="E5" s="590"/>
      <c r="G5" s="587"/>
      <c r="H5" s="594"/>
      <c r="I5" s="594"/>
      <c r="J5" s="595"/>
      <c r="K5" s="595"/>
      <c r="L5" s="595"/>
      <c r="M5" s="595"/>
      <c r="N5" s="595"/>
      <c r="O5" s="595"/>
      <c r="Q5" s="587"/>
      <c r="R5" s="587"/>
      <c r="V5" s="587"/>
      <c r="W5" s="771"/>
      <c r="Z5" s="591"/>
      <c r="AA5" s="599"/>
      <c r="AF5" s="774"/>
      <c r="AG5" s="815"/>
      <c r="AH5" s="587"/>
    </row>
    <row r="6" spans="1:34" ht="18" hidden="1" customHeight="1">
      <c r="E6" s="590"/>
      <c r="G6" s="587"/>
      <c r="H6" s="594"/>
      <c r="I6" s="594"/>
      <c r="J6" s="595"/>
      <c r="K6" s="595"/>
      <c r="L6" s="595"/>
      <c r="M6" s="595"/>
      <c r="N6" s="595"/>
      <c r="O6" s="595"/>
      <c r="Q6" s="587"/>
      <c r="R6" s="587"/>
      <c r="V6" s="587"/>
      <c r="W6" s="771"/>
      <c r="Z6" s="591"/>
      <c r="AA6" s="599"/>
      <c r="AF6" s="774"/>
      <c r="AG6" s="815"/>
      <c r="AH6" s="587"/>
    </row>
    <row r="7" spans="1:34" ht="18" hidden="1" customHeight="1">
      <c r="E7" s="590"/>
      <c r="G7" s="587"/>
      <c r="H7" s="594"/>
      <c r="I7" s="594"/>
      <c r="J7" s="595"/>
      <c r="K7" s="595"/>
      <c r="L7" s="595"/>
      <c r="M7" s="595"/>
      <c r="N7" s="595"/>
      <c r="O7" s="595"/>
      <c r="Q7" s="587"/>
      <c r="R7" s="587"/>
      <c r="V7" s="587"/>
      <c r="W7" s="771"/>
      <c r="Z7" s="591"/>
      <c r="AA7" s="599"/>
      <c r="AF7" s="774" t="s">
        <v>246</v>
      </c>
      <c r="AG7" s="815" t="s">
        <v>3824</v>
      </c>
      <c r="AH7" s="587"/>
    </row>
    <row r="8" spans="1:34" ht="18" hidden="1" customHeight="1">
      <c r="E8" s="590"/>
      <c r="G8" s="587"/>
      <c r="H8" s="594"/>
      <c r="I8" s="594"/>
      <c r="J8" s="595"/>
      <c r="K8" s="595"/>
      <c r="L8" s="595"/>
      <c r="M8" s="595"/>
      <c r="N8" s="595"/>
      <c r="O8" s="595"/>
      <c r="Q8" s="587"/>
      <c r="R8" s="587"/>
      <c r="V8" s="587"/>
      <c r="W8" s="771"/>
      <c r="Z8" s="591"/>
      <c r="AA8" s="599"/>
      <c r="AF8" s="774"/>
      <c r="AG8" s="815" t="s">
        <v>4064</v>
      </c>
      <c r="AH8" s="587"/>
    </row>
    <row r="9" spans="1:34" ht="18" hidden="1" customHeight="1">
      <c r="E9" s="590"/>
      <c r="G9" s="587"/>
      <c r="H9" s="594"/>
      <c r="I9" s="594"/>
      <c r="J9" s="595"/>
      <c r="K9" s="595"/>
      <c r="L9" s="595"/>
      <c r="M9" s="595"/>
      <c r="N9" s="595"/>
      <c r="O9" s="595"/>
      <c r="Q9" s="587"/>
      <c r="R9" s="587"/>
      <c r="V9" s="587"/>
      <c r="W9" s="771"/>
      <c r="Z9" s="591"/>
      <c r="AA9" s="599"/>
      <c r="AF9" s="774"/>
      <c r="AG9" s="815"/>
      <c r="AH9" s="587"/>
    </row>
    <row r="10" spans="1:34" ht="18" hidden="1" customHeight="1">
      <c r="E10" s="590"/>
      <c r="G10" s="587"/>
      <c r="H10" s="594"/>
      <c r="I10" s="594"/>
      <c r="J10" s="595"/>
      <c r="K10" s="595"/>
      <c r="L10" s="595"/>
      <c r="M10" s="595"/>
      <c r="N10" s="595"/>
      <c r="O10" s="595"/>
      <c r="Q10" s="587"/>
      <c r="R10" s="587"/>
      <c r="V10" s="587"/>
      <c r="W10" s="771"/>
      <c r="Z10" s="591"/>
      <c r="AA10" s="599"/>
      <c r="AF10" s="774"/>
      <c r="AG10" s="815"/>
      <c r="AH10" s="587"/>
    </row>
    <row r="11" spans="1:34" ht="18" hidden="1" customHeight="1">
      <c r="D11" s="776"/>
      <c r="E11" s="588"/>
      <c r="G11" s="587"/>
      <c r="H11" s="594"/>
      <c r="I11" s="594"/>
      <c r="J11" s="595"/>
      <c r="K11" s="595"/>
      <c r="L11" s="595"/>
      <c r="M11" s="595"/>
      <c r="N11" s="595"/>
      <c r="O11" s="595"/>
      <c r="Q11" s="587"/>
      <c r="R11" s="587"/>
      <c r="V11" s="587"/>
      <c r="W11" s="771"/>
      <c r="Z11" s="591"/>
      <c r="AA11" s="599"/>
      <c r="AF11" s="774" t="s">
        <v>4428</v>
      </c>
      <c r="AG11" s="815" t="s">
        <v>4429</v>
      </c>
      <c r="AH11" s="587"/>
    </row>
    <row r="12" spans="1:34" ht="18" hidden="1" customHeight="1">
      <c r="D12" s="776"/>
      <c r="E12" s="588"/>
      <c r="G12" s="587"/>
      <c r="H12" s="594"/>
      <c r="I12" s="594"/>
      <c r="J12" s="595"/>
      <c r="K12" s="595"/>
      <c r="L12" s="595"/>
      <c r="M12" s="595"/>
      <c r="N12" s="595"/>
      <c r="O12" s="595"/>
      <c r="Q12" s="587"/>
      <c r="R12" s="587"/>
      <c r="V12" s="587"/>
      <c r="W12" s="771"/>
      <c r="Z12" s="591"/>
      <c r="AA12" s="599"/>
      <c r="AF12" s="587"/>
      <c r="AG12" s="587"/>
      <c r="AH12" s="587"/>
    </row>
    <row r="13" spans="1:34" ht="18" hidden="1" customHeight="1">
      <c r="D13" s="776"/>
      <c r="E13" s="588"/>
      <c r="G13" s="587"/>
      <c r="H13" s="594"/>
      <c r="I13" s="594"/>
      <c r="J13" s="595"/>
      <c r="K13" s="595"/>
      <c r="L13" s="595"/>
      <c r="M13" s="595"/>
      <c r="N13" s="595"/>
      <c r="O13" s="595"/>
      <c r="Q13" s="587"/>
      <c r="R13" s="587"/>
      <c r="V13" s="587"/>
      <c r="W13" s="771"/>
      <c r="Z13" s="591"/>
      <c r="AA13" s="599"/>
      <c r="AF13" s="587"/>
      <c r="AG13" s="587"/>
      <c r="AH13" s="587"/>
    </row>
    <row r="14" spans="1:34" ht="18" hidden="1" customHeight="1">
      <c r="D14" s="776"/>
      <c r="E14" s="588"/>
      <c r="G14" s="587"/>
      <c r="H14" s="594"/>
      <c r="I14" s="594"/>
      <c r="J14" s="595"/>
      <c r="K14" s="595"/>
      <c r="L14" s="595"/>
      <c r="M14" s="595"/>
      <c r="N14" s="595"/>
      <c r="O14" s="595"/>
      <c r="Q14" s="587"/>
      <c r="R14" s="587"/>
      <c r="V14" s="587"/>
      <c r="W14" s="771"/>
      <c r="Z14" s="591"/>
      <c r="AA14" s="599"/>
      <c r="AF14" s="587"/>
      <c r="AG14" s="587"/>
      <c r="AH14" s="587"/>
    </row>
    <row r="15" spans="1:34" ht="18" hidden="1" customHeight="1">
      <c r="D15" s="776"/>
      <c r="E15" s="588"/>
      <c r="G15" s="587"/>
      <c r="H15" s="594"/>
      <c r="I15" s="594"/>
      <c r="J15" s="595"/>
      <c r="K15" s="595"/>
      <c r="L15" s="595"/>
      <c r="M15" s="595"/>
      <c r="N15" s="595"/>
      <c r="O15" s="595"/>
      <c r="Q15" s="587"/>
      <c r="R15" s="587"/>
      <c r="V15" s="587"/>
      <c r="W15" s="771"/>
      <c r="Z15" s="591"/>
      <c r="AA15" s="599"/>
      <c r="AF15" s="587"/>
      <c r="AG15" s="587"/>
      <c r="AH15" s="587"/>
    </row>
    <row r="16" spans="1:34" ht="18" hidden="1" customHeight="1">
      <c r="D16" s="776"/>
      <c r="E16" s="588"/>
      <c r="G16" s="587"/>
      <c r="H16" s="594"/>
      <c r="I16" s="594"/>
      <c r="J16" s="595"/>
      <c r="K16" s="595"/>
      <c r="L16" s="595"/>
      <c r="M16" s="595"/>
      <c r="N16" s="595"/>
      <c r="O16" s="595"/>
      <c r="Q16" s="587"/>
      <c r="R16" s="587"/>
      <c r="V16" s="587"/>
      <c r="W16" s="771"/>
      <c r="Z16" s="591"/>
      <c r="AA16" s="599"/>
      <c r="AF16" s="587"/>
      <c r="AG16" s="587"/>
      <c r="AH16" s="587"/>
    </row>
    <row r="17" spans="3:39" ht="18" customHeight="1">
      <c r="D17" s="776"/>
      <c r="E17" s="588"/>
      <c r="G17" s="587"/>
      <c r="H17" s="594"/>
      <c r="I17" s="594"/>
      <c r="J17" s="595"/>
      <c r="K17" s="595"/>
      <c r="L17" s="595"/>
      <c r="M17" s="595"/>
      <c r="N17" s="595"/>
      <c r="O17" s="595"/>
      <c r="Q17" s="587"/>
      <c r="R17" s="587"/>
      <c r="V17" s="587"/>
      <c r="W17" s="771"/>
      <c r="Z17" s="591"/>
      <c r="AA17" s="599"/>
      <c r="AF17" s="587"/>
      <c r="AG17" s="587"/>
      <c r="AH17" s="587"/>
    </row>
    <row r="18" spans="3:39" ht="18" customHeight="1">
      <c r="C18" s="588"/>
      <c r="D18" s="776"/>
      <c r="E18" s="588"/>
      <c r="F18" s="588"/>
      <c r="G18" s="587"/>
      <c r="H18" s="594"/>
      <c r="I18" s="594"/>
      <c r="J18" s="595"/>
      <c r="K18" s="595"/>
      <c r="L18" s="595"/>
      <c r="M18" s="595"/>
      <c r="N18" s="595"/>
      <c r="O18" s="595"/>
      <c r="Q18" s="587"/>
      <c r="R18" s="587"/>
      <c r="V18" s="587"/>
      <c r="W18" s="771"/>
      <c r="Z18" s="591"/>
      <c r="AA18" s="599"/>
      <c r="AF18" s="587"/>
      <c r="AG18" s="587"/>
      <c r="AH18" s="587"/>
    </row>
    <row r="19" spans="3:39" ht="18" customHeight="1">
      <c r="C19" s="585">
        <v>642</v>
      </c>
      <c r="D19" s="777" t="s">
        <v>913</v>
      </c>
      <c r="E19" s="598">
        <f>SUBTOTAL(103,$F$21:F710)</f>
        <v>642</v>
      </c>
      <c r="F19" s="588"/>
      <c r="G19" s="587"/>
      <c r="H19" s="594"/>
      <c r="I19" s="594"/>
      <c r="J19" s="594"/>
      <c r="K19" s="594"/>
      <c r="L19" s="594"/>
      <c r="M19" s="594"/>
      <c r="N19" s="594"/>
      <c r="O19" s="594"/>
      <c r="P19" s="588"/>
      <c r="Q19" s="589"/>
      <c r="R19" s="589"/>
      <c r="S19" s="588"/>
      <c r="T19" s="588"/>
      <c r="U19" s="588"/>
      <c r="V19" s="589"/>
      <c r="W19" s="771"/>
      <c r="X19" s="588"/>
      <c r="Z19" s="591"/>
      <c r="AA19" s="599"/>
      <c r="AF19" s="587"/>
      <c r="AG19" s="587"/>
      <c r="AH19" s="587"/>
    </row>
    <row r="20" spans="3:39" ht="18" customHeight="1">
      <c r="C20" s="600" t="s">
        <v>914</v>
      </c>
      <c r="D20" s="601" t="s">
        <v>912</v>
      </c>
      <c r="E20" s="601" t="s">
        <v>915</v>
      </c>
      <c r="F20" s="601" t="s">
        <v>916</v>
      </c>
      <c r="G20" s="613" t="s">
        <v>917</v>
      </c>
      <c r="H20" s="604" t="s">
        <v>918</v>
      </c>
      <c r="I20" s="605" t="s">
        <v>919</v>
      </c>
      <c r="J20" s="606" t="s">
        <v>173</v>
      </c>
      <c r="K20" s="607" t="s">
        <v>55</v>
      </c>
      <c r="L20" s="608" t="s">
        <v>920</v>
      </c>
      <c r="M20" s="609" t="s">
        <v>921</v>
      </c>
      <c r="N20" s="610" t="s">
        <v>922</v>
      </c>
      <c r="O20" s="611" t="s">
        <v>923</v>
      </c>
      <c r="P20" s="612" t="s">
        <v>924</v>
      </c>
      <c r="Q20" s="601" t="s">
        <v>319</v>
      </c>
      <c r="R20" s="601" t="s">
        <v>925</v>
      </c>
      <c r="S20" s="601" t="s">
        <v>4430</v>
      </c>
      <c r="T20" s="601" t="s">
        <v>4431</v>
      </c>
      <c r="U20" s="601" t="s">
        <v>929</v>
      </c>
      <c r="V20" s="613" t="s">
        <v>930</v>
      </c>
      <c r="W20" s="778" t="s">
        <v>931</v>
      </c>
      <c r="X20" s="601" t="s">
        <v>932</v>
      </c>
      <c r="Y20" s="614" t="s">
        <v>933</v>
      </c>
      <c r="Z20" s="601" t="s">
        <v>934</v>
      </c>
      <c r="AA20" s="613" t="s">
        <v>935</v>
      </c>
      <c r="AB20" s="602" t="s">
        <v>936</v>
      </c>
      <c r="AC20" s="601" t="s">
        <v>937</v>
      </c>
      <c r="AD20" s="601" t="s">
        <v>938</v>
      </c>
      <c r="AE20" s="613" t="s">
        <v>939</v>
      </c>
      <c r="AF20" s="613" t="s">
        <v>940</v>
      </c>
      <c r="AG20" s="613" t="s">
        <v>941</v>
      </c>
      <c r="AH20" s="601" t="s">
        <v>942</v>
      </c>
      <c r="AI20" s="601" t="s">
        <v>943</v>
      </c>
      <c r="AJ20" s="601" t="s">
        <v>944</v>
      </c>
      <c r="AK20" s="615" t="s">
        <v>945</v>
      </c>
      <c r="AL20" s="601" t="s">
        <v>4976</v>
      </c>
      <c r="AM20" s="601" t="s">
        <v>4432</v>
      </c>
    </row>
    <row r="21" spans="3:39" ht="18" customHeight="1">
      <c r="C21" s="598">
        <v>1</v>
      </c>
      <c r="D21" s="598" t="s">
        <v>956</v>
      </c>
      <c r="E21" s="598">
        <f t="shared" ref="E21:E211" si="0">SUBTOTAL(103,$U$21:U21)</f>
        <v>1</v>
      </c>
      <c r="F21" s="616" t="s">
        <v>957</v>
      </c>
      <c r="G21" s="616" t="s">
        <v>958</v>
      </c>
      <c r="H21" s="618" t="s">
        <v>1033</v>
      </c>
      <c r="I21" s="618" t="s">
        <v>64</v>
      </c>
      <c r="J21" s="617" t="s">
        <v>956</v>
      </c>
      <c r="K21" s="617" t="s">
        <v>969</v>
      </c>
      <c r="L21" s="617" t="s">
        <v>959</v>
      </c>
      <c r="M21" s="619" t="s">
        <v>959</v>
      </c>
      <c r="N21" s="620"/>
      <c r="O21" s="620"/>
      <c r="P21" s="667" t="s">
        <v>1044</v>
      </c>
      <c r="Q21" s="621"/>
      <c r="R21" s="598" t="s">
        <v>173</v>
      </c>
      <c r="S21" s="598" t="s">
        <v>4433</v>
      </c>
      <c r="T21" s="598" t="s">
        <v>55</v>
      </c>
      <c r="U21" s="598" t="s">
        <v>962</v>
      </c>
      <c r="V21" s="667" t="s">
        <v>64</v>
      </c>
      <c r="W21" s="779" t="s">
        <v>5021</v>
      </c>
      <c r="X21" s="598" t="s">
        <v>963</v>
      </c>
      <c r="Y21" s="624">
        <v>32431</v>
      </c>
      <c r="Z21" s="625">
        <f t="shared" ref="Z21:Z275" ca="1" si="1">DATEDIF(Y21,TODAY(),"Y")</f>
        <v>37</v>
      </c>
      <c r="AA21" s="616" t="s">
        <v>964</v>
      </c>
      <c r="AB21" s="598" t="s">
        <v>965</v>
      </c>
      <c r="AC21" s="598" t="s">
        <v>966</v>
      </c>
      <c r="AD21" s="598" t="s">
        <v>953</v>
      </c>
      <c r="AE21" s="616" t="s">
        <v>967</v>
      </c>
      <c r="AF21" s="616" t="s">
        <v>954</v>
      </c>
      <c r="AG21" s="616" t="s">
        <v>974</v>
      </c>
      <c r="AH21" s="598"/>
      <c r="AI21" s="598"/>
      <c r="AJ21" s="598"/>
      <c r="AK21" s="598"/>
      <c r="AL21" s="626"/>
      <c r="AM21" s="626"/>
    </row>
    <row r="22" spans="3:39" ht="18" customHeight="1">
      <c r="C22" s="598">
        <v>2</v>
      </c>
      <c r="D22" s="598" t="s">
        <v>969</v>
      </c>
      <c r="E22" s="598">
        <f t="shared" si="0"/>
        <v>2</v>
      </c>
      <c r="F22" s="616" t="s">
        <v>957</v>
      </c>
      <c r="G22" s="616" t="s">
        <v>958</v>
      </c>
      <c r="H22" s="618" t="s">
        <v>1033</v>
      </c>
      <c r="I22" s="618" t="s">
        <v>64</v>
      </c>
      <c r="J22" s="618" t="s">
        <v>956</v>
      </c>
      <c r="K22" s="618" t="s">
        <v>969</v>
      </c>
      <c r="L22" s="618" t="s">
        <v>959</v>
      </c>
      <c r="M22" s="619" t="s">
        <v>959</v>
      </c>
      <c r="N22" s="620"/>
      <c r="O22" s="620"/>
      <c r="P22" s="663" t="s">
        <v>1044</v>
      </c>
      <c r="Q22" s="621"/>
      <c r="R22" s="598" t="s">
        <v>55</v>
      </c>
      <c r="S22" s="598" t="s">
        <v>55</v>
      </c>
      <c r="T22" s="598"/>
      <c r="U22" s="598" t="s">
        <v>962</v>
      </c>
      <c r="V22" s="663" t="s">
        <v>77</v>
      </c>
      <c r="W22" s="779" t="s">
        <v>970</v>
      </c>
      <c r="X22" s="598" t="s">
        <v>963</v>
      </c>
      <c r="Y22" s="624">
        <v>32370</v>
      </c>
      <c r="Z22" s="625">
        <f t="shared" ca="1" si="1"/>
        <v>37</v>
      </c>
      <c r="AA22" s="616" t="s">
        <v>971</v>
      </c>
      <c r="AB22" s="598" t="s">
        <v>972</v>
      </c>
      <c r="AC22" s="598" t="s">
        <v>966</v>
      </c>
      <c r="AD22" s="598" t="s">
        <v>953</v>
      </c>
      <c r="AE22" s="616" t="s">
        <v>973</v>
      </c>
      <c r="AF22" s="616" t="s">
        <v>954</v>
      </c>
      <c r="AG22" s="616" t="s">
        <v>974</v>
      </c>
      <c r="AH22" s="598"/>
      <c r="AI22" s="598"/>
      <c r="AJ22" s="598"/>
      <c r="AK22" s="598"/>
      <c r="AL22" s="626"/>
      <c r="AM22" s="626"/>
    </row>
    <row r="23" spans="3:39" ht="18" customHeight="1">
      <c r="C23" s="598">
        <v>3</v>
      </c>
      <c r="D23" s="598" t="s">
        <v>2655</v>
      </c>
      <c r="E23" s="598">
        <f t="shared" si="0"/>
        <v>3</v>
      </c>
      <c r="F23" s="616" t="s">
        <v>4978</v>
      </c>
      <c r="G23" s="616" t="s">
        <v>958</v>
      </c>
      <c r="H23" s="618" t="s">
        <v>1033</v>
      </c>
      <c r="I23" s="618" t="s">
        <v>64</v>
      </c>
      <c r="J23" s="618" t="s">
        <v>956</v>
      </c>
      <c r="K23" s="618" t="s">
        <v>969</v>
      </c>
      <c r="L23" s="618" t="s">
        <v>959</v>
      </c>
      <c r="M23" s="619" t="s">
        <v>959</v>
      </c>
      <c r="N23" s="620"/>
      <c r="O23" s="620"/>
      <c r="P23" s="663" t="s">
        <v>1044</v>
      </c>
      <c r="Q23" s="621"/>
      <c r="R23" s="598"/>
      <c r="S23" s="598"/>
      <c r="T23" s="598"/>
      <c r="U23" s="598" t="s">
        <v>962</v>
      </c>
      <c r="V23" s="663" t="s">
        <v>108</v>
      </c>
      <c r="W23" s="779" t="s">
        <v>2656</v>
      </c>
      <c r="X23" s="598" t="s">
        <v>963</v>
      </c>
      <c r="Y23" s="624">
        <v>29900</v>
      </c>
      <c r="Z23" s="625">
        <f t="shared" ca="1" si="1"/>
        <v>44</v>
      </c>
      <c r="AA23" s="616" t="s">
        <v>2657</v>
      </c>
      <c r="AB23" s="598"/>
      <c r="AC23" s="598" t="s">
        <v>966</v>
      </c>
      <c r="AD23" s="598" t="s">
        <v>953</v>
      </c>
      <c r="AE23" s="616" t="s">
        <v>1041</v>
      </c>
      <c r="AF23" s="616" t="s">
        <v>2659</v>
      </c>
      <c r="AG23" s="616" t="s">
        <v>2660</v>
      </c>
      <c r="AH23" s="598"/>
      <c r="AI23" s="598"/>
      <c r="AJ23" s="598"/>
      <c r="AK23" s="598"/>
      <c r="AL23" s="626"/>
      <c r="AM23" s="626"/>
    </row>
    <row r="24" spans="3:39" ht="18" customHeight="1">
      <c r="C24" s="598">
        <v>4</v>
      </c>
      <c r="D24" s="598" t="s">
        <v>975</v>
      </c>
      <c r="E24" s="598">
        <f t="shared" si="0"/>
        <v>4</v>
      </c>
      <c r="F24" s="616" t="s">
        <v>957</v>
      </c>
      <c r="G24" s="616" t="s">
        <v>958</v>
      </c>
      <c r="H24" s="618" t="s">
        <v>1033</v>
      </c>
      <c r="I24" s="618" t="s">
        <v>64</v>
      </c>
      <c r="J24" s="618" t="s">
        <v>956</v>
      </c>
      <c r="K24" s="618" t="s">
        <v>969</v>
      </c>
      <c r="L24" s="618" t="s">
        <v>959</v>
      </c>
      <c r="M24" s="619" t="s">
        <v>959</v>
      </c>
      <c r="N24" s="620"/>
      <c r="O24" s="620"/>
      <c r="P24" s="663" t="s">
        <v>1044</v>
      </c>
      <c r="Q24" s="621"/>
      <c r="R24" s="598"/>
      <c r="S24" s="598"/>
      <c r="T24" s="598"/>
      <c r="U24" s="598" t="s">
        <v>962</v>
      </c>
      <c r="V24" s="663" t="s">
        <v>90</v>
      </c>
      <c r="W24" s="779" t="s">
        <v>976</v>
      </c>
      <c r="X24" s="598" t="s">
        <v>963</v>
      </c>
      <c r="Y24" s="624">
        <v>32279</v>
      </c>
      <c r="Z24" s="625">
        <f t="shared" ca="1" si="1"/>
        <v>37</v>
      </c>
      <c r="AA24" s="616" t="s">
        <v>977</v>
      </c>
      <c r="AB24" s="598"/>
      <c r="AC24" s="598" t="s">
        <v>966</v>
      </c>
      <c r="AD24" s="598" t="s">
        <v>953</v>
      </c>
      <c r="AE24" s="616" t="s">
        <v>973</v>
      </c>
      <c r="AF24" s="616" t="s">
        <v>954</v>
      </c>
      <c r="AG24" s="616" t="s">
        <v>974</v>
      </c>
      <c r="AH24" s="598"/>
      <c r="AI24" s="598"/>
      <c r="AJ24" s="598"/>
      <c r="AK24" s="598"/>
      <c r="AL24" s="626"/>
      <c r="AM24" s="626"/>
    </row>
    <row r="25" spans="3:39" ht="18" customHeight="1">
      <c r="C25" s="598">
        <v>5</v>
      </c>
      <c r="D25" s="598" t="s">
        <v>979</v>
      </c>
      <c r="E25" s="598">
        <f t="shared" si="0"/>
        <v>5</v>
      </c>
      <c r="F25" s="616" t="s">
        <v>957</v>
      </c>
      <c r="G25" s="616" t="s">
        <v>958</v>
      </c>
      <c r="H25" s="618" t="s">
        <v>1033</v>
      </c>
      <c r="I25" s="618" t="s">
        <v>64</v>
      </c>
      <c r="J25" s="618" t="s">
        <v>956</v>
      </c>
      <c r="K25" s="618" t="s">
        <v>969</v>
      </c>
      <c r="L25" s="618" t="s">
        <v>959</v>
      </c>
      <c r="M25" s="619" t="s">
        <v>959</v>
      </c>
      <c r="N25" s="620"/>
      <c r="O25" s="620"/>
      <c r="P25" s="663" t="s">
        <v>1044</v>
      </c>
      <c r="Q25" s="621"/>
      <c r="R25" s="598"/>
      <c r="S25" s="598"/>
      <c r="T25" s="598"/>
      <c r="U25" s="598" t="s">
        <v>962</v>
      </c>
      <c r="V25" s="663" t="s">
        <v>99</v>
      </c>
      <c r="W25" s="779" t="s">
        <v>980</v>
      </c>
      <c r="X25" s="598" t="s">
        <v>963</v>
      </c>
      <c r="Y25" s="624">
        <v>31456</v>
      </c>
      <c r="Z25" s="625">
        <f t="shared" ca="1" si="1"/>
        <v>39</v>
      </c>
      <c r="AA25" s="616" t="s">
        <v>981</v>
      </c>
      <c r="AB25" s="598"/>
      <c r="AC25" s="598" t="s">
        <v>966</v>
      </c>
      <c r="AD25" s="598" t="s">
        <v>953</v>
      </c>
      <c r="AE25" s="616" t="s">
        <v>973</v>
      </c>
      <c r="AF25" s="616" t="s">
        <v>954</v>
      </c>
      <c r="AG25" s="616" t="s">
        <v>974</v>
      </c>
      <c r="AH25" s="598"/>
      <c r="AI25" s="598"/>
      <c r="AJ25" s="598"/>
      <c r="AK25" s="598"/>
      <c r="AL25" s="626"/>
      <c r="AM25" s="626"/>
    </row>
    <row r="26" spans="3:39" ht="18" customHeight="1">
      <c r="C26" s="598">
        <v>6</v>
      </c>
      <c r="D26" s="598" t="s">
        <v>983</v>
      </c>
      <c r="E26" s="598">
        <f t="shared" si="0"/>
        <v>6</v>
      </c>
      <c r="F26" s="616" t="s">
        <v>957</v>
      </c>
      <c r="G26" s="616" t="s">
        <v>958</v>
      </c>
      <c r="H26" s="618" t="s">
        <v>1033</v>
      </c>
      <c r="I26" s="618" t="s">
        <v>64</v>
      </c>
      <c r="J26" s="618" t="s">
        <v>956</v>
      </c>
      <c r="K26" s="618" t="s">
        <v>969</v>
      </c>
      <c r="L26" s="618" t="s">
        <v>959</v>
      </c>
      <c r="M26" s="619" t="s">
        <v>959</v>
      </c>
      <c r="N26" s="620"/>
      <c r="O26" s="620"/>
      <c r="P26" s="663" t="s">
        <v>1044</v>
      </c>
      <c r="Q26" s="621"/>
      <c r="R26" s="598"/>
      <c r="S26" s="598"/>
      <c r="T26" s="598"/>
      <c r="U26" s="598" t="s">
        <v>962</v>
      </c>
      <c r="V26" s="663" t="s">
        <v>66</v>
      </c>
      <c r="W26" s="779" t="s">
        <v>984</v>
      </c>
      <c r="X26" s="598" t="s">
        <v>963</v>
      </c>
      <c r="Y26" s="624">
        <v>33599</v>
      </c>
      <c r="Z26" s="625">
        <f t="shared" ca="1" si="1"/>
        <v>34</v>
      </c>
      <c r="AA26" s="616" t="s">
        <v>985</v>
      </c>
      <c r="AB26" s="598"/>
      <c r="AC26" s="598" t="s">
        <v>966</v>
      </c>
      <c r="AD26" s="598" t="s">
        <v>953</v>
      </c>
      <c r="AE26" s="616" t="s">
        <v>973</v>
      </c>
      <c r="AF26" s="616" t="s">
        <v>954</v>
      </c>
      <c r="AG26" s="616" t="s">
        <v>974</v>
      </c>
      <c r="AH26" s="598"/>
      <c r="AI26" s="598"/>
      <c r="AJ26" s="598"/>
      <c r="AK26" s="598"/>
      <c r="AL26" s="626"/>
      <c r="AM26" s="626"/>
    </row>
    <row r="27" spans="3:39" ht="18" customHeight="1">
      <c r="C27" s="598">
        <v>7</v>
      </c>
      <c r="D27" s="598" t="s">
        <v>5016</v>
      </c>
      <c r="E27" s="598">
        <f t="shared" si="0"/>
        <v>7</v>
      </c>
      <c r="F27" s="616" t="s">
        <v>957</v>
      </c>
      <c r="G27" s="616" t="s">
        <v>958</v>
      </c>
      <c r="H27" s="618" t="s">
        <v>1033</v>
      </c>
      <c r="I27" s="618" t="s">
        <v>64</v>
      </c>
      <c r="J27" s="618" t="s">
        <v>956</v>
      </c>
      <c r="K27" s="618" t="s">
        <v>969</v>
      </c>
      <c r="L27" s="618" t="s">
        <v>959</v>
      </c>
      <c r="M27" s="619" t="s">
        <v>959</v>
      </c>
      <c r="N27" s="620"/>
      <c r="O27" s="620"/>
      <c r="P27" s="663" t="s">
        <v>1044</v>
      </c>
      <c r="Q27" s="621"/>
      <c r="R27" s="598"/>
      <c r="S27" s="598"/>
      <c r="T27" s="598"/>
      <c r="U27" s="598" t="s">
        <v>962</v>
      </c>
      <c r="V27" s="663" t="s">
        <v>5017</v>
      </c>
      <c r="W27" s="779" t="s">
        <v>5018</v>
      </c>
      <c r="X27" s="598" t="s">
        <v>963</v>
      </c>
      <c r="Y27" s="624">
        <v>31780</v>
      </c>
      <c r="Z27" s="625">
        <f t="shared" ca="1" si="1"/>
        <v>39</v>
      </c>
      <c r="AA27" s="616" t="s">
        <v>5022</v>
      </c>
      <c r="AB27" s="598"/>
      <c r="AC27" s="598" t="s">
        <v>966</v>
      </c>
      <c r="AD27" s="598" t="s">
        <v>953</v>
      </c>
      <c r="AE27" s="616" t="s">
        <v>973</v>
      </c>
      <c r="AF27" s="616" t="s">
        <v>954</v>
      </c>
      <c r="AG27" s="616" t="s">
        <v>5023</v>
      </c>
      <c r="AH27" s="598"/>
      <c r="AI27" s="598"/>
      <c r="AJ27" s="598"/>
      <c r="AK27" s="598"/>
      <c r="AL27" s="626"/>
      <c r="AM27" s="626"/>
    </row>
    <row r="28" spans="3:39" ht="18" customHeight="1">
      <c r="C28" s="598">
        <v>8</v>
      </c>
      <c r="D28" s="598" t="s">
        <v>986</v>
      </c>
      <c r="E28" s="598">
        <f t="shared" si="0"/>
        <v>8</v>
      </c>
      <c r="F28" s="616" t="s">
        <v>957</v>
      </c>
      <c r="G28" s="616" t="s">
        <v>958</v>
      </c>
      <c r="H28" s="618" t="s">
        <v>1033</v>
      </c>
      <c r="I28" s="618" t="s">
        <v>64</v>
      </c>
      <c r="J28" s="618" t="s">
        <v>956</v>
      </c>
      <c r="K28" s="618" t="s">
        <v>969</v>
      </c>
      <c r="L28" s="618" t="s">
        <v>959</v>
      </c>
      <c r="M28" s="619" t="s">
        <v>959</v>
      </c>
      <c r="N28" s="620"/>
      <c r="O28" s="620"/>
      <c r="P28" s="673" t="s">
        <v>1044</v>
      </c>
      <c r="Q28" s="621"/>
      <c r="R28" s="598" t="s">
        <v>173</v>
      </c>
      <c r="S28" s="598" t="s">
        <v>514</v>
      </c>
      <c r="T28" s="598" t="s">
        <v>55</v>
      </c>
      <c r="U28" s="598" t="s">
        <v>962</v>
      </c>
      <c r="V28" s="673" t="s">
        <v>78</v>
      </c>
      <c r="W28" s="779" t="s">
        <v>987</v>
      </c>
      <c r="X28" s="598" t="s">
        <v>963</v>
      </c>
      <c r="Y28" s="624">
        <v>33031</v>
      </c>
      <c r="Z28" s="625">
        <f t="shared" ca="1" si="1"/>
        <v>35</v>
      </c>
      <c r="AA28" s="616" t="s">
        <v>988</v>
      </c>
      <c r="AB28" s="598"/>
      <c r="AC28" s="598" t="s">
        <v>966</v>
      </c>
      <c r="AD28" s="598" t="s">
        <v>953</v>
      </c>
      <c r="AE28" s="616" t="s">
        <v>729</v>
      </c>
      <c r="AF28" s="616" t="s">
        <v>954</v>
      </c>
      <c r="AG28" s="616" t="s">
        <v>974</v>
      </c>
      <c r="AH28" s="598"/>
      <c r="AI28" s="598"/>
      <c r="AJ28" s="598"/>
      <c r="AK28" s="598"/>
      <c r="AL28" s="626"/>
      <c r="AM28" s="626"/>
    </row>
    <row r="29" spans="3:39" ht="18" customHeight="1">
      <c r="C29" s="598">
        <v>9</v>
      </c>
      <c r="D29" s="598" t="s">
        <v>1007</v>
      </c>
      <c r="E29" s="598">
        <f t="shared" si="0"/>
        <v>9</v>
      </c>
      <c r="F29" s="616" t="s">
        <v>957</v>
      </c>
      <c r="G29" s="616" t="s">
        <v>1001</v>
      </c>
      <c r="H29" s="618" t="s">
        <v>1033</v>
      </c>
      <c r="I29" s="618" t="s">
        <v>64</v>
      </c>
      <c r="J29" s="618" t="s">
        <v>956</v>
      </c>
      <c r="K29" s="618" t="s">
        <v>1007</v>
      </c>
      <c r="L29" s="618" t="s">
        <v>959</v>
      </c>
      <c r="M29" s="619" t="s">
        <v>959</v>
      </c>
      <c r="N29" s="620"/>
      <c r="O29" s="620"/>
      <c r="P29" s="667" t="s">
        <v>1074</v>
      </c>
      <c r="Q29" s="621"/>
      <c r="R29" s="598" t="s">
        <v>55</v>
      </c>
      <c r="S29" s="598" t="s">
        <v>55</v>
      </c>
      <c r="T29" s="598"/>
      <c r="U29" s="598" t="s">
        <v>992</v>
      </c>
      <c r="V29" s="667" t="s">
        <v>56</v>
      </c>
      <c r="W29" s="779" t="s">
        <v>1008</v>
      </c>
      <c r="X29" s="598" t="s">
        <v>963</v>
      </c>
      <c r="Y29" s="624">
        <v>32305</v>
      </c>
      <c r="Z29" s="625">
        <f t="shared" ca="1" si="1"/>
        <v>37</v>
      </c>
      <c r="AA29" s="616" t="s">
        <v>1009</v>
      </c>
      <c r="AB29" s="598" t="s">
        <v>1010</v>
      </c>
      <c r="AC29" s="598" t="s">
        <v>1006</v>
      </c>
      <c r="AD29" s="598" t="s">
        <v>953</v>
      </c>
      <c r="AE29" s="616" t="s">
        <v>729</v>
      </c>
      <c r="AF29" s="616" t="s">
        <v>954</v>
      </c>
      <c r="AG29" s="616" t="s">
        <v>968</v>
      </c>
      <c r="AH29" s="598"/>
      <c r="AI29" s="598"/>
      <c r="AJ29" s="598" t="s">
        <v>1011</v>
      </c>
      <c r="AK29" s="598"/>
      <c r="AL29" s="626"/>
      <c r="AM29" s="626"/>
    </row>
    <row r="30" spans="3:39" ht="18" customHeight="1">
      <c r="C30" s="598">
        <v>10</v>
      </c>
      <c r="D30" s="598" t="s">
        <v>1000</v>
      </c>
      <c r="E30" s="598">
        <f t="shared" si="0"/>
        <v>10</v>
      </c>
      <c r="F30" s="616" t="s">
        <v>957</v>
      </c>
      <c r="G30" s="616" t="s">
        <v>1001</v>
      </c>
      <c r="H30" s="618" t="s">
        <v>1033</v>
      </c>
      <c r="I30" s="618" t="s">
        <v>64</v>
      </c>
      <c r="J30" s="618" t="s">
        <v>956</v>
      </c>
      <c r="K30" s="618" t="s">
        <v>1007</v>
      </c>
      <c r="L30" s="618" t="s">
        <v>959</v>
      </c>
      <c r="M30" s="619" t="s">
        <v>959</v>
      </c>
      <c r="N30" s="620"/>
      <c r="O30" s="620"/>
      <c r="P30" s="663" t="s">
        <v>1074</v>
      </c>
      <c r="Q30" s="621"/>
      <c r="R30" s="598"/>
      <c r="S30" s="598"/>
      <c r="T30" s="598"/>
      <c r="U30" s="598" t="s">
        <v>992</v>
      </c>
      <c r="V30" s="663" t="s">
        <v>53</v>
      </c>
      <c r="W30" s="779" t="s">
        <v>1003</v>
      </c>
      <c r="X30" s="598" t="s">
        <v>963</v>
      </c>
      <c r="Y30" s="624">
        <v>32377</v>
      </c>
      <c r="Z30" s="625">
        <f t="shared" ca="1" si="1"/>
        <v>37</v>
      </c>
      <c r="AA30" s="616" t="s">
        <v>1004</v>
      </c>
      <c r="AB30" s="598"/>
      <c r="AC30" s="598" t="s">
        <v>1006</v>
      </c>
      <c r="AD30" s="598" t="s">
        <v>953</v>
      </c>
      <c r="AE30" s="616" t="s">
        <v>729</v>
      </c>
      <c r="AF30" s="616" t="s">
        <v>954</v>
      </c>
      <c r="AG30" s="616" t="s">
        <v>974</v>
      </c>
      <c r="AH30" s="598"/>
      <c r="AI30" s="598"/>
      <c r="AJ30" s="598"/>
      <c r="AK30" s="598"/>
      <c r="AL30" s="626"/>
      <c r="AM30" s="626"/>
    </row>
    <row r="31" spans="3:39" ht="18" customHeight="1">
      <c r="C31" s="598">
        <v>11</v>
      </c>
      <c r="D31" s="598" t="s">
        <v>4435</v>
      </c>
      <c r="E31" s="598">
        <f t="shared" si="0"/>
        <v>11</v>
      </c>
      <c r="F31" s="616" t="s">
        <v>957</v>
      </c>
      <c r="G31" s="616" t="s">
        <v>1001</v>
      </c>
      <c r="H31" s="618" t="s">
        <v>1033</v>
      </c>
      <c r="I31" s="618" t="s">
        <v>64</v>
      </c>
      <c r="J31" s="618" t="s">
        <v>956</v>
      </c>
      <c r="K31" s="618" t="s">
        <v>1007</v>
      </c>
      <c r="L31" s="618" t="s">
        <v>959</v>
      </c>
      <c r="M31" s="619" t="s">
        <v>959</v>
      </c>
      <c r="N31" s="620"/>
      <c r="O31" s="620"/>
      <c r="P31" s="663" t="s">
        <v>1074</v>
      </c>
      <c r="Q31" s="621"/>
      <c r="R31" s="598"/>
      <c r="S31" s="598"/>
      <c r="T31" s="598"/>
      <c r="U31" s="598" t="s">
        <v>992</v>
      </c>
      <c r="V31" s="663" t="s">
        <v>91</v>
      </c>
      <c r="W31" s="779" t="s">
        <v>4436</v>
      </c>
      <c r="X31" s="598" t="s">
        <v>963</v>
      </c>
      <c r="Y31" s="624">
        <v>36739</v>
      </c>
      <c r="Z31" s="625">
        <f t="shared" ca="1" si="1"/>
        <v>25</v>
      </c>
      <c r="AA31" s="616" t="s">
        <v>4437</v>
      </c>
      <c r="AB31" s="598"/>
      <c r="AC31" s="598" t="s">
        <v>996</v>
      </c>
      <c r="AD31" s="598" t="s">
        <v>953</v>
      </c>
      <c r="AE31" s="616" t="s">
        <v>973</v>
      </c>
      <c r="AF31" s="616" t="s">
        <v>954</v>
      </c>
      <c r="AG31" s="616" t="s">
        <v>974</v>
      </c>
      <c r="AH31" s="598"/>
      <c r="AI31" s="598"/>
      <c r="AJ31" s="598" t="s">
        <v>1440</v>
      </c>
      <c r="AK31" s="598"/>
      <c r="AL31" s="626"/>
      <c r="AM31" s="626"/>
    </row>
    <row r="32" spans="3:39" ht="18" customHeight="1">
      <c r="C32" s="598">
        <v>12</v>
      </c>
      <c r="D32" s="598" t="s">
        <v>4438</v>
      </c>
      <c r="E32" s="598">
        <f t="shared" si="0"/>
        <v>12</v>
      </c>
      <c r="F32" s="616" t="s">
        <v>957</v>
      </c>
      <c r="G32" s="616" t="s">
        <v>1001</v>
      </c>
      <c r="H32" s="618" t="s">
        <v>1033</v>
      </c>
      <c r="I32" s="618" t="s">
        <v>64</v>
      </c>
      <c r="J32" s="618" t="s">
        <v>956</v>
      </c>
      <c r="K32" s="618" t="s">
        <v>1007</v>
      </c>
      <c r="L32" s="618" t="s">
        <v>959</v>
      </c>
      <c r="M32" s="619" t="s">
        <v>959</v>
      </c>
      <c r="N32" s="620"/>
      <c r="O32" s="620"/>
      <c r="P32" s="663" t="s">
        <v>1074</v>
      </c>
      <c r="Q32" s="621"/>
      <c r="R32" s="598"/>
      <c r="S32" s="598"/>
      <c r="T32" s="598"/>
      <c r="U32" s="598" t="s">
        <v>992</v>
      </c>
      <c r="V32" s="663" t="s">
        <v>4439</v>
      </c>
      <c r="W32" s="779" t="s">
        <v>4440</v>
      </c>
      <c r="X32" s="598" t="s">
        <v>963</v>
      </c>
      <c r="Y32" s="624">
        <v>33538</v>
      </c>
      <c r="Z32" s="625">
        <f t="shared" ca="1" si="1"/>
        <v>34</v>
      </c>
      <c r="AA32" s="616" t="s">
        <v>4441</v>
      </c>
      <c r="AB32" s="598"/>
      <c r="AC32" s="598" t="s">
        <v>996</v>
      </c>
      <c r="AD32" s="598" t="s">
        <v>997</v>
      </c>
      <c r="AE32" s="616" t="s">
        <v>246</v>
      </c>
      <c r="AF32" s="616" t="s">
        <v>954</v>
      </c>
      <c r="AG32" s="616" t="s">
        <v>4442</v>
      </c>
      <c r="AH32" s="598"/>
      <c r="AI32" s="598" t="s">
        <v>1019</v>
      </c>
      <c r="AJ32" s="598"/>
      <c r="AK32" s="598" t="s">
        <v>1020</v>
      </c>
      <c r="AL32" s="626"/>
      <c r="AM32" s="626"/>
    </row>
    <row r="33" spans="3:39" ht="18" customHeight="1">
      <c r="C33" s="598">
        <v>13</v>
      </c>
      <c r="D33" s="598" t="s">
        <v>4444</v>
      </c>
      <c r="E33" s="598">
        <f t="shared" si="0"/>
        <v>13</v>
      </c>
      <c r="F33" s="616" t="s">
        <v>957</v>
      </c>
      <c r="G33" s="616" t="s">
        <v>1001</v>
      </c>
      <c r="H33" s="618" t="s">
        <v>1033</v>
      </c>
      <c r="I33" s="618" t="s">
        <v>64</v>
      </c>
      <c r="J33" s="618" t="s">
        <v>956</v>
      </c>
      <c r="K33" s="618" t="s">
        <v>1007</v>
      </c>
      <c r="L33" s="618" t="s">
        <v>959</v>
      </c>
      <c r="M33" s="619" t="s">
        <v>959</v>
      </c>
      <c r="N33" s="620"/>
      <c r="O33" s="620"/>
      <c r="P33" s="673" t="s">
        <v>1074</v>
      </c>
      <c r="Q33" s="621"/>
      <c r="R33" s="598"/>
      <c r="S33" s="598"/>
      <c r="T33" s="598"/>
      <c r="U33" s="598" t="s">
        <v>992</v>
      </c>
      <c r="V33" s="673" t="s">
        <v>4445</v>
      </c>
      <c r="W33" s="779" t="s">
        <v>4446</v>
      </c>
      <c r="X33" s="598" t="s">
        <v>963</v>
      </c>
      <c r="Y33" s="624">
        <v>33400</v>
      </c>
      <c r="Z33" s="625">
        <f t="shared" ca="1" si="1"/>
        <v>34</v>
      </c>
      <c r="AA33" s="616" t="s">
        <v>3849</v>
      </c>
      <c r="AB33" s="598"/>
      <c r="AC33" s="598" t="s">
        <v>996</v>
      </c>
      <c r="AD33" s="598" t="s">
        <v>1018</v>
      </c>
      <c r="AE33" s="616" t="s">
        <v>246</v>
      </c>
      <c r="AF33" s="616" t="s">
        <v>246</v>
      </c>
      <c r="AG33" s="616" t="s">
        <v>3815</v>
      </c>
      <c r="AH33" s="598"/>
      <c r="AI33" s="598" t="s">
        <v>1019</v>
      </c>
      <c r="AJ33" s="598" t="s">
        <v>1025</v>
      </c>
      <c r="AK33" s="598" t="s">
        <v>1020</v>
      </c>
      <c r="AL33" s="626"/>
      <c r="AM33" s="626"/>
    </row>
    <row r="34" spans="3:39" ht="18" customHeight="1">
      <c r="C34" s="598">
        <v>14</v>
      </c>
      <c r="D34" s="598" t="s">
        <v>1060</v>
      </c>
      <c r="E34" s="598">
        <f t="shared" si="0"/>
        <v>14</v>
      </c>
      <c r="F34" s="616" t="s">
        <v>957</v>
      </c>
      <c r="G34" s="616" t="s">
        <v>1013</v>
      </c>
      <c r="H34" s="618" t="s">
        <v>1033</v>
      </c>
      <c r="I34" s="618" t="s">
        <v>4983</v>
      </c>
      <c r="J34" s="618" t="s">
        <v>4448</v>
      </c>
      <c r="K34" s="618" t="s">
        <v>1073</v>
      </c>
      <c r="L34" s="618" t="s">
        <v>1073</v>
      </c>
      <c r="M34" s="619" t="s">
        <v>959</v>
      </c>
      <c r="N34" s="620"/>
      <c r="O34" s="620"/>
      <c r="P34" s="667" t="s">
        <v>1044</v>
      </c>
      <c r="Q34" s="621"/>
      <c r="R34" s="598"/>
      <c r="S34" s="598"/>
      <c r="T34" s="598"/>
      <c r="U34" s="598" t="s">
        <v>1015</v>
      </c>
      <c r="V34" s="667" t="s">
        <v>102</v>
      </c>
      <c r="W34" s="779" t="s">
        <v>1061</v>
      </c>
      <c r="X34" s="598" t="s">
        <v>950</v>
      </c>
      <c r="Y34" s="624">
        <v>31249</v>
      </c>
      <c r="Z34" s="625">
        <f t="shared" ca="1" si="1"/>
        <v>40</v>
      </c>
      <c r="AA34" s="616" t="s">
        <v>1062</v>
      </c>
      <c r="AB34" s="598" t="s">
        <v>1063</v>
      </c>
      <c r="AC34" s="598" t="s">
        <v>966</v>
      </c>
      <c r="AD34" s="598" t="s">
        <v>953</v>
      </c>
      <c r="AE34" s="616" t="s">
        <v>973</v>
      </c>
      <c r="AF34" s="616" t="s">
        <v>954</v>
      </c>
      <c r="AG34" s="616" t="s">
        <v>974</v>
      </c>
      <c r="AH34" s="598"/>
      <c r="AI34" s="598"/>
      <c r="AJ34" s="598"/>
      <c r="AK34" s="598"/>
      <c r="AL34" s="626"/>
      <c r="AM34" s="626"/>
    </row>
    <row r="35" spans="3:39" ht="18" customHeight="1">
      <c r="C35" s="598">
        <v>15</v>
      </c>
      <c r="D35" s="598" t="s">
        <v>1073</v>
      </c>
      <c r="E35" s="598">
        <f t="shared" si="0"/>
        <v>15</v>
      </c>
      <c r="F35" s="616" t="s">
        <v>957</v>
      </c>
      <c r="G35" s="616" t="s">
        <v>1013</v>
      </c>
      <c r="H35" s="618" t="s">
        <v>1033</v>
      </c>
      <c r="I35" s="618" t="s">
        <v>4983</v>
      </c>
      <c r="J35" s="618" t="s">
        <v>4448</v>
      </c>
      <c r="K35" s="618" t="s">
        <v>1073</v>
      </c>
      <c r="L35" s="618" t="s">
        <v>1073</v>
      </c>
      <c r="M35" s="619" t="s">
        <v>959</v>
      </c>
      <c r="N35" s="620"/>
      <c r="O35" s="620"/>
      <c r="P35" s="663" t="s">
        <v>1044</v>
      </c>
      <c r="Q35" s="621"/>
      <c r="R35" s="598" t="s">
        <v>69</v>
      </c>
      <c r="S35" s="598" t="s">
        <v>69</v>
      </c>
      <c r="T35" s="598"/>
      <c r="U35" s="598" t="s">
        <v>1015</v>
      </c>
      <c r="V35" s="663" t="s">
        <v>70</v>
      </c>
      <c r="W35" s="779" t="s">
        <v>1083</v>
      </c>
      <c r="X35" s="598" t="s">
        <v>950</v>
      </c>
      <c r="Y35" s="624">
        <v>29183</v>
      </c>
      <c r="Z35" s="625">
        <f t="shared" ca="1" si="1"/>
        <v>46</v>
      </c>
      <c r="AA35" s="616" t="s">
        <v>1084</v>
      </c>
      <c r="AB35" s="598" t="s">
        <v>1085</v>
      </c>
      <c r="AC35" s="598" t="s">
        <v>966</v>
      </c>
      <c r="AD35" s="598" t="s">
        <v>953</v>
      </c>
      <c r="AE35" s="616" t="s">
        <v>246</v>
      </c>
      <c r="AF35" s="616" t="s">
        <v>954</v>
      </c>
      <c r="AG35" s="616" t="s">
        <v>974</v>
      </c>
      <c r="AH35" s="598"/>
      <c r="AI35" s="598"/>
      <c r="AJ35" s="598"/>
      <c r="AK35" s="598"/>
      <c r="AL35" s="626"/>
      <c r="AM35" s="626"/>
    </row>
    <row r="36" spans="3:39" ht="18" customHeight="1">
      <c r="C36" s="598">
        <v>16</v>
      </c>
      <c r="D36" s="598" t="s">
        <v>1026</v>
      </c>
      <c r="E36" s="598">
        <f t="shared" si="0"/>
        <v>16</v>
      </c>
      <c r="F36" s="616" t="s">
        <v>957</v>
      </c>
      <c r="G36" s="616" t="s">
        <v>1013</v>
      </c>
      <c r="H36" s="618" t="s">
        <v>1033</v>
      </c>
      <c r="I36" s="618" t="s">
        <v>4983</v>
      </c>
      <c r="J36" s="618" t="s">
        <v>4448</v>
      </c>
      <c r="K36" s="618" t="s">
        <v>1073</v>
      </c>
      <c r="L36" s="618" t="s">
        <v>1073</v>
      </c>
      <c r="M36" s="619" t="s">
        <v>959</v>
      </c>
      <c r="N36" s="620"/>
      <c r="O36" s="620"/>
      <c r="P36" s="663" t="s">
        <v>1044</v>
      </c>
      <c r="Q36" s="621"/>
      <c r="R36" s="598"/>
      <c r="S36" s="598"/>
      <c r="T36" s="598"/>
      <c r="U36" s="598" t="s">
        <v>1015</v>
      </c>
      <c r="V36" s="663" t="s">
        <v>67</v>
      </c>
      <c r="W36" s="779" t="s">
        <v>1027</v>
      </c>
      <c r="X36" s="598" t="s">
        <v>950</v>
      </c>
      <c r="Y36" s="624">
        <v>33815</v>
      </c>
      <c r="Z36" s="625">
        <f t="shared" ca="1" si="1"/>
        <v>33</v>
      </c>
      <c r="AA36" s="616" t="s">
        <v>1028</v>
      </c>
      <c r="AB36" s="598"/>
      <c r="AC36" s="598" t="s">
        <v>966</v>
      </c>
      <c r="AD36" s="598" t="s">
        <v>953</v>
      </c>
      <c r="AE36" s="616" t="s">
        <v>973</v>
      </c>
      <c r="AF36" s="616" t="s">
        <v>954</v>
      </c>
      <c r="AG36" s="616" t="s">
        <v>998</v>
      </c>
      <c r="AH36" s="598"/>
      <c r="AI36" s="598"/>
      <c r="AJ36" s="598"/>
      <c r="AK36" s="598"/>
      <c r="AL36" s="626"/>
      <c r="AM36" s="626"/>
    </row>
    <row r="37" spans="3:39" ht="18" customHeight="1">
      <c r="C37" s="598">
        <v>17</v>
      </c>
      <c r="D37" s="598" t="s">
        <v>1029</v>
      </c>
      <c r="E37" s="598">
        <f t="shared" si="0"/>
        <v>17</v>
      </c>
      <c r="F37" s="616" t="s">
        <v>957</v>
      </c>
      <c r="G37" s="616" t="s">
        <v>1013</v>
      </c>
      <c r="H37" s="618" t="s">
        <v>1033</v>
      </c>
      <c r="I37" s="618" t="s">
        <v>4983</v>
      </c>
      <c r="J37" s="618" t="s">
        <v>4448</v>
      </c>
      <c r="K37" s="618" t="s">
        <v>1073</v>
      </c>
      <c r="L37" s="618" t="s">
        <v>1073</v>
      </c>
      <c r="M37" s="619" t="s">
        <v>959</v>
      </c>
      <c r="N37" s="620"/>
      <c r="O37" s="620"/>
      <c r="P37" s="663" t="s">
        <v>1044</v>
      </c>
      <c r="Q37" s="621"/>
      <c r="R37" s="598"/>
      <c r="S37" s="598"/>
      <c r="T37" s="598"/>
      <c r="U37" s="598" t="s">
        <v>1015</v>
      </c>
      <c r="V37" s="663" t="s">
        <v>79</v>
      </c>
      <c r="W37" s="779" t="s">
        <v>1030</v>
      </c>
      <c r="X37" s="598" t="s">
        <v>950</v>
      </c>
      <c r="Y37" s="624">
        <v>32547</v>
      </c>
      <c r="Z37" s="625">
        <f t="shared" ca="1" si="1"/>
        <v>36</v>
      </c>
      <c r="AA37" s="616" t="s">
        <v>1031</v>
      </c>
      <c r="AB37" s="598"/>
      <c r="AC37" s="598" t="s">
        <v>966</v>
      </c>
      <c r="AD37" s="598" t="s">
        <v>953</v>
      </c>
      <c r="AE37" s="616" t="s">
        <v>973</v>
      </c>
      <c r="AF37" s="616" t="s">
        <v>954</v>
      </c>
      <c r="AG37" s="616" t="s">
        <v>968</v>
      </c>
      <c r="AH37" s="598"/>
      <c r="AI37" s="598"/>
      <c r="AJ37" s="598"/>
      <c r="AK37" s="598"/>
      <c r="AL37" s="626"/>
      <c r="AM37" s="626"/>
    </row>
    <row r="38" spans="3:39" ht="18" customHeight="1">
      <c r="C38" s="598">
        <v>18</v>
      </c>
      <c r="D38" s="598" t="s">
        <v>4449</v>
      </c>
      <c r="E38" s="598">
        <f t="shared" si="0"/>
        <v>18</v>
      </c>
      <c r="F38" s="616" t="s">
        <v>957</v>
      </c>
      <c r="G38" s="616" t="s">
        <v>1013</v>
      </c>
      <c r="H38" s="618" t="s">
        <v>1033</v>
      </c>
      <c r="I38" s="618" t="s">
        <v>4983</v>
      </c>
      <c r="J38" s="618" t="s">
        <v>4448</v>
      </c>
      <c r="K38" s="618" t="s">
        <v>1073</v>
      </c>
      <c r="L38" s="618" t="s">
        <v>1073</v>
      </c>
      <c r="M38" s="619" t="s">
        <v>959</v>
      </c>
      <c r="N38" s="620"/>
      <c r="O38" s="620"/>
      <c r="P38" s="673" t="s">
        <v>1044</v>
      </c>
      <c r="Q38" s="621"/>
      <c r="R38" s="598"/>
      <c r="S38" s="598"/>
      <c r="T38" s="598"/>
      <c r="U38" s="598" t="s">
        <v>1015</v>
      </c>
      <c r="V38" s="673" t="s">
        <v>4450</v>
      </c>
      <c r="W38" s="779" t="s">
        <v>4451</v>
      </c>
      <c r="X38" s="598" t="s">
        <v>950</v>
      </c>
      <c r="Y38" s="624">
        <v>31504</v>
      </c>
      <c r="Z38" s="625">
        <f t="shared" ca="1" si="1"/>
        <v>39</v>
      </c>
      <c r="AA38" s="616" t="s">
        <v>4452</v>
      </c>
      <c r="AB38" s="598"/>
      <c r="AC38" s="598" t="s">
        <v>1006</v>
      </c>
      <c r="AD38" s="598" t="s">
        <v>953</v>
      </c>
      <c r="AE38" s="616" t="s">
        <v>1041</v>
      </c>
      <c r="AF38" s="616" t="s">
        <v>954</v>
      </c>
      <c r="AG38" s="616" t="s">
        <v>974</v>
      </c>
      <c r="AH38" s="598"/>
      <c r="AI38" s="598" t="s">
        <v>1019</v>
      </c>
      <c r="AJ38" s="598"/>
      <c r="AK38" s="598" t="s">
        <v>1020</v>
      </c>
      <c r="AL38" s="626"/>
      <c r="AM38" s="626"/>
    </row>
    <row r="39" spans="3:39" ht="18" customHeight="1">
      <c r="C39" s="598">
        <v>19</v>
      </c>
      <c r="D39" s="598" t="s">
        <v>1042</v>
      </c>
      <c r="E39" s="598">
        <f t="shared" si="0"/>
        <v>19</v>
      </c>
      <c r="F39" s="616" t="s">
        <v>957</v>
      </c>
      <c r="G39" s="616" t="s">
        <v>1013</v>
      </c>
      <c r="H39" s="618" t="s">
        <v>1033</v>
      </c>
      <c r="I39" s="618" t="s">
        <v>4983</v>
      </c>
      <c r="J39" s="618" t="s">
        <v>4448</v>
      </c>
      <c r="K39" s="618" t="s">
        <v>1042</v>
      </c>
      <c r="L39" s="618" t="s">
        <v>1043</v>
      </c>
      <c r="M39" s="619" t="s">
        <v>959</v>
      </c>
      <c r="N39" s="620"/>
      <c r="O39" s="620"/>
      <c r="P39" s="667" t="s">
        <v>1074</v>
      </c>
      <c r="Q39" s="621"/>
      <c r="R39" s="598" t="s">
        <v>55</v>
      </c>
      <c r="S39" s="598" t="s">
        <v>55</v>
      </c>
      <c r="T39" s="598"/>
      <c r="U39" s="598" t="s">
        <v>1015</v>
      </c>
      <c r="V39" s="667" t="s">
        <v>58</v>
      </c>
      <c r="W39" s="779" t="s">
        <v>1045</v>
      </c>
      <c r="X39" s="598" t="s">
        <v>950</v>
      </c>
      <c r="Y39" s="624">
        <v>33312</v>
      </c>
      <c r="Z39" s="625">
        <f t="shared" ca="1" si="1"/>
        <v>34</v>
      </c>
      <c r="AA39" s="616" t="s">
        <v>1046</v>
      </c>
      <c r="AB39" s="598" t="s">
        <v>1047</v>
      </c>
      <c r="AC39" s="598" t="s">
        <v>966</v>
      </c>
      <c r="AD39" s="598" t="s">
        <v>953</v>
      </c>
      <c r="AE39" s="616" t="s">
        <v>973</v>
      </c>
      <c r="AF39" s="616" t="s">
        <v>954</v>
      </c>
      <c r="AG39" s="616" t="s">
        <v>974</v>
      </c>
      <c r="AH39" s="598"/>
      <c r="AI39" s="598"/>
      <c r="AJ39" s="598"/>
      <c r="AK39" s="598"/>
      <c r="AL39" s="626"/>
      <c r="AM39" s="626"/>
    </row>
    <row r="40" spans="3:39" ht="18" customHeight="1">
      <c r="C40" s="598">
        <v>20</v>
      </c>
      <c r="D40" s="598" t="s">
        <v>1043</v>
      </c>
      <c r="E40" s="598">
        <f t="shared" si="0"/>
        <v>20</v>
      </c>
      <c r="F40" s="616" t="s">
        <v>957</v>
      </c>
      <c r="G40" s="616" t="s">
        <v>1013</v>
      </c>
      <c r="H40" s="618" t="s">
        <v>1033</v>
      </c>
      <c r="I40" s="618" t="s">
        <v>4983</v>
      </c>
      <c r="J40" s="618" t="s">
        <v>4448</v>
      </c>
      <c r="K40" s="618" t="s">
        <v>1042</v>
      </c>
      <c r="L40" s="618" t="s">
        <v>1043</v>
      </c>
      <c r="M40" s="619" t="s">
        <v>959</v>
      </c>
      <c r="N40" s="620"/>
      <c r="O40" s="620"/>
      <c r="P40" s="663" t="s">
        <v>1074</v>
      </c>
      <c r="Q40" s="621"/>
      <c r="R40" s="598" t="s">
        <v>69</v>
      </c>
      <c r="S40" s="598" t="s">
        <v>69</v>
      </c>
      <c r="T40" s="598"/>
      <c r="U40" s="598" t="s">
        <v>1015</v>
      </c>
      <c r="V40" s="663" t="s">
        <v>68</v>
      </c>
      <c r="W40" s="779" t="s">
        <v>1048</v>
      </c>
      <c r="X40" s="598" t="s">
        <v>950</v>
      </c>
      <c r="Y40" s="624">
        <v>32771</v>
      </c>
      <c r="Z40" s="625">
        <f t="shared" ca="1" si="1"/>
        <v>36</v>
      </c>
      <c r="AA40" s="616" t="s">
        <v>1049</v>
      </c>
      <c r="AB40" s="598"/>
      <c r="AC40" s="598" t="s">
        <v>966</v>
      </c>
      <c r="AD40" s="598" t="s">
        <v>953</v>
      </c>
      <c r="AE40" s="616" t="s">
        <v>246</v>
      </c>
      <c r="AF40" s="616" t="s">
        <v>954</v>
      </c>
      <c r="AG40" s="616" t="s">
        <v>974</v>
      </c>
      <c r="AH40" s="598"/>
      <c r="AI40" s="598"/>
      <c r="AJ40" s="598"/>
      <c r="AK40" s="598"/>
      <c r="AL40" s="626"/>
      <c r="AM40" s="626"/>
    </row>
    <row r="41" spans="3:39" ht="18" customHeight="1">
      <c r="C41" s="598">
        <v>21</v>
      </c>
      <c r="D41" s="598" t="s">
        <v>1051</v>
      </c>
      <c r="E41" s="598">
        <f t="shared" si="0"/>
        <v>21</v>
      </c>
      <c r="F41" s="616" t="s">
        <v>957</v>
      </c>
      <c r="G41" s="616" t="s">
        <v>1013</v>
      </c>
      <c r="H41" s="618" t="s">
        <v>1033</v>
      </c>
      <c r="I41" s="618" t="s">
        <v>4983</v>
      </c>
      <c r="J41" s="618" t="s">
        <v>4448</v>
      </c>
      <c r="K41" s="618" t="s">
        <v>1042</v>
      </c>
      <c r="L41" s="618" t="s">
        <v>1043</v>
      </c>
      <c r="M41" s="619" t="s">
        <v>959</v>
      </c>
      <c r="N41" s="620"/>
      <c r="O41" s="620"/>
      <c r="P41" s="663" t="s">
        <v>1074</v>
      </c>
      <c r="Q41" s="621"/>
      <c r="R41" s="598" t="s">
        <v>173</v>
      </c>
      <c r="S41" s="598" t="s">
        <v>514</v>
      </c>
      <c r="T41" s="598" t="s">
        <v>55</v>
      </c>
      <c r="U41" s="598" t="s">
        <v>1015</v>
      </c>
      <c r="V41" s="663" t="s">
        <v>80</v>
      </c>
      <c r="W41" s="779" t="s">
        <v>1053</v>
      </c>
      <c r="X41" s="598" t="s">
        <v>950</v>
      </c>
      <c r="Y41" s="624">
        <v>31722</v>
      </c>
      <c r="Z41" s="625">
        <f t="shared" ca="1" si="1"/>
        <v>39</v>
      </c>
      <c r="AA41" s="616" t="s">
        <v>1054</v>
      </c>
      <c r="AB41" s="598" t="s">
        <v>1055</v>
      </c>
      <c r="AC41" s="598" t="s">
        <v>966</v>
      </c>
      <c r="AD41" s="598" t="s">
        <v>953</v>
      </c>
      <c r="AE41" s="616" t="s">
        <v>729</v>
      </c>
      <c r="AF41" s="616" t="s">
        <v>954</v>
      </c>
      <c r="AG41" s="616" t="s">
        <v>974</v>
      </c>
      <c r="AH41" s="598"/>
      <c r="AI41" s="598"/>
      <c r="AJ41" s="598"/>
      <c r="AK41" s="598"/>
      <c r="AL41" s="626"/>
      <c r="AM41" s="626"/>
    </row>
    <row r="42" spans="3:39" ht="18" customHeight="1">
      <c r="C42" s="598">
        <v>22</v>
      </c>
      <c r="D42" s="598" t="s">
        <v>1068</v>
      </c>
      <c r="E42" s="598">
        <f t="shared" si="0"/>
        <v>22</v>
      </c>
      <c r="F42" s="616" t="s">
        <v>957</v>
      </c>
      <c r="G42" s="616" t="s">
        <v>1013</v>
      </c>
      <c r="H42" s="618" t="s">
        <v>1033</v>
      </c>
      <c r="I42" s="618" t="s">
        <v>4983</v>
      </c>
      <c r="J42" s="618" t="s">
        <v>4448</v>
      </c>
      <c r="K42" s="618" t="s">
        <v>1042</v>
      </c>
      <c r="L42" s="618" t="s">
        <v>1043</v>
      </c>
      <c r="M42" s="619" t="s">
        <v>959</v>
      </c>
      <c r="N42" s="620"/>
      <c r="O42" s="620"/>
      <c r="P42" s="663" t="s">
        <v>1074</v>
      </c>
      <c r="Q42" s="621"/>
      <c r="R42" s="598"/>
      <c r="S42" s="598"/>
      <c r="T42" s="598"/>
      <c r="U42" s="598" t="s">
        <v>1015</v>
      </c>
      <c r="V42" s="663" t="s">
        <v>101</v>
      </c>
      <c r="W42" s="779" t="s">
        <v>1069</v>
      </c>
      <c r="X42" s="598" t="s">
        <v>950</v>
      </c>
      <c r="Y42" s="624">
        <v>31062</v>
      </c>
      <c r="Z42" s="625">
        <f t="shared" ca="1" si="1"/>
        <v>41</v>
      </c>
      <c r="AA42" s="616" t="s">
        <v>1070</v>
      </c>
      <c r="AB42" s="598"/>
      <c r="AC42" s="598" t="s">
        <v>966</v>
      </c>
      <c r="AD42" s="598" t="s">
        <v>953</v>
      </c>
      <c r="AE42" s="616" t="s">
        <v>954</v>
      </c>
      <c r="AF42" s="616" t="s">
        <v>954</v>
      </c>
      <c r="AG42" s="616" t="s">
        <v>974</v>
      </c>
      <c r="AH42" s="598"/>
      <c r="AI42" s="598"/>
      <c r="AJ42" s="598"/>
      <c r="AK42" s="598"/>
      <c r="AL42" s="626"/>
      <c r="AM42" s="626"/>
    </row>
    <row r="43" spans="3:39" ht="18" customHeight="1">
      <c r="C43" s="598">
        <v>23</v>
      </c>
      <c r="D43" s="598" t="s">
        <v>1057</v>
      </c>
      <c r="E43" s="598">
        <f t="shared" si="0"/>
        <v>23</v>
      </c>
      <c r="F43" s="616" t="s">
        <v>957</v>
      </c>
      <c r="G43" s="616" t="s">
        <v>1013</v>
      </c>
      <c r="H43" s="618" t="s">
        <v>1033</v>
      </c>
      <c r="I43" s="618" t="s">
        <v>4983</v>
      </c>
      <c r="J43" s="618" t="s">
        <v>4448</v>
      </c>
      <c r="K43" s="618" t="s">
        <v>1042</v>
      </c>
      <c r="L43" s="618" t="s">
        <v>1043</v>
      </c>
      <c r="M43" s="619" t="s">
        <v>959</v>
      </c>
      <c r="N43" s="620"/>
      <c r="O43" s="620"/>
      <c r="P43" s="663" t="s">
        <v>1074</v>
      </c>
      <c r="Q43" s="621"/>
      <c r="R43" s="598"/>
      <c r="S43" s="598"/>
      <c r="T43" s="598"/>
      <c r="U43" s="598" t="s">
        <v>1015</v>
      </c>
      <c r="V43" s="663" t="s">
        <v>92</v>
      </c>
      <c r="W43" s="779" t="s">
        <v>1058</v>
      </c>
      <c r="X43" s="598" t="s">
        <v>950</v>
      </c>
      <c r="Y43" s="624">
        <v>30208</v>
      </c>
      <c r="Z43" s="625">
        <f t="shared" ca="1" si="1"/>
        <v>43</v>
      </c>
      <c r="AA43" s="616" t="s">
        <v>1059</v>
      </c>
      <c r="AB43" s="598"/>
      <c r="AC43" s="598" t="s">
        <v>966</v>
      </c>
      <c r="AD43" s="598" t="s">
        <v>953</v>
      </c>
      <c r="AE43" s="616" t="s">
        <v>246</v>
      </c>
      <c r="AF43" s="616" t="s">
        <v>954</v>
      </c>
      <c r="AG43" s="616" t="s">
        <v>974</v>
      </c>
      <c r="AH43" s="598"/>
      <c r="AI43" s="598"/>
      <c r="AJ43" s="598"/>
      <c r="AK43" s="598"/>
      <c r="AL43" s="626"/>
      <c r="AM43" s="626"/>
    </row>
    <row r="44" spans="3:39" ht="18" customHeight="1">
      <c r="C44" s="598">
        <v>24</v>
      </c>
      <c r="D44" s="598" t="s">
        <v>1012</v>
      </c>
      <c r="E44" s="598">
        <f t="shared" si="0"/>
        <v>24</v>
      </c>
      <c r="F44" s="616" t="s">
        <v>957</v>
      </c>
      <c r="G44" s="616" t="s">
        <v>1013</v>
      </c>
      <c r="H44" s="618" t="s">
        <v>1033</v>
      </c>
      <c r="I44" s="618" t="s">
        <v>4983</v>
      </c>
      <c r="J44" s="618" t="s">
        <v>4448</v>
      </c>
      <c r="K44" s="618" t="s">
        <v>1042</v>
      </c>
      <c r="L44" s="618" t="s">
        <v>1043</v>
      </c>
      <c r="M44" s="619" t="s">
        <v>959</v>
      </c>
      <c r="N44" s="620"/>
      <c r="O44" s="620"/>
      <c r="P44" s="663" t="s">
        <v>1074</v>
      </c>
      <c r="Q44" s="621"/>
      <c r="R44" s="598"/>
      <c r="S44" s="598"/>
      <c r="T44" s="598"/>
      <c r="U44" s="598" t="s">
        <v>1015</v>
      </c>
      <c r="V44" s="663" t="s">
        <v>904</v>
      </c>
      <c r="W44" s="779" t="s">
        <v>1016</v>
      </c>
      <c r="X44" s="598" t="s">
        <v>950</v>
      </c>
      <c r="Y44" s="624">
        <v>31075</v>
      </c>
      <c r="Z44" s="625">
        <f t="shared" ca="1" si="1"/>
        <v>41</v>
      </c>
      <c r="AA44" s="616" t="s">
        <v>1017</v>
      </c>
      <c r="AB44" s="598"/>
      <c r="AC44" s="598" t="s">
        <v>966</v>
      </c>
      <c r="AD44" s="598" t="s">
        <v>953</v>
      </c>
      <c r="AE44" s="616" t="s">
        <v>729</v>
      </c>
      <c r="AF44" s="616" t="s">
        <v>954</v>
      </c>
      <c r="AG44" s="616" t="s">
        <v>974</v>
      </c>
      <c r="AH44" s="598"/>
      <c r="AI44" s="598" t="s">
        <v>1019</v>
      </c>
      <c r="AJ44" s="598"/>
      <c r="AK44" s="598" t="s">
        <v>1020</v>
      </c>
      <c r="AL44" s="626"/>
      <c r="AM44" s="626"/>
    </row>
    <row r="45" spans="3:39" ht="18" customHeight="1">
      <c r="C45" s="598">
        <v>25</v>
      </c>
      <c r="D45" s="598" t="s">
        <v>1064</v>
      </c>
      <c r="E45" s="598">
        <f t="shared" si="0"/>
        <v>25</v>
      </c>
      <c r="F45" s="616" t="s">
        <v>957</v>
      </c>
      <c r="G45" s="616" t="s">
        <v>1013</v>
      </c>
      <c r="H45" s="618" t="s">
        <v>1033</v>
      </c>
      <c r="I45" s="618" t="s">
        <v>4983</v>
      </c>
      <c r="J45" s="618" t="s">
        <v>4448</v>
      </c>
      <c r="K45" s="618" t="s">
        <v>1042</v>
      </c>
      <c r="L45" s="618" t="s">
        <v>1043</v>
      </c>
      <c r="M45" s="619" t="s">
        <v>959</v>
      </c>
      <c r="N45" s="620"/>
      <c r="O45" s="620"/>
      <c r="P45" s="673" t="s">
        <v>1074</v>
      </c>
      <c r="Q45" s="621"/>
      <c r="R45" s="598"/>
      <c r="S45" s="598"/>
      <c r="T45" s="598"/>
      <c r="U45" s="598" t="s">
        <v>1015</v>
      </c>
      <c r="V45" s="673" t="s">
        <v>1065</v>
      </c>
      <c r="W45" s="779" t="s">
        <v>1066</v>
      </c>
      <c r="X45" s="598" t="s">
        <v>950</v>
      </c>
      <c r="Y45" s="624">
        <v>31736</v>
      </c>
      <c r="Z45" s="625">
        <f t="shared" ca="1" si="1"/>
        <v>39</v>
      </c>
      <c r="AA45" s="616" t="s">
        <v>1067</v>
      </c>
      <c r="AB45" s="598"/>
      <c r="AC45" s="598" t="s">
        <v>1006</v>
      </c>
      <c r="AD45" s="598" t="s">
        <v>953</v>
      </c>
      <c r="AE45" s="616" t="s">
        <v>973</v>
      </c>
      <c r="AF45" s="616" t="s">
        <v>954</v>
      </c>
      <c r="AG45" s="616" t="s">
        <v>974</v>
      </c>
      <c r="AH45" s="598"/>
      <c r="AI45" s="598" t="s">
        <v>1019</v>
      </c>
      <c r="AJ45" s="598"/>
      <c r="AK45" s="598" t="s">
        <v>1020</v>
      </c>
      <c r="AL45" s="626"/>
      <c r="AM45" s="626"/>
    </row>
    <row r="46" spans="3:39" ht="18" customHeight="1">
      <c r="C46" s="598">
        <v>26</v>
      </c>
      <c r="D46" s="598" t="s">
        <v>4448</v>
      </c>
      <c r="E46" s="598">
        <f t="shared" si="0"/>
        <v>26</v>
      </c>
      <c r="F46" s="616" t="s">
        <v>957</v>
      </c>
      <c r="G46" s="616" t="s">
        <v>1013</v>
      </c>
      <c r="H46" s="618" t="s">
        <v>1033</v>
      </c>
      <c r="I46" s="618" t="s">
        <v>4983</v>
      </c>
      <c r="J46" s="618" t="s">
        <v>4448</v>
      </c>
      <c r="K46" s="618" t="s">
        <v>4448</v>
      </c>
      <c r="L46" s="618" t="s">
        <v>1072</v>
      </c>
      <c r="M46" s="619" t="s">
        <v>1086</v>
      </c>
      <c r="N46" s="620"/>
      <c r="O46" s="620"/>
      <c r="P46" s="667" t="s">
        <v>1115</v>
      </c>
      <c r="Q46" s="621"/>
      <c r="R46" s="598" t="s">
        <v>55</v>
      </c>
      <c r="S46" s="598" t="s">
        <v>173</v>
      </c>
      <c r="T46" s="598" t="s">
        <v>55</v>
      </c>
      <c r="U46" s="598" t="s">
        <v>1015</v>
      </c>
      <c r="V46" s="667" t="s">
        <v>4983</v>
      </c>
      <c r="W46" s="779" t="s">
        <v>5014</v>
      </c>
      <c r="X46" s="598" t="s">
        <v>950</v>
      </c>
      <c r="Y46" s="624">
        <v>30625</v>
      </c>
      <c r="Z46" s="625">
        <f t="shared" ca="1" si="1"/>
        <v>42</v>
      </c>
      <c r="AA46" s="616" t="s">
        <v>5024</v>
      </c>
      <c r="AB46" s="598" t="s">
        <v>5025</v>
      </c>
      <c r="AC46" s="598" t="s">
        <v>966</v>
      </c>
      <c r="AD46" s="598" t="s">
        <v>953</v>
      </c>
      <c r="AE46" s="616" t="s">
        <v>954</v>
      </c>
      <c r="AF46" s="616" t="s">
        <v>954</v>
      </c>
      <c r="AG46" s="616" t="s">
        <v>5023</v>
      </c>
      <c r="AH46" s="598"/>
      <c r="AI46" s="598"/>
      <c r="AJ46" s="598"/>
      <c r="AK46" s="598"/>
      <c r="AL46" s="626"/>
      <c r="AM46" s="626"/>
    </row>
    <row r="47" spans="3:39" ht="18" customHeight="1">
      <c r="C47" s="598">
        <v>27</v>
      </c>
      <c r="D47" s="598" t="s">
        <v>1072</v>
      </c>
      <c r="E47" s="598">
        <f t="shared" si="0"/>
        <v>27</v>
      </c>
      <c r="F47" s="616" t="s">
        <v>957</v>
      </c>
      <c r="G47" s="616" t="s">
        <v>1013</v>
      </c>
      <c r="H47" s="618" t="s">
        <v>1033</v>
      </c>
      <c r="I47" s="618" t="s">
        <v>4983</v>
      </c>
      <c r="J47" s="618" t="s">
        <v>4448</v>
      </c>
      <c r="K47" s="618" t="s">
        <v>4448</v>
      </c>
      <c r="L47" s="618" t="s">
        <v>1072</v>
      </c>
      <c r="M47" s="619" t="s">
        <v>1086</v>
      </c>
      <c r="N47" s="620"/>
      <c r="O47" s="620"/>
      <c r="P47" s="663" t="s">
        <v>1115</v>
      </c>
      <c r="Q47" s="621"/>
      <c r="R47" s="598" t="s">
        <v>69</v>
      </c>
      <c r="S47" s="598" t="s">
        <v>69</v>
      </c>
      <c r="T47" s="598"/>
      <c r="U47" s="598" t="s">
        <v>1015</v>
      </c>
      <c r="V47" s="663" t="s">
        <v>81</v>
      </c>
      <c r="W47" s="779" t="s">
        <v>1080</v>
      </c>
      <c r="X47" s="598" t="s">
        <v>950</v>
      </c>
      <c r="Y47" s="624">
        <v>30935</v>
      </c>
      <c r="Z47" s="625">
        <f t="shared" ca="1" si="1"/>
        <v>41</v>
      </c>
      <c r="AA47" s="616" t="s">
        <v>1081</v>
      </c>
      <c r="AB47" s="598" t="s">
        <v>1082</v>
      </c>
      <c r="AC47" s="598" t="s">
        <v>966</v>
      </c>
      <c r="AD47" s="598" t="s">
        <v>953</v>
      </c>
      <c r="AE47" s="616" t="s">
        <v>1078</v>
      </c>
      <c r="AF47" s="616" t="s">
        <v>954</v>
      </c>
      <c r="AG47" s="616" t="s">
        <v>974</v>
      </c>
      <c r="AH47" s="598"/>
      <c r="AI47" s="598"/>
      <c r="AJ47" s="598"/>
      <c r="AK47" s="598"/>
      <c r="AL47" s="626"/>
      <c r="AM47" s="626"/>
    </row>
    <row r="48" spans="3:39" ht="18" customHeight="1">
      <c r="C48" s="598">
        <v>28</v>
      </c>
      <c r="D48" s="598" t="s">
        <v>1086</v>
      </c>
      <c r="E48" s="598">
        <f t="shared" si="0"/>
        <v>28</v>
      </c>
      <c r="F48" s="616" t="s">
        <v>957</v>
      </c>
      <c r="G48" s="616" t="s">
        <v>1013</v>
      </c>
      <c r="H48" s="618" t="s">
        <v>1033</v>
      </c>
      <c r="I48" s="618" t="s">
        <v>4983</v>
      </c>
      <c r="J48" s="618" t="s">
        <v>4448</v>
      </c>
      <c r="K48" s="618" t="s">
        <v>4448</v>
      </c>
      <c r="L48" s="618" t="s">
        <v>1072</v>
      </c>
      <c r="M48" s="619" t="s">
        <v>1086</v>
      </c>
      <c r="N48" s="620"/>
      <c r="O48" s="620"/>
      <c r="P48" s="663" t="s">
        <v>1115</v>
      </c>
      <c r="Q48" s="621"/>
      <c r="R48" s="598" t="s">
        <v>69</v>
      </c>
      <c r="S48" s="598" t="s">
        <v>69</v>
      </c>
      <c r="T48" s="598"/>
      <c r="U48" s="598" t="s">
        <v>1015</v>
      </c>
      <c r="V48" s="663" t="s">
        <v>93</v>
      </c>
      <c r="W48" s="779" t="s">
        <v>1087</v>
      </c>
      <c r="X48" s="598" t="s">
        <v>950</v>
      </c>
      <c r="Y48" s="624">
        <v>33662</v>
      </c>
      <c r="Z48" s="625">
        <f t="shared" ca="1" si="1"/>
        <v>33</v>
      </c>
      <c r="AA48" s="616" t="s">
        <v>1088</v>
      </c>
      <c r="AB48" s="598"/>
      <c r="AC48" s="598" t="s">
        <v>966</v>
      </c>
      <c r="AD48" s="598" t="s">
        <v>953</v>
      </c>
      <c r="AE48" s="616" t="s">
        <v>973</v>
      </c>
      <c r="AF48" s="616" t="s">
        <v>954</v>
      </c>
      <c r="AG48" s="616" t="s">
        <v>974</v>
      </c>
      <c r="AH48" s="598"/>
      <c r="AI48" s="598"/>
      <c r="AJ48" s="598"/>
      <c r="AK48" s="598"/>
      <c r="AL48" s="626"/>
      <c r="AM48" s="626"/>
    </row>
    <row r="49" spans="2:39" ht="18" customHeight="1">
      <c r="C49" s="598">
        <v>29</v>
      </c>
      <c r="D49" s="598" t="s">
        <v>1089</v>
      </c>
      <c r="E49" s="598">
        <f t="shared" si="0"/>
        <v>29</v>
      </c>
      <c r="F49" s="616" t="s">
        <v>957</v>
      </c>
      <c r="G49" s="616" t="s">
        <v>1013</v>
      </c>
      <c r="H49" s="618" t="s">
        <v>1033</v>
      </c>
      <c r="I49" s="618" t="s">
        <v>4983</v>
      </c>
      <c r="J49" s="618" t="s">
        <v>4448</v>
      </c>
      <c r="K49" s="618" t="s">
        <v>4448</v>
      </c>
      <c r="L49" s="618" t="s">
        <v>1072</v>
      </c>
      <c r="M49" s="619" t="s">
        <v>1086</v>
      </c>
      <c r="N49" s="620"/>
      <c r="O49" s="620"/>
      <c r="P49" s="663" t="s">
        <v>1115</v>
      </c>
      <c r="Q49" s="621"/>
      <c r="R49" s="598"/>
      <c r="S49" s="598"/>
      <c r="T49" s="598"/>
      <c r="U49" s="598" t="s">
        <v>1090</v>
      </c>
      <c r="V49" s="663" t="s">
        <v>103</v>
      </c>
      <c r="W49" s="779" t="s">
        <v>1091</v>
      </c>
      <c r="X49" s="598" t="s">
        <v>950</v>
      </c>
      <c r="Y49" s="624">
        <v>18173</v>
      </c>
      <c r="Z49" s="625">
        <f t="shared" ca="1" si="1"/>
        <v>76</v>
      </c>
      <c r="AA49" s="616" t="s">
        <v>1092</v>
      </c>
      <c r="AB49" s="598"/>
      <c r="AC49" s="598" t="s">
        <v>996</v>
      </c>
      <c r="AD49" s="598" t="s">
        <v>953</v>
      </c>
      <c r="AE49" s="616" t="s">
        <v>973</v>
      </c>
      <c r="AF49" s="616" t="s">
        <v>954</v>
      </c>
      <c r="AG49" s="616" t="s">
        <v>968</v>
      </c>
      <c r="AH49" s="598"/>
      <c r="AI49" s="598"/>
      <c r="AJ49" s="598"/>
      <c r="AK49" s="598"/>
      <c r="AL49" s="626"/>
      <c r="AM49" s="626"/>
    </row>
    <row r="50" spans="2:39" ht="18" customHeight="1">
      <c r="C50" s="598">
        <v>30</v>
      </c>
      <c r="D50" s="598" t="s">
        <v>1094</v>
      </c>
      <c r="E50" s="598">
        <f t="shared" si="0"/>
        <v>30</v>
      </c>
      <c r="F50" s="616" t="s">
        <v>957</v>
      </c>
      <c r="G50" s="616" t="s">
        <v>1013</v>
      </c>
      <c r="H50" s="618" t="s">
        <v>1033</v>
      </c>
      <c r="I50" s="618" t="s">
        <v>4983</v>
      </c>
      <c r="J50" s="618" t="s">
        <v>4448</v>
      </c>
      <c r="K50" s="618" t="s">
        <v>4448</v>
      </c>
      <c r="L50" s="618" t="s">
        <v>1072</v>
      </c>
      <c r="M50" s="619" t="s">
        <v>1086</v>
      </c>
      <c r="N50" s="620"/>
      <c r="O50" s="620"/>
      <c r="P50" s="663" t="s">
        <v>1115</v>
      </c>
      <c r="Q50" s="621"/>
      <c r="R50" s="598"/>
      <c r="S50" s="598"/>
      <c r="T50" s="598"/>
      <c r="U50" s="598" t="s">
        <v>1015</v>
      </c>
      <c r="V50" s="663" t="s">
        <v>111</v>
      </c>
      <c r="W50" s="779" t="s">
        <v>1095</v>
      </c>
      <c r="X50" s="598" t="s">
        <v>950</v>
      </c>
      <c r="Y50" s="624">
        <v>21465</v>
      </c>
      <c r="Z50" s="625">
        <f t="shared" ca="1" si="1"/>
        <v>67</v>
      </c>
      <c r="AA50" s="616" t="s">
        <v>1096</v>
      </c>
      <c r="AB50" s="598"/>
      <c r="AC50" s="598" t="s">
        <v>966</v>
      </c>
      <c r="AD50" s="598" t="s">
        <v>953</v>
      </c>
      <c r="AE50" s="616" t="s">
        <v>729</v>
      </c>
      <c r="AF50" s="616" t="s">
        <v>954</v>
      </c>
      <c r="AG50" s="616" t="s">
        <v>974</v>
      </c>
      <c r="AH50" s="598"/>
      <c r="AI50" s="598"/>
      <c r="AJ50" s="598"/>
      <c r="AK50" s="598"/>
      <c r="AL50" s="626"/>
      <c r="AM50" s="626"/>
    </row>
    <row r="51" spans="2:39" ht="18" customHeight="1">
      <c r="C51" s="598">
        <v>31</v>
      </c>
      <c r="D51" s="598" t="s">
        <v>1071</v>
      </c>
      <c r="E51" s="598">
        <f t="shared" si="0"/>
        <v>31</v>
      </c>
      <c r="F51" s="616" t="s">
        <v>957</v>
      </c>
      <c r="G51" s="616" t="s">
        <v>1013</v>
      </c>
      <c r="H51" s="618" t="s">
        <v>1033</v>
      </c>
      <c r="I51" s="618" t="s">
        <v>4983</v>
      </c>
      <c r="J51" s="618" t="s">
        <v>4448</v>
      </c>
      <c r="K51" s="618" t="s">
        <v>4448</v>
      </c>
      <c r="L51" s="618" t="s">
        <v>1072</v>
      </c>
      <c r="M51" s="619" t="s">
        <v>1086</v>
      </c>
      <c r="N51" s="620"/>
      <c r="O51" s="620"/>
      <c r="P51" s="663" t="s">
        <v>1115</v>
      </c>
      <c r="Q51" s="621"/>
      <c r="R51" s="598"/>
      <c r="S51" s="598"/>
      <c r="T51" s="598"/>
      <c r="U51" s="598" t="s">
        <v>1015</v>
      </c>
      <c r="V51" s="663" t="s">
        <v>117</v>
      </c>
      <c r="W51" s="779" t="s">
        <v>1075</v>
      </c>
      <c r="X51" s="598" t="s">
        <v>950</v>
      </c>
      <c r="Y51" s="624">
        <v>24988</v>
      </c>
      <c r="Z51" s="625">
        <f t="shared" ca="1" si="1"/>
        <v>57</v>
      </c>
      <c r="AA51" s="616" t="s">
        <v>1076</v>
      </c>
      <c r="AB51" s="598" t="s">
        <v>1077</v>
      </c>
      <c r="AC51" s="598" t="s">
        <v>996</v>
      </c>
      <c r="AD51" s="598" t="s">
        <v>997</v>
      </c>
      <c r="AE51" s="616" t="s">
        <v>1078</v>
      </c>
      <c r="AF51" s="616" t="s">
        <v>954</v>
      </c>
      <c r="AG51" s="616" t="s">
        <v>1079</v>
      </c>
      <c r="AH51" s="598"/>
      <c r="AI51" s="598"/>
      <c r="AJ51" s="598" t="s">
        <v>1011</v>
      </c>
      <c r="AK51" s="598"/>
      <c r="AL51" s="626"/>
      <c r="AM51" s="626"/>
    </row>
    <row r="52" spans="2:39" ht="18" customHeight="1">
      <c r="C52" s="598">
        <v>32</v>
      </c>
      <c r="D52" s="598" t="s">
        <v>1098</v>
      </c>
      <c r="E52" s="598">
        <f t="shared" si="0"/>
        <v>32</v>
      </c>
      <c r="F52" s="616" t="s">
        <v>957</v>
      </c>
      <c r="G52" s="616" t="s">
        <v>1013</v>
      </c>
      <c r="H52" s="618" t="s">
        <v>1033</v>
      </c>
      <c r="I52" s="618" t="s">
        <v>4983</v>
      </c>
      <c r="J52" s="618" t="s">
        <v>4448</v>
      </c>
      <c r="K52" s="618" t="s">
        <v>4448</v>
      </c>
      <c r="L52" s="618" t="s">
        <v>1072</v>
      </c>
      <c r="M52" s="619" t="s">
        <v>1086</v>
      </c>
      <c r="N52" s="620"/>
      <c r="O52" s="620"/>
      <c r="P52" s="663" t="s">
        <v>1115</v>
      </c>
      <c r="Q52" s="621"/>
      <c r="R52" s="598"/>
      <c r="S52" s="598"/>
      <c r="T52" s="598"/>
      <c r="U52" s="598" t="s">
        <v>1015</v>
      </c>
      <c r="V52" s="663" t="s">
        <v>905</v>
      </c>
      <c r="W52" s="779" t="s">
        <v>1099</v>
      </c>
      <c r="X52" s="598" t="s">
        <v>950</v>
      </c>
      <c r="Y52" s="624">
        <v>25896</v>
      </c>
      <c r="Z52" s="625">
        <f t="shared" ca="1" si="1"/>
        <v>55</v>
      </c>
      <c r="AA52" s="616" t="s">
        <v>1100</v>
      </c>
      <c r="AB52" s="598"/>
      <c r="AC52" s="598" t="s">
        <v>996</v>
      </c>
      <c r="AD52" s="598" t="s">
        <v>953</v>
      </c>
      <c r="AE52" s="616" t="s">
        <v>1078</v>
      </c>
      <c r="AF52" s="616" t="s">
        <v>954</v>
      </c>
      <c r="AG52" s="616" t="s">
        <v>998</v>
      </c>
      <c r="AH52" s="598"/>
      <c r="AI52" s="598"/>
      <c r="AJ52" s="598" t="s">
        <v>1011</v>
      </c>
      <c r="AK52" s="598"/>
      <c r="AL52" s="626"/>
      <c r="AM52" s="626"/>
    </row>
    <row r="53" spans="2:39" ht="18" customHeight="1">
      <c r="C53" s="598">
        <v>33</v>
      </c>
      <c r="D53" s="598" t="s">
        <v>3552</v>
      </c>
      <c r="E53" s="598">
        <f t="shared" si="0"/>
        <v>33</v>
      </c>
      <c r="F53" s="616" t="s">
        <v>1810</v>
      </c>
      <c r="G53" s="616" t="s">
        <v>1013</v>
      </c>
      <c r="H53" s="618" t="s">
        <v>1033</v>
      </c>
      <c r="I53" s="618" t="s">
        <v>4983</v>
      </c>
      <c r="J53" s="618" t="s">
        <v>4448</v>
      </c>
      <c r="K53" s="618" t="s">
        <v>4448</v>
      </c>
      <c r="L53" s="618" t="s">
        <v>1072</v>
      </c>
      <c r="M53" s="619" t="s">
        <v>1086</v>
      </c>
      <c r="N53" s="620"/>
      <c r="O53" s="620"/>
      <c r="P53" s="663" t="s">
        <v>1115</v>
      </c>
      <c r="Q53" s="621" t="s">
        <v>319</v>
      </c>
      <c r="R53" s="598"/>
      <c r="S53" s="598"/>
      <c r="T53" s="598"/>
      <c r="U53" s="598" t="s">
        <v>1090</v>
      </c>
      <c r="V53" s="663" t="s">
        <v>243</v>
      </c>
      <c r="W53" s="779" t="s">
        <v>4997</v>
      </c>
      <c r="X53" s="598" t="s">
        <v>950</v>
      </c>
      <c r="Y53" s="624">
        <v>19444</v>
      </c>
      <c r="Z53" s="625">
        <f t="shared" ca="1" si="1"/>
        <v>72</v>
      </c>
      <c r="AA53" s="616" t="s">
        <v>3554</v>
      </c>
      <c r="AB53" s="598"/>
      <c r="AC53" s="598" t="s">
        <v>996</v>
      </c>
      <c r="AD53" s="598" t="s">
        <v>1018</v>
      </c>
      <c r="AE53" s="616" t="s">
        <v>973</v>
      </c>
      <c r="AF53" s="616" t="s">
        <v>954</v>
      </c>
      <c r="AG53" s="616" t="s">
        <v>4998</v>
      </c>
      <c r="AH53" s="598"/>
      <c r="AI53" s="598"/>
      <c r="AJ53" s="598" t="s">
        <v>1107</v>
      </c>
      <c r="AK53" s="598"/>
      <c r="AL53" s="626"/>
      <c r="AM53" s="626"/>
    </row>
    <row r="54" spans="2:39" ht="18" customHeight="1">
      <c r="C54" s="598">
        <v>34</v>
      </c>
      <c r="D54" s="598" t="s">
        <v>1102</v>
      </c>
      <c r="E54" s="598">
        <f t="shared" si="0"/>
        <v>34</v>
      </c>
      <c r="F54" s="616" t="s">
        <v>957</v>
      </c>
      <c r="G54" s="616" t="s">
        <v>1013</v>
      </c>
      <c r="H54" s="618" t="s">
        <v>1033</v>
      </c>
      <c r="I54" s="618" t="s">
        <v>4983</v>
      </c>
      <c r="J54" s="618" t="s">
        <v>4448</v>
      </c>
      <c r="K54" s="618" t="s">
        <v>4448</v>
      </c>
      <c r="L54" s="618" t="s">
        <v>1072</v>
      </c>
      <c r="M54" s="619" t="s">
        <v>1086</v>
      </c>
      <c r="N54" s="620"/>
      <c r="O54" s="620"/>
      <c r="P54" s="663" t="s">
        <v>1115</v>
      </c>
      <c r="Q54" s="621" t="s">
        <v>319</v>
      </c>
      <c r="R54" s="598"/>
      <c r="S54" s="598"/>
      <c r="T54" s="598"/>
      <c r="U54" s="598" t="s">
        <v>1015</v>
      </c>
      <c r="V54" s="663" t="s">
        <v>131</v>
      </c>
      <c r="W54" s="779" t="s">
        <v>1103</v>
      </c>
      <c r="X54" s="598" t="s">
        <v>950</v>
      </c>
      <c r="Y54" s="624">
        <v>35278</v>
      </c>
      <c r="Z54" s="625">
        <f t="shared" ca="1" si="1"/>
        <v>29</v>
      </c>
      <c r="AA54" s="616" t="s">
        <v>1104</v>
      </c>
      <c r="AB54" s="598"/>
      <c r="AC54" s="598" t="s">
        <v>996</v>
      </c>
      <c r="AD54" s="598" t="s">
        <v>997</v>
      </c>
      <c r="AE54" s="616" t="s">
        <v>729</v>
      </c>
      <c r="AF54" s="616" t="s">
        <v>954</v>
      </c>
      <c r="AG54" s="616" t="s">
        <v>1106</v>
      </c>
      <c r="AH54" s="598"/>
      <c r="AI54" s="598"/>
      <c r="AJ54" s="598" t="s">
        <v>1107</v>
      </c>
      <c r="AK54" s="598"/>
      <c r="AL54" s="626"/>
      <c r="AM54" s="626"/>
    </row>
    <row r="55" spans="2:39" ht="18" customHeight="1">
      <c r="C55" s="598">
        <v>35</v>
      </c>
      <c r="D55" s="598" t="s">
        <v>1032</v>
      </c>
      <c r="E55" s="598">
        <f t="shared" si="0"/>
        <v>35</v>
      </c>
      <c r="F55" s="616" t="s">
        <v>957</v>
      </c>
      <c r="G55" s="616" t="s">
        <v>1013</v>
      </c>
      <c r="H55" s="618" t="s">
        <v>1033</v>
      </c>
      <c r="I55" s="618" t="s">
        <v>4983</v>
      </c>
      <c r="J55" s="618" t="s">
        <v>4448</v>
      </c>
      <c r="K55" s="618" t="s">
        <v>4448</v>
      </c>
      <c r="L55" s="618" t="s">
        <v>1072</v>
      </c>
      <c r="M55" s="619" t="s">
        <v>1086</v>
      </c>
      <c r="N55" s="620"/>
      <c r="O55" s="620"/>
      <c r="P55" s="663" t="s">
        <v>1115</v>
      </c>
      <c r="Q55" s="621"/>
      <c r="R55" s="598"/>
      <c r="S55" s="598"/>
      <c r="T55" s="598"/>
      <c r="U55" s="598" t="s">
        <v>992</v>
      </c>
      <c r="V55" s="663" t="s">
        <v>127</v>
      </c>
      <c r="W55" s="779" t="s">
        <v>1034</v>
      </c>
      <c r="X55" s="598" t="s">
        <v>950</v>
      </c>
      <c r="Y55" s="624">
        <v>33012</v>
      </c>
      <c r="Z55" s="625">
        <f t="shared" ca="1" si="1"/>
        <v>35</v>
      </c>
      <c r="AA55" s="616" t="s">
        <v>1035</v>
      </c>
      <c r="AB55" s="598"/>
      <c r="AC55" s="598" t="s">
        <v>996</v>
      </c>
      <c r="AD55" s="598" t="s">
        <v>997</v>
      </c>
      <c r="AE55" s="616" t="s">
        <v>246</v>
      </c>
      <c r="AF55" s="616" t="s">
        <v>954</v>
      </c>
      <c r="AG55" s="616"/>
      <c r="AH55" s="598"/>
      <c r="AI55" s="598"/>
      <c r="AJ55" s="598" t="s">
        <v>1025</v>
      </c>
      <c r="AK55" s="598"/>
      <c r="AL55" s="626"/>
      <c r="AM55" s="626"/>
    </row>
    <row r="56" spans="2:39" ht="18" customHeight="1">
      <c r="C56" s="598">
        <v>36</v>
      </c>
      <c r="D56" s="598" t="s">
        <v>1111</v>
      </c>
      <c r="E56" s="598">
        <f t="shared" si="0"/>
        <v>36</v>
      </c>
      <c r="F56" s="616" t="s">
        <v>957</v>
      </c>
      <c r="G56" s="616" t="s">
        <v>1013</v>
      </c>
      <c r="H56" s="618" t="s">
        <v>1033</v>
      </c>
      <c r="I56" s="618" t="s">
        <v>4983</v>
      </c>
      <c r="J56" s="618" t="s">
        <v>4448</v>
      </c>
      <c r="K56" s="618" t="s">
        <v>4448</v>
      </c>
      <c r="L56" s="618" t="s">
        <v>1072</v>
      </c>
      <c r="M56" s="619" t="s">
        <v>1086</v>
      </c>
      <c r="N56" s="620"/>
      <c r="O56" s="620"/>
      <c r="P56" s="663" t="s">
        <v>1115</v>
      </c>
      <c r="Q56" s="621"/>
      <c r="R56" s="598"/>
      <c r="S56" s="598"/>
      <c r="T56" s="598"/>
      <c r="U56" s="598" t="s">
        <v>1015</v>
      </c>
      <c r="V56" s="663" t="s">
        <v>907</v>
      </c>
      <c r="W56" s="779" t="s">
        <v>1112</v>
      </c>
      <c r="X56" s="598" t="s">
        <v>950</v>
      </c>
      <c r="Y56" s="624">
        <v>22442</v>
      </c>
      <c r="Z56" s="625">
        <f t="shared" ca="1" si="1"/>
        <v>64</v>
      </c>
      <c r="AA56" s="616" t="s">
        <v>1113</v>
      </c>
      <c r="AB56" s="598"/>
      <c r="AC56" s="598" t="s">
        <v>996</v>
      </c>
      <c r="AD56" s="598" t="s">
        <v>1018</v>
      </c>
      <c r="AE56" s="616" t="s">
        <v>729</v>
      </c>
      <c r="AF56" s="616" t="s">
        <v>954</v>
      </c>
      <c r="AG56" s="616" t="s">
        <v>968</v>
      </c>
      <c r="AH56" s="598"/>
      <c r="AI56" s="598" t="s">
        <v>1019</v>
      </c>
      <c r="AJ56" s="598" t="s">
        <v>1114</v>
      </c>
      <c r="AK56" s="598" t="s">
        <v>1020</v>
      </c>
      <c r="AL56" s="626"/>
      <c r="AM56" s="626"/>
    </row>
    <row r="57" spans="2:39" ht="18" customHeight="1">
      <c r="C57" s="598">
        <v>37</v>
      </c>
      <c r="D57" s="598" t="s">
        <v>1021</v>
      </c>
      <c r="E57" s="598">
        <f t="shared" si="0"/>
        <v>37</v>
      </c>
      <c r="F57" s="616" t="s">
        <v>957</v>
      </c>
      <c r="G57" s="616" t="s">
        <v>1013</v>
      </c>
      <c r="H57" s="618" t="s">
        <v>1033</v>
      </c>
      <c r="I57" s="618" t="s">
        <v>4983</v>
      </c>
      <c r="J57" s="618" t="s">
        <v>4448</v>
      </c>
      <c r="K57" s="618" t="s">
        <v>4448</v>
      </c>
      <c r="L57" s="618" t="s">
        <v>1072</v>
      </c>
      <c r="M57" s="619" t="s">
        <v>1086</v>
      </c>
      <c r="N57" s="620"/>
      <c r="O57" s="620"/>
      <c r="P57" s="663" t="s">
        <v>1115</v>
      </c>
      <c r="Q57" s="621"/>
      <c r="R57" s="598"/>
      <c r="S57" s="598"/>
      <c r="T57" s="598"/>
      <c r="U57" s="598" t="s">
        <v>1015</v>
      </c>
      <c r="V57" s="663" t="s">
        <v>906</v>
      </c>
      <c r="W57" s="779" t="s">
        <v>5026</v>
      </c>
      <c r="X57" s="598" t="s">
        <v>950</v>
      </c>
      <c r="Y57" s="624">
        <v>23079</v>
      </c>
      <c r="Z57" s="625">
        <f t="shared" ca="1" si="1"/>
        <v>62</v>
      </c>
      <c r="AA57" s="616" t="s">
        <v>1023</v>
      </c>
      <c r="AB57" s="598"/>
      <c r="AC57" s="598" t="s">
        <v>996</v>
      </c>
      <c r="AD57" s="598" t="s">
        <v>1018</v>
      </c>
      <c r="AE57" s="616" t="s">
        <v>246</v>
      </c>
      <c r="AF57" s="616" t="s">
        <v>954</v>
      </c>
      <c r="AG57" s="616" t="s">
        <v>968</v>
      </c>
      <c r="AH57" s="598"/>
      <c r="AI57" s="598" t="s">
        <v>1019</v>
      </c>
      <c r="AJ57" s="598" t="s">
        <v>1025</v>
      </c>
      <c r="AK57" s="598" t="s">
        <v>1020</v>
      </c>
      <c r="AL57" s="626"/>
      <c r="AM57" s="626"/>
    </row>
    <row r="58" spans="2:39" ht="18" customHeight="1">
      <c r="B58" s="782"/>
      <c r="C58" s="598">
        <v>38</v>
      </c>
      <c r="D58" s="598" t="s">
        <v>4453</v>
      </c>
      <c r="E58" s="598">
        <f t="shared" si="0"/>
        <v>38</v>
      </c>
      <c r="F58" s="616" t="s">
        <v>957</v>
      </c>
      <c r="G58" s="616" t="s">
        <v>1013</v>
      </c>
      <c r="H58" s="618" t="s">
        <v>1033</v>
      </c>
      <c r="I58" s="618" t="s">
        <v>4983</v>
      </c>
      <c r="J58" s="618" t="s">
        <v>4448</v>
      </c>
      <c r="K58" s="618" t="s">
        <v>4448</v>
      </c>
      <c r="L58" s="618" t="s">
        <v>1072</v>
      </c>
      <c r="M58" s="619" t="s">
        <v>1086</v>
      </c>
      <c r="N58" s="620"/>
      <c r="O58" s="620"/>
      <c r="P58" s="673" t="s">
        <v>1115</v>
      </c>
      <c r="Q58" s="621"/>
      <c r="R58" s="598"/>
      <c r="S58" s="598"/>
      <c r="T58" s="598"/>
      <c r="U58" s="598" t="s">
        <v>1090</v>
      </c>
      <c r="V58" s="673" t="s">
        <v>4454</v>
      </c>
      <c r="W58" s="779" t="s">
        <v>4455</v>
      </c>
      <c r="X58" s="598" t="s">
        <v>950</v>
      </c>
      <c r="Y58" s="624">
        <v>19818</v>
      </c>
      <c r="Z58" s="625">
        <f t="shared" ca="1" si="1"/>
        <v>71</v>
      </c>
      <c r="AA58" s="616" t="s">
        <v>4456</v>
      </c>
      <c r="AB58" s="598"/>
      <c r="AC58" s="598" t="s">
        <v>996</v>
      </c>
      <c r="AD58" s="598" t="s">
        <v>1018</v>
      </c>
      <c r="AE58" s="616" t="s">
        <v>973</v>
      </c>
      <c r="AF58" s="616" t="s">
        <v>954</v>
      </c>
      <c r="AG58" s="616" t="s">
        <v>968</v>
      </c>
      <c r="AH58" s="598"/>
      <c r="AI58" s="598" t="s">
        <v>1019</v>
      </c>
      <c r="AJ58" s="598" t="s">
        <v>1125</v>
      </c>
      <c r="AK58" s="598" t="s">
        <v>1020</v>
      </c>
      <c r="AL58" s="626"/>
      <c r="AM58" s="626"/>
    </row>
    <row r="59" spans="2:39" ht="18" customHeight="1">
      <c r="B59" s="816" t="s">
        <v>4654</v>
      </c>
      <c r="C59" s="817">
        <v>39</v>
      </c>
      <c r="D59" s="640" t="s">
        <v>5027</v>
      </c>
      <c r="E59" s="640">
        <f t="shared" si="0"/>
        <v>38</v>
      </c>
      <c r="F59" s="817"/>
      <c r="G59" s="817" t="s">
        <v>1013</v>
      </c>
      <c r="H59" s="818" t="s">
        <v>1033</v>
      </c>
      <c r="I59" s="818" t="s">
        <v>4983</v>
      </c>
      <c r="J59" s="818" t="s">
        <v>4448</v>
      </c>
      <c r="K59" s="818" t="s">
        <v>4448</v>
      </c>
      <c r="L59" s="818"/>
      <c r="M59" s="819"/>
      <c r="N59" s="820"/>
      <c r="O59" s="620"/>
      <c r="P59" s="821" t="s">
        <v>4853</v>
      </c>
      <c r="Q59" s="822"/>
      <c r="R59" s="640"/>
      <c r="S59" s="640"/>
      <c r="T59" s="640" t="s">
        <v>5028</v>
      </c>
      <c r="U59" s="640"/>
      <c r="V59" s="821" t="s">
        <v>5029</v>
      </c>
      <c r="W59" s="823" t="s">
        <v>3895</v>
      </c>
      <c r="X59" s="640" t="s">
        <v>950</v>
      </c>
      <c r="Y59" s="824"/>
      <c r="Z59" s="825">
        <f t="shared" ca="1" si="1"/>
        <v>126</v>
      </c>
      <c r="AA59" s="817"/>
      <c r="AB59" s="640"/>
      <c r="AC59" s="640"/>
      <c r="AD59" s="640"/>
      <c r="AE59" s="817"/>
      <c r="AF59" s="817"/>
      <c r="AG59" s="817"/>
      <c r="AH59" s="640"/>
      <c r="AI59" s="640"/>
      <c r="AJ59" s="640"/>
      <c r="AK59" s="640"/>
      <c r="AL59" s="626"/>
      <c r="AM59" s="626"/>
    </row>
    <row r="60" spans="2:39" ht="18" customHeight="1">
      <c r="B60" s="816" t="s">
        <v>4654</v>
      </c>
      <c r="C60" s="817">
        <v>40</v>
      </c>
      <c r="D60" s="640" t="s">
        <v>5030</v>
      </c>
      <c r="E60" s="640">
        <f t="shared" si="0"/>
        <v>38</v>
      </c>
      <c r="F60" s="817"/>
      <c r="G60" s="817" t="s">
        <v>1013</v>
      </c>
      <c r="H60" s="818" t="s">
        <v>1033</v>
      </c>
      <c r="I60" s="818" t="s">
        <v>4983</v>
      </c>
      <c r="J60" s="818" t="s">
        <v>4448</v>
      </c>
      <c r="K60" s="818" t="s">
        <v>4448</v>
      </c>
      <c r="L60" s="818"/>
      <c r="M60" s="819"/>
      <c r="N60" s="820"/>
      <c r="O60" s="620"/>
      <c r="P60" s="826" t="s">
        <v>4853</v>
      </c>
      <c r="Q60" s="822"/>
      <c r="R60" s="640"/>
      <c r="S60" s="640"/>
      <c r="T60" s="640" t="s">
        <v>5028</v>
      </c>
      <c r="U60" s="640"/>
      <c r="V60" s="826" t="s">
        <v>5031</v>
      </c>
      <c r="W60" s="823" t="s">
        <v>5032</v>
      </c>
      <c r="X60" s="640"/>
      <c r="Y60" s="824"/>
      <c r="Z60" s="825">
        <f t="shared" ca="1" si="1"/>
        <v>126</v>
      </c>
      <c r="AA60" s="817"/>
      <c r="AB60" s="640"/>
      <c r="AC60" s="640"/>
      <c r="AD60" s="640"/>
      <c r="AE60" s="817"/>
      <c r="AF60" s="817"/>
      <c r="AG60" s="817"/>
      <c r="AH60" s="640"/>
      <c r="AI60" s="640"/>
      <c r="AJ60" s="640"/>
      <c r="AK60" s="640"/>
      <c r="AL60" s="626"/>
      <c r="AM60" s="626"/>
    </row>
    <row r="61" spans="2:39" ht="18" customHeight="1">
      <c r="B61" s="816" t="s">
        <v>4654</v>
      </c>
      <c r="C61" s="817">
        <v>41</v>
      </c>
      <c r="D61" s="640" t="s">
        <v>5033</v>
      </c>
      <c r="E61" s="640">
        <f t="shared" si="0"/>
        <v>38</v>
      </c>
      <c r="F61" s="817"/>
      <c r="G61" s="817" t="s">
        <v>1013</v>
      </c>
      <c r="H61" s="818" t="s">
        <v>1033</v>
      </c>
      <c r="I61" s="818" t="s">
        <v>4983</v>
      </c>
      <c r="J61" s="818" t="s">
        <v>4448</v>
      </c>
      <c r="K61" s="818" t="s">
        <v>4448</v>
      </c>
      <c r="L61" s="818"/>
      <c r="M61" s="819"/>
      <c r="N61" s="820"/>
      <c r="O61" s="620"/>
      <c r="P61" s="826" t="s">
        <v>4853</v>
      </c>
      <c r="Q61" s="822"/>
      <c r="R61" s="640"/>
      <c r="S61" s="640"/>
      <c r="T61" s="640" t="s">
        <v>5028</v>
      </c>
      <c r="U61" s="640"/>
      <c r="V61" s="826" t="s">
        <v>5034</v>
      </c>
      <c r="W61" s="823" t="s">
        <v>5035</v>
      </c>
      <c r="X61" s="640"/>
      <c r="Y61" s="824"/>
      <c r="Z61" s="825">
        <f t="shared" ca="1" si="1"/>
        <v>126</v>
      </c>
      <c r="AA61" s="817"/>
      <c r="AB61" s="640"/>
      <c r="AC61" s="640"/>
      <c r="AD61" s="640"/>
      <c r="AE61" s="817"/>
      <c r="AF61" s="817"/>
      <c r="AG61" s="817"/>
      <c r="AH61" s="640"/>
      <c r="AI61" s="640"/>
      <c r="AJ61" s="640"/>
      <c r="AK61" s="640"/>
      <c r="AL61" s="626"/>
      <c r="AM61" s="626"/>
    </row>
    <row r="62" spans="2:39" ht="18" customHeight="1">
      <c r="B62" s="816" t="s">
        <v>4654</v>
      </c>
      <c r="C62" s="817">
        <v>42</v>
      </c>
      <c r="D62" s="640" t="s">
        <v>5036</v>
      </c>
      <c r="E62" s="640">
        <f t="shared" si="0"/>
        <v>38</v>
      </c>
      <c r="F62" s="817"/>
      <c r="G62" s="817" t="s">
        <v>1013</v>
      </c>
      <c r="H62" s="818" t="s">
        <v>1033</v>
      </c>
      <c r="I62" s="818" t="s">
        <v>4983</v>
      </c>
      <c r="J62" s="818" t="s">
        <v>4448</v>
      </c>
      <c r="K62" s="818" t="s">
        <v>4448</v>
      </c>
      <c r="L62" s="818"/>
      <c r="M62" s="819"/>
      <c r="N62" s="820"/>
      <c r="O62" s="620"/>
      <c r="P62" s="827" t="s">
        <v>4853</v>
      </c>
      <c r="Q62" s="822"/>
      <c r="R62" s="640"/>
      <c r="S62" s="640"/>
      <c r="T62" s="640" t="s">
        <v>5028</v>
      </c>
      <c r="U62" s="640"/>
      <c r="V62" s="827" t="s">
        <v>5037</v>
      </c>
      <c r="W62" s="823" t="s">
        <v>5038</v>
      </c>
      <c r="X62" s="640" t="s">
        <v>950</v>
      </c>
      <c r="Y62" s="824"/>
      <c r="Z62" s="825">
        <f t="shared" ca="1" si="1"/>
        <v>126</v>
      </c>
      <c r="AA62" s="817"/>
      <c r="AB62" s="640"/>
      <c r="AC62" s="640" t="s">
        <v>996</v>
      </c>
      <c r="AD62" s="640" t="s">
        <v>1018</v>
      </c>
      <c r="AE62" s="817"/>
      <c r="AF62" s="817" t="s">
        <v>954</v>
      </c>
      <c r="AG62" s="817"/>
      <c r="AH62" s="640"/>
      <c r="AI62" s="640"/>
      <c r="AJ62" s="640"/>
      <c r="AK62" s="640"/>
      <c r="AL62" s="626"/>
      <c r="AM62" s="626"/>
    </row>
    <row r="63" spans="2:39" ht="18" customHeight="1">
      <c r="B63" s="782"/>
      <c r="C63" s="598">
        <v>43</v>
      </c>
      <c r="D63" s="598" t="s">
        <v>4464</v>
      </c>
      <c r="E63" s="598">
        <f t="shared" si="0"/>
        <v>39</v>
      </c>
      <c r="F63" s="616" t="s">
        <v>1798</v>
      </c>
      <c r="G63" s="616" t="s">
        <v>1013</v>
      </c>
      <c r="H63" s="618" t="s">
        <v>1033</v>
      </c>
      <c r="I63" s="618" t="s">
        <v>4983</v>
      </c>
      <c r="J63" s="618" t="s">
        <v>4448</v>
      </c>
      <c r="K63" s="618" t="s">
        <v>4464</v>
      </c>
      <c r="L63" s="618" t="s">
        <v>4447</v>
      </c>
      <c r="M63" s="619" t="s">
        <v>959</v>
      </c>
      <c r="N63" s="620"/>
      <c r="O63" s="620"/>
      <c r="P63" s="667" t="s">
        <v>1127</v>
      </c>
      <c r="Q63" s="621"/>
      <c r="R63" s="598" t="s">
        <v>1227</v>
      </c>
      <c r="S63" s="598" t="s">
        <v>3</v>
      </c>
      <c r="T63" s="598" t="s">
        <v>55</v>
      </c>
      <c r="U63" s="598" t="s">
        <v>3309</v>
      </c>
      <c r="V63" s="667" t="s">
        <v>71</v>
      </c>
      <c r="W63" s="779" t="s">
        <v>3310</v>
      </c>
      <c r="X63" s="598" t="s">
        <v>963</v>
      </c>
      <c r="Y63" s="624">
        <v>28737</v>
      </c>
      <c r="Z63" s="625">
        <f t="shared" ca="1" si="1"/>
        <v>47</v>
      </c>
      <c r="AA63" s="616" t="s">
        <v>4468</v>
      </c>
      <c r="AB63" s="598" t="s">
        <v>4469</v>
      </c>
      <c r="AC63" s="598" t="s">
        <v>60</v>
      </c>
      <c r="AD63" s="598" t="s">
        <v>953</v>
      </c>
      <c r="AE63" s="616" t="s">
        <v>954</v>
      </c>
      <c r="AF63" s="616" t="s">
        <v>954</v>
      </c>
      <c r="AG63" s="616"/>
      <c r="AH63" s="598"/>
      <c r="AI63" s="598"/>
      <c r="AJ63" s="598"/>
      <c r="AK63" s="598"/>
      <c r="AL63" s="626"/>
      <c r="AM63" s="626"/>
    </row>
    <row r="64" spans="2:39" ht="18" customHeight="1">
      <c r="B64" s="782"/>
      <c r="C64" s="598">
        <v>44</v>
      </c>
      <c r="D64" s="598" t="s">
        <v>4447</v>
      </c>
      <c r="E64" s="598">
        <f t="shared" si="0"/>
        <v>39</v>
      </c>
      <c r="F64" s="616"/>
      <c r="G64" s="616" t="s">
        <v>1013</v>
      </c>
      <c r="H64" s="618" t="s">
        <v>1033</v>
      </c>
      <c r="I64" s="618" t="s">
        <v>4983</v>
      </c>
      <c r="J64" s="618" t="s">
        <v>4448</v>
      </c>
      <c r="K64" s="618" t="s">
        <v>4464</v>
      </c>
      <c r="L64" s="618" t="s">
        <v>4447</v>
      </c>
      <c r="M64" s="619" t="s">
        <v>959</v>
      </c>
      <c r="N64" s="620"/>
      <c r="O64" s="620"/>
      <c r="P64" s="663" t="s">
        <v>1127</v>
      </c>
      <c r="Q64" s="621"/>
      <c r="R64" s="598" t="s">
        <v>948</v>
      </c>
      <c r="S64" s="598" t="s">
        <v>3</v>
      </c>
      <c r="T64" s="598" t="s">
        <v>69</v>
      </c>
      <c r="U64" s="598"/>
      <c r="V64" s="663" t="s">
        <v>4</v>
      </c>
      <c r="W64" s="779"/>
      <c r="X64" s="598" t="s">
        <v>963</v>
      </c>
      <c r="Y64" s="624">
        <v>31732</v>
      </c>
      <c r="Z64" s="625">
        <f t="shared" ca="1" si="1"/>
        <v>39</v>
      </c>
      <c r="AA64" s="616" t="s">
        <v>4465</v>
      </c>
      <c r="AB64" s="598" t="s">
        <v>4466</v>
      </c>
      <c r="AC64" s="598" t="s">
        <v>60</v>
      </c>
      <c r="AD64" s="598" t="s">
        <v>953</v>
      </c>
      <c r="AE64" s="616"/>
      <c r="AF64" s="616" t="s">
        <v>954</v>
      </c>
      <c r="AG64" s="616" t="s">
        <v>968</v>
      </c>
      <c r="AH64" s="598"/>
      <c r="AI64" s="598"/>
      <c r="AJ64" s="598"/>
      <c r="AK64" s="598"/>
      <c r="AL64" s="626"/>
      <c r="AM64" s="626"/>
    </row>
    <row r="65" spans="3:39" ht="18" customHeight="1">
      <c r="C65" s="598">
        <v>45</v>
      </c>
      <c r="D65" s="598" t="s">
        <v>3807</v>
      </c>
      <c r="E65" s="598">
        <f t="shared" si="0"/>
        <v>40</v>
      </c>
      <c r="F65" s="616" t="s">
        <v>957</v>
      </c>
      <c r="G65" s="616" t="s">
        <v>1013</v>
      </c>
      <c r="H65" s="618" t="s">
        <v>1033</v>
      </c>
      <c r="I65" s="618" t="s">
        <v>4983</v>
      </c>
      <c r="J65" s="618" t="s">
        <v>4448</v>
      </c>
      <c r="K65" s="618" t="s">
        <v>4464</v>
      </c>
      <c r="L65" s="618" t="s">
        <v>4447</v>
      </c>
      <c r="M65" s="619" t="s">
        <v>959</v>
      </c>
      <c r="N65" s="620"/>
      <c r="O65" s="620"/>
      <c r="P65" s="663" t="s">
        <v>1127</v>
      </c>
      <c r="Q65" s="621"/>
      <c r="R65" s="598" t="s">
        <v>55</v>
      </c>
      <c r="S65" s="598" t="s">
        <v>55</v>
      </c>
      <c r="T65" s="598"/>
      <c r="U65" s="598" t="s">
        <v>1090</v>
      </c>
      <c r="V65" s="663" t="s">
        <v>82</v>
      </c>
      <c r="W65" s="779" t="s">
        <v>3813</v>
      </c>
      <c r="X65" s="598" t="s">
        <v>963</v>
      </c>
      <c r="Y65" s="624">
        <v>19202</v>
      </c>
      <c r="Z65" s="625">
        <f t="shared" ca="1" si="1"/>
        <v>73</v>
      </c>
      <c r="AA65" s="616" t="s">
        <v>3814</v>
      </c>
      <c r="AB65" s="598"/>
      <c r="AC65" s="598" t="s">
        <v>966</v>
      </c>
      <c r="AD65" s="598" t="s">
        <v>953</v>
      </c>
      <c r="AE65" s="616" t="s">
        <v>973</v>
      </c>
      <c r="AF65" s="616" t="s">
        <v>954</v>
      </c>
      <c r="AG65" s="616" t="s">
        <v>968</v>
      </c>
      <c r="AH65" s="598"/>
      <c r="AI65" s="598"/>
      <c r="AJ65" s="598"/>
      <c r="AK65" s="598"/>
      <c r="AL65" s="626"/>
      <c r="AM65" s="626"/>
    </row>
    <row r="66" spans="3:39" ht="18" customHeight="1">
      <c r="C66" s="598">
        <v>46</v>
      </c>
      <c r="D66" s="598" t="s">
        <v>3888</v>
      </c>
      <c r="E66" s="598">
        <f t="shared" si="0"/>
        <v>41</v>
      </c>
      <c r="F66" s="616" t="s">
        <v>957</v>
      </c>
      <c r="G66" s="616" t="s">
        <v>1013</v>
      </c>
      <c r="H66" s="618" t="s">
        <v>1033</v>
      </c>
      <c r="I66" s="618" t="s">
        <v>4983</v>
      </c>
      <c r="J66" s="618" t="s">
        <v>4448</v>
      </c>
      <c r="K66" s="618" t="s">
        <v>4464</v>
      </c>
      <c r="L66" s="618" t="s">
        <v>4447</v>
      </c>
      <c r="M66" s="619" t="s">
        <v>959</v>
      </c>
      <c r="N66" s="620"/>
      <c r="O66" s="620"/>
      <c r="P66" s="663" t="s">
        <v>1127</v>
      </c>
      <c r="Q66" s="621"/>
      <c r="R66" s="598" t="s">
        <v>69</v>
      </c>
      <c r="S66" s="598" t="s">
        <v>69</v>
      </c>
      <c r="T66" s="598"/>
      <c r="U66" s="598" t="s">
        <v>1090</v>
      </c>
      <c r="V66" s="663" t="s">
        <v>94</v>
      </c>
      <c r="W66" s="779" t="s">
        <v>3895</v>
      </c>
      <c r="X66" s="598" t="s">
        <v>950</v>
      </c>
      <c r="Y66" s="624">
        <v>19466</v>
      </c>
      <c r="Z66" s="625">
        <f t="shared" ca="1" si="1"/>
        <v>72</v>
      </c>
      <c r="AA66" s="616" t="s">
        <v>3896</v>
      </c>
      <c r="AB66" s="598"/>
      <c r="AC66" s="598" t="s">
        <v>966</v>
      </c>
      <c r="AD66" s="598" t="s">
        <v>953</v>
      </c>
      <c r="AE66" s="616" t="s">
        <v>973</v>
      </c>
      <c r="AF66" s="616" t="s">
        <v>954</v>
      </c>
      <c r="AG66" s="616" t="s">
        <v>968</v>
      </c>
      <c r="AH66" s="598"/>
      <c r="AI66" s="598"/>
      <c r="AJ66" s="598"/>
      <c r="AK66" s="598"/>
      <c r="AL66" s="626"/>
      <c r="AM66" s="626"/>
    </row>
    <row r="67" spans="3:39" ht="18" customHeight="1">
      <c r="C67" s="598">
        <v>47</v>
      </c>
      <c r="D67" s="598" t="s">
        <v>1122</v>
      </c>
      <c r="E67" s="598">
        <f t="shared" si="0"/>
        <v>42</v>
      </c>
      <c r="F67" s="616" t="s">
        <v>957</v>
      </c>
      <c r="G67" s="616" t="s">
        <v>1013</v>
      </c>
      <c r="H67" s="618" t="s">
        <v>1033</v>
      </c>
      <c r="I67" s="618" t="s">
        <v>4983</v>
      </c>
      <c r="J67" s="618" t="s">
        <v>4448</v>
      </c>
      <c r="K67" s="618" t="s">
        <v>4464</v>
      </c>
      <c r="L67" s="618" t="s">
        <v>4447</v>
      </c>
      <c r="M67" s="619" t="s">
        <v>959</v>
      </c>
      <c r="N67" s="620"/>
      <c r="O67" s="620"/>
      <c r="P67" s="663" t="s">
        <v>1127</v>
      </c>
      <c r="Q67" s="621"/>
      <c r="R67" s="598"/>
      <c r="S67" s="598"/>
      <c r="T67" s="598"/>
      <c r="U67" s="598" t="s">
        <v>1090</v>
      </c>
      <c r="V67" s="663" t="s">
        <v>104</v>
      </c>
      <c r="W67" s="779" t="s">
        <v>1123</v>
      </c>
      <c r="X67" s="598" t="s">
        <v>963</v>
      </c>
      <c r="Y67" s="624">
        <v>19784</v>
      </c>
      <c r="Z67" s="625">
        <f t="shared" ca="1" si="1"/>
        <v>71</v>
      </c>
      <c r="AA67" s="616" t="s">
        <v>1124</v>
      </c>
      <c r="AB67" s="598"/>
      <c r="AC67" s="598" t="s">
        <v>996</v>
      </c>
      <c r="AD67" s="598" t="s">
        <v>997</v>
      </c>
      <c r="AE67" s="616" t="s">
        <v>973</v>
      </c>
      <c r="AF67" s="616" t="s">
        <v>954</v>
      </c>
      <c r="AG67" s="616" t="s">
        <v>968</v>
      </c>
      <c r="AH67" s="598"/>
      <c r="AI67" s="598"/>
      <c r="AJ67" s="598" t="s">
        <v>1125</v>
      </c>
      <c r="AK67" s="598"/>
      <c r="AL67" s="626"/>
      <c r="AM67" s="626"/>
    </row>
    <row r="68" spans="3:39" ht="18" customHeight="1">
      <c r="C68" s="598">
        <v>48</v>
      </c>
      <c r="D68" s="598" t="s">
        <v>1036</v>
      </c>
      <c r="E68" s="598">
        <f t="shared" si="0"/>
        <v>43</v>
      </c>
      <c r="F68" s="616" t="s">
        <v>957</v>
      </c>
      <c r="G68" s="616" t="s">
        <v>1013</v>
      </c>
      <c r="H68" s="618" t="s">
        <v>1033</v>
      </c>
      <c r="I68" s="618" t="s">
        <v>4983</v>
      </c>
      <c r="J68" s="618" t="s">
        <v>4448</v>
      </c>
      <c r="K68" s="618" t="s">
        <v>4464</v>
      </c>
      <c r="L68" s="618" t="s">
        <v>4447</v>
      </c>
      <c r="M68" s="619" t="s">
        <v>959</v>
      </c>
      <c r="N68" s="620"/>
      <c r="O68" s="620"/>
      <c r="P68" s="663" t="s">
        <v>1127</v>
      </c>
      <c r="Q68" s="621"/>
      <c r="R68" s="598"/>
      <c r="S68" s="598"/>
      <c r="T68" s="598"/>
      <c r="U68" s="598" t="s">
        <v>1015</v>
      </c>
      <c r="V68" s="663" t="s">
        <v>112</v>
      </c>
      <c r="W68" s="779" t="s">
        <v>1039</v>
      </c>
      <c r="X68" s="598" t="s">
        <v>950</v>
      </c>
      <c r="Y68" s="624">
        <v>22276</v>
      </c>
      <c r="Z68" s="625">
        <f t="shared" ca="1" si="1"/>
        <v>65</v>
      </c>
      <c r="AA68" s="616" t="s">
        <v>1040</v>
      </c>
      <c r="AB68" s="598"/>
      <c r="AC68" s="598" t="s">
        <v>996</v>
      </c>
      <c r="AD68" s="598" t="s">
        <v>953</v>
      </c>
      <c r="AE68" s="616" t="s">
        <v>1041</v>
      </c>
      <c r="AF68" s="616" t="s">
        <v>954</v>
      </c>
      <c r="AG68" s="616" t="s">
        <v>974</v>
      </c>
      <c r="AH68" s="598"/>
      <c r="AI68" s="598"/>
      <c r="AJ68" s="598"/>
      <c r="AK68" s="598"/>
      <c r="AL68" s="626"/>
      <c r="AM68" s="626"/>
    </row>
    <row r="69" spans="3:39" ht="18" customHeight="1">
      <c r="C69" s="598">
        <v>49</v>
      </c>
      <c r="D69" s="598" t="s">
        <v>4038</v>
      </c>
      <c r="E69" s="598">
        <f t="shared" si="0"/>
        <v>44</v>
      </c>
      <c r="F69" s="616" t="s">
        <v>4978</v>
      </c>
      <c r="G69" s="616" t="s">
        <v>1013</v>
      </c>
      <c r="H69" s="618" t="s">
        <v>1033</v>
      </c>
      <c r="I69" s="618" t="s">
        <v>4983</v>
      </c>
      <c r="J69" s="618" t="s">
        <v>4448</v>
      </c>
      <c r="K69" s="618" t="s">
        <v>4464</v>
      </c>
      <c r="L69" s="618" t="s">
        <v>4447</v>
      </c>
      <c r="M69" s="619" t="s">
        <v>959</v>
      </c>
      <c r="N69" s="620"/>
      <c r="O69" s="620"/>
      <c r="P69" s="673" t="s">
        <v>1127</v>
      </c>
      <c r="Q69" s="621"/>
      <c r="R69" s="598"/>
      <c r="S69" s="598"/>
      <c r="T69" s="598"/>
      <c r="U69" s="598" t="s">
        <v>1015</v>
      </c>
      <c r="V69" s="673" t="s">
        <v>4039</v>
      </c>
      <c r="W69" s="779" t="s">
        <v>4040</v>
      </c>
      <c r="X69" s="598" t="s">
        <v>950</v>
      </c>
      <c r="Y69" s="624">
        <v>33959</v>
      </c>
      <c r="Z69" s="625">
        <f t="shared" ca="1" si="1"/>
        <v>33</v>
      </c>
      <c r="AA69" s="616" t="s">
        <v>4041</v>
      </c>
      <c r="AB69" s="598"/>
      <c r="AC69" s="598" t="s">
        <v>996</v>
      </c>
      <c r="AD69" s="598" t="s">
        <v>1018</v>
      </c>
      <c r="AE69" s="616" t="s">
        <v>246</v>
      </c>
      <c r="AF69" s="616" t="s">
        <v>246</v>
      </c>
      <c r="AG69" s="616" t="s">
        <v>3815</v>
      </c>
      <c r="AH69" s="598"/>
      <c r="AI69" s="598" t="s">
        <v>1019</v>
      </c>
      <c r="AJ69" s="598"/>
      <c r="AK69" s="598" t="s">
        <v>1020</v>
      </c>
      <c r="AL69" s="626"/>
      <c r="AM69" s="626"/>
    </row>
    <row r="70" spans="3:39" ht="18" customHeight="1">
      <c r="C70" s="598">
        <v>50</v>
      </c>
      <c r="D70" s="598" t="s">
        <v>1141</v>
      </c>
      <c r="E70" s="598">
        <f t="shared" si="0"/>
        <v>45</v>
      </c>
      <c r="F70" s="616" t="s">
        <v>957</v>
      </c>
      <c r="G70" s="616" t="s">
        <v>1013</v>
      </c>
      <c r="H70" s="618" t="s">
        <v>1033</v>
      </c>
      <c r="I70" s="618" t="s">
        <v>4983</v>
      </c>
      <c r="J70" s="618" t="s">
        <v>4448</v>
      </c>
      <c r="K70" s="618" t="s">
        <v>1141</v>
      </c>
      <c r="L70" s="618" t="s">
        <v>1126</v>
      </c>
      <c r="M70" s="619" t="s">
        <v>959</v>
      </c>
      <c r="N70" s="620"/>
      <c r="O70" s="620"/>
      <c r="P70" s="667" t="s">
        <v>1157</v>
      </c>
      <c r="Q70" s="621"/>
      <c r="R70" s="598" t="s">
        <v>55</v>
      </c>
      <c r="S70" s="598" t="s">
        <v>55</v>
      </c>
      <c r="T70" s="598"/>
      <c r="U70" s="598" t="s">
        <v>1015</v>
      </c>
      <c r="V70" s="667" t="s">
        <v>61</v>
      </c>
      <c r="W70" s="779" t="s">
        <v>1158</v>
      </c>
      <c r="X70" s="598" t="s">
        <v>950</v>
      </c>
      <c r="Y70" s="624">
        <v>29276</v>
      </c>
      <c r="Z70" s="625">
        <f t="shared" ca="1" si="1"/>
        <v>45</v>
      </c>
      <c r="AA70" s="616" t="s">
        <v>1159</v>
      </c>
      <c r="AB70" s="598"/>
      <c r="AC70" s="598" t="s">
        <v>966</v>
      </c>
      <c r="AD70" s="598" t="s">
        <v>953</v>
      </c>
      <c r="AE70" s="616" t="s">
        <v>954</v>
      </c>
      <c r="AF70" s="616" t="s">
        <v>954</v>
      </c>
      <c r="AG70" s="616" t="s">
        <v>968</v>
      </c>
      <c r="AH70" s="598"/>
      <c r="AI70" s="598"/>
      <c r="AJ70" s="598"/>
      <c r="AK70" s="598"/>
      <c r="AL70" s="626"/>
      <c r="AM70" s="626"/>
    </row>
    <row r="71" spans="3:39" ht="18" customHeight="1">
      <c r="C71" s="598">
        <v>51</v>
      </c>
      <c r="D71" s="598" t="s">
        <v>1126</v>
      </c>
      <c r="E71" s="598">
        <f t="shared" si="0"/>
        <v>46</v>
      </c>
      <c r="F71" s="616" t="s">
        <v>957</v>
      </c>
      <c r="G71" s="616" t="s">
        <v>1013</v>
      </c>
      <c r="H71" s="618" t="s">
        <v>1033</v>
      </c>
      <c r="I71" s="618" t="s">
        <v>4983</v>
      </c>
      <c r="J71" s="618" t="s">
        <v>4448</v>
      </c>
      <c r="K71" s="618" t="s">
        <v>1141</v>
      </c>
      <c r="L71" s="618" t="s">
        <v>1126</v>
      </c>
      <c r="M71" s="619" t="s">
        <v>959</v>
      </c>
      <c r="N71" s="620"/>
      <c r="O71" s="620"/>
      <c r="P71" s="663" t="s">
        <v>1157</v>
      </c>
      <c r="Q71" s="621"/>
      <c r="R71" s="598" t="s">
        <v>69</v>
      </c>
      <c r="S71" s="598" t="s">
        <v>69</v>
      </c>
      <c r="T71" s="598"/>
      <c r="U71" s="598" t="s">
        <v>1015</v>
      </c>
      <c r="V71" s="663" t="s">
        <v>22</v>
      </c>
      <c r="W71" s="779" t="s">
        <v>1128</v>
      </c>
      <c r="X71" s="598" t="s">
        <v>950</v>
      </c>
      <c r="Y71" s="624">
        <v>30920</v>
      </c>
      <c r="Z71" s="625">
        <f t="shared" ca="1" si="1"/>
        <v>41</v>
      </c>
      <c r="AA71" s="616" t="s">
        <v>1129</v>
      </c>
      <c r="AB71" s="598" t="s">
        <v>1130</v>
      </c>
      <c r="AC71" s="598" t="s">
        <v>966</v>
      </c>
      <c r="AD71" s="598" t="s">
        <v>953</v>
      </c>
      <c r="AE71" s="616" t="s">
        <v>954</v>
      </c>
      <c r="AF71" s="616" t="s">
        <v>954</v>
      </c>
      <c r="AG71" s="616" t="s">
        <v>968</v>
      </c>
      <c r="AH71" s="598"/>
      <c r="AI71" s="598"/>
      <c r="AJ71" s="598"/>
      <c r="AK71" s="598"/>
      <c r="AL71" s="626"/>
      <c r="AM71" s="626"/>
    </row>
    <row r="72" spans="3:39" ht="18" customHeight="1">
      <c r="C72" s="598">
        <v>52</v>
      </c>
      <c r="D72" s="598" t="s">
        <v>1131</v>
      </c>
      <c r="E72" s="598">
        <f t="shared" si="0"/>
        <v>47</v>
      </c>
      <c r="F72" s="616" t="s">
        <v>957</v>
      </c>
      <c r="G72" s="616" t="s">
        <v>1013</v>
      </c>
      <c r="H72" s="618" t="s">
        <v>1033</v>
      </c>
      <c r="I72" s="618" t="s">
        <v>4983</v>
      </c>
      <c r="J72" s="618" t="s">
        <v>4448</v>
      </c>
      <c r="K72" s="618" t="s">
        <v>1141</v>
      </c>
      <c r="L72" s="618" t="s">
        <v>1126</v>
      </c>
      <c r="M72" s="619" t="s">
        <v>959</v>
      </c>
      <c r="N72" s="620"/>
      <c r="O72" s="620"/>
      <c r="P72" s="663" t="s">
        <v>1157</v>
      </c>
      <c r="Q72" s="621"/>
      <c r="R72" s="598" t="s">
        <v>910</v>
      </c>
      <c r="S72" s="598" t="s">
        <v>1132</v>
      </c>
      <c r="T72" s="598"/>
      <c r="U72" s="598" t="s">
        <v>1015</v>
      </c>
      <c r="V72" s="663" t="s">
        <v>84</v>
      </c>
      <c r="W72" s="779" t="s">
        <v>1133</v>
      </c>
      <c r="X72" s="598" t="s">
        <v>950</v>
      </c>
      <c r="Y72" s="624">
        <v>31700</v>
      </c>
      <c r="Z72" s="625">
        <f t="shared" ca="1" si="1"/>
        <v>39</v>
      </c>
      <c r="AA72" s="616" t="s">
        <v>1134</v>
      </c>
      <c r="AB72" s="598" t="s">
        <v>1135</v>
      </c>
      <c r="AC72" s="598" t="s">
        <v>966</v>
      </c>
      <c r="AD72" s="598" t="s">
        <v>953</v>
      </c>
      <c r="AE72" s="616" t="s">
        <v>973</v>
      </c>
      <c r="AF72" s="616" t="s">
        <v>954</v>
      </c>
      <c r="AG72" s="616" t="s">
        <v>974</v>
      </c>
      <c r="AH72" s="598"/>
      <c r="AI72" s="598"/>
      <c r="AJ72" s="598"/>
      <c r="AK72" s="598"/>
      <c r="AL72" s="626"/>
      <c r="AM72" s="626"/>
    </row>
    <row r="73" spans="3:39" ht="18" customHeight="1">
      <c r="C73" s="598">
        <v>53</v>
      </c>
      <c r="D73" s="598" t="s">
        <v>1136</v>
      </c>
      <c r="E73" s="598">
        <f t="shared" si="0"/>
        <v>48</v>
      </c>
      <c r="F73" s="616" t="s">
        <v>957</v>
      </c>
      <c r="G73" s="616" t="s">
        <v>1013</v>
      </c>
      <c r="H73" s="618" t="s">
        <v>1033</v>
      </c>
      <c r="I73" s="618" t="s">
        <v>4983</v>
      </c>
      <c r="J73" s="618" t="s">
        <v>4448</v>
      </c>
      <c r="K73" s="618" t="s">
        <v>1141</v>
      </c>
      <c r="L73" s="618" t="s">
        <v>1126</v>
      </c>
      <c r="M73" s="619" t="s">
        <v>959</v>
      </c>
      <c r="N73" s="620"/>
      <c r="O73" s="620"/>
      <c r="P73" s="663" t="s">
        <v>1157</v>
      </c>
      <c r="Q73" s="621"/>
      <c r="R73" s="598" t="s">
        <v>910</v>
      </c>
      <c r="S73" s="598" t="s">
        <v>18</v>
      </c>
      <c r="T73" s="598"/>
      <c r="U73" s="598" t="s">
        <v>1015</v>
      </c>
      <c r="V73" s="663" t="s">
        <v>19</v>
      </c>
      <c r="W73" s="779"/>
      <c r="X73" s="598" t="s">
        <v>950</v>
      </c>
      <c r="Y73" s="624">
        <v>30683</v>
      </c>
      <c r="Z73" s="625">
        <f t="shared" ca="1" si="1"/>
        <v>42</v>
      </c>
      <c r="AA73" s="616" t="s">
        <v>1138</v>
      </c>
      <c r="AB73" s="598" t="s">
        <v>1139</v>
      </c>
      <c r="AC73" s="598" t="s">
        <v>966</v>
      </c>
      <c r="AD73" s="598" t="s">
        <v>953</v>
      </c>
      <c r="AE73" s="616" t="s">
        <v>954</v>
      </c>
      <c r="AF73" s="616" t="s">
        <v>954</v>
      </c>
      <c r="AG73" s="616" t="s">
        <v>968</v>
      </c>
      <c r="AH73" s="598"/>
      <c r="AI73" s="598"/>
      <c r="AJ73" s="598"/>
      <c r="AK73" s="598"/>
      <c r="AL73" s="626"/>
      <c r="AM73" s="626"/>
    </row>
    <row r="74" spans="3:39" ht="18" customHeight="1">
      <c r="C74" s="598">
        <v>54</v>
      </c>
      <c r="D74" s="598" t="s">
        <v>1140</v>
      </c>
      <c r="E74" s="598">
        <f t="shared" si="0"/>
        <v>49</v>
      </c>
      <c r="F74" s="616" t="s">
        <v>957</v>
      </c>
      <c r="G74" s="616" t="s">
        <v>1013</v>
      </c>
      <c r="H74" s="618" t="s">
        <v>1033</v>
      </c>
      <c r="I74" s="618" t="s">
        <v>4983</v>
      </c>
      <c r="J74" s="618" t="s">
        <v>4448</v>
      </c>
      <c r="K74" s="618" t="s">
        <v>1141</v>
      </c>
      <c r="L74" s="618" t="s">
        <v>1126</v>
      </c>
      <c r="M74" s="619" t="s">
        <v>959</v>
      </c>
      <c r="N74" s="620"/>
      <c r="O74" s="620"/>
      <c r="P74" s="663" t="s">
        <v>1157</v>
      </c>
      <c r="Q74" s="621"/>
      <c r="R74" s="598" t="s">
        <v>16</v>
      </c>
      <c r="S74" s="598" t="s">
        <v>16</v>
      </c>
      <c r="T74" s="598" t="s">
        <v>1142</v>
      </c>
      <c r="U74" s="598" t="s">
        <v>1015</v>
      </c>
      <c r="V74" s="663" t="s">
        <v>12</v>
      </c>
      <c r="W74" s="779"/>
      <c r="X74" s="598" t="s">
        <v>950</v>
      </c>
      <c r="Y74" s="624">
        <v>29107</v>
      </c>
      <c r="Z74" s="625">
        <f t="shared" ca="1" si="1"/>
        <v>46</v>
      </c>
      <c r="AA74" s="616" t="s">
        <v>1144</v>
      </c>
      <c r="AB74" s="598" t="s">
        <v>965</v>
      </c>
      <c r="AC74" s="598" t="s">
        <v>966</v>
      </c>
      <c r="AD74" s="598" t="s">
        <v>953</v>
      </c>
      <c r="AE74" s="616" t="s">
        <v>954</v>
      </c>
      <c r="AF74" s="616" t="s">
        <v>954</v>
      </c>
      <c r="AG74" s="616" t="s">
        <v>974</v>
      </c>
      <c r="AH74" s="598"/>
      <c r="AI74" s="598"/>
      <c r="AJ74" s="598"/>
      <c r="AK74" s="598"/>
      <c r="AL74" s="626"/>
      <c r="AM74" s="626"/>
    </row>
    <row r="75" spans="3:39" ht="18" customHeight="1">
      <c r="C75" s="598">
        <v>55</v>
      </c>
      <c r="D75" s="598" t="s">
        <v>1145</v>
      </c>
      <c r="E75" s="598">
        <f t="shared" si="0"/>
        <v>50</v>
      </c>
      <c r="F75" s="616" t="s">
        <v>957</v>
      </c>
      <c r="G75" s="616" t="s">
        <v>1013</v>
      </c>
      <c r="H75" s="618" t="s">
        <v>1033</v>
      </c>
      <c r="I75" s="618" t="s">
        <v>4983</v>
      </c>
      <c r="J75" s="618" t="s">
        <v>4448</v>
      </c>
      <c r="K75" s="618" t="s">
        <v>1141</v>
      </c>
      <c r="L75" s="618" t="s">
        <v>1126</v>
      </c>
      <c r="M75" s="619" t="s">
        <v>959</v>
      </c>
      <c r="N75" s="620"/>
      <c r="O75" s="620"/>
      <c r="P75" s="663" t="s">
        <v>1157</v>
      </c>
      <c r="Q75" s="621"/>
      <c r="R75" s="598" t="s">
        <v>16</v>
      </c>
      <c r="S75" s="598" t="s">
        <v>16</v>
      </c>
      <c r="T75" s="598" t="s">
        <v>1142</v>
      </c>
      <c r="U75" s="598" t="s">
        <v>1015</v>
      </c>
      <c r="V75" s="663" t="s">
        <v>15</v>
      </c>
      <c r="W75" s="779"/>
      <c r="X75" s="598" t="s">
        <v>950</v>
      </c>
      <c r="Y75" s="624">
        <v>29445</v>
      </c>
      <c r="Z75" s="625">
        <f t="shared" ca="1" si="1"/>
        <v>45</v>
      </c>
      <c r="AA75" s="616" t="s">
        <v>1147</v>
      </c>
      <c r="AB75" s="598" t="s">
        <v>1148</v>
      </c>
      <c r="AC75" s="598" t="s">
        <v>966</v>
      </c>
      <c r="AD75" s="598" t="s">
        <v>953</v>
      </c>
      <c r="AE75" s="616" t="s">
        <v>954</v>
      </c>
      <c r="AF75" s="616" t="s">
        <v>954</v>
      </c>
      <c r="AG75" s="616" t="s">
        <v>974</v>
      </c>
      <c r="AH75" s="598"/>
      <c r="AI75" s="598"/>
      <c r="AJ75" s="598"/>
      <c r="AK75" s="598"/>
      <c r="AL75" s="626"/>
      <c r="AM75" s="626"/>
    </row>
    <row r="76" spans="3:39" ht="18" customHeight="1">
      <c r="C76" s="598">
        <v>56</v>
      </c>
      <c r="D76" s="598" t="s">
        <v>2796</v>
      </c>
      <c r="E76" s="598">
        <f t="shared" si="0"/>
        <v>51</v>
      </c>
      <c r="F76" s="616" t="s">
        <v>957</v>
      </c>
      <c r="G76" s="616" t="s">
        <v>1013</v>
      </c>
      <c r="H76" s="618" t="s">
        <v>1033</v>
      </c>
      <c r="I76" s="618" t="s">
        <v>4983</v>
      </c>
      <c r="J76" s="618" t="s">
        <v>4448</v>
      </c>
      <c r="K76" s="618" t="s">
        <v>1141</v>
      </c>
      <c r="L76" s="618" t="s">
        <v>1126</v>
      </c>
      <c r="M76" s="619" t="s">
        <v>959</v>
      </c>
      <c r="N76" s="620"/>
      <c r="O76" s="620"/>
      <c r="P76" s="673" t="s">
        <v>1157</v>
      </c>
      <c r="Q76" s="621"/>
      <c r="R76" s="598"/>
      <c r="S76" s="598"/>
      <c r="T76" s="598"/>
      <c r="U76" s="598" t="s">
        <v>1015</v>
      </c>
      <c r="V76" s="673" t="s">
        <v>903</v>
      </c>
      <c r="W76" s="779" t="s">
        <v>2797</v>
      </c>
      <c r="X76" s="598" t="s">
        <v>950</v>
      </c>
      <c r="Y76" s="624">
        <v>31496</v>
      </c>
      <c r="Z76" s="625">
        <f t="shared" ca="1" si="1"/>
        <v>39</v>
      </c>
      <c r="AA76" s="616"/>
      <c r="AB76" s="598"/>
      <c r="AC76" s="598" t="s">
        <v>966</v>
      </c>
      <c r="AD76" s="598" t="s">
        <v>953</v>
      </c>
      <c r="AE76" s="616" t="s">
        <v>1041</v>
      </c>
      <c r="AF76" s="616" t="s">
        <v>2659</v>
      </c>
      <c r="AG76" s="616" t="s">
        <v>2660</v>
      </c>
      <c r="AH76" s="598" t="s">
        <v>1775</v>
      </c>
      <c r="AI76" s="598" t="s">
        <v>2798</v>
      </c>
      <c r="AJ76" s="598"/>
      <c r="AK76" s="598" t="s">
        <v>1020</v>
      </c>
      <c r="AL76" s="626"/>
      <c r="AM76" s="626"/>
    </row>
    <row r="77" spans="3:39" ht="18" customHeight="1">
      <c r="C77" s="598">
        <v>57</v>
      </c>
      <c r="D77" s="598" t="s">
        <v>4475</v>
      </c>
      <c r="E77" s="598">
        <f t="shared" si="0"/>
        <v>52</v>
      </c>
      <c r="F77" s="616" t="s">
        <v>957</v>
      </c>
      <c r="G77" s="616" t="s">
        <v>1013</v>
      </c>
      <c r="H77" s="618" t="s">
        <v>1033</v>
      </c>
      <c r="I77" s="618" t="s">
        <v>4983</v>
      </c>
      <c r="J77" s="618" t="s">
        <v>4448</v>
      </c>
      <c r="K77" s="618" t="s">
        <v>4475</v>
      </c>
      <c r="L77" s="618" t="s">
        <v>1160</v>
      </c>
      <c r="M77" s="619" t="s">
        <v>959</v>
      </c>
      <c r="N77" s="620"/>
      <c r="O77" s="620"/>
      <c r="P77" s="667" t="s">
        <v>1480</v>
      </c>
      <c r="Q77" s="621"/>
      <c r="R77" s="598" t="s">
        <v>55</v>
      </c>
      <c r="S77" s="598" t="s">
        <v>55</v>
      </c>
      <c r="T77" s="598" t="s">
        <v>4476</v>
      </c>
      <c r="U77" s="598" t="s">
        <v>1015</v>
      </c>
      <c r="V77" s="667" t="s">
        <v>72</v>
      </c>
      <c r="W77" s="779"/>
      <c r="X77" s="598" t="s">
        <v>950</v>
      </c>
      <c r="Y77" s="624">
        <v>27958</v>
      </c>
      <c r="Z77" s="625">
        <f t="shared" ca="1" si="1"/>
        <v>49</v>
      </c>
      <c r="AA77" s="616" t="s">
        <v>4478</v>
      </c>
      <c r="AB77" s="598" t="s">
        <v>4479</v>
      </c>
      <c r="AC77" s="598" t="s">
        <v>966</v>
      </c>
      <c r="AD77" s="598" t="s">
        <v>953</v>
      </c>
      <c r="AE77" s="616" t="s">
        <v>954</v>
      </c>
      <c r="AF77" s="616" t="s">
        <v>954</v>
      </c>
      <c r="AG77" s="616" t="s">
        <v>968</v>
      </c>
      <c r="AH77" s="598"/>
      <c r="AI77" s="598"/>
      <c r="AJ77" s="598"/>
      <c r="AK77" s="598"/>
      <c r="AL77" s="626"/>
      <c r="AM77" s="626"/>
    </row>
    <row r="78" spans="3:39" ht="18" customHeight="1">
      <c r="C78" s="598">
        <v>58</v>
      </c>
      <c r="D78" s="598" t="s">
        <v>1160</v>
      </c>
      <c r="E78" s="598">
        <f t="shared" si="0"/>
        <v>53</v>
      </c>
      <c r="F78" s="616" t="s">
        <v>957</v>
      </c>
      <c r="G78" s="616" t="s">
        <v>1013</v>
      </c>
      <c r="H78" s="618" t="s">
        <v>1033</v>
      </c>
      <c r="I78" s="618" t="s">
        <v>4983</v>
      </c>
      <c r="J78" s="618" t="s">
        <v>4448</v>
      </c>
      <c r="K78" s="618" t="s">
        <v>4475</v>
      </c>
      <c r="L78" s="618" t="s">
        <v>1160</v>
      </c>
      <c r="M78" s="619" t="s">
        <v>959</v>
      </c>
      <c r="N78" s="620"/>
      <c r="O78" s="620"/>
      <c r="P78" s="663" t="s">
        <v>1480</v>
      </c>
      <c r="Q78" s="621"/>
      <c r="R78" s="598" t="s">
        <v>69</v>
      </c>
      <c r="S78" s="598" t="s">
        <v>69</v>
      </c>
      <c r="T78" s="598" t="s">
        <v>1161</v>
      </c>
      <c r="U78" s="598" t="s">
        <v>1015</v>
      </c>
      <c r="V78" s="663" t="s">
        <v>85</v>
      </c>
      <c r="W78" s="779"/>
      <c r="X78" s="598" t="s">
        <v>950</v>
      </c>
      <c r="Y78" s="624">
        <v>30623</v>
      </c>
      <c r="Z78" s="625">
        <f t="shared" ca="1" si="1"/>
        <v>42</v>
      </c>
      <c r="AA78" s="616" t="s">
        <v>1163</v>
      </c>
      <c r="AB78" s="598" t="s">
        <v>1164</v>
      </c>
      <c r="AC78" s="598" t="s">
        <v>966</v>
      </c>
      <c r="AD78" s="598" t="s">
        <v>953</v>
      </c>
      <c r="AE78" s="616" t="s">
        <v>954</v>
      </c>
      <c r="AF78" s="616" t="s">
        <v>954</v>
      </c>
      <c r="AG78" s="616" t="s">
        <v>974</v>
      </c>
      <c r="AH78" s="598"/>
      <c r="AI78" s="598"/>
      <c r="AJ78" s="598"/>
      <c r="AK78" s="598"/>
      <c r="AL78" s="626"/>
      <c r="AM78" s="626"/>
    </row>
    <row r="79" spans="3:39" ht="18" customHeight="1">
      <c r="C79" s="598">
        <v>59</v>
      </c>
      <c r="D79" s="598" t="s">
        <v>4980</v>
      </c>
      <c r="E79" s="598">
        <f t="shared" si="0"/>
        <v>54</v>
      </c>
      <c r="F79" s="616" t="s">
        <v>957</v>
      </c>
      <c r="G79" s="616" t="s">
        <v>1013</v>
      </c>
      <c r="H79" s="618" t="s">
        <v>1033</v>
      </c>
      <c r="I79" s="618" t="s">
        <v>4983</v>
      </c>
      <c r="J79" s="618" t="s">
        <v>4448</v>
      </c>
      <c r="K79" s="618" t="s">
        <v>4475</v>
      </c>
      <c r="L79" s="618" t="s">
        <v>1160</v>
      </c>
      <c r="M79" s="619" t="s">
        <v>959</v>
      </c>
      <c r="N79" s="620"/>
      <c r="O79" s="620"/>
      <c r="P79" s="663" t="s">
        <v>1480</v>
      </c>
      <c r="Q79" s="621"/>
      <c r="R79" s="598"/>
      <c r="S79" s="598"/>
      <c r="T79" s="598"/>
      <c r="U79" s="598" t="s">
        <v>1090</v>
      </c>
      <c r="V79" s="663" t="s">
        <v>95</v>
      </c>
      <c r="W79" s="779"/>
      <c r="X79" s="598" t="s">
        <v>950</v>
      </c>
      <c r="Y79" s="624">
        <v>19533</v>
      </c>
      <c r="Z79" s="625">
        <f t="shared" ca="1" si="1"/>
        <v>72</v>
      </c>
      <c r="AA79" s="616" t="s">
        <v>4981</v>
      </c>
      <c r="AB79" s="598" t="s">
        <v>4982</v>
      </c>
      <c r="AC79" s="598" t="s">
        <v>966</v>
      </c>
      <c r="AD79" s="598" t="s">
        <v>953</v>
      </c>
      <c r="AE79" s="616" t="s">
        <v>954</v>
      </c>
      <c r="AF79" s="616" t="s">
        <v>954</v>
      </c>
      <c r="AG79" s="616" t="s">
        <v>968</v>
      </c>
      <c r="AH79" s="598"/>
      <c r="AI79" s="598"/>
      <c r="AJ79" s="598"/>
      <c r="AK79" s="598"/>
      <c r="AL79" s="626"/>
      <c r="AM79" s="626"/>
    </row>
    <row r="80" spans="3:39" ht="18" customHeight="1">
      <c r="C80" s="598">
        <v>60</v>
      </c>
      <c r="D80" s="598" t="s">
        <v>1165</v>
      </c>
      <c r="E80" s="598">
        <f t="shared" si="0"/>
        <v>55</v>
      </c>
      <c r="F80" s="616" t="s">
        <v>957</v>
      </c>
      <c r="G80" s="616" t="s">
        <v>1013</v>
      </c>
      <c r="H80" s="618" t="s">
        <v>1033</v>
      </c>
      <c r="I80" s="618" t="s">
        <v>4983</v>
      </c>
      <c r="J80" s="618" t="s">
        <v>4448</v>
      </c>
      <c r="K80" s="618" t="s">
        <v>4475</v>
      </c>
      <c r="L80" s="618" t="s">
        <v>1160</v>
      </c>
      <c r="M80" s="619" t="s">
        <v>959</v>
      </c>
      <c r="N80" s="620"/>
      <c r="O80" s="620"/>
      <c r="P80" s="663" t="s">
        <v>1480</v>
      </c>
      <c r="Q80" s="621"/>
      <c r="R80" s="598"/>
      <c r="S80" s="598"/>
      <c r="T80" s="598"/>
      <c r="U80" s="598" t="s">
        <v>1015</v>
      </c>
      <c r="V80" s="663" t="s">
        <v>105</v>
      </c>
      <c r="W80" s="779"/>
      <c r="X80" s="598" t="s">
        <v>950</v>
      </c>
      <c r="Y80" s="624">
        <v>26302</v>
      </c>
      <c r="Z80" s="625">
        <f t="shared" ca="1" si="1"/>
        <v>54</v>
      </c>
      <c r="AA80" s="616" t="s">
        <v>1168</v>
      </c>
      <c r="AB80" s="598" t="s">
        <v>1169</v>
      </c>
      <c r="AC80" s="598" t="s">
        <v>966</v>
      </c>
      <c r="AD80" s="598" t="s">
        <v>953</v>
      </c>
      <c r="AE80" s="616" t="s">
        <v>954</v>
      </c>
      <c r="AF80" s="616" t="s">
        <v>954</v>
      </c>
      <c r="AG80" s="616" t="s">
        <v>968</v>
      </c>
      <c r="AH80" s="598"/>
      <c r="AI80" s="598"/>
      <c r="AJ80" s="598"/>
      <c r="AK80" s="598"/>
      <c r="AL80" s="626"/>
      <c r="AM80" s="626"/>
    </row>
    <row r="81" spans="3:39" ht="18" customHeight="1">
      <c r="C81" s="598">
        <v>61</v>
      </c>
      <c r="D81" s="598" t="s">
        <v>1170</v>
      </c>
      <c r="E81" s="598">
        <f t="shared" si="0"/>
        <v>56</v>
      </c>
      <c r="F81" s="616" t="s">
        <v>957</v>
      </c>
      <c r="G81" s="616" t="s">
        <v>1013</v>
      </c>
      <c r="H81" s="618" t="s">
        <v>1033</v>
      </c>
      <c r="I81" s="618" t="s">
        <v>4983</v>
      </c>
      <c r="J81" s="618" t="s">
        <v>4448</v>
      </c>
      <c r="K81" s="618" t="s">
        <v>4475</v>
      </c>
      <c r="L81" s="618" t="s">
        <v>1160</v>
      </c>
      <c r="M81" s="619" t="s">
        <v>959</v>
      </c>
      <c r="N81" s="620"/>
      <c r="O81" s="620"/>
      <c r="P81" s="663" t="s">
        <v>1480</v>
      </c>
      <c r="Q81" s="621"/>
      <c r="R81" s="598"/>
      <c r="S81" s="598"/>
      <c r="T81" s="598"/>
      <c r="U81" s="598" t="s">
        <v>1015</v>
      </c>
      <c r="V81" s="663" t="s">
        <v>113</v>
      </c>
      <c r="W81" s="779"/>
      <c r="X81" s="598" t="s">
        <v>950</v>
      </c>
      <c r="Y81" s="624">
        <v>29493</v>
      </c>
      <c r="Z81" s="625">
        <f t="shared" ca="1" si="1"/>
        <v>45</v>
      </c>
      <c r="AA81" s="616" t="s">
        <v>1172</v>
      </c>
      <c r="AB81" s="598" t="s">
        <v>1173</v>
      </c>
      <c r="AC81" s="598" t="s">
        <v>966</v>
      </c>
      <c r="AD81" s="598" t="s">
        <v>953</v>
      </c>
      <c r="AE81" s="616" t="s">
        <v>954</v>
      </c>
      <c r="AF81" s="616" t="s">
        <v>954</v>
      </c>
      <c r="AG81" s="616" t="s">
        <v>968</v>
      </c>
      <c r="AH81" s="598"/>
      <c r="AI81" s="598"/>
      <c r="AJ81" s="598"/>
      <c r="AK81" s="598"/>
      <c r="AL81" s="626"/>
      <c r="AM81" s="626"/>
    </row>
    <row r="82" spans="3:39" ht="18" customHeight="1">
      <c r="C82" s="598">
        <v>62</v>
      </c>
      <c r="D82" s="598" t="s">
        <v>1174</v>
      </c>
      <c r="E82" s="598">
        <f t="shared" si="0"/>
        <v>57</v>
      </c>
      <c r="F82" s="616" t="s">
        <v>957</v>
      </c>
      <c r="G82" s="616" t="s">
        <v>1013</v>
      </c>
      <c r="H82" s="618" t="s">
        <v>1033</v>
      </c>
      <c r="I82" s="618" t="s">
        <v>4983</v>
      </c>
      <c r="J82" s="618" t="s">
        <v>4448</v>
      </c>
      <c r="K82" s="618" t="s">
        <v>4475</v>
      </c>
      <c r="L82" s="618" t="s">
        <v>1160</v>
      </c>
      <c r="M82" s="619" t="s">
        <v>959</v>
      </c>
      <c r="N82" s="620"/>
      <c r="O82" s="620"/>
      <c r="P82" s="663" t="s">
        <v>1480</v>
      </c>
      <c r="Q82" s="621"/>
      <c r="R82" s="598"/>
      <c r="S82" s="598"/>
      <c r="T82" s="598"/>
      <c r="U82" s="598" t="s">
        <v>1015</v>
      </c>
      <c r="V82" s="663" t="s">
        <v>120</v>
      </c>
      <c r="W82" s="779"/>
      <c r="X82" s="598" t="s">
        <v>950</v>
      </c>
      <c r="Y82" s="624">
        <v>28181</v>
      </c>
      <c r="Z82" s="625">
        <f t="shared" ca="1" si="1"/>
        <v>48</v>
      </c>
      <c r="AA82" s="616" t="s">
        <v>1176</v>
      </c>
      <c r="AB82" s="598" t="s">
        <v>1177</v>
      </c>
      <c r="AC82" s="598" t="s">
        <v>966</v>
      </c>
      <c r="AD82" s="598" t="s">
        <v>953</v>
      </c>
      <c r="AE82" s="616" t="s">
        <v>954</v>
      </c>
      <c r="AF82" s="616" t="s">
        <v>954</v>
      </c>
      <c r="AG82" s="616" t="s">
        <v>968</v>
      </c>
      <c r="AH82" s="598"/>
      <c r="AI82" s="598"/>
      <c r="AJ82" s="598"/>
      <c r="AK82" s="598"/>
      <c r="AL82" s="626"/>
      <c r="AM82" s="626"/>
    </row>
    <row r="83" spans="3:39" ht="18" customHeight="1">
      <c r="C83" s="598">
        <v>63</v>
      </c>
      <c r="D83" s="598" t="s">
        <v>1156</v>
      </c>
      <c r="E83" s="598">
        <f t="shared" si="0"/>
        <v>58</v>
      </c>
      <c r="F83" s="616" t="s">
        <v>957</v>
      </c>
      <c r="G83" s="616" t="s">
        <v>1013</v>
      </c>
      <c r="H83" s="618" t="s">
        <v>1033</v>
      </c>
      <c r="I83" s="618" t="s">
        <v>4983</v>
      </c>
      <c r="J83" s="618" t="s">
        <v>4448</v>
      </c>
      <c r="K83" s="618" t="s">
        <v>4475</v>
      </c>
      <c r="L83" s="618" t="s">
        <v>1160</v>
      </c>
      <c r="M83" s="619" t="s">
        <v>959</v>
      </c>
      <c r="N83" s="620"/>
      <c r="O83" s="620"/>
      <c r="P83" s="673" t="s">
        <v>1480</v>
      </c>
      <c r="Q83" s="621"/>
      <c r="R83" s="598"/>
      <c r="S83" s="598"/>
      <c r="T83" s="598"/>
      <c r="U83" s="598" t="s">
        <v>1015</v>
      </c>
      <c r="V83" s="673" t="s">
        <v>125</v>
      </c>
      <c r="W83" s="779"/>
      <c r="X83" s="598" t="s">
        <v>950</v>
      </c>
      <c r="Y83" s="624">
        <v>30002</v>
      </c>
      <c r="Z83" s="625">
        <f t="shared" ca="1" si="1"/>
        <v>43</v>
      </c>
      <c r="AA83" s="616" t="s">
        <v>1179</v>
      </c>
      <c r="AB83" s="598" t="s">
        <v>1180</v>
      </c>
      <c r="AC83" s="598" t="s">
        <v>966</v>
      </c>
      <c r="AD83" s="598" t="s">
        <v>953</v>
      </c>
      <c r="AE83" s="616" t="s">
        <v>954</v>
      </c>
      <c r="AF83" s="616" t="s">
        <v>954</v>
      </c>
      <c r="AG83" s="616" t="s">
        <v>968</v>
      </c>
      <c r="AH83" s="598"/>
      <c r="AI83" s="598"/>
      <c r="AJ83" s="598"/>
      <c r="AK83" s="598"/>
      <c r="AL83" s="626"/>
      <c r="AM83" s="626"/>
    </row>
    <row r="84" spans="3:39" ht="18" customHeight="1">
      <c r="C84" s="598">
        <v>64</v>
      </c>
      <c r="D84" s="598" t="s">
        <v>1037</v>
      </c>
      <c r="E84" s="598">
        <f t="shared" si="0"/>
        <v>59</v>
      </c>
      <c r="F84" s="616" t="s">
        <v>957</v>
      </c>
      <c r="G84" s="616" t="s">
        <v>1013</v>
      </c>
      <c r="H84" s="618" t="s">
        <v>1033</v>
      </c>
      <c r="I84" s="618" t="s">
        <v>4983</v>
      </c>
      <c r="J84" s="618" t="s">
        <v>4448</v>
      </c>
      <c r="K84" s="618" t="s">
        <v>1037</v>
      </c>
      <c r="L84" s="618" t="s">
        <v>1038</v>
      </c>
      <c r="M84" s="619" t="s">
        <v>959</v>
      </c>
      <c r="N84" s="620"/>
      <c r="O84" s="620"/>
      <c r="P84" s="667" t="s">
        <v>1515</v>
      </c>
      <c r="Q84" s="621"/>
      <c r="R84" s="598" t="s">
        <v>55</v>
      </c>
      <c r="S84" s="598" t="s">
        <v>55</v>
      </c>
      <c r="T84" s="598"/>
      <c r="U84" s="598" t="s">
        <v>1015</v>
      </c>
      <c r="V84" s="667" t="s">
        <v>62</v>
      </c>
      <c r="W84" s="779" t="s">
        <v>1116</v>
      </c>
      <c r="X84" s="598" t="s">
        <v>950</v>
      </c>
      <c r="Y84" s="624">
        <v>20944</v>
      </c>
      <c r="Z84" s="625">
        <f t="shared" ca="1" si="1"/>
        <v>68</v>
      </c>
      <c r="AA84" s="616" t="s">
        <v>1117</v>
      </c>
      <c r="AB84" s="598" t="s">
        <v>1118</v>
      </c>
      <c r="AC84" s="598" t="s">
        <v>966</v>
      </c>
      <c r="AD84" s="598" t="s">
        <v>953</v>
      </c>
      <c r="AE84" s="616" t="s">
        <v>973</v>
      </c>
      <c r="AF84" s="616" t="s">
        <v>954</v>
      </c>
      <c r="AG84" s="616" t="s">
        <v>974</v>
      </c>
      <c r="AH84" s="598"/>
      <c r="AI84" s="598"/>
      <c r="AJ84" s="598"/>
      <c r="AK84" s="598"/>
      <c r="AL84" s="626"/>
      <c r="AM84" s="626"/>
    </row>
    <row r="85" spans="3:39" ht="18" customHeight="1">
      <c r="C85" s="598">
        <v>65</v>
      </c>
      <c r="D85" s="598" t="s">
        <v>1038</v>
      </c>
      <c r="E85" s="598">
        <f t="shared" si="0"/>
        <v>60</v>
      </c>
      <c r="F85" s="616" t="s">
        <v>957</v>
      </c>
      <c r="G85" s="616" t="s">
        <v>1013</v>
      </c>
      <c r="H85" s="618" t="s">
        <v>1033</v>
      </c>
      <c r="I85" s="618" t="s">
        <v>4983</v>
      </c>
      <c r="J85" s="618" t="s">
        <v>4448</v>
      </c>
      <c r="K85" s="618" t="s">
        <v>1037</v>
      </c>
      <c r="L85" s="618" t="s">
        <v>1038</v>
      </c>
      <c r="M85" s="619" t="s">
        <v>959</v>
      </c>
      <c r="N85" s="620"/>
      <c r="O85" s="620"/>
      <c r="P85" s="663" t="s">
        <v>1515</v>
      </c>
      <c r="Q85" s="621" t="s">
        <v>319</v>
      </c>
      <c r="R85" s="598" t="s">
        <v>69</v>
      </c>
      <c r="S85" s="598" t="s">
        <v>69</v>
      </c>
      <c r="T85" s="598"/>
      <c r="U85" s="598" t="s">
        <v>1015</v>
      </c>
      <c r="V85" s="663" t="s">
        <v>73</v>
      </c>
      <c r="W85" s="779" t="s">
        <v>1119</v>
      </c>
      <c r="X85" s="598" t="s">
        <v>950</v>
      </c>
      <c r="Y85" s="624">
        <v>23254</v>
      </c>
      <c r="Z85" s="625">
        <f t="shared" ca="1" si="1"/>
        <v>62</v>
      </c>
      <c r="AA85" s="616" t="s">
        <v>1120</v>
      </c>
      <c r="AB85" s="598"/>
      <c r="AC85" s="598" t="s">
        <v>996</v>
      </c>
      <c r="AD85" s="598" t="s">
        <v>997</v>
      </c>
      <c r="AE85" s="616" t="s">
        <v>973</v>
      </c>
      <c r="AF85" s="616" t="s">
        <v>954</v>
      </c>
      <c r="AG85" s="616"/>
      <c r="AH85" s="598"/>
      <c r="AI85" s="598"/>
      <c r="AJ85" s="634" t="s">
        <v>999</v>
      </c>
      <c r="AK85" s="598" t="s">
        <v>1121</v>
      </c>
      <c r="AL85" s="626"/>
      <c r="AM85" s="626"/>
    </row>
    <row r="86" spans="3:39" ht="18" customHeight="1">
      <c r="C86" s="598">
        <v>66</v>
      </c>
      <c r="D86" s="598" t="s">
        <v>2513</v>
      </c>
      <c r="E86" s="598">
        <f t="shared" si="0"/>
        <v>61</v>
      </c>
      <c r="F86" s="616" t="s">
        <v>4978</v>
      </c>
      <c r="G86" s="616" t="s">
        <v>1013</v>
      </c>
      <c r="H86" s="618" t="s">
        <v>1033</v>
      </c>
      <c r="I86" s="618" t="s">
        <v>4983</v>
      </c>
      <c r="J86" s="618" t="s">
        <v>4448</v>
      </c>
      <c r="K86" s="618" t="s">
        <v>1037</v>
      </c>
      <c r="L86" s="618" t="s">
        <v>1038</v>
      </c>
      <c r="M86" s="619" t="s">
        <v>959</v>
      </c>
      <c r="N86" s="620"/>
      <c r="O86" s="620"/>
      <c r="P86" s="663" t="s">
        <v>1515</v>
      </c>
      <c r="Q86" s="621" t="s">
        <v>319</v>
      </c>
      <c r="R86" s="598"/>
      <c r="S86" s="598"/>
      <c r="T86" s="598"/>
      <c r="U86" s="598" t="s">
        <v>1015</v>
      </c>
      <c r="V86" s="663" t="s">
        <v>86</v>
      </c>
      <c r="W86" s="779" t="s">
        <v>2514</v>
      </c>
      <c r="X86" s="598" t="s">
        <v>950</v>
      </c>
      <c r="Y86" s="624">
        <v>22122</v>
      </c>
      <c r="Z86" s="625">
        <f t="shared" ca="1" si="1"/>
        <v>65</v>
      </c>
      <c r="AA86" s="616" t="s">
        <v>1806</v>
      </c>
      <c r="AB86" s="598"/>
      <c r="AC86" s="598" t="s">
        <v>996</v>
      </c>
      <c r="AD86" s="598" t="s">
        <v>997</v>
      </c>
      <c r="AE86" s="616" t="s">
        <v>729</v>
      </c>
      <c r="AF86" s="640" t="s">
        <v>729</v>
      </c>
      <c r="AG86" s="616" t="s">
        <v>5039</v>
      </c>
      <c r="AH86" s="598"/>
      <c r="AI86" s="598"/>
      <c r="AJ86" s="634" t="s">
        <v>1359</v>
      </c>
      <c r="AK86" s="598"/>
      <c r="AL86" s="626"/>
      <c r="AM86" s="626"/>
    </row>
    <row r="87" spans="3:39" ht="18" customHeight="1">
      <c r="C87" s="598">
        <v>67</v>
      </c>
      <c r="D87" s="598" t="s">
        <v>2515</v>
      </c>
      <c r="E87" s="598">
        <f t="shared" si="0"/>
        <v>62</v>
      </c>
      <c r="F87" s="616" t="s">
        <v>4978</v>
      </c>
      <c r="G87" s="616" t="s">
        <v>1013</v>
      </c>
      <c r="H87" s="618" t="s">
        <v>1033</v>
      </c>
      <c r="I87" s="618" t="s">
        <v>4983</v>
      </c>
      <c r="J87" s="618" t="s">
        <v>4448</v>
      </c>
      <c r="K87" s="618" t="s">
        <v>1037</v>
      </c>
      <c r="L87" s="618" t="s">
        <v>1038</v>
      </c>
      <c r="M87" s="619" t="s">
        <v>959</v>
      </c>
      <c r="N87" s="620"/>
      <c r="O87" s="620"/>
      <c r="P87" s="663" t="s">
        <v>1515</v>
      </c>
      <c r="Q87" s="621" t="s">
        <v>319</v>
      </c>
      <c r="R87" s="598"/>
      <c r="S87" s="598"/>
      <c r="T87" s="598"/>
      <c r="U87" s="598" t="s">
        <v>1015</v>
      </c>
      <c r="V87" s="663" t="s">
        <v>96</v>
      </c>
      <c r="W87" s="779" t="s">
        <v>2516</v>
      </c>
      <c r="X87" s="598" t="s">
        <v>950</v>
      </c>
      <c r="Y87" s="624">
        <v>23214</v>
      </c>
      <c r="Z87" s="625">
        <f t="shared" ca="1" si="1"/>
        <v>62</v>
      </c>
      <c r="AA87" s="616" t="s">
        <v>2517</v>
      </c>
      <c r="AB87" s="598"/>
      <c r="AC87" s="598" t="s">
        <v>996</v>
      </c>
      <c r="AD87" s="598" t="s">
        <v>997</v>
      </c>
      <c r="AE87" s="616" t="s">
        <v>729</v>
      </c>
      <c r="AF87" s="640" t="s">
        <v>729</v>
      </c>
      <c r="AG87" s="616" t="s">
        <v>5039</v>
      </c>
      <c r="AH87" s="598"/>
      <c r="AI87" s="598"/>
      <c r="AJ87" s="634" t="s">
        <v>1359</v>
      </c>
      <c r="AK87" s="598"/>
      <c r="AL87" s="626"/>
      <c r="AM87" s="626"/>
    </row>
    <row r="88" spans="3:39" ht="18" customHeight="1">
      <c r="C88" s="598">
        <v>68</v>
      </c>
      <c r="D88" s="598" t="s">
        <v>2518</v>
      </c>
      <c r="E88" s="598">
        <f t="shared" si="0"/>
        <v>63</v>
      </c>
      <c r="F88" s="616" t="s">
        <v>4978</v>
      </c>
      <c r="G88" s="616" t="s">
        <v>1013</v>
      </c>
      <c r="H88" s="618" t="s">
        <v>1033</v>
      </c>
      <c r="I88" s="618" t="s">
        <v>4983</v>
      </c>
      <c r="J88" s="618" t="s">
        <v>4448</v>
      </c>
      <c r="K88" s="618" t="s">
        <v>1037</v>
      </c>
      <c r="L88" s="618" t="s">
        <v>1038</v>
      </c>
      <c r="M88" s="619" t="s">
        <v>959</v>
      </c>
      <c r="N88" s="620"/>
      <c r="O88" s="620"/>
      <c r="P88" s="673" t="s">
        <v>1515</v>
      </c>
      <c r="Q88" s="621" t="s">
        <v>319</v>
      </c>
      <c r="R88" s="598"/>
      <c r="S88" s="598"/>
      <c r="T88" s="598"/>
      <c r="U88" s="598" t="s">
        <v>1015</v>
      </c>
      <c r="V88" s="673" t="s">
        <v>106</v>
      </c>
      <c r="W88" s="779" t="s">
        <v>2519</v>
      </c>
      <c r="X88" s="598" t="s">
        <v>950</v>
      </c>
      <c r="Y88" s="624">
        <v>24232</v>
      </c>
      <c r="Z88" s="625">
        <f t="shared" ca="1" si="1"/>
        <v>59</v>
      </c>
      <c r="AA88" s="616" t="s">
        <v>2520</v>
      </c>
      <c r="AB88" s="598"/>
      <c r="AC88" s="598" t="s">
        <v>996</v>
      </c>
      <c r="AD88" s="598" t="s">
        <v>1018</v>
      </c>
      <c r="AE88" s="616" t="s">
        <v>729</v>
      </c>
      <c r="AF88" s="640" t="s">
        <v>729</v>
      </c>
      <c r="AG88" s="616" t="s">
        <v>5040</v>
      </c>
      <c r="AH88" s="598"/>
      <c r="AI88" s="598"/>
      <c r="AJ88" s="634" t="s">
        <v>1359</v>
      </c>
      <c r="AK88" s="598"/>
      <c r="AL88" s="626"/>
      <c r="AM88" s="626"/>
    </row>
    <row r="89" spans="3:39" ht="18" customHeight="1">
      <c r="C89" s="598">
        <v>69</v>
      </c>
      <c r="D89" s="598" t="s">
        <v>1033</v>
      </c>
      <c r="E89" s="598">
        <f t="shared" si="0"/>
        <v>64</v>
      </c>
      <c r="F89" s="616" t="s">
        <v>957</v>
      </c>
      <c r="G89" s="616" t="s">
        <v>1001</v>
      </c>
      <c r="H89" s="618" t="s">
        <v>1033</v>
      </c>
      <c r="I89" s="618" t="s">
        <v>114</v>
      </c>
      <c r="J89" s="618" t="s">
        <v>1225</v>
      </c>
      <c r="K89" s="618" t="s">
        <v>1033</v>
      </c>
      <c r="L89" s="618" t="s">
        <v>1221</v>
      </c>
      <c r="M89" s="619" t="s">
        <v>959</v>
      </c>
      <c r="N89" s="620"/>
      <c r="O89" s="620"/>
      <c r="P89" s="667" t="s">
        <v>1044</v>
      </c>
      <c r="Q89" s="621"/>
      <c r="R89" s="598" t="s">
        <v>948</v>
      </c>
      <c r="S89" s="598" t="s">
        <v>10</v>
      </c>
      <c r="T89" s="598" t="s">
        <v>55</v>
      </c>
      <c r="U89" s="598" t="s">
        <v>992</v>
      </c>
      <c r="V89" s="667" t="s">
        <v>9</v>
      </c>
      <c r="W89" s="779" t="s">
        <v>1184</v>
      </c>
      <c r="X89" s="598" t="s">
        <v>950</v>
      </c>
      <c r="Y89" s="624">
        <v>31799</v>
      </c>
      <c r="Z89" s="625">
        <f t="shared" ca="1" si="1"/>
        <v>39</v>
      </c>
      <c r="AA89" s="616" t="s">
        <v>1185</v>
      </c>
      <c r="AB89" s="598" t="s">
        <v>1186</v>
      </c>
      <c r="AC89" s="598" t="s">
        <v>1006</v>
      </c>
      <c r="AD89" s="598" t="s">
        <v>953</v>
      </c>
      <c r="AE89" s="616" t="s">
        <v>954</v>
      </c>
      <c r="AF89" s="616" t="s">
        <v>954</v>
      </c>
      <c r="AG89" s="616" t="s">
        <v>974</v>
      </c>
      <c r="AH89" s="598"/>
      <c r="AI89" s="598"/>
      <c r="AJ89" s="598"/>
      <c r="AK89" s="598"/>
      <c r="AL89" s="626"/>
      <c r="AM89" s="626"/>
    </row>
    <row r="90" spans="3:39" ht="18" customHeight="1">
      <c r="C90" s="598">
        <v>70</v>
      </c>
      <c r="D90" s="598" t="s">
        <v>1221</v>
      </c>
      <c r="E90" s="598">
        <f t="shared" si="0"/>
        <v>65</v>
      </c>
      <c r="F90" s="616" t="s">
        <v>957</v>
      </c>
      <c r="G90" s="616" t="s">
        <v>1001</v>
      </c>
      <c r="H90" s="618" t="s">
        <v>1033</v>
      </c>
      <c r="I90" s="618" t="s">
        <v>114</v>
      </c>
      <c r="J90" s="618" t="s">
        <v>1225</v>
      </c>
      <c r="K90" s="618" t="s">
        <v>1033</v>
      </c>
      <c r="L90" s="618" t="s">
        <v>1221</v>
      </c>
      <c r="M90" s="619" t="s">
        <v>959</v>
      </c>
      <c r="N90" s="620"/>
      <c r="O90" s="620"/>
      <c r="P90" s="663" t="s">
        <v>1044</v>
      </c>
      <c r="Q90" s="621"/>
      <c r="R90" s="598" t="s">
        <v>910</v>
      </c>
      <c r="S90" s="598" t="s">
        <v>69</v>
      </c>
      <c r="T90" s="598" t="s">
        <v>5013</v>
      </c>
      <c r="U90" s="598" t="s">
        <v>992</v>
      </c>
      <c r="V90" s="663" t="s">
        <v>20</v>
      </c>
      <c r="W90" s="779"/>
      <c r="X90" s="598" t="s">
        <v>963</v>
      </c>
      <c r="Y90" s="624">
        <v>33136</v>
      </c>
      <c r="Z90" s="625">
        <f t="shared" ca="1" si="1"/>
        <v>35</v>
      </c>
      <c r="AA90" s="616" t="s">
        <v>1223</v>
      </c>
      <c r="AB90" s="598" t="s">
        <v>1224</v>
      </c>
      <c r="AC90" s="598" t="s">
        <v>1006</v>
      </c>
      <c r="AD90" s="598" t="s">
        <v>953</v>
      </c>
      <c r="AE90" s="616" t="s">
        <v>954</v>
      </c>
      <c r="AF90" s="616" t="s">
        <v>954</v>
      </c>
      <c r="AG90" s="616" t="s">
        <v>968</v>
      </c>
      <c r="AH90" s="598"/>
      <c r="AI90" s="598"/>
      <c r="AJ90" s="598"/>
      <c r="AK90" s="598"/>
      <c r="AL90" s="626"/>
      <c r="AM90" s="626"/>
    </row>
    <row r="91" spans="3:39" ht="18" customHeight="1">
      <c r="C91" s="598">
        <v>71</v>
      </c>
      <c r="D91" s="598" t="s">
        <v>1187</v>
      </c>
      <c r="E91" s="598">
        <f t="shared" si="0"/>
        <v>66</v>
      </c>
      <c r="F91" s="616" t="s">
        <v>957</v>
      </c>
      <c r="G91" s="616" t="s">
        <v>1001</v>
      </c>
      <c r="H91" s="618" t="s">
        <v>1033</v>
      </c>
      <c r="I91" s="618" t="s">
        <v>114</v>
      </c>
      <c r="J91" s="618" t="s">
        <v>1225</v>
      </c>
      <c r="K91" s="618" t="s">
        <v>1033</v>
      </c>
      <c r="L91" s="618" t="s">
        <v>1221</v>
      </c>
      <c r="M91" s="619" t="s">
        <v>959</v>
      </c>
      <c r="N91" s="620"/>
      <c r="O91" s="620"/>
      <c r="P91" s="663" t="s">
        <v>1044</v>
      </c>
      <c r="Q91" s="621"/>
      <c r="R91" s="598"/>
      <c r="S91" s="598"/>
      <c r="T91" s="598"/>
      <c r="U91" s="598" t="s">
        <v>992</v>
      </c>
      <c r="V91" s="663" t="s">
        <v>74</v>
      </c>
      <c r="W91" s="779" t="s">
        <v>1188</v>
      </c>
      <c r="X91" s="598" t="s">
        <v>950</v>
      </c>
      <c r="Y91" s="624">
        <v>33947</v>
      </c>
      <c r="Z91" s="625">
        <f t="shared" ca="1" si="1"/>
        <v>33</v>
      </c>
      <c r="AA91" s="616" t="s">
        <v>1189</v>
      </c>
      <c r="AB91" s="598" t="s">
        <v>1190</v>
      </c>
      <c r="AC91" s="598" t="s">
        <v>1006</v>
      </c>
      <c r="AD91" s="598" t="s">
        <v>953</v>
      </c>
      <c r="AE91" s="616" t="s">
        <v>973</v>
      </c>
      <c r="AF91" s="616" t="s">
        <v>954</v>
      </c>
      <c r="AG91" s="616" t="s">
        <v>968</v>
      </c>
      <c r="AH91" s="598"/>
      <c r="AI91" s="598"/>
      <c r="AJ91" s="598"/>
      <c r="AK91" s="598"/>
      <c r="AL91" s="626"/>
      <c r="AM91" s="626"/>
    </row>
    <row r="92" spans="3:39" ht="18" customHeight="1">
      <c r="C92" s="598">
        <v>72</v>
      </c>
      <c r="D92" s="598" t="s">
        <v>1191</v>
      </c>
      <c r="E92" s="598">
        <f t="shared" si="0"/>
        <v>67</v>
      </c>
      <c r="F92" s="616" t="s">
        <v>957</v>
      </c>
      <c r="G92" s="616" t="s">
        <v>1001</v>
      </c>
      <c r="H92" s="618" t="s">
        <v>1033</v>
      </c>
      <c r="I92" s="618" t="s">
        <v>114</v>
      </c>
      <c r="J92" s="618" t="s">
        <v>1225</v>
      </c>
      <c r="K92" s="618" t="s">
        <v>1033</v>
      </c>
      <c r="L92" s="618" t="s">
        <v>1221</v>
      </c>
      <c r="M92" s="619" t="s">
        <v>959</v>
      </c>
      <c r="N92" s="620"/>
      <c r="O92" s="620"/>
      <c r="P92" s="663" t="s">
        <v>1044</v>
      </c>
      <c r="Q92" s="621"/>
      <c r="R92" s="598"/>
      <c r="S92" s="598"/>
      <c r="T92" s="598"/>
      <c r="U92" s="598" t="s">
        <v>992</v>
      </c>
      <c r="V92" s="663" t="s">
        <v>97</v>
      </c>
      <c r="W92" s="779" t="s">
        <v>1192</v>
      </c>
      <c r="X92" s="598" t="s">
        <v>950</v>
      </c>
      <c r="Y92" s="624">
        <v>33488</v>
      </c>
      <c r="Z92" s="625">
        <f t="shared" ca="1" si="1"/>
        <v>34</v>
      </c>
      <c r="AA92" s="616" t="s">
        <v>1193</v>
      </c>
      <c r="AB92" s="598" t="s">
        <v>1194</v>
      </c>
      <c r="AC92" s="598" t="s">
        <v>1006</v>
      </c>
      <c r="AD92" s="598" t="s">
        <v>953</v>
      </c>
      <c r="AE92" s="616" t="s">
        <v>973</v>
      </c>
      <c r="AF92" s="616" t="s">
        <v>954</v>
      </c>
      <c r="AG92" s="616" t="s">
        <v>968</v>
      </c>
      <c r="AH92" s="598"/>
      <c r="AI92" s="598"/>
      <c r="AJ92" s="598"/>
      <c r="AK92" s="598"/>
      <c r="AL92" s="626"/>
      <c r="AM92" s="626"/>
    </row>
    <row r="93" spans="3:39" ht="18" customHeight="1">
      <c r="C93" s="598">
        <v>73</v>
      </c>
      <c r="D93" s="598" t="s">
        <v>1195</v>
      </c>
      <c r="E93" s="598">
        <f t="shared" si="0"/>
        <v>68</v>
      </c>
      <c r="F93" s="616" t="s">
        <v>957</v>
      </c>
      <c r="G93" s="616" t="s">
        <v>1001</v>
      </c>
      <c r="H93" s="618" t="s">
        <v>1033</v>
      </c>
      <c r="I93" s="618" t="s">
        <v>114</v>
      </c>
      <c r="J93" s="618" t="s">
        <v>1225</v>
      </c>
      <c r="K93" s="618" t="s">
        <v>1033</v>
      </c>
      <c r="L93" s="618" t="s">
        <v>1221</v>
      </c>
      <c r="M93" s="619" t="s">
        <v>959</v>
      </c>
      <c r="N93" s="620"/>
      <c r="O93" s="620"/>
      <c r="P93" s="663" t="s">
        <v>1044</v>
      </c>
      <c r="Q93" s="621"/>
      <c r="R93" s="598" t="s">
        <v>173</v>
      </c>
      <c r="S93" s="598" t="s">
        <v>514</v>
      </c>
      <c r="T93" s="598"/>
      <c r="U93" s="598" t="s">
        <v>992</v>
      </c>
      <c r="V93" s="663" t="s">
        <v>87</v>
      </c>
      <c r="W93" s="779" t="s">
        <v>1196</v>
      </c>
      <c r="X93" s="598" t="s">
        <v>950</v>
      </c>
      <c r="Y93" s="624">
        <v>34403</v>
      </c>
      <c r="Z93" s="625">
        <f t="shared" ca="1" si="1"/>
        <v>31</v>
      </c>
      <c r="AA93" s="616" t="s">
        <v>1197</v>
      </c>
      <c r="AB93" s="598" t="s">
        <v>1198</v>
      </c>
      <c r="AC93" s="598" t="s">
        <v>1006</v>
      </c>
      <c r="AD93" s="598" t="s">
        <v>953</v>
      </c>
      <c r="AE93" s="616" t="s">
        <v>729</v>
      </c>
      <c r="AF93" s="616" t="s">
        <v>954</v>
      </c>
      <c r="AG93" s="616" t="s">
        <v>974</v>
      </c>
      <c r="AH93" s="598"/>
      <c r="AI93" s="598"/>
      <c r="AJ93" s="598"/>
      <c r="AK93" s="598"/>
      <c r="AL93" s="626"/>
      <c r="AM93" s="626"/>
    </row>
    <row r="94" spans="3:39" ht="18" customHeight="1">
      <c r="C94" s="598">
        <v>74</v>
      </c>
      <c r="D94" s="598" t="s">
        <v>1215</v>
      </c>
      <c r="E94" s="598">
        <f t="shared" si="0"/>
        <v>69</v>
      </c>
      <c r="F94" s="616" t="s">
        <v>957</v>
      </c>
      <c r="G94" s="616" t="s">
        <v>1001</v>
      </c>
      <c r="H94" s="618" t="s">
        <v>1033</v>
      </c>
      <c r="I94" s="618" t="s">
        <v>114</v>
      </c>
      <c r="J94" s="618" t="s">
        <v>1225</v>
      </c>
      <c r="K94" s="618" t="s">
        <v>1033</v>
      </c>
      <c r="L94" s="618" t="s">
        <v>1221</v>
      </c>
      <c r="M94" s="619" t="s">
        <v>959</v>
      </c>
      <c r="N94" s="620"/>
      <c r="O94" s="620"/>
      <c r="P94" s="663" t="s">
        <v>1044</v>
      </c>
      <c r="Q94" s="621"/>
      <c r="R94" s="598"/>
      <c r="S94" s="598"/>
      <c r="T94" s="598" t="s">
        <v>1216</v>
      </c>
      <c r="U94" s="598" t="s">
        <v>992</v>
      </c>
      <c r="V94" s="663" t="s">
        <v>88</v>
      </c>
      <c r="W94" s="779"/>
      <c r="X94" s="598" t="s">
        <v>950</v>
      </c>
      <c r="Y94" s="624">
        <v>34867</v>
      </c>
      <c r="Z94" s="625">
        <f t="shared" ca="1" si="1"/>
        <v>30</v>
      </c>
      <c r="AA94" s="616" t="s">
        <v>1218</v>
      </c>
      <c r="AB94" s="598" t="s">
        <v>1219</v>
      </c>
      <c r="AC94" s="598" t="s">
        <v>1006</v>
      </c>
      <c r="AD94" s="598" t="s">
        <v>953</v>
      </c>
      <c r="AE94" s="616" t="s">
        <v>1220</v>
      </c>
      <c r="AF94" s="616" t="s">
        <v>954</v>
      </c>
      <c r="AG94" s="616" t="s">
        <v>974</v>
      </c>
      <c r="AH94" s="598"/>
      <c r="AI94" s="598"/>
      <c r="AJ94" s="598"/>
      <c r="AK94" s="598"/>
      <c r="AL94" s="626"/>
      <c r="AM94" s="626"/>
    </row>
    <row r="95" spans="3:39" ht="18" customHeight="1">
      <c r="C95" s="598">
        <v>75</v>
      </c>
      <c r="D95" s="598" t="s">
        <v>1202</v>
      </c>
      <c r="E95" s="598">
        <f t="shared" si="0"/>
        <v>69</v>
      </c>
      <c r="F95" s="616"/>
      <c r="G95" s="616" t="s">
        <v>1001</v>
      </c>
      <c r="H95" s="618" t="s">
        <v>1033</v>
      </c>
      <c r="I95" s="618" t="s">
        <v>114</v>
      </c>
      <c r="J95" s="618" t="s">
        <v>1225</v>
      </c>
      <c r="K95" s="618" t="s">
        <v>1033</v>
      </c>
      <c r="L95" s="618" t="s">
        <v>1221</v>
      </c>
      <c r="M95" s="619" t="s">
        <v>959</v>
      </c>
      <c r="N95" s="620"/>
      <c r="O95" s="620"/>
      <c r="P95" s="673" t="s">
        <v>1044</v>
      </c>
      <c r="Q95" s="621"/>
      <c r="R95" s="598" t="s">
        <v>55</v>
      </c>
      <c r="S95" s="598" t="s">
        <v>173</v>
      </c>
      <c r="T95" s="598" t="s">
        <v>55</v>
      </c>
      <c r="U95" s="598"/>
      <c r="V95" s="673" t="s">
        <v>30</v>
      </c>
      <c r="W95" s="779" t="s">
        <v>1203</v>
      </c>
      <c r="X95" s="598" t="s">
        <v>950</v>
      </c>
      <c r="Y95" s="624">
        <v>33065</v>
      </c>
      <c r="Z95" s="625">
        <f t="shared" ca="1" si="1"/>
        <v>35</v>
      </c>
      <c r="AA95" s="616" t="s">
        <v>1204</v>
      </c>
      <c r="AB95" s="598" t="s">
        <v>1205</v>
      </c>
      <c r="AC95" s="598" t="s">
        <v>1006</v>
      </c>
      <c r="AD95" s="598" t="s">
        <v>953</v>
      </c>
      <c r="AE95" s="616" t="s">
        <v>729</v>
      </c>
      <c r="AF95" s="616" t="s">
        <v>954</v>
      </c>
      <c r="AG95" s="616" t="s">
        <v>974</v>
      </c>
      <c r="AH95" s="598" t="s">
        <v>955</v>
      </c>
      <c r="AI95" s="598"/>
      <c r="AJ95" s="598"/>
      <c r="AK95" s="598"/>
      <c r="AL95" s="626"/>
      <c r="AM95" s="626"/>
    </row>
    <row r="96" spans="3:39" ht="18" customHeight="1">
      <c r="C96" s="598">
        <v>76</v>
      </c>
      <c r="D96" s="598" t="s">
        <v>1206</v>
      </c>
      <c r="E96" s="598">
        <f t="shared" si="0"/>
        <v>70</v>
      </c>
      <c r="F96" s="616" t="s">
        <v>957</v>
      </c>
      <c r="G96" s="616" t="s">
        <v>1001</v>
      </c>
      <c r="H96" s="618" t="s">
        <v>1033</v>
      </c>
      <c r="I96" s="618" t="s">
        <v>114</v>
      </c>
      <c r="J96" s="618" t="s">
        <v>1225</v>
      </c>
      <c r="K96" s="618" t="s">
        <v>1206</v>
      </c>
      <c r="L96" s="618" t="s">
        <v>1207</v>
      </c>
      <c r="M96" s="619" t="s">
        <v>959</v>
      </c>
      <c r="N96" s="620"/>
      <c r="O96" s="620"/>
      <c r="P96" s="667" t="s">
        <v>1074</v>
      </c>
      <c r="Q96" s="621"/>
      <c r="R96" s="598" t="s">
        <v>948</v>
      </c>
      <c r="S96" s="598" t="s">
        <v>6</v>
      </c>
      <c r="T96" s="598" t="s">
        <v>55</v>
      </c>
      <c r="U96" s="598" t="s">
        <v>992</v>
      </c>
      <c r="V96" s="667" t="s">
        <v>7</v>
      </c>
      <c r="W96" s="779" t="s">
        <v>1210</v>
      </c>
      <c r="X96" s="598" t="s">
        <v>950</v>
      </c>
      <c r="Y96" s="624">
        <v>31978</v>
      </c>
      <c r="Z96" s="625">
        <f t="shared" ca="1" si="1"/>
        <v>38</v>
      </c>
      <c r="AA96" s="616" t="s">
        <v>1211</v>
      </c>
      <c r="AB96" s="598" t="s">
        <v>1212</v>
      </c>
      <c r="AC96" s="598" t="s">
        <v>1006</v>
      </c>
      <c r="AD96" s="598" t="s">
        <v>953</v>
      </c>
      <c r="AE96" s="616" t="s">
        <v>954</v>
      </c>
      <c r="AF96" s="616" t="s">
        <v>954</v>
      </c>
      <c r="AG96" s="616" t="s">
        <v>974</v>
      </c>
      <c r="AH96" s="598"/>
      <c r="AI96" s="598"/>
      <c r="AJ96" s="598"/>
      <c r="AK96" s="598"/>
      <c r="AL96" s="626"/>
      <c r="AM96" s="626"/>
    </row>
    <row r="97" spans="3:39" ht="18" customHeight="1">
      <c r="C97" s="598">
        <v>77</v>
      </c>
      <c r="D97" s="598" t="s">
        <v>1207</v>
      </c>
      <c r="E97" s="598">
        <f t="shared" si="0"/>
        <v>71</v>
      </c>
      <c r="F97" s="616" t="s">
        <v>957</v>
      </c>
      <c r="G97" s="616" t="s">
        <v>1001</v>
      </c>
      <c r="H97" s="618" t="s">
        <v>1033</v>
      </c>
      <c r="I97" s="618" t="s">
        <v>114</v>
      </c>
      <c r="J97" s="618" t="s">
        <v>1225</v>
      </c>
      <c r="K97" s="618" t="s">
        <v>1206</v>
      </c>
      <c r="L97" s="618" t="s">
        <v>1207</v>
      </c>
      <c r="M97" s="619" t="s">
        <v>959</v>
      </c>
      <c r="N97" s="620"/>
      <c r="O97" s="620"/>
      <c r="P97" s="663" t="s">
        <v>1074</v>
      </c>
      <c r="Q97" s="621"/>
      <c r="R97" s="598" t="s">
        <v>69</v>
      </c>
      <c r="S97" s="598" t="s">
        <v>69</v>
      </c>
      <c r="T97" s="598"/>
      <c r="U97" s="598" t="s">
        <v>992</v>
      </c>
      <c r="V97" s="663" t="s">
        <v>75</v>
      </c>
      <c r="W97" s="779" t="s">
        <v>1213</v>
      </c>
      <c r="X97" s="598" t="s">
        <v>950</v>
      </c>
      <c r="Y97" s="624">
        <v>32578</v>
      </c>
      <c r="Z97" s="625">
        <f t="shared" ca="1" si="1"/>
        <v>36</v>
      </c>
      <c r="AA97" s="616" t="s">
        <v>1214</v>
      </c>
      <c r="AB97" s="598"/>
      <c r="AC97" s="598" t="s">
        <v>1006</v>
      </c>
      <c r="AD97" s="598" t="s">
        <v>953</v>
      </c>
      <c r="AE97" s="616" t="s">
        <v>729</v>
      </c>
      <c r="AF97" s="616" t="s">
        <v>954</v>
      </c>
      <c r="AG97" s="616" t="s">
        <v>974</v>
      </c>
      <c r="AH97" s="598"/>
      <c r="AI97" s="598"/>
      <c r="AJ97" s="598"/>
      <c r="AK97" s="598"/>
      <c r="AL97" s="626"/>
      <c r="AM97" s="626"/>
    </row>
    <row r="98" spans="3:39" ht="18" customHeight="1">
      <c r="C98" s="598">
        <v>78</v>
      </c>
      <c r="D98" s="598" t="s">
        <v>4459</v>
      </c>
      <c r="E98" s="598">
        <f t="shared" si="0"/>
        <v>72</v>
      </c>
      <c r="F98" s="616" t="s">
        <v>957</v>
      </c>
      <c r="G98" s="616" t="s">
        <v>1001</v>
      </c>
      <c r="H98" s="618" t="s">
        <v>1033</v>
      </c>
      <c r="I98" s="618" t="s">
        <v>114</v>
      </c>
      <c r="J98" s="618" t="s">
        <v>1225</v>
      </c>
      <c r="K98" s="618" t="s">
        <v>1206</v>
      </c>
      <c r="L98" s="618" t="s">
        <v>1207</v>
      </c>
      <c r="M98" s="619" t="s">
        <v>959</v>
      </c>
      <c r="N98" s="620"/>
      <c r="O98" s="620"/>
      <c r="P98" s="663" t="s">
        <v>1074</v>
      </c>
      <c r="Q98" s="621"/>
      <c r="R98" s="598"/>
      <c r="S98" s="598"/>
      <c r="T98" s="598"/>
      <c r="U98" s="598" t="s">
        <v>992</v>
      </c>
      <c r="V98" s="663" t="s">
        <v>4460</v>
      </c>
      <c r="W98" s="779" t="s">
        <v>4461</v>
      </c>
      <c r="X98" s="598" t="s">
        <v>950</v>
      </c>
      <c r="Y98" s="624">
        <v>33222</v>
      </c>
      <c r="Z98" s="625">
        <f t="shared" ca="1" si="1"/>
        <v>35</v>
      </c>
      <c r="AA98" s="616" t="s">
        <v>4462</v>
      </c>
      <c r="AB98" s="598"/>
      <c r="AC98" s="598" t="s">
        <v>1006</v>
      </c>
      <c r="AD98" s="598" t="s">
        <v>953</v>
      </c>
      <c r="AE98" s="616" t="s">
        <v>973</v>
      </c>
      <c r="AF98" s="616" t="s">
        <v>954</v>
      </c>
      <c r="AG98" s="616" t="s">
        <v>974</v>
      </c>
      <c r="AH98" s="598"/>
      <c r="AI98" s="598" t="s">
        <v>1019</v>
      </c>
      <c r="AJ98" s="598"/>
      <c r="AK98" s="598" t="s">
        <v>4463</v>
      </c>
      <c r="AL98" s="626"/>
      <c r="AM98" s="626"/>
    </row>
    <row r="99" spans="3:39" ht="18" customHeight="1">
      <c r="C99" s="598">
        <v>79</v>
      </c>
      <c r="D99" s="598" t="s">
        <v>4489</v>
      </c>
      <c r="E99" s="598">
        <f t="shared" si="0"/>
        <v>73</v>
      </c>
      <c r="F99" s="616" t="s">
        <v>957</v>
      </c>
      <c r="G99" s="616" t="s">
        <v>1001</v>
      </c>
      <c r="H99" s="618" t="s">
        <v>1033</v>
      </c>
      <c r="I99" s="618" t="s">
        <v>114</v>
      </c>
      <c r="J99" s="618" t="s">
        <v>1225</v>
      </c>
      <c r="K99" s="618" t="s">
        <v>1206</v>
      </c>
      <c r="L99" s="618" t="s">
        <v>1207</v>
      </c>
      <c r="M99" s="619" t="s">
        <v>959</v>
      </c>
      <c r="N99" s="620"/>
      <c r="O99" s="620"/>
      <c r="P99" s="663" t="s">
        <v>1074</v>
      </c>
      <c r="Q99" s="621"/>
      <c r="R99" s="598"/>
      <c r="S99" s="598"/>
      <c r="T99" s="598"/>
      <c r="U99" s="598" t="s">
        <v>992</v>
      </c>
      <c r="V99" s="663" t="s">
        <v>4490</v>
      </c>
      <c r="W99" s="779" t="s">
        <v>4491</v>
      </c>
      <c r="X99" s="598" t="s">
        <v>950</v>
      </c>
      <c r="Y99" s="624">
        <v>32025</v>
      </c>
      <c r="Z99" s="625">
        <f t="shared" ca="1" si="1"/>
        <v>38</v>
      </c>
      <c r="AA99" s="616" t="s">
        <v>4492</v>
      </c>
      <c r="AB99" s="598"/>
      <c r="AC99" s="598" t="s">
        <v>1006</v>
      </c>
      <c r="AD99" s="598" t="s">
        <v>953</v>
      </c>
      <c r="AE99" s="616" t="s">
        <v>973</v>
      </c>
      <c r="AF99" s="616" t="s">
        <v>954</v>
      </c>
      <c r="AG99" s="616" t="s">
        <v>974</v>
      </c>
      <c r="AH99" s="598"/>
      <c r="AI99" s="598" t="s">
        <v>1019</v>
      </c>
      <c r="AJ99" s="598"/>
      <c r="AK99" s="598" t="s">
        <v>1020</v>
      </c>
      <c r="AL99" s="626"/>
      <c r="AM99" s="626"/>
    </row>
    <row r="100" spans="3:39" ht="18" customHeight="1">
      <c r="C100" s="598">
        <v>80</v>
      </c>
      <c r="D100" s="598" t="s">
        <v>4470</v>
      </c>
      <c r="E100" s="598">
        <f t="shared" si="0"/>
        <v>74</v>
      </c>
      <c r="F100" s="616" t="s">
        <v>4978</v>
      </c>
      <c r="G100" s="616" t="s">
        <v>1001</v>
      </c>
      <c r="H100" s="618" t="s">
        <v>1033</v>
      </c>
      <c r="I100" s="618" t="s">
        <v>114</v>
      </c>
      <c r="J100" s="618" t="s">
        <v>1225</v>
      </c>
      <c r="K100" s="618" t="s">
        <v>1206</v>
      </c>
      <c r="L100" s="618" t="s">
        <v>1207</v>
      </c>
      <c r="M100" s="619" t="s">
        <v>959</v>
      </c>
      <c r="N100" s="620"/>
      <c r="O100" s="620"/>
      <c r="P100" s="673" t="s">
        <v>1074</v>
      </c>
      <c r="Q100" s="621"/>
      <c r="R100" s="598"/>
      <c r="S100" s="598"/>
      <c r="T100" s="598"/>
      <c r="U100" s="598" t="s">
        <v>992</v>
      </c>
      <c r="V100" s="673" t="s">
        <v>4471</v>
      </c>
      <c r="W100" s="779" t="s">
        <v>4472</v>
      </c>
      <c r="X100" s="598" t="s">
        <v>963</v>
      </c>
      <c r="Y100" s="624">
        <v>33674</v>
      </c>
      <c r="Z100" s="625">
        <f t="shared" ca="1" si="1"/>
        <v>33</v>
      </c>
      <c r="AA100" s="616" t="s">
        <v>4473</v>
      </c>
      <c r="AB100" s="598"/>
      <c r="AC100" s="598" t="s">
        <v>1006</v>
      </c>
      <c r="AD100" s="598" t="s">
        <v>953</v>
      </c>
      <c r="AE100" s="616" t="s">
        <v>973</v>
      </c>
      <c r="AF100" s="616" t="s">
        <v>246</v>
      </c>
      <c r="AG100" s="616" t="s">
        <v>3815</v>
      </c>
      <c r="AH100" s="598"/>
      <c r="AI100" s="598" t="s">
        <v>1019</v>
      </c>
      <c r="AJ100" s="598"/>
      <c r="AK100" s="598"/>
      <c r="AL100" s="626"/>
      <c r="AM100" s="626"/>
    </row>
    <row r="101" spans="3:39" ht="18" customHeight="1">
      <c r="C101" s="598">
        <v>81</v>
      </c>
      <c r="D101" s="598" t="s">
        <v>1225</v>
      </c>
      <c r="E101" s="598">
        <f t="shared" si="0"/>
        <v>75</v>
      </c>
      <c r="F101" s="616" t="s">
        <v>957</v>
      </c>
      <c r="G101" s="616" t="s">
        <v>1001</v>
      </c>
      <c r="H101" s="618" t="s">
        <v>1033</v>
      </c>
      <c r="I101" s="618" t="s">
        <v>114</v>
      </c>
      <c r="J101" s="618" t="s">
        <v>1225</v>
      </c>
      <c r="K101" s="618" t="s">
        <v>1225</v>
      </c>
      <c r="L101" s="618" t="s">
        <v>959</v>
      </c>
      <c r="M101" s="619" t="s">
        <v>959</v>
      </c>
      <c r="N101" s="620"/>
      <c r="O101" s="620"/>
      <c r="P101" s="667" t="s">
        <v>1115</v>
      </c>
      <c r="Q101" s="621"/>
      <c r="R101" s="598" t="s">
        <v>173</v>
      </c>
      <c r="S101" s="598" t="s">
        <v>1228</v>
      </c>
      <c r="T101" s="598" t="s">
        <v>55</v>
      </c>
      <c r="U101" s="598" t="s">
        <v>992</v>
      </c>
      <c r="V101" s="667" t="s">
        <v>114</v>
      </c>
      <c r="W101" s="779" t="s">
        <v>1229</v>
      </c>
      <c r="X101" s="598" t="s">
        <v>950</v>
      </c>
      <c r="Y101" s="624">
        <v>34746</v>
      </c>
      <c r="Z101" s="625">
        <f t="shared" ca="1" si="1"/>
        <v>30</v>
      </c>
      <c r="AA101" s="616" t="s">
        <v>1230</v>
      </c>
      <c r="AB101" s="598" t="s">
        <v>1231</v>
      </c>
      <c r="AC101" s="598" t="s">
        <v>1006</v>
      </c>
      <c r="AD101" s="598" t="s">
        <v>953</v>
      </c>
      <c r="AE101" s="616" t="s">
        <v>1041</v>
      </c>
      <c r="AF101" s="616" t="s">
        <v>954</v>
      </c>
      <c r="AG101" s="616" t="s">
        <v>974</v>
      </c>
      <c r="AH101" s="598"/>
      <c r="AI101" s="598"/>
      <c r="AJ101" s="598"/>
      <c r="AK101" s="598"/>
      <c r="AL101" s="626"/>
      <c r="AM101" s="626"/>
    </row>
    <row r="102" spans="3:39" ht="18" customHeight="1">
      <c r="C102" s="598">
        <v>82</v>
      </c>
      <c r="D102" s="598" t="s">
        <v>1900</v>
      </c>
      <c r="E102" s="598">
        <f t="shared" si="0"/>
        <v>76</v>
      </c>
      <c r="F102" s="616" t="s">
        <v>1351</v>
      </c>
      <c r="G102" s="616" t="s">
        <v>1001</v>
      </c>
      <c r="H102" s="618" t="s">
        <v>1033</v>
      </c>
      <c r="I102" s="618" t="s">
        <v>114</v>
      </c>
      <c r="J102" s="618" t="s">
        <v>1225</v>
      </c>
      <c r="K102" s="618" t="s">
        <v>1225</v>
      </c>
      <c r="L102" s="618" t="s">
        <v>959</v>
      </c>
      <c r="M102" s="619" t="s">
        <v>959</v>
      </c>
      <c r="N102" s="620"/>
      <c r="O102" s="620"/>
      <c r="P102" s="663" t="s">
        <v>1115</v>
      </c>
      <c r="Q102" s="621"/>
      <c r="R102" s="598"/>
      <c r="S102" s="598"/>
      <c r="T102" s="598"/>
      <c r="U102" s="598" t="s">
        <v>992</v>
      </c>
      <c r="V102" s="663" t="s">
        <v>300</v>
      </c>
      <c r="W102" s="779" t="s">
        <v>1901</v>
      </c>
      <c r="X102" s="598" t="s">
        <v>950</v>
      </c>
      <c r="Y102" s="624">
        <v>34094</v>
      </c>
      <c r="Z102" s="625">
        <f t="shared" ca="1" si="1"/>
        <v>32</v>
      </c>
      <c r="AA102" s="654" t="s">
        <v>1902</v>
      </c>
      <c r="AB102" s="598"/>
      <c r="AC102" s="598" t="s">
        <v>1006</v>
      </c>
      <c r="AD102" s="598" t="s">
        <v>953</v>
      </c>
      <c r="AE102" s="616" t="s">
        <v>729</v>
      </c>
      <c r="AF102" s="616" t="s">
        <v>729</v>
      </c>
      <c r="AG102" s="616" t="s">
        <v>1252</v>
      </c>
      <c r="AH102" s="598"/>
      <c r="AI102" s="598"/>
      <c r="AJ102" s="598"/>
      <c r="AK102" s="598"/>
      <c r="AL102" s="626"/>
      <c r="AM102" s="626"/>
    </row>
    <row r="103" spans="3:39" ht="18" customHeight="1">
      <c r="C103" s="598">
        <v>83</v>
      </c>
      <c r="D103" s="598" t="s">
        <v>3043</v>
      </c>
      <c r="E103" s="598">
        <f t="shared" si="0"/>
        <v>77</v>
      </c>
      <c r="F103" s="616" t="s">
        <v>1798</v>
      </c>
      <c r="G103" s="616" t="s">
        <v>1001</v>
      </c>
      <c r="H103" s="618" t="s">
        <v>1033</v>
      </c>
      <c r="I103" s="618" t="s">
        <v>114</v>
      </c>
      <c r="J103" s="618" t="s">
        <v>1225</v>
      </c>
      <c r="K103" s="618" t="s">
        <v>1225</v>
      </c>
      <c r="L103" s="618" t="s">
        <v>959</v>
      </c>
      <c r="M103" s="619" t="s">
        <v>959</v>
      </c>
      <c r="N103" s="620"/>
      <c r="O103" s="620"/>
      <c r="P103" s="663" t="s">
        <v>1115</v>
      </c>
      <c r="Q103" s="621"/>
      <c r="R103" s="598"/>
      <c r="S103" s="598"/>
      <c r="T103" s="598"/>
      <c r="U103" s="598" t="s">
        <v>992</v>
      </c>
      <c r="V103" s="663" t="s">
        <v>381</v>
      </c>
      <c r="W103" s="779" t="s">
        <v>3044</v>
      </c>
      <c r="X103" s="598" t="s">
        <v>963</v>
      </c>
      <c r="Y103" s="624">
        <v>36875</v>
      </c>
      <c r="Z103" s="625">
        <f t="shared" ca="1" si="1"/>
        <v>25</v>
      </c>
      <c r="AA103" s="654" t="s">
        <v>3045</v>
      </c>
      <c r="AB103" s="598" t="s">
        <v>3046</v>
      </c>
      <c r="AC103" s="598" t="s">
        <v>996</v>
      </c>
      <c r="AD103" s="598" t="s">
        <v>953</v>
      </c>
      <c r="AE103" s="616" t="s">
        <v>1041</v>
      </c>
      <c r="AF103" s="616" t="s">
        <v>1041</v>
      </c>
      <c r="AG103" s="616" t="s">
        <v>2665</v>
      </c>
      <c r="AH103" s="598"/>
      <c r="AI103" s="598"/>
      <c r="AJ103" s="598"/>
      <c r="AK103" s="598"/>
      <c r="AL103" s="626"/>
      <c r="AM103" s="626"/>
    </row>
    <row r="104" spans="3:39" ht="18" customHeight="1">
      <c r="C104" s="598">
        <v>84</v>
      </c>
      <c r="D104" s="598" t="s">
        <v>3047</v>
      </c>
      <c r="E104" s="598">
        <f t="shared" si="0"/>
        <v>78</v>
      </c>
      <c r="F104" s="616" t="s">
        <v>1798</v>
      </c>
      <c r="G104" s="616" t="s">
        <v>1001</v>
      </c>
      <c r="H104" s="618" t="s">
        <v>1033</v>
      </c>
      <c r="I104" s="618" t="s">
        <v>114</v>
      </c>
      <c r="J104" s="618" t="s">
        <v>1225</v>
      </c>
      <c r="K104" s="618" t="s">
        <v>1225</v>
      </c>
      <c r="L104" s="618" t="s">
        <v>959</v>
      </c>
      <c r="M104" s="619" t="s">
        <v>959</v>
      </c>
      <c r="N104" s="620"/>
      <c r="O104" s="620"/>
      <c r="P104" s="663" t="s">
        <v>1115</v>
      </c>
      <c r="Q104" s="621"/>
      <c r="R104" s="598"/>
      <c r="S104" s="598"/>
      <c r="T104" s="598"/>
      <c r="U104" s="598" t="s">
        <v>992</v>
      </c>
      <c r="V104" s="663" t="s">
        <v>394</v>
      </c>
      <c r="W104" s="779" t="s">
        <v>3048</v>
      </c>
      <c r="X104" s="598" t="s">
        <v>963</v>
      </c>
      <c r="Y104" s="624">
        <v>36083</v>
      </c>
      <c r="Z104" s="625">
        <f t="shared" ca="1" si="1"/>
        <v>27</v>
      </c>
      <c r="AA104" s="616" t="s">
        <v>3049</v>
      </c>
      <c r="AB104" s="598"/>
      <c r="AC104" s="598" t="s">
        <v>1006</v>
      </c>
      <c r="AD104" s="598" t="s">
        <v>953</v>
      </c>
      <c r="AE104" s="616" t="s">
        <v>1041</v>
      </c>
      <c r="AF104" s="616" t="s">
        <v>2985</v>
      </c>
      <c r="AG104" s="616" t="s">
        <v>2986</v>
      </c>
      <c r="AH104" s="598"/>
      <c r="AI104" s="598"/>
      <c r="AJ104" s="598" t="s">
        <v>1011</v>
      </c>
      <c r="AK104" s="598"/>
      <c r="AL104" s="626"/>
      <c r="AM104" s="626"/>
    </row>
    <row r="105" spans="3:39" ht="18" customHeight="1">
      <c r="C105" s="598">
        <v>85</v>
      </c>
      <c r="D105" s="598" t="s">
        <v>4493</v>
      </c>
      <c r="E105" s="598">
        <f t="shared" si="0"/>
        <v>79</v>
      </c>
      <c r="F105" s="616" t="s">
        <v>957</v>
      </c>
      <c r="G105" s="616" t="s">
        <v>1001</v>
      </c>
      <c r="H105" s="618" t="s">
        <v>1033</v>
      </c>
      <c r="I105" s="618" t="s">
        <v>114</v>
      </c>
      <c r="J105" s="618" t="s">
        <v>1225</v>
      </c>
      <c r="K105" s="618" t="s">
        <v>1225</v>
      </c>
      <c r="L105" s="618" t="s">
        <v>959</v>
      </c>
      <c r="M105" s="619" t="s">
        <v>959</v>
      </c>
      <c r="N105" s="620"/>
      <c r="O105" s="620"/>
      <c r="P105" s="663" t="s">
        <v>1115</v>
      </c>
      <c r="Q105" s="621"/>
      <c r="R105" s="598"/>
      <c r="S105" s="598"/>
      <c r="T105" s="598"/>
      <c r="U105" s="598" t="s">
        <v>992</v>
      </c>
      <c r="V105" s="663" t="s">
        <v>122</v>
      </c>
      <c r="W105" s="779" t="s">
        <v>4494</v>
      </c>
      <c r="X105" s="598" t="s">
        <v>950</v>
      </c>
      <c r="Y105" s="624">
        <v>37287</v>
      </c>
      <c r="Z105" s="625">
        <f t="shared" ca="1" si="1"/>
        <v>24</v>
      </c>
      <c r="AA105" s="616" t="s">
        <v>4495</v>
      </c>
      <c r="AB105" s="598"/>
      <c r="AC105" s="598" t="s">
        <v>1006</v>
      </c>
      <c r="AD105" s="598" t="s">
        <v>953</v>
      </c>
      <c r="AE105" s="616" t="s">
        <v>246</v>
      </c>
      <c r="AF105" s="616" t="s">
        <v>954</v>
      </c>
      <c r="AG105" s="616" t="s">
        <v>974</v>
      </c>
      <c r="AH105" s="598"/>
      <c r="AI105" s="598"/>
      <c r="AJ105" s="598"/>
      <c r="AK105" s="598"/>
      <c r="AL105" s="626"/>
      <c r="AM105" s="626"/>
    </row>
    <row r="106" spans="3:39" ht="18" customHeight="1">
      <c r="C106" s="598">
        <v>86</v>
      </c>
      <c r="D106" s="598" t="s">
        <v>4397</v>
      </c>
      <c r="E106" s="598">
        <f t="shared" si="0"/>
        <v>80</v>
      </c>
      <c r="F106" s="616" t="s">
        <v>4978</v>
      </c>
      <c r="G106" s="616" t="s">
        <v>1001</v>
      </c>
      <c r="H106" s="618" t="s">
        <v>1033</v>
      </c>
      <c r="I106" s="618" t="s">
        <v>114</v>
      </c>
      <c r="J106" s="618" t="s">
        <v>1225</v>
      </c>
      <c r="K106" s="618" t="s">
        <v>1225</v>
      </c>
      <c r="L106" s="618" t="s">
        <v>959</v>
      </c>
      <c r="M106" s="619" t="s">
        <v>959</v>
      </c>
      <c r="N106" s="620"/>
      <c r="O106" s="620"/>
      <c r="P106" s="673" t="s">
        <v>1115</v>
      </c>
      <c r="Q106" s="621"/>
      <c r="R106" s="598" t="s">
        <v>55</v>
      </c>
      <c r="S106" s="598" t="s">
        <v>178</v>
      </c>
      <c r="T106" s="598"/>
      <c r="U106" s="598" t="s">
        <v>992</v>
      </c>
      <c r="V106" s="673" t="s">
        <v>184</v>
      </c>
      <c r="W106" s="779" t="s">
        <v>4398</v>
      </c>
      <c r="X106" s="598" t="s">
        <v>950</v>
      </c>
      <c r="Y106" s="624">
        <v>36505</v>
      </c>
      <c r="Z106" s="625">
        <f t="shared" ca="1" si="1"/>
        <v>26</v>
      </c>
      <c r="AA106" s="616" t="s">
        <v>4399</v>
      </c>
      <c r="AB106" s="598"/>
      <c r="AC106" s="598" t="s">
        <v>1006</v>
      </c>
      <c r="AD106" s="598" t="s">
        <v>953</v>
      </c>
      <c r="AE106" s="616" t="s">
        <v>246</v>
      </c>
      <c r="AF106" s="616" t="s">
        <v>954</v>
      </c>
      <c r="AG106" s="616" t="s">
        <v>968</v>
      </c>
      <c r="AH106" s="598"/>
      <c r="AI106" s="598"/>
      <c r="AJ106" s="598" t="s">
        <v>1349</v>
      </c>
      <c r="AK106" s="598"/>
      <c r="AL106" s="626"/>
      <c r="AM106" s="626"/>
    </row>
    <row r="107" spans="3:39" ht="18" customHeight="1">
      <c r="C107" s="598">
        <v>87</v>
      </c>
      <c r="D107" s="598" t="s">
        <v>1232</v>
      </c>
      <c r="E107" s="598">
        <f t="shared" si="0"/>
        <v>81</v>
      </c>
      <c r="F107" s="616" t="s">
        <v>1233</v>
      </c>
      <c r="G107" s="616" t="s">
        <v>1234</v>
      </c>
      <c r="H107" s="618" t="s">
        <v>1232</v>
      </c>
      <c r="I107" s="618" t="s">
        <v>172</v>
      </c>
      <c r="J107" s="618" t="s">
        <v>1232</v>
      </c>
      <c r="K107" s="618" t="s">
        <v>1232</v>
      </c>
      <c r="L107" s="618" t="s">
        <v>1514</v>
      </c>
      <c r="M107" s="619" t="s">
        <v>959</v>
      </c>
      <c r="N107" s="620"/>
      <c r="O107" s="620"/>
      <c r="P107" s="667" t="s">
        <v>1044</v>
      </c>
      <c r="Q107" s="621"/>
      <c r="R107" s="598" t="s">
        <v>1227</v>
      </c>
      <c r="S107" s="598" t="s">
        <v>173</v>
      </c>
      <c r="T107" s="598" t="s">
        <v>55</v>
      </c>
      <c r="U107" s="598" t="s">
        <v>1090</v>
      </c>
      <c r="V107" s="667" t="s">
        <v>172</v>
      </c>
      <c r="W107" s="779" t="s">
        <v>1236</v>
      </c>
      <c r="X107" s="598" t="s">
        <v>950</v>
      </c>
      <c r="Y107" s="624">
        <v>18512</v>
      </c>
      <c r="Z107" s="625">
        <f t="shared" ca="1" si="1"/>
        <v>75</v>
      </c>
      <c r="AA107" s="616" t="s">
        <v>1237</v>
      </c>
      <c r="AB107" s="598" t="s">
        <v>1238</v>
      </c>
      <c r="AC107" s="598" t="s">
        <v>966</v>
      </c>
      <c r="AD107" s="598" t="s">
        <v>953</v>
      </c>
      <c r="AE107" s="616" t="s">
        <v>729</v>
      </c>
      <c r="AF107" s="616" t="s">
        <v>1239</v>
      </c>
      <c r="AG107" s="616" t="s">
        <v>1240</v>
      </c>
      <c r="AH107" s="598"/>
      <c r="AI107" s="598"/>
      <c r="AJ107" s="598"/>
      <c r="AK107" s="598"/>
      <c r="AL107" s="626"/>
      <c r="AM107" s="626"/>
    </row>
    <row r="108" spans="3:39" ht="18" customHeight="1">
      <c r="C108" s="598">
        <v>88</v>
      </c>
      <c r="D108" s="598" t="s">
        <v>1514</v>
      </c>
      <c r="E108" s="598">
        <f t="shared" si="0"/>
        <v>82</v>
      </c>
      <c r="F108" s="616" t="s">
        <v>1233</v>
      </c>
      <c r="G108" s="616" t="s">
        <v>1234</v>
      </c>
      <c r="H108" s="618" t="s">
        <v>1232</v>
      </c>
      <c r="I108" s="618" t="s">
        <v>172</v>
      </c>
      <c r="J108" s="618" t="s">
        <v>1232</v>
      </c>
      <c r="K108" s="618" t="s">
        <v>1232</v>
      </c>
      <c r="L108" s="618" t="s">
        <v>1514</v>
      </c>
      <c r="M108" s="619" t="s">
        <v>959</v>
      </c>
      <c r="N108" s="620"/>
      <c r="O108" s="620"/>
      <c r="P108" s="663" t="s">
        <v>1044</v>
      </c>
      <c r="Q108" s="621"/>
      <c r="R108" s="598" t="s">
        <v>55</v>
      </c>
      <c r="S108" s="598" t="s">
        <v>178</v>
      </c>
      <c r="T108" s="598" t="s">
        <v>69</v>
      </c>
      <c r="U108" s="598" t="s">
        <v>1090</v>
      </c>
      <c r="V108" s="663" t="s">
        <v>191</v>
      </c>
      <c r="W108" s="779" t="s">
        <v>1516</v>
      </c>
      <c r="X108" s="598" t="s">
        <v>963</v>
      </c>
      <c r="Y108" s="624">
        <v>19232</v>
      </c>
      <c r="Z108" s="625">
        <f t="shared" ca="1" si="1"/>
        <v>73</v>
      </c>
      <c r="AA108" s="616" t="s">
        <v>1517</v>
      </c>
      <c r="AB108" s="598" t="s">
        <v>1518</v>
      </c>
      <c r="AC108" s="598" t="s">
        <v>966</v>
      </c>
      <c r="AD108" s="598" t="s">
        <v>953</v>
      </c>
      <c r="AE108" s="616" t="s">
        <v>729</v>
      </c>
      <c r="AF108" s="616" t="s">
        <v>1239</v>
      </c>
      <c r="AG108" s="616" t="s">
        <v>1240</v>
      </c>
      <c r="AH108" s="598"/>
      <c r="AI108" s="598"/>
      <c r="AJ108" s="598"/>
      <c r="AK108" s="598"/>
      <c r="AL108" s="626"/>
      <c r="AM108" s="626"/>
    </row>
    <row r="109" spans="3:39" ht="18" customHeight="1">
      <c r="C109" s="598">
        <v>89</v>
      </c>
      <c r="D109" s="598" t="s">
        <v>1550</v>
      </c>
      <c r="E109" s="598">
        <f t="shared" si="0"/>
        <v>83</v>
      </c>
      <c r="F109" s="616" t="s">
        <v>1233</v>
      </c>
      <c r="G109" s="616" t="s">
        <v>1234</v>
      </c>
      <c r="H109" s="618" t="s">
        <v>1232</v>
      </c>
      <c r="I109" s="618" t="s">
        <v>172</v>
      </c>
      <c r="J109" s="618" t="s">
        <v>1232</v>
      </c>
      <c r="K109" s="618" t="s">
        <v>1232</v>
      </c>
      <c r="L109" s="618" t="s">
        <v>1514</v>
      </c>
      <c r="M109" s="619" t="s">
        <v>959</v>
      </c>
      <c r="N109" s="620"/>
      <c r="O109" s="620"/>
      <c r="P109" s="663" t="s">
        <v>1044</v>
      </c>
      <c r="Q109" s="621"/>
      <c r="R109" s="598" t="s">
        <v>55</v>
      </c>
      <c r="S109" s="598" t="s">
        <v>178</v>
      </c>
      <c r="T109" s="598"/>
      <c r="U109" s="598" t="s">
        <v>1090</v>
      </c>
      <c r="V109" s="663" t="s">
        <v>181</v>
      </c>
      <c r="W109" s="779" t="s">
        <v>1553</v>
      </c>
      <c r="X109" s="598" t="s">
        <v>950</v>
      </c>
      <c r="Y109" s="624">
        <v>19598</v>
      </c>
      <c r="Z109" s="625">
        <f t="shared" ca="1" si="1"/>
        <v>72</v>
      </c>
      <c r="AA109" s="616" t="s">
        <v>1554</v>
      </c>
      <c r="AB109" s="598"/>
      <c r="AC109" s="598" t="s">
        <v>966</v>
      </c>
      <c r="AD109" s="598" t="s">
        <v>953</v>
      </c>
      <c r="AE109" s="616" t="s">
        <v>729</v>
      </c>
      <c r="AF109" s="616" t="s">
        <v>1239</v>
      </c>
      <c r="AG109" s="616" t="s">
        <v>1258</v>
      </c>
      <c r="AH109" s="598"/>
      <c r="AI109" s="598"/>
      <c r="AJ109" s="598"/>
      <c r="AK109" s="598"/>
      <c r="AL109" s="626"/>
      <c r="AM109" s="626"/>
    </row>
    <row r="110" spans="3:39" ht="18" customHeight="1">
      <c r="C110" s="598">
        <v>90</v>
      </c>
      <c r="D110" s="598" t="s">
        <v>1528</v>
      </c>
      <c r="E110" s="598">
        <f t="shared" si="0"/>
        <v>84</v>
      </c>
      <c r="F110" s="616" t="s">
        <v>1233</v>
      </c>
      <c r="G110" s="616" t="s">
        <v>1234</v>
      </c>
      <c r="H110" s="618" t="s">
        <v>1232</v>
      </c>
      <c r="I110" s="618" t="s">
        <v>172</v>
      </c>
      <c r="J110" s="618" t="s">
        <v>1232</v>
      </c>
      <c r="K110" s="618" t="s">
        <v>1232</v>
      </c>
      <c r="L110" s="618" t="s">
        <v>1514</v>
      </c>
      <c r="M110" s="619" t="s">
        <v>959</v>
      </c>
      <c r="N110" s="620"/>
      <c r="O110" s="620"/>
      <c r="P110" s="663" t="s">
        <v>1044</v>
      </c>
      <c r="Q110" s="621"/>
      <c r="R110" s="598" t="s">
        <v>55</v>
      </c>
      <c r="S110" s="598" t="s">
        <v>178</v>
      </c>
      <c r="T110" s="598"/>
      <c r="U110" s="598" t="s">
        <v>962</v>
      </c>
      <c r="V110" s="663" t="s">
        <v>179</v>
      </c>
      <c r="W110" s="779" t="s">
        <v>1530</v>
      </c>
      <c r="X110" s="598" t="s">
        <v>963</v>
      </c>
      <c r="Y110" s="624">
        <v>31834</v>
      </c>
      <c r="Z110" s="625">
        <f t="shared" ca="1" si="1"/>
        <v>38</v>
      </c>
      <c r="AA110" s="616" t="s">
        <v>1531</v>
      </c>
      <c r="AB110" s="598"/>
      <c r="AC110" s="598" t="s">
        <v>966</v>
      </c>
      <c r="AD110" s="598" t="s">
        <v>953</v>
      </c>
      <c r="AE110" s="616" t="s">
        <v>729</v>
      </c>
      <c r="AF110" s="616" t="s">
        <v>1239</v>
      </c>
      <c r="AG110" s="616" t="s">
        <v>1533</v>
      </c>
      <c r="AH110" s="598"/>
      <c r="AI110" s="598"/>
      <c r="AJ110" s="598"/>
      <c r="AK110" s="598"/>
      <c r="AL110" s="626"/>
      <c r="AM110" s="626"/>
    </row>
    <row r="111" spans="3:39" ht="18" customHeight="1">
      <c r="C111" s="598">
        <v>91</v>
      </c>
      <c r="D111" s="598" t="s">
        <v>1241</v>
      </c>
      <c r="E111" s="598">
        <f t="shared" si="0"/>
        <v>85</v>
      </c>
      <c r="F111" s="616" t="s">
        <v>1233</v>
      </c>
      <c r="G111" s="616" t="s">
        <v>1234</v>
      </c>
      <c r="H111" s="618" t="s">
        <v>1232</v>
      </c>
      <c r="I111" s="618" t="s">
        <v>172</v>
      </c>
      <c r="J111" s="618" t="s">
        <v>1232</v>
      </c>
      <c r="K111" s="618" t="s">
        <v>1232</v>
      </c>
      <c r="L111" s="618" t="s">
        <v>1514</v>
      </c>
      <c r="M111" s="619" t="s">
        <v>959</v>
      </c>
      <c r="N111" s="620"/>
      <c r="O111" s="620"/>
      <c r="P111" s="663" t="s">
        <v>1044</v>
      </c>
      <c r="Q111" s="621"/>
      <c r="R111" s="598" t="s">
        <v>173</v>
      </c>
      <c r="S111" s="598" t="s">
        <v>514</v>
      </c>
      <c r="T111" s="598"/>
      <c r="U111" s="598" t="s">
        <v>1090</v>
      </c>
      <c r="V111" s="663" t="s">
        <v>254</v>
      </c>
      <c r="W111" s="779" t="s">
        <v>1242</v>
      </c>
      <c r="X111" s="598" t="s">
        <v>950</v>
      </c>
      <c r="Y111" s="624">
        <v>20283</v>
      </c>
      <c r="Z111" s="625">
        <f t="shared" ca="1" si="1"/>
        <v>70</v>
      </c>
      <c r="AA111" s="616" t="s">
        <v>1243</v>
      </c>
      <c r="AB111" s="598" t="s">
        <v>1244</v>
      </c>
      <c r="AC111" s="598" t="s">
        <v>966</v>
      </c>
      <c r="AD111" s="598" t="s">
        <v>953</v>
      </c>
      <c r="AE111" s="616" t="s">
        <v>729</v>
      </c>
      <c r="AF111" s="616" t="s">
        <v>1239</v>
      </c>
      <c r="AG111" s="616" t="s">
        <v>1240</v>
      </c>
      <c r="AH111" s="598"/>
      <c r="AI111" s="598"/>
      <c r="AJ111" s="598"/>
      <c r="AK111" s="598"/>
      <c r="AL111" s="626"/>
      <c r="AM111" s="626"/>
    </row>
    <row r="112" spans="3:39" ht="18" customHeight="1">
      <c r="C112" s="598">
        <v>92</v>
      </c>
      <c r="D112" s="598" t="s">
        <v>1506</v>
      </c>
      <c r="E112" s="598">
        <f t="shared" si="0"/>
        <v>86</v>
      </c>
      <c r="F112" s="616" t="s">
        <v>1233</v>
      </c>
      <c r="G112" s="616" t="s">
        <v>1234</v>
      </c>
      <c r="H112" s="618" t="s">
        <v>1232</v>
      </c>
      <c r="I112" s="618" t="s">
        <v>172</v>
      </c>
      <c r="J112" s="618" t="s">
        <v>1232</v>
      </c>
      <c r="K112" s="618" t="s">
        <v>1232</v>
      </c>
      <c r="L112" s="618" t="s">
        <v>1514</v>
      </c>
      <c r="M112" s="619" t="s">
        <v>959</v>
      </c>
      <c r="N112" s="620"/>
      <c r="O112" s="620"/>
      <c r="P112" s="663" t="s">
        <v>1044</v>
      </c>
      <c r="Q112" s="621"/>
      <c r="R112" s="598" t="s">
        <v>173</v>
      </c>
      <c r="S112" s="598" t="s">
        <v>514</v>
      </c>
      <c r="T112" s="598"/>
      <c r="U112" s="598" t="s">
        <v>1015</v>
      </c>
      <c r="V112" s="663" t="s">
        <v>271</v>
      </c>
      <c r="W112" s="779" t="s">
        <v>1597</v>
      </c>
      <c r="X112" s="598" t="s">
        <v>950</v>
      </c>
      <c r="Y112" s="624">
        <v>29437</v>
      </c>
      <c r="Z112" s="625">
        <f t="shared" ca="1" si="1"/>
        <v>45</v>
      </c>
      <c r="AA112" s="616" t="s">
        <v>1598</v>
      </c>
      <c r="AB112" s="598" t="s">
        <v>1599</v>
      </c>
      <c r="AC112" s="598" t="s">
        <v>966</v>
      </c>
      <c r="AD112" s="598" t="s">
        <v>953</v>
      </c>
      <c r="AE112" s="616" t="s">
        <v>729</v>
      </c>
      <c r="AF112" s="616" t="s">
        <v>1239</v>
      </c>
      <c r="AG112" s="616" t="s">
        <v>1258</v>
      </c>
      <c r="AH112" s="598"/>
      <c r="AI112" s="598"/>
      <c r="AJ112" s="598"/>
      <c r="AK112" s="598"/>
      <c r="AL112" s="626"/>
      <c r="AM112" s="626"/>
    </row>
    <row r="113" spans="3:39" ht="18" customHeight="1">
      <c r="C113" s="598">
        <v>93</v>
      </c>
      <c r="D113" s="598" t="s">
        <v>1658</v>
      </c>
      <c r="E113" s="598">
        <f t="shared" si="0"/>
        <v>87</v>
      </c>
      <c r="F113" s="616" t="s">
        <v>1233</v>
      </c>
      <c r="G113" s="616" t="s">
        <v>1234</v>
      </c>
      <c r="H113" s="618" t="s">
        <v>1232</v>
      </c>
      <c r="I113" s="618" t="s">
        <v>172</v>
      </c>
      <c r="J113" s="618" t="s">
        <v>1232</v>
      </c>
      <c r="K113" s="618" t="s">
        <v>1232</v>
      </c>
      <c r="L113" s="618" t="s">
        <v>1514</v>
      </c>
      <c r="M113" s="619" t="s">
        <v>959</v>
      </c>
      <c r="N113" s="620"/>
      <c r="O113" s="620"/>
      <c r="P113" s="663" t="s">
        <v>1044</v>
      </c>
      <c r="Q113" s="621"/>
      <c r="R113" s="598" t="s">
        <v>55</v>
      </c>
      <c r="S113" s="598" t="s">
        <v>178</v>
      </c>
      <c r="T113" s="598"/>
      <c r="U113" s="598" t="s">
        <v>1015</v>
      </c>
      <c r="V113" s="663" t="s">
        <v>286</v>
      </c>
      <c r="W113" s="779" t="s">
        <v>1660</v>
      </c>
      <c r="X113" s="598" t="s">
        <v>950</v>
      </c>
      <c r="Y113" s="624">
        <v>29090</v>
      </c>
      <c r="Z113" s="625">
        <f t="shared" ca="1" si="1"/>
        <v>46</v>
      </c>
      <c r="AA113" s="616" t="s">
        <v>1661</v>
      </c>
      <c r="AB113" s="598" t="s">
        <v>1662</v>
      </c>
      <c r="AC113" s="598" t="s">
        <v>966</v>
      </c>
      <c r="AD113" s="598" t="s">
        <v>953</v>
      </c>
      <c r="AE113" s="616" t="s">
        <v>729</v>
      </c>
      <c r="AF113" s="616" t="s">
        <v>1239</v>
      </c>
      <c r="AG113" s="616" t="s">
        <v>1258</v>
      </c>
      <c r="AH113" s="598"/>
      <c r="AI113" s="598"/>
      <c r="AJ113" s="598"/>
      <c r="AK113" s="598"/>
      <c r="AL113" s="626"/>
      <c r="AM113" s="626"/>
    </row>
    <row r="114" spans="3:39" ht="18" customHeight="1">
      <c r="C114" s="598">
        <v>94</v>
      </c>
      <c r="D114" s="598" t="s">
        <v>1260</v>
      </c>
      <c r="E114" s="598">
        <f t="shared" si="0"/>
        <v>88</v>
      </c>
      <c r="F114" s="616" t="s">
        <v>1233</v>
      </c>
      <c r="G114" s="616" t="s">
        <v>1234</v>
      </c>
      <c r="H114" s="618" t="s">
        <v>1232</v>
      </c>
      <c r="I114" s="618" t="s">
        <v>172</v>
      </c>
      <c r="J114" s="618" t="s">
        <v>1232</v>
      </c>
      <c r="K114" s="618" t="s">
        <v>1232</v>
      </c>
      <c r="L114" s="618" t="s">
        <v>1514</v>
      </c>
      <c r="M114" s="619" t="s">
        <v>959</v>
      </c>
      <c r="N114" s="620"/>
      <c r="O114" s="620"/>
      <c r="P114" s="663" t="s">
        <v>1044</v>
      </c>
      <c r="Q114" s="621"/>
      <c r="R114" s="598" t="s">
        <v>55</v>
      </c>
      <c r="S114" s="598" t="s">
        <v>178</v>
      </c>
      <c r="T114" s="598"/>
      <c r="U114" s="598" t="s">
        <v>1015</v>
      </c>
      <c r="V114" s="663" t="s">
        <v>297</v>
      </c>
      <c r="W114" s="779" t="s">
        <v>1261</v>
      </c>
      <c r="X114" s="598" t="s">
        <v>950</v>
      </c>
      <c r="Y114" s="624">
        <v>24204</v>
      </c>
      <c r="Z114" s="625">
        <f t="shared" ca="1" si="1"/>
        <v>59</v>
      </c>
      <c r="AA114" s="616" t="s">
        <v>1262</v>
      </c>
      <c r="AB114" s="598"/>
      <c r="AC114" s="598" t="s">
        <v>966</v>
      </c>
      <c r="AD114" s="598" t="s">
        <v>953</v>
      </c>
      <c r="AE114" s="616" t="s">
        <v>729</v>
      </c>
      <c r="AF114" s="616" t="s">
        <v>1239</v>
      </c>
      <c r="AG114" s="616" t="s">
        <v>1240</v>
      </c>
      <c r="AH114" s="598"/>
      <c r="AI114" s="598"/>
      <c r="AJ114" s="598"/>
      <c r="AK114" s="598"/>
      <c r="AL114" s="626"/>
      <c r="AM114" s="626"/>
    </row>
    <row r="115" spans="3:39" ht="18" customHeight="1">
      <c r="C115" s="598">
        <v>95</v>
      </c>
      <c r="D115" s="598" t="s">
        <v>1360</v>
      </c>
      <c r="E115" s="598">
        <f t="shared" si="0"/>
        <v>89</v>
      </c>
      <c r="F115" s="616" t="s">
        <v>1233</v>
      </c>
      <c r="G115" s="616" t="s">
        <v>1234</v>
      </c>
      <c r="H115" s="618" t="s">
        <v>1232</v>
      </c>
      <c r="I115" s="618" t="s">
        <v>172</v>
      </c>
      <c r="J115" s="618" t="s">
        <v>1232</v>
      </c>
      <c r="K115" s="618" t="s">
        <v>1232</v>
      </c>
      <c r="L115" s="618" t="s">
        <v>1514</v>
      </c>
      <c r="M115" s="619" t="s">
        <v>959</v>
      </c>
      <c r="N115" s="620"/>
      <c r="O115" s="620"/>
      <c r="P115" s="673" t="s">
        <v>1044</v>
      </c>
      <c r="Q115" s="621"/>
      <c r="R115" s="598" t="s">
        <v>55</v>
      </c>
      <c r="S115" s="598" t="s">
        <v>178</v>
      </c>
      <c r="T115" s="598"/>
      <c r="U115" s="598" t="s">
        <v>1015</v>
      </c>
      <c r="V115" s="673" t="s">
        <v>305</v>
      </c>
      <c r="W115" s="779" t="s">
        <v>1362</v>
      </c>
      <c r="X115" s="598" t="s">
        <v>950</v>
      </c>
      <c r="Y115" s="624">
        <v>25307</v>
      </c>
      <c r="Z115" s="625">
        <f t="shared" ca="1" si="1"/>
        <v>56</v>
      </c>
      <c r="AA115" s="616" t="s">
        <v>1363</v>
      </c>
      <c r="AB115" s="598" t="s">
        <v>1364</v>
      </c>
      <c r="AC115" s="598" t="s">
        <v>966</v>
      </c>
      <c r="AD115" s="598" t="s">
        <v>953</v>
      </c>
      <c r="AE115" s="616" t="s">
        <v>729</v>
      </c>
      <c r="AF115" s="616" t="s">
        <v>1239</v>
      </c>
      <c r="AG115" s="616" t="s">
        <v>1240</v>
      </c>
      <c r="AH115" s="598"/>
      <c r="AI115" s="598"/>
      <c r="AJ115" s="598"/>
      <c r="AK115" s="598"/>
      <c r="AL115" s="626"/>
      <c r="AM115" s="626"/>
    </row>
    <row r="116" spans="3:39" ht="18" customHeight="1">
      <c r="C116" s="598">
        <v>96</v>
      </c>
      <c r="D116" s="598" t="s">
        <v>1276</v>
      </c>
      <c r="E116" s="598">
        <f t="shared" si="0"/>
        <v>90</v>
      </c>
      <c r="F116" s="616" t="s">
        <v>1233</v>
      </c>
      <c r="G116" s="616" t="s">
        <v>1234</v>
      </c>
      <c r="H116" s="618" t="s">
        <v>1232</v>
      </c>
      <c r="I116" s="618" t="s">
        <v>172</v>
      </c>
      <c r="J116" s="618" t="s">
        <v>1232</v>
      </c>
      <c r="K116" s="618" t="s">
        <v>1276</v>
      </c>
      <c r="L116" s="618" t="s">
        <v>1278</v>
      </c>
      <c r="M116" s="619"/>
      <c r="N116" s="620"/>
      <c r="O116" s="620"/>
      <c r="P116" s="667" t="s">
        <v>1074</v>
      </c>
      <c r="Q116" s="621"/>
      <c r="R116" s="598" t="s">
        <v>55</v>
      </c>
      <c r="S116" s="598" t="s">
        <v>55</v>
      </c>
      <c r="T116" s="598"/>
      <c r="U116" s="598" t="s">
        <v>1090</v>
      </c>
      <c r="V116" s="667" t="s">
        <v>174</v>
      </c>
      <c r="W116" s="779" t="s">
        <v>1279</v>
      </c>
      <c r="X116" s="598" t="s">
        <v>950</v>
      </c>
      <c r="Y116" s="624">
        <v>18745</v>
      </c>
      <c r="Z116" s="625">
        <f t="shared" ca="1" si="1"/>
        <v>74</v>
      </c>
      <c r="AA116" s="616" t="s">
        <v>1280</v>
      </c>
      <c r="AB116" s="598"/>
      <c r="AC116" s="598" t="s">
        <v>966</v>
      </c>
      <c r="AD116" s="598" t="s">
        <v>953</v>
      </c>
      <c r="AE116" s="616" t="s">
        <v>729</v>
      </c>
      <c r="AF116" s="616" t="s">
        <v>1239</v>
      </c>
      <c r="AG116" s="616" t="s">
        <v>1240</v>
      </c>
      <c r="AH116" s="598"/>
      <c r="AI116" s="598"/>
      <c r="AJ116" s="598"/>
      <c r="AK116" s="598"/>
      <c r="AL116" s="626"/>
      <c r="AM116" s="626"/>
    </row>
    <row r="117" spans="3:39" ht="18" customHeight="1">
      <c r="C117" s="598">
        <v>97</v>
      </c>
      <c r="D117" s="598" t="s">
        <v>1278</v>
      </c>
      <c r="E117" s="598">
        <f t="shared" si="0"/>
        <v>91</v>
      </c>
      <c r="F117" s="616" t="s">
        <v>1233</v>
      </c>
      <c r="G117" s="616" t="s">
        <v>1234</v>
      </c>
      <c r="H117" s="618" t="s">
        <v>1232</v>
      </c>
      <c r="I117" s="618" t="s">
        <v>172</v>
      </c>
      <c r="J117" s="618" t="s">
        <v>1232</v>
      </c>
      <c r="K117" s="618" t="s">
        <v>1276</v>
      </c>
      <c r="L117" s="618" t="s">
        <v>1278</v>
      </c>
      <c r="M117" s="619"/>
      <c r="N117" s="620"/>
      <c r="O117" s="620"/>
      <c r="P117" s="663" t="s">
        <v>1074</v>
      </c>
      <c r="Q117" s="621"/>
      <c r="R117" s="598" t="s">
        <v>69</v>
      </c>
      <c r="S117" s="598" t="s">
        <v>69</v>
      </c>
      <c r="T117" s="598"/>
      <c r="U117" s="598" t="s">
        <v>1090</v>
      </c>
      <c r="V117" s="663" t="s">
        <v>193</v>
      </c>
      <c r="W117" s="779" t="s">
        <v>1282</v>
      </c>
      <c r="X117" s="598" t="s">
        <v>950</v>
      </c>
      <c r="Y117" s="624">
        <v>18004</v>
      </c>
      <c r="Z117" s="625">
        <f t="shared" ca="1" si="1"/>
        <v>76</v>
      </c>
      <c r="AA117" s="616" t="s">
        <v>1283</v>
      </c>
      <c r="AB117" s="598"/>
      <c r="AC117" s="598" t="s">
        <v>966</v>
      </c>
      <c r="AD117" s="598" t="s">
        <v>953</v>
      </c>
      <c r="AE117" s="616" t="s">
        <v>729</v>
      </c>
      <c r="AF117" s="616" t="s">
        <v>1239</v>
      </c>
      <c r="AG117" s="616" t="s">
        <v>1258</v>
      </c>
      <c r="AH117" s="598"/>
      <c r="AI117" s="598"/>
      <c r="AJ117" s="598"/>
      <c r="AK117" s="598"/>
      <c r="AL117" s="626"/>
      <c r="AM117" s="626"/>
    </row>
    <row r="118" spans="3:39" ht="18" customHeight="1">
      <c r="C118" s="598">
        <v>98</v>
      </c>
      <c r="D118" s="598" t="s">
        <v>1291</v>
      </c>
      <c r="E118" s="598">
        <f t="shared" si="0"/>
        <v>92</v>
      </c>
      <c r="F118" s="616" t="s">
        <v>1233</v>
      </c>
      <c r="G118" s="616" t="s">
        <v>1234</v>
      </c>
      <c r="H118" s="618" t="s">
        <v>1232</v>
      </c>
      <c r="I118" s="618" t="s">
        <v>172</v>
      </c>
      <c r="J118" s="618" t="s">
        <v>1232</v>
      </c>
      <c r="K118" s="618" t="s">
        <v>1276</v>
      </c>
      <c r="L118" s="618" t="s">
        <v>1278</v>
      </c>
      <c r="M118" s="619"/>
      <c r="N118" s="620"/>
      <c r="O118" s="620"/>
      <c r="P118" s="663" t="s">
        <v>1074</v>
      </c>
      <c r="Q118" s="621"/>
      <c r="R118" s="598"/>
      <c r="S118" s="598"/>
      <c r="T118" s="598"/>
      <c r="U118" s="598" t="s">
        <v>1090</v>
      </c>
      <c r="V118" s="663" t="s">
        <v>212</v>
      </c>
      <c r="W118" s="779" t="s">
        <v>1292</v>
      </c>
      <c r="X118" s="598" t="s">
        <v>950</v>
      </c>
      <c r="Y118" s="624">
        <v>19128</v>
      </c>
      <c r="Z118" s="625">
        <f t="shared" ca="1" si="1"/>
        <v>73</v>
      </c>
      <c r="AA118" s="616" t="s">
        <v>1293</v>
      </c>
      <c r="AB118" s="598"/>
      <c r="AC118" s="598" t="s">
        <v>966</v>
      </c>
      <c r="AD118" s="598" t="s">
        <v>953</v>
      </c>
      <c r="AE118" s="616" t="s">
        <v>729</v>
      </c>
      <c r="AF118" s="616" t="s">
        <v>1239</v>
      </c>
      <c r="AG118" s="616" t="s">
        <v>1258</v>
      </c>
      <c r="AH118" s="598"/>
      <c r="AI118" s="598"/>
      <c r="AJ118" s="598"/>
      <c r="AK118" s="598"/>
      <c r="AL118" s="626"/>
      <c r="AM118" s="626"/>
    </row>
    <row r="119" spans="3:39" ht="18" customHeight="1">
      <c r="C119" s="598">
        <v>99</v>
      </c>
      <c r="D119" s="598" t="s">
        <v>1299</v>
      </c>
      <c r="E119" s="598">
        <f t="shared" si="0"/>
        <v>93</v>
      </c>
      <c r="F119" s="616" t="s">
        <v>1233</v>
      </c>
      <c r="G119" s="616" t="s">
        <v>1234</v>
      </c>
      <c r="H119" s="618" t="s">
        <v>1232</v>
      </c>
      <c r="I119" s="618" t="s">
        <v>172</v>
      </c>
      <c r="J119" s="618" t="s">
        <v>1232</v>
      </c>
      <c r="K119" s="618" t="s">
        <v>1276</v>
      </c>
      <c r="L119" s="618" t="s">
        <v>1278</v>
      </c>
      <c r="M119" s="619"/>
      <c r="N119" s="620"/>
      <c r="O119" s="620"/>
      <c r="P119" s="663" t="s">
        <v>1074</v>
      </c>
      <c r="Q119" s="621"/>
      <c r="R119" s="598"/>
      <c r="S119" s="598"/>
      <c r="T119" s="598"/>
      <c r="U119" s="598" t="s">
        <v>1090</v>
      </c>
      <c r="V119" s="663" t="s">
        <v>234</v>
      </c>
      <c r="W119" s="779" t="s">
        <v>1300</v>
      </c>
      <c r="X119" s="598" t="s">
        <v>950</v>
      </c>
      <c r="Y119" s="624">
        <v>18579</v>
      </c>
      <c r="Z119" s="625">
        <f t="shared" ca="1" si="1"/>
        <v>75</v>
      </c>
      <c r="AA119" s="616" t="s">
        <v>1301</v>
      </c>
      <c r="AB119" s="598"/>
      <c r="AC119" s="598" t="s">
        <v>966</v>
      </c>
      <c r="AD119" s="598" t="s">
        <v>953</v>
      </c>
      <c r="AE119" s="616" t="s">
        <v>729</v>
      </c>
      <c r="AF119" s="616" t="s">
        <v>1239</v>
      </c>
      <c r="AG119" s="616" t="s">
        <v>1258</v>
      </c>
      <c r="AH119" s="598"/>
      <c r="AI119" s="598"/>
      <c r="AJ119" s="598"/>
      <c r="AK119" s="598"/>
      <c r="AL119" s="626"/>
      <c r="AM119" s="626"/>
    </row>
    <row r="120" spans="3:39" ht="18" customHeight="1">
      <c r="C120" s="598">
        <v>100</v>
      </c>
      <c r="D120" s="598" t="s">
        <v>4496</v>
      </c>
      <c r="E120" s="598">
        <f t="shared" si="0"/>
        <v>94</v>
      </c>
      <c r="F120" s="616" t="s">
        <v>1233</v>
      </c>
      <c r="G120" s="616" t="s">
        <v>1234</v>
      </c>
      <c r="H120" s="618" t="s">
        <v>1232</v>
      </c>
      <c r="I120" s="618" t="s">
        <v>172</v>
      </c>
      <c r="J120" s="618" t="s">
        <v>1232</v>
      </c>
      <c r="K120" s="618" t="s">
        <v>1276</v>
      </c>
      <c r="L120" s="618" t="s">
        <v>1278</v>
      </c>
      <c r="M120" s="619"/>
      <c r="N120" s="620"/>
      <c r="O120" s="620"/>
      <c r="P120" s="663" t="s">
        <v>1074</v>
      </c>
      <c r="Q120" s="621"/>
      <c r="R120" s="598"/>
      <c r="S120" s="598"/>
      <c r="T120" s="598"/>
      <c r="U120" s="598" t="s">
        <v>1015</v>
      </c>
      <c r="V120" s="663" t="s">
        <v>255</v>
      </c>
      <c r="W120" s="779" t="s">
        <v>4497</v>
      </c>
      <c r="X120" s="598" t="s">
        <v>950</v>
      </c>
      <c r="Y120" s="624">
        <v>20739</v>
      </c>
      <c r="Z120" s="625">
        <f t="shared" ca="1" si="1"/>
        <v>69</v>
      </c>
      <c r="AA120" s="616" t="s">
        <v>4498</v>
      </c>
      <c r="AB120" s="598"/>
      <c r="AC120" s="598" t="s">
        <v>966</v>
      </c>
      <c r="AD120" s="598" t="s">
        <v>953</v>
      </c>
      <c r="AE120" s="616" t="s">
        <v>729</v>
      </c>
      <c r="AF120" s="616" t="s">
        <v>1239</v>
      </c>
      <c r="AG120" s="616" t="s">
        <v>1258</v>
      </c>
      <c r="AH120" s="598"/>
      <c r="AI120" s="598"/>
      <c r="AJ120" s="598"/>
      <c r="AK120" s="598"/>
      <c r="AL120" s="626"/>
      <c r="AM120" s="626"/>
    </row>
    <row r="121" spans="3:39" ht="18" customHeight="1">
      <c r="C121" s="598">
        <v>101</v>
      </c>
      <c r="D121" s="598" t="s">
        <v>1556</v>
      </c>
      <c r="E121" s="598">
        <f t="shared" si="0"/>
        <v>95</v>
      </c>
      <c r="F121" s="616" t="s">
        <v>4978</v>
      </c>
      <c r="G121" s="616" t="s">
        <v>1234</v>
      </c>
      <c r="H121" s="618" t="s">
        <v>1232</v>
      </c>
      <c r="I121" s="618" t="s">
        <v>172</v>
      </c>
      <c r="J121" s="618" t="s">
        <v>1232</v>
      </c>
      <c r="K121" s="618" t="s">
        <v>1276</v>
      </c>
      <c r="L121" s="618" t="s">
        <v>1278</v>
      </c>
      <c r="M121" s="619"/>
      <c r="N121" s="620"/>
      <c r="O121" s="620"/>
      <c r="P121" s="663" t="s">
        <v>1074</v>
      </c>
      <c r="Q121" s="621"/>
      <c r="R121" s="598"/>
      <c r="S121" s="598"/>
      <c r="T121" s="598"/>
      <c r="U121" s="598" t="s">
        <v>1090</v>
      </c>
      <c r="V121" s="663" t="s">
        <v>1557</v>
      </c>
      <c r="W121" s="779" t="s">
        <v>1558</v>
      </c>
      <c r="X121" s="598" t="s">
        <v>950</v>
      </c>
      <c r="Y121" s="624">
        <v>17513</v>
      </c>
      <c r="Z121" s="625">
        <f t="shared" ca="1" si="1"/>
        <v>78</v>
      </c>
      <c r="AA121" s="616" t="s">
        <v>1559</v>
      </c>
      <c r="AB121" s="598"/>
      <c r="AC121" s="598" t="s">
        <v>996</v>
      </c>
      <c r="AD121" s="598" t="s">
        <v>1018</v>
      </c>
      <c r="AE121" s="616" t="s">
        <v>729</v>
      </c>
      <c r="AF121" s="616" t="s">
        <v>729</v>
      </c>
      <c r="AG121" s="616" t="s">
        <v>1561</v>
      </c>
      <c r="AH121" s="598"/>
      <c r="AI121" s="598"/>
      <c r="AJ121" s="647" t="s">
        <v>1513</v>
      </c>
      <c r="AK121" s="598" t="s">
        <v>4653</v>
      </c>
      <c r="AL121" s="626"/>
      <c r="AM121" s="626"/>
    </row>
    <row r="122" spans="3:39" ht="18" customHeight="1">
      <c r="C122" s="598">
        <v>102</v>
      </c>
      <c r="D122" s="598" t="s">
        <v>1567</v>
      </c>
      <c r="E122" s="598">
        <f t="shared" si="0"/>
        <v>96</v>
      </c>
      <c r="F122" s="616" t="s">
        <v>4978</v>
      </c>
      <c r="G122" s="616" t="s">
        <v>1234</v>
      </c>
      <c r="H122" s="618" t="s">
        <v>1232</v>
      </c>
      <c r="I122" s="618" t="s">
        <v>172</v>
      </c>
      <c r="J122" s="618" t="s">
        <v>1232</v>
      </c>
      <c r="K122" s="618" t="s">
        <v>1276</v>
      </c>
      <c r="L122" s="618" t="s">
        <v>1278</v>
      </c>
      <c r="M122" s="619"/>
      <c r="N122" s="620"/>
      <c r="O122" s="620"/>
      <c r="P122" s="673" t="s">
        <v>1074</v>
      </c>
      <c r="Q122" s="621"/>
      <c r="R122" s="598"/>
      <c r="S122" s="598"/>
      <c r="T122" s="598"/>
      <c r="U122" s="598" t="s">
        <v>1015</v>
      </c>
      <c r="V122" s="673" t="s">
        <v>287</v>
      </c>
      <c r="W122" s="779" t="s">
        <v>1568</v>
      </c>
      <c r="X122" s="598" t="s">
        <v>950</v>
      </c>
      <c r="Y122" s="624">
        <v>21846</v>
      </c>
      <c r="Z122" s="625">
        <f t="shared" ca="1" si="1"/>
        <v>66</v>
      </c>
      <c r="AA122" s="616" t="s">
        <v>1569</v>
      </c>
      <c r="AB122" s="598"/>
      <c r="AC122" s="598" t="s">
        <v>996</v>
      </c>
      <c r="AD122" s="598" t="s">
        <v>1018</v>
      </c>
      <c r="AE122" s="616" t="s">
        <v>729</v>
      </c>
      <c r="AF122" s="616" t="s">
        <v>729</v>
      </c>
      <c r="AG122" s="616" t="s">
        <v>1323</v>
      </c>
      <c r="AH122" s="598"/>
      <c r="AI122" s="598"/>
      <c r="AJ122" s="647" t="s">
        <v>1513</v>
      </c>
      <c r="AK122" s="598"/>
      <c r="AL122" s="626"/>
      <c r="AM122" s="626"/>
    </row>
    <row r="123" spans="3:39" ht="18" customHeight="1">
      <c r="C123" s="598">
        <v>103</v>
      </c>
      <c r="D123" s="598" t="s">
        <v>1478</v>
      </c>
      <c r="E123" s="598">
        <f t="shared" si="0"/>
        <v>97</v>
      </c>
      <c r="F123" s="616" t="s">
        <v>1233</v>
      </c>
      <c r="G123" s="616" t="s">
        <v>1234</v>
      </c>
      <c r="H123" s="618" t="s">
        <v>1232</v>
      </c>
      <c r="I123" s="618" t="s">
        <v>172</v>
      </c>
      <c r="J123" s="618" t="s">
        <v>1232</v>
      </c>
      <c r="K123" s="618" t="s">
        <v>1478</v>
      </c>
      <c r="L123" s="618" t="s">
        <v>1507</v>
      </c>
      <c r="M123" s="619"/>
      <c r="N123" s="620"/>
      <c r="O123" s="620"/>
      <c r="P123" s="667" t="s">
        <v>1115</v>
      </c>
      <c r="Q123" s="621"/>
      <c r="R123" s="598" t="s">
        <v>55</v>
      </c>
      <c r="S123" s="598" t="s">
        <v>55</v>
      </c>
      <c r="T123" s="598"/>
      <c r="U123" s="598" t="s">
        <v>962</v>
      </c>
      <c r="V123" s="667" t="s">
        <v>175</v>
      </c>
      <c r="W123" s="779" t="s">
        <v>1481</v>
      </c>
      <c r="X123" s="598" t="s">
        <v>963</v>
      </c>
      <c r="Y123" s="624">
        <v>27259</v>
      </c>
      <c r="Z123" s="625">
        <f t="shared" ca="1" si="1"/>
        <v>51</v>
      </c>
      <c r="AA123" s="616" t="s">
        <v>1482</v>
      </c>
      <c r="AB123" s="598"/>
      <c r="AC123" s="598" t="s">
        <v>966</v>
      </c>
      <c r="AD123" s="598" t="s">
        <v>953</v>
      </c>
      <c r="AE123" s="616" t="s">
        <v>729</v>
      </c>
      <c r="AF123" s="616" t="s">
        <v>1239</v>
      </c>
      <c r="AG123" s="616" t="s">
        <v>1258</v>
      </c>
      <c r="AH123" s="598"/>
      <c r="AI123" s="598"/>
      <c r="AJ123" s="598"/>
      <c r="AK123" s="598"/>
      <c r="AL123" s="626"/>
      <c r="AM123" s="626"/>
    </row>
    <row r="124" spans="3:39" ht="18" customHeight="1">
      <c r="C124" s="598">
        <v>104</v>
      </c>
      <c r="D124" s="598" t="s">
        <v>1507</v>
      </c>
      <c r="E124" s="598">
        <f t="shared" si="0"/>
        <v>98</v>
      </c>
      <c r="F124" s="616" t="s">
        <v>1233</v>
      </c>
      <c r="G124" s="616" t="s">
        <v>1234</v>
      </c>
      <c r="H124" s="618" t="s">
        <v>1232</v>
      </c>
      <c r="I124" s="618" t="s">
        <v>172</v>
      </c>
      <c r="J124" s="618" t="s">
        <v>1232</v>
      </c>
      <c r="K124" s="618" t="s">
        <v>1478</v>
      </c>
      <c r="L124" s="618" t="s">
        <v>1507</v>
      </c>
      <c r="M124" s="619"/>
      <c r="N124" s="620"/>
      <c r="O124" s="620"/>
      <c r="P124" s="663" t="s">
        <v>1115</v>
      </c>
      <c r="Q124" s="621"/>
      <c r="R124" s="598" t="s">
        <v>69</v>
      </c>
      <c r="S124" s="598" t="s">
        <v>69</v>
      </c>
      <c r="T124" s="598"/>
      <c r="U124" s="598" t="s">
        <v>992</v>
      </c>
      <c r="V124" s="663" t="s">
        <v>194</v>
      </c>
      <c r="W124" s="779" t="s">
        <v>1640</v>
      </c>
      <c r="X124" s="598" t="s">
        <v>963</v>
      </c>
      <c r="Y124" s="624">
        <v>34694</v>
      </c>
      <c r="Z124" s="625">
        <f t="shared" ca="1" si="1"/>
        <v>31</v>
      </c>
      <c r="AA124" s="616" t="s">
        <v>1641</v>
      </c>
      <c r="AB124" s="598"/>
      <c r="AC124" s="598" t="s">
        <v>1006</v>
      </c>
      <c r="AD124" s="598" t="s">
        <v>953</v>
      </c>
      <c r="AE124" s="616" t="s">
        <v>1041</v>
      </c>
      <c r="AF124" s="616" t="s">
        <v>1239</v>
      </c>
      <c r="AG124" s="616" t="s">
        <v>1258</v>
      </c>
      <c r="AH124" s="598"/>
      <c r="AI124" s="598"/>
      <c r="AJ124" s="598"/>
      <c r="AK124" s="598"/>
      <c r="AL124" s="626"/>
      <c r="AM124" s="626"/>
    </row>
    <row r="125" spans="3:39" ht="18" customHeight="1">
      <c r="C125" s="598">
        <v>105</v>
      </c>
      <c r="D125" s="598" t="s">
        <v>1519</v>
      </c>
      <c r="E125" s="598">
        <f t="shared" si="0"/>
        <v>99</v>
      </c>
      <c r="F125" s="616" t="s">
        <v>1233</v>
      </c>
      <c r="G125" s="616" t="s">
        <v>1234</v>
      </c>
      <c r="H125" s="618" t="s">
        <v>1232</v>
      </c>
      <c r="I125" s="618" t="s">
        <v>172</v>
      </c>
      <c r="J125" s="618" t="s">
        <v>1232</v>
      </c>
      <c r="K125" s="618" t="s">
        <v>1478</v>
      </c>
      <c r="L125" s="618" t="s">
        <v>1507</v>
      </c>
      <c r="M125" s="619"/>
      <c r="N125" s="620"/>
      <c r="O125" s="620"/>
      <c r="P125" s="663" t="s">
        <v>1115</v>
      </c>
      <c r="Q125" s="621"/>
      <c r="R125" s="598"/>
      <c r="S125" s="598"/>
      <c r="T125" s="598"/>
      <c r="U125" s="598" t="s">
        <v>1090</v>
      </c>
      <c r="V125" s="663" t="s">
        <v>213</v>
      </c>
      <c r="W125" s="779" t="s">
        <v>1520</v>
      </c>
      <c r="X125" s="598" t="s">
        <v>963</v>
      </c>
      <c r="Y125" s="624">
        <v>19028</v>
      </c>
      <c r="Z125" s="625">
        <f t="shared" ca="1" si="1"/>
        <v>73</v>
      </c>
      <c r="AA125" s="616" t="s">
        <v>1521</v>
      </c>
      <c r="AB125" s="598"/>
      <c r="AC125" s="598" t="s">
        <v>966</v>
      </c>
      <c r="AD125" s="598" t="s">
        <v>953</v>
      </c>
      <c r="AE125" s="616" t="s">
        <v>729</v>
      </c>
      <c r="AF125" s="616" t="s">
        <v>1239</v>
      </c>
      <c r="AG125" s="616" t="s">
        <v>1240</v>
      </c>
      <c r="AH125" s="598"/>
      <c r="AI125" s="598"/>
      <c r="AJ125" s="598"/>
      <c r="AK125" s="598"/>
      <c r="AL125" s="626"/>
      <c r="AM125" s="626"/>
    </row>
    <row r="126" spans="3:39" ht="18" customHeight="1">
      <c r="C126" s="598">
        <v>106</v>
      </c>
      <c r="D126" s="598" t="s">
        <v>1496</v>
      </c>
      <c r="E126" s="598">
        <f t="shared" si="0"/>
        <v>100</v>
      </c>
      <c r="F126" s="616" t="s">
        <v>1233</v>
      </c>
      <c r="G126" s="616" t="s">
        <v>1234</v>
      </c>
      <c r="H126" s="618" t="s">
        <v>1232</v>
      </c>
      <c r="I126" s="618" t="s">
        <v>172</v>
      </c>
      <c r="J126" s="618" t="s">
        <v>1232</v>
      </c>
      <c r="K126" s="618" t="s">
        <v>1478</v>
      </c>
      <c r="L126" s="618" t="s">
        <v>1507</v>
      </c>
      <c r="M126" s="619"/>
      <c r="N126" s="620"/>
      <c r="O126" s="620"/>
      <c r="P126" s="663" t="s">
        <v>1115</v>
      </c>
      <c r="Q126" s="621"/>
      <c r="R126" s="598"/>
      <c r="S126" s="598"/>
      <c r="T126" s="598"/>
      <c r="U126" s="598" t="s">
        <v>962</v>
      </c>
      <c r="V126" s="663" t="s">
        <v>235</v>
      </c>
      <c r="W126" s="779" t="s">
        <v>1497</v>
      </c>
      <c r="X126" s="598" t="s">
        <v>963</v>
      </c>
      <c r="Y126" s="624">
        <v>28966</v>
      </c>
      <c r="Z126" s="625">
        <f t="shared" ca="1" si="1"/>
        <v>46</v>
      </c>
      <c r="AA126" s="616" t="s">
        <v>1498</v>
      </c>
      <c r="AB126" s="598"/>
      <c r="AC126" s="598" t="s">
        <v>996</v>
      </c>
      <c r="AD126" s="598" t="s">
        <v>953</v>
      </c>
      <c r="AE126" s="616" t="s">
        <v>1041</v>
      </c>
      <c r="AF126" s="616" t="s">
        <v>1239</v>
      </c>
      <c r="AG126" s="616" t="s">
        <v>1258</v>
      </c>
      <c r="AH126" s="598"/>
      <c r="AI126" s="598"/>
      <c r="AJ126" s="598"/>
      <c r="AK126" s="598"/>
      <c r="AL126" s="626"/>
      <c r="AM126" s="626"/>
    </row>
    <row r="127" spans="3:39" ht="18" customHeight="1">
      <c r="C127" s="598">
        <v>107</v>
      </c>
      <c r="D127" s="598" t="s">
        <v>1484</v>
      </c>
      <c r="E127" s="598">
        <f t="shared" si="0"/>
        <v>101</v>
      </c>
      <c r="F127" s="616" t="s">
        <v>1233</v>
      </c>
      <c r="G127" s="616" t="s">
        <v>1234</v>
      </c>
      <c r="H127" s="618" t="s">
        <v>1232</v>
      </c>
      <c r="I127" s="618" t="s">
        <v>172</v>
      </c>
      <c r="J127" s="618" t="s">
        <v>1232</v>
      </c>
      <c r="K127" s="618" t="s">
        <v>1478</v>
      </c>
      <c r="L127" s="618" t="s">
        <v>1507</v>
      </c>
      <c r="M127" s="619"/>
      <c r="N127" s="620"/>
      <c r="O127" s="620"/>
      <c r="P127" s="663" t="s">
        <v>1115</v>
      </c>
      <c r="Q127" s="621"/>
      <c r="R127" s="598"/>
      <c r="S127" s="598"/>
      <c r="T127" s="598"/>
      <c r="U127" s="598" t="s">
        <v>962</v>
      </c>
      <c r="V127" s="663" t="s">
        <v>256</v>
      </c>
      <c r="W127" s="779" t="s">
        <v>1485</v>
      </c>
      <c r="X127" s="598" t="s">
        <v>963</v>
      </c>
      <c r="Y127" s="624">
        <v>30074</v>
      </c>
      <c r="Z127" s="625">
        <f t="shared" ca="1" si="1"/>
        <v>43</v>
      </c>
      <c r="AA127" s="616" t="s">
        <v>1486</v>
      </c>
      <c r="AB127" s="598"/>
      <c r="AC127" s="598" t="s">
        <v>966</v>
      </c>
      <c r="AD127" s="598" t="s">
        <v>953</v>
      </c>
      <c r="AE127" s="616" t="s">
        <v>729</v>
      </c>
      <c r="AF127" s="616" t="s">
        <v>1239</v>
      </c>
      <c r="AG127" s="616" t="s">
        <v>1488</v>
      </c>
      <c r="AH127" s="598"/>
      <c r="AI127" s="598"/>
      <c r="AJ127" s="598" t="s">
        <v>1025</v>
      </c>
      <c r="AK127" s="598"/>
      <c r="AL127" s="626"/>
      <c r="AM127" s="626"/>
    </row>
    <row r="128" spans="3:39" ht="18" customHeight="1">
      <c r="C128" s="598">
        <v>108</v>
      </c>
      <c r="D128" s="598" t="s">
        <v>1489</v>
      </c>
      <c r="E128" s="598">
        <f t="shared" si="0"/>
        <v>102</v>
      </c>
      <c r="F128" s="616" t="s">
        <v>1233</v>
      </c>
      <c r="G128" s="616" t="s">
        <v>1234</v>
      </c>
      <c r="H128" s="618" t="s">
        <v>1232</v>
      </c>
      <c r="I128" s="618" t="s">
        <v>172</v>
      </c>
      <c r="J128" s="618" t="s">
        <v>1232</v>
      </c>
      <c r="K128" s="618" t="s">
        <v>1478</v>
      </c>
      <c r="L128" s="618" t="s">
        <v>1507</v>
      </c>
      <c r="M128" s="619"/>
      <c r="N128" s="620"/>
      <c r="O128" s="620"/>
      <c r="P128" s="673" t="s">
        <v>1115</v>
      </c>
      <c r="Q128" s="621"/>
      <c r="R128" s="598"/>
      <c r="S128" s="598"/>
      <c r="T128" s="598"/>
      <c r="U128" s="598" t="s">
        <v>962</v>
      </c>
      <c r="V128" s="673" t="s">
        <v>1490</v>
      </c>
      <c r="W128" s="779" t="s">
        <v>1491</v>
      </c>
      <c r="X128" s="598" t="s">
        <v>963</v>
      </c>
      <c r="Y128" s="624">
        <v>33779</v>
      </c>
      <c r="Z128" s="625">
        <f t="shared" ca="1" si="1"/>
        <v>33</v>
      </c>
      <c r="AA128" s="616" t="s">
        <v>1492</v>
      </c>
      <c r="AB128" s="598"/>
      <c r="AC128" s="598" t="s">
        <v>996</v>
      </c>
      <c r="AD128" s="598" t="s">
        <v>997</v>
      </c>
      <c r="AE128" s="616" t="s">
        <v>1494</v>
      </c>
      <c r="AF128" s="616" t="s">
        <v>1494</v>
      </c>
      <c r="AG128" s="616" t="s">
        <v>1495</v>
      </c>
      <c r="AH128" s="598"/>
      <c r="AI128" s="598"/>
      <c r="AJ128" s="598" t="s">
        <v>1025</v>
      </c>
      <c r="AK128" s="598"/>
      <c r="AL128" s="626"/>
      <c r="AM128" s="626"/>
    </row>
    <row r="129" spans="3:39" ht="18" customHeight="1">
      <c r="C129" s="598">
        <v>109</v>
      </c>
      <c r="D129" s="598" t="s">
        <v>1303</v>
      </c>
      <c r="E129" s="598">
        <f t="shared" si="0"/>
        <v>103</v>
      </c>
      <c r="F129" s="616" t="s">
        <v>1233</v>
      </c>
      <c r="G129" s="616" t="s">
        <v>1234</v>
      </c>
      <c r="H129" s="618" t="s">
        <v>1232</v>
      </c>
      <c r="I129" s="618" t="s">
        <v>172</v>
      </c>
      <c r="J129" s="618" t="s">
        <v>1232</v>
      </c>
      <c r="K129" s="618" t="s">
        <v>1303</v>
      </c>
      <c r="L129" s="618" t="s">
        <v>2981</v>
      </c>
      <c r="M129" s="619"/>
      <c r="N129" s="620"/>
      <c r="O129" s="620"/>
      <c r="P129" s="667" t="s">
        <v>1127</v>
      </c>
      <c r="Q129" s="621"/>
      <c r="R129" s="598" t="s">
        <v>55</v>
      </c>
      <c r="S129" s="598" t="s">
        <v>55</v>
      </c>
      <c r="T129" s="598"/>
      <c r="U129" s="598" t="s">
        <v>1015</v>
      </c>
      <c r="V129" s="667" t="s">
        <v>176</v>
      </c>
      <c r="W129" s="779" t="s">
        <v>1305</v>
      </c>
      <c r="X129" s="598" t="s">
        <v>950</v>
      </c>
      <c r="Y129" s="624">
        <v>21384</v>
      </c>
      <c r="Z129" s="625">
        <f t="shared" ca="1" si="1"/>
        <v>67</v>
      </c>
      <c r="AA129" s="616" t="s">
        <v>1306</v>
      </c>
      <c r="AB129" s="598" t="s">
        <v>1307</v>
      </c>
      <c r="AC129" s="598" t="s">
        <v>966</v>
      </c>
      <c r="AD129" s="598" t="s">
        <v>953</v>
      </c>
      <c r="AE129" s="616" t="s">
        <v>729</v>
      </c>
      <c r="AF129" s="616" t="s">
        <v>1239</v>
      </c>
      <c r="AG129" s="616" t="s">
        <v>1258</v>
      </c>
      <c r="AH129" s="598"/>
      <c r="AI129" s="598"/>
      <c r="AJ129" s="598"/>
      <c r="AK129" s="598"/>
      <c r="AL129" s="626"/>
      <c r="AM129" s="626"/>
    </row>
    <row r="130" spans="3:39" ht="18" customHeight="1">
      <c r="C130" s="598">
        <v>110</v>
      </c>
      <c r="D130" s="598" t="s">
        <v>2981</v>
      </c>
      <c r="E130" s="598">
        <f t="shared" si="0"/>
        <v>104</v>
      </c>
      <c r="F130" s="616" t="s">
        <v>1233</v>
      </c>
      <c r="G130" s="616" t="s">
        <v>1234</v>
      </c>
      <c r="H130" s="618" t="s">
        <v>1232</v>
      </c>
      <c r="I130" s="618" t="s">
        <v>172</v>
      </c>
      <c r="J130" s="618" t="s">
        <v>1232</v>
      </c>
      <c r="K130" s="618" t="s">
        <v>1303</v>
      </c>
      <c r="L130" s="618" t="s">
        <v>2981</v>
      </c>
      <c r="M130" s="619"/>
      <c r="N130" s="620"/>
      <c r="O130" s="620"/>
      <c r="P130" s="663" t="s">
        <v>1127</v>
      </c>
      <c r="Q130" s="621"/>
      <c r="R130" s="598" t="s">
        <v>55</v>
      </c>
      <c r="S130" s="598" t="s">
        <v>178</v>
      </c>
      <c r="T130" s="598"/>
      <c r="U130" s="598" t="s">
        <v>1015</v>
      </c>
      <c r="V130" s="663" t="s">
        <v>195</v>
      </c>
      <c r="W130" s="779" t="s">
        <v>2982</v>
      </c>
      <c r="X130" s="598" t="s">
        <v>950</v>
      </c>
      <c r="Y130" s="624">
        <v>28476</v>
      </c>
      <c r="Z130" s="625">
        <f t="shared" ca="1" si="1"/>
        <v>48</v>
      </c>
      <c r="AA130" s="616" t="s">
        <v>2983</v>
      </c>
      <c r="AB130" s="598"/>
      <c r="AC130" s="598" t="s">
        <v>966</v>
      </c>
      <c r="AD130" s="598" t="s">
        <v>953</v>
      </c>
      <c r="AE130" s="616" t="s">
        <v>1041</v>
      </c>
      <c r="AF130" s="616" t="s">
        <v>2985</v>
      </c>
      <c r="AG130" s="616" t="s">
        <v>2986</v>
      </c>
      <c r="AH130" s="598"/>
      <c r="AI130" s="598"/>
      <c r="AJ130" s="598"/>
      <c r="AK130" s="598"/>
      <c r="AL130" s="626"/>
      <c r="AM130" s="626"/>
    </row>
    <row r="131" spans="3:39" ht="18" customHeight="1">
      <c r="C131" s="598">
        <v>111</v>
      </c>
      <c r="D131" s="598" t="s">
        <v>1295</v>
      </c>
      <c r="E131" s="598">
        <f t="shared" si="0"/>
        <v>105</v>
      </c>
      <c r="F131" s="616" t="s">
        <v>1233</v>
      </c>
      <c r="G131" s="616" t="s">
        <v>1234</v>
      </c>
      <c r="H131" s="618" t="s">
        <v>1232</v>
      </c>
      <c r="I131" s="618" t="s">
        <v>172</v>
      </c>
      <c r="J131" s="618" t="s">
        <v>1232</v>
      </c>
      <c r="K131" s="618" t="s">
        <v>1303</v>
      </c>
      <c r="L131" s="618" t="s">
        <v>2981</v>
      </c>
      <c r="M131" s="619"/>
      <c r="N131" s="620"/>
      <c r="O131" s="620"/>
      <c r="P131" s="663" t="s">
        <v>1127</v>
      </c>
      <c r="Q131" s="621"/>
      <c r="R131" s="598"/>
      <c r="S131" s="598"/>
      <c r="T131" s="598"/>
      <c r="U131" s="598" t="s">
        <v>1090</v>
      </c>
      <c r="V131" s="663" t="s">
        <v>214</v>
      </c>
      <c r="W131" s="779" t="s">
        <v>1296</v>
      </c>
      <c r="X131" s="598" t="s">
        <v>950</v>
      </c>
      <c r="Y131" s="624">
        <v>18355</v>
      </c>
      <c r="Z131" s="625">
        <f t="shared" ca="1" si="1"/>
        <v>75</v>
      </c>
      <c r="AA131" s="616" t="s">
        <v>1297</v>
      </c>
      <c r="AB131" s="598"/>
      <c r="AC131" s="598" t="s">
        <v>966</v>
      </c>
      <c r="AD131" s="598" t="s">
        <v>953</v>
      </c>
      <c r="AE131" s="616" t="s">
        <v>729</v>
      </c>
      <c r="AF131" s="616" t="s">
        <v>1239</v>
      </c>
      <c r="AG131" s="616" t="s">
        <v>1258</v>
      </c>
      <c r="AH131" s="598"/>
      <c r="AI131" s="598"/>
      <c r="AJ131" s="598"/>
      <c r="AK131" s="598"/>
      <c r="AL131" s="626"/>
      <c r="AM131" s="626"/>
    </row>
    <row r="132" spans="3:39" ht="18" customHeight="1">
      <c r="C132" s="598">
        <v>112</v>
      </c>
      <c r="D132" s="598" t="s">
        <v>2972</v>
      </c>
      <c r="E132" s="598">
        <f t="shared" si="0"/>
        <v>106</v>
      </c>
      <c r="F132" s="616" t="s">
        <v>1233</v>
      </c>
      <c r="G132" s="616" t="s">
        <v>1234</v>
      </c>
      <c r="H132" s="618" t="s">
        <v>1232</v>
      </c>
      <c r="I132" s="618" t="s">
        <v>172</v>
      </c>
      <c r="J132" s="618" t="s">
        <v>1232</v>
      </c>
      <c r="K132" s="618" t="s">
        <v>1303</v>
      </c>
      <c r="L132" s="618" t="s">
        <v>2981</v>
      </c>
      <c r="M132" s="619"/>
      <c r="N132" s="620"/>
      <c r="O132" s="620"/>
      <c r="P132" s="663" t="s">
        <v>1127</v>
      </c>
      <c r="Q132" s="621"/>
      <c r="R132" s="598"/>
      <c r="S132" s="598"/>
      <c r="T132" s="598"/>
      <c r="U132" s="598" t="s">
        <v>1015</v>
      </c>
      <c r="V132" s="663" t="s">
        <v>236</v>
      </c>
      <c r="W132" s="779" t="s">
        <v>2976</v>
      </c>
      <c r="X132" s="598" t="s">
        <v>950</v>
      </c>
      <c r="Y132" s="624">
        <v>28476</v>
      </c>
      <c r="Z132" s="625">
        <f t="shared" ca="1" si="1"/>
        <v>48</v>
      </c>
      <c r="AA132" s="616" t="s">
        <v>2977</v>
      </c>
      <c r="AB132" s="598"/>
      <c r="AC132" s="598" t="s">
        <v>966</v>
      </c>
      <c r="AD132" s="598" t="s">
        <v>953</v>
      </c>
      <c r="AE132" s="616" t="s">
        <v>1041</v>
      </c>
      <c r="AF132" s="616" t="s">
        <v>2979</v>
      </c>
      <c r="AG132" s="616" t="s">
        <v>2980</v>
      </c>
      <c r="AH132" s="598"/>
      <c r="AI132" s="598"/>
      <c r="AJ132" s="598"/>
      <c r="AK132" s="598"/>
      <c r="AL132" s="626"/>
      <c r="AM132" s="626"/>
    </row>
    <row r="133" spans="3:39" ht="18" customHeight="1">
      <c r="C133" s="598">
        <v>113</v>
      </c>
      <c r="D133" s="598" t="s">
        <v>4500</v>
      </c>
      <c r="E133" s="598">
        <f t="shared" si="0"/>
        <v>107</v>
      </c>
      <c r="F133" s="616" t="s">
        <v>1233</v>
      </c>
      <c r="G133" s="616" t="s">
        <v>1234</v>
      </c>
      <c r="H133" s="618" t="s">
        <v>1232</v>
      </c>
      <c r="I133" s="618" t="s">
        <v>172</v>
      </c>
      <c r="J133" s="618" t="s">
        <v>1232</v>
      </c>
      <c r="K133" s="618" t="s">
        <v>1303</v>
      </c>
      <c r="L133" s="618" t="s">
        <v>2981</v>
      </c>
      <c r="M133" s="619"/>
      <c r="N133" s="620"/>
      <c r="O133" s="620"/>
      <c r="P133" s="673" t="s">
        <v>1127</v>
      </c>
      <c r="Q133" s="621"/>
      <c r="R133" s="598"/>
      <c r="S133" s="598"/>
      <c r="T133" s="598"/>
      <c r="U133" s="598" t="s">
        <v>992</v>
      </c>
      <c r="V133" s="673" t="s">
        <v>4501</v>
      </c>
      <c r="W133" s="779" t="s">
        <v>4502</v>
      </c>
      <c r="X133" s="598" t="s">
        <v>950</v>
      </c>
      <c r="Y133" s="624">
        <v>32287</v>
      </c>
      <c r="Z133" s="625">
        <f t="shared" ca="1" si="1"/>
        <v>37</v>
      </c>
      <c r="AA133" s="616" t="s">
        <v>4503</v>
      </c>
      <c r="AB133" s="598"/>
      <c r="AC133" s="598" t="s">
        <v>996</v>
      </c>
      <c r="AD133" s="598" t="s">
        <v>1018</v>
      </c>
      <c r="AE133" s="616" t="s">
        <v>1041</v>
      </c>
      <c r="AF133" s="616" t="s">
        <v>1041</v>
      </c>
      <c r="AG133" s="616" t="s">
        <v>2672</v>
      </c>
      <c r="AH133" s="598"/>
      <c r="AI133" s="598" t="s">
        <v>4504</v>
      </c>
      <c r="AJ133" s="598"/>
      <c r="AK133" s="680" t="s">
        <v>4505</v>
      </c>
      <c r="AL133" s="626"/>
      <c r="AM133" s="626"/>
    </row>
    <row r="134" spans="3:39" ht="18" customHeight="1">
      <c r="C134" s="598">
        <v>114</v>
      </c>
      <c r="D134" s="598" t="s">
        <v>1232</v>
      </c>
      <c r="E134" s="598">
        <f t="shared" si="0"/>
        <v>107</v>
      </c>
      <c r="F134" s="616"/>
      <c r="G134" s="616" t="s">
        <v>1234</v>
      </c>
      <c r="H134" s="618" t="s">
        <v>1232</v>
      </c>
      <c r="I134" s="618" t="s">
        <v>172</v>
      </c>
      <c r="J134" s="618" t="s">
        <v>1232</v>
      </c>
      <c r="K134" s="618"/>
      <c r="L134" s="618"/>
      <c r="M134" s="619"/>
      <c r="N134" s="620"/>
      <c r="O134" s="620"/>
      <c r="P134" s="667" t="s">
        <v>1157</v>
      </c>
      <c r="Q134" s="621" t="s">
        <v>4507</v>
      </c>
      <c r="R134" s="598" t="s">
        <v>55</v>
      </c>
      <c r="S134" s="598" t="s">
        <v>173</v>
      </c>
      <c r="T134" s="598" t="s">
        <v>55</v>
      </c>
      <c r="U134" s="598"/>
      <c r="V134" s="667" t="s">
        <v>172</v>
      </c>
      <c r="W134" s="779" t="s">
        <v>1236</v>
      </c>
      <c r="X134" s="598" t="s">
        <v>950</v>
      </c>
      <c r="Y134" s="624">
        <v>18512</v>
      </c>
      <c r="Z134" s="625">
        <f t="shared" ca="1" si="1"/>
        <v>75</v>
      </c>
      <c r="AA134" s="616" t="s">
        <v>1237</v>
      </c>
      <c r="AB134" s="598"/>
      <c r="AC134" s="598" t="s">
        <v>966</v>
      </c>
      <c r="AD134" s="598" t="s">
        <v>953</v>
      </c>
      <c r="AE134" s="616" t="s">
        <v>729</v>
      </c>
      <c r="AF134" s="616" t="s">
        <v>1239</v>
      </c>
      <c r="AG134" s="616" t="s">
        <v>1240</v>
      </c>
      <c r="AH134" s="598" t="s">
        <v>955</v>
      </c>
      <c r="AI134" s="598"/>
      <c r="AJ134" s="598"/>
      <c r="AK134" s="598"/>
      <c r="AL134" s="626"/>
      <c r="AM134" s="626"/>
    </row>
    <row r="135" spans="3:39" ht="18" customHeight="1">
      <c r="C135" s="598">
        <v>115</v>
      </c>
      <c r="D135" s="598" t="s">
        <v>4508</v>
      </c>
      <c r="E135" s="598">
        <f t="shared" si="0"/>
        <v>108</v>
      </c>
      <c r="F135" s="616" t="s">
        <v>1351</v>
      </c>
      <c r="G135" s="616" t="s">
        <v>1234</v>
      </c>
      <c r="H135" s="618" t="s">
        <v>1232</v>
      </c>
      <c r="I135" s="618" t="s">
        <v>172</v>
      </c>
      <c r="J135" s="618" t="s">
        <v>1232</v>
      </c>
      <c r="K135" s="618" t="s">
        <v>1232</v>
      </c>
      <c r="L135" s="618" t="s">
        <v>959</v>
      </c>
      <c r="M135" s="619"/>
      <c r="N135" s="620"/>
      <c r="O135" s="620"/>
      <c r="P135" s="663" t="s">
        <v>1157</v>
      </c>
      <c r="Q135" s="621" t="s">
        <v>319</v>
      </c>
      <c r="R135" s="598"/>
      <c r="S135" s="598"/>
      <c r="T135" s="598"/>
      <c r="U135" s="598" t="s">
        <v>1015</v>
      </c>
      <c r="V135" s="663" t="s">
        <v>196</v>
      </c>
      <c r="W135" s="779" t="s">
        <v>4509</v>
      </c>
      <c r="X135" s="598" t="s">
        <v>950</v>
      </c>
      <c r="Y135" s="624">
        <v>22348</v>
      </c>
      <c r="Z135" s="625">
        <f t="shared" ca="1" si="1"/>
        <v>64</v>
      </c>
      <c r="AA135" s="616" t="s">
        <v>4510</v>
      </c>
      <c r="AB135" s="598"/>
      <c r="AC135" s="598" t="s">
        <v>996</v>
      </c>
      <c r="AD135" s="598" t="s">
        <v>1018</v>
      </c>
      <c r="AE135" s="616" t="s">
        <v>729</v>
      </c>
      <c r="AF135" s="616" t="s">
        <v>729</v>
      </c>
      <c r="AG135" s="616" t="s">
        <v>1252</v>
      </c>
      <c r="AH135" s="598"/>
      <c r="AI135" s="598"/>
      <c r="AJ135" s="598" t="s">
        <v>1107</v>
      </c>
      <c r="AK135" s="598"/>
      <c r="AL135" s="626"/>
      <c r="AM135" s="626"/>
    </row>
    <row r="136" spans="3:39" ht="18" customHeight="1">
      <c r="C136" s="598">
        <v>116</v>
      </c>
      <c r="D136" s="598" t="s">
        <v>4511</v>
      </c>
      <c r="E136" s="598">
        <f t="shared" si="0"/>
        <v>109</v>
      </c>
      <c r="F136" s="616" t="s">
        <v>1351</v>
      </c>
      <c r="G136" s="616" t="s">
        <v>1234</v>
      </c>
      <c r="H136" s="618" t="s">
        <v>1232</v>
      </c>
      <c r="I136" s="618" t="s">
        <v>172</v>
      </c>
      <c r="J136" s="618" t="s">
        <v>1232</v>
      </c>
      <c r="K136" s="618" t="s">
        <v>1232</v>
      </c>
      <c r="L136" s="618" t="s">
        <v>959</v>
      </c>
      <c r="M136" s="619"/>
      <c r="N136" s="620"/>
      <c r="O136" s="620"/>
      <c r="P136" s="663" t="s">
        <v>1157</v>
      </c>
      <c r="Q136" s="621" t="s">
        <v>319</v>
      </c>
      <c r="R136" s="598"/>
      <c r="S136" s="598"/>
      <c r="T136" s="598"/>
      <c r="U136" s="598" t="s">
        <v>1015</v>
      </c>
      <c r="V136" s="663" t="s">
        <v>4512</v>
      </c>
      <c r="W136" s="779" t="s">
        <v>4513</v>
      </c>
      <c r="X136" s="598" t="s">
        <v>950</v>
      </c>
      <c r="Y136" s="624">
        <v>25612</v>
      </c>
      <c r="Z136" s="625">
        <f t="shared" ca="1" si="1"/>
        <v>55</v>
      </c>
      <c r="AA136" s="616" t="s">
        <v>4514</v>
      </c>
      <c r="AB136" s="598"/>
      <c r="AC136" s="598" t="s">
        <v>996</v>
      </c>
      <c r="AD136" s="598" t="s">
        <v>1018</v>
      </c>
      <c r="AE136" s="616" t="s">
        <v>729</v>
      </c>
      <c r="AF136" s="616" t="s">
        <v>729</v>
      </c>
      <c r="AG136" s="616" t="s">
        <v>1252</v>
      </c>
      <c r="AH136" s="598"/>
      <c r="AI136" s="598"/>
      <c r="AJ136" s="598" t="s">
        <v>1107</v>
      </c>
      <c r="AK136" s="598"/>
      <c r="AL136" s="626"/>
      <c r="AM136" s="626"/>
    </row>
    <row r="137" spans="3:39" ht="18" customHeight="1">
      <c r="C137" s="598">
        <v>117</v>
      </c>
      <c r="D137" s="598" t="s">
        <v>2838</v>
      </c>
      <c r="E137" s="598">
        <f t="shared" si="0"/>
        <v>110</v>
      </c>
      <c r="F137" s="616" t="s">
        <v>4978</v>
      </c>
      <c r="G137" s="616" t="s">
        <v>1234</v>
      </c>
      <c r="H137" s="618" t="s">
        <v>1232</v>
      </c>
      <c r="I137" s="618" t="s">
        <v>172</v>
      </c>
      <c r="J137" s="618" t="s">
        <v>1232</v>
      </c>
      <c r="K137" s="618" t="s">
        <v>1232</v>
      </c>
      <c r="L137" s="618" t="s">
        <v>959</v>
      </c>
      <c r="M137" s="619"/>
      <c r="N137" s="620"/>
      <c r="O137" s="620"/>
      <c r="P137" s="673" t="s">
        <v>1157</v>
      </c>
      <c r="Q137" s="621" t="s">
        <v>319</v>
      </c>
      <c r="R137" s="598"/>
      <c r="S137" s="598"/>
      <c r="T137" s="598"/>
      <c r="U137" s="598" t="s">
        <v>1015</v>
      </c>
      <c r="V137" s="673" t="s">
        <v>215</v>
      </c>
      <c r="W137" s="779" t="s">
        <v>2839</v>
      </c>
      <c r="X137" s="598" t="s">
        <v>950</v>
      </c>
      <c r="Y137" s="624">
        <v>27696</v>
      </c>
      <c r="Z137" s="625">
        <f t="shared" ca="1" si="1"/>
        <v>50</v>
      </c>
      <c r="AA137" s="616" t="s">
        <v>2840</v>
      </c>
      <c r="AB137" s="598"/>
      <c r="AC137" s="598" t="s">
        <v>996</v>
      </c>
      <c r="AD137" s="598" t="s">
        <v>997</v>
      </c>
      <c r="AE137" s="616" t="s">
        <v>1041</v>
      </c>
      <c r="AF137" s="616" t="s">
        <v>2069</v>
      </c>
      <c r="AG137" s="616" t="s">
        <v>2842</v>
      </c>
      <c r="AH137" s="598"/>
      <c r="AI137" s="598"/>
      <c r="AJ137" s="598" t="s">
        <v>1107</v>
      </c>
      <c r="AK137" s="598"/>
      <c r="AL137" s="626"/>
      <c r="AM137" s="626"/>
    </row>
    <row r="138" spans="3:39" ht="18" customHeight="1">
      <c r="C138" s="598">
        <v>118</v>
      </c>
      <c r="D138" s="598" t="s">
        <v>1506</v>
      </c>
      <c r="E138" s="598">
        <f t="shared" si="0"/>
        <v>110</v>
      </c>
      <c r="F138" s="616"/>
      <c r="G138" s="616" t="s">
        <v>4515</v>
      </c>
      <c r="H138" s="618" t="s">
        <v>1232</v>
      </c>
      <c r="I138" s="618" t="s">
        <v>271</v>
      </c>
      <c r="J138" s="618" t="s">
        <v>1506</v>
      </c>
      <c r="K138" s="618" t="s">
        <v>1506</v>
      </c>
      <c r="L138" s="618" t="s">
        <v>1454</v>
      </c>
      <c r="M138" s="619" t="s">
        <v>1464</v>
      </c>
      <c r="N138" s="620"/>
      <c r="O138" s="620"/>
      <c r="P138" s="667" t="s">
        <v>1044</v>
      </c>
      <c r="Q138" s="621"/>
      <c r="R138" s="598" t="s">
        <v>173</v>
      </c>
      <c r="S138" s="598" t="s">
        <v>514</v>
      </c>
      <c r="T138" s="598" t="s">
        <v>55</v>
      </c>
      <c r="U138" s="598"/>
      <c r="V138" s="667" t="s">
        <v>271</v>
      </c>
      <c r="W138" s="779" t="s">
        <v>1597</v>
      </c>
      <c r="X138" s="598" t="s">
        <v>950</v>
      </c>
      <c r="Y138" s="624">
        <v>29437</v>
      </c>
      <c r="Z138" s="625">
        <f t="shared" ca="1" si="1"/>
        <v>45</v>
      </c>
      <c r="AA138" s="616" t="s">
        <v>1598</v>
      </c>
      <c r="AB138" s="598"/>
      <c r="AC138" s="598" t="s">
        <v>966</v>
      </c>
      <c r="AD138" s="598" t="s">
        <v>953</v>
      </c>
      <c r="AE138" s="616" t="s">
        <v>729</v>
      </c>
      <c r="AF138" s="616" t="s">
        <v>1239</v>
      </c>
      <c r="AG138" s="616" t="s">
        <v>1258</v>
      </c>
      <c r="AH138" s="598" t="s">
        <v>955</v>
      </c>
      <c r="AI138" s="598"/>
      <c r="AJ138" s="598"/>
      <c r="AK138" s="598"/>
      <c r="AL138" s="626"/>
      <c r="AM138" s="626"/>
    </row>
    <row r="139" spans="3:39" ht="18" customHeight="1">
      <c r="C139" s="598">
        <v>119</v>
      </c>
      <c r="D139" s="598" t="s">
        <v>1454</v>
      </c>
      <c r="E139" s="598">
        <f t="shared" si="0"/>
        <v>111</v>
      </c>
      <c r="F139" s="616" t="s">
        <v>1233</v>
      </c>
      <c r="G139" s="616" t="s">
        <v>4515</v>
      </c>
      <c r="H139" s="618" t="s">
        <v>1232</v>
      </c>
      <c r="I139" s="618" t="s">
        <v>271</v>
      </c>
      <c r="J139" s="618" t="s">
        <v>1506</v>
      </c>
      <c r="K139" s="618" t="s">
        <v>1506</v>
      </c>
      <c r="L139" s="618" t="s">
        <v>1454</v>
      </c>
      <c r="M139" s="619" t="s">
        <v>1464</v>
      </c>
      <c r="N139" s="620"/>
      <c r="O139" s="620"/>
      <c r="P139" s="663" t="s">
        <v>1044</v>
      </c>
      <c r="Q139" s="621"/>
      <c r="R139" s="598" t="s">
        <v>69</v>
      </c>
      <c r="S139" s="598" t="s">
        <v>562</v>
      </c>
      <c r="T139" s="598"/>
      <c r="U139" s="598" t="s">
        <v>992</v>
      </c>
      <c r="V139" s="663" t="s">
        <v>358</v>
      </c>
      <c r="W139" s="779" t="s">
        <v>1460</v>
      </c>
      <c r="X139" s="598" t="s">
        <v>950</v>
      </c>
      <c r="Y139" s="624">
        <v>33229</v>
      </c>
      <c r="Z139" s="625">
        <f t="shared" ca="1" si="1"/>
        <v>35</v>
      </c>
      <c r="AA139" s="616" t="s">
        <v>1461</v>
      </c>
      <c r="AB139" s="598"/>
      <c r="AC139" s="598" t="s">
        <v>996</v>
      </c>
      <c r="AD139" s="598" t="s">
        <v>997</v>
      </c>
      <c r="AE139" s="616" t="s">
        <v>729</v>
      </c>
      <c r="AF139" s="616" t="s">
        <v>1239</v>
      </c>
      <c r="AG139" s="616" t="s">
        <v>1463</v>
      </c>
      <c r="AH139" s="598"/>
      <c r="AI139" s="598"/>
      <c r="AJ139" s="598" t="s">
        <v>1025</v>
      </c>
      <c r="AK139" s="598"/>
      <c r="AL139" s="626"/>
      <c r="AM139" s="626"/>
    </row>
    <row r="140" spans="3:39" ht="18" customHeight="1">
      <c r="C140" s="598">
        <v>120</v>
      </c>
      <c r="D140" s="598" t="s">
        <v>1464</v>
      </c>
      <c r="E140" s="598">
        <f t="shared" si="0"/>
        <v>112</v>
      </c>
      <c r="F140" s="616" t="s">
        <v>1233</v>
      </c>
      <c r="G140" s="616" t="s">
        <v>4515</v>
      </c>
      <c r="H140" s="618" t="s">
        <v>1232</v>
      </c>
      <c r="I140" s="618" t="s">
        <v>271</v>
      </c>
      <c r="J140" s="618" t="s">
        <v>1506</v>
      </c>
      <c r="K140" s="618" t="s">
        <v>4988</v>
      </c>
      <c r="L140" s="618" t="s">
        <v>1454</v>
      </c>
      <c r="M140" s="619" t="s">
        <v>1464</v>
      </c>
      <c r="N140" s="620"/>
      <c r="O140" s="620"/>
      <c r="P140" s="663" t="s">
        <v>1044</v>
      </c>
      <c r="Q140" s="621"/>
      <c r="R140" s="598" t="s">
        <v>69</v>
      </c>
      <c r="S140" s="598" t="s">
        <v>562</v>
      </c>
      <c r="T140" s="598"/>
      <c r="U140" s="598" t="s">
        <v>1015</v>
      </c>
      <c r="V140" s="663" t="s">
        <v>1465</v>
      </c>
      <c r="W140" s="779" t="s">
        <v>1466</v>
      </c>
      <c r="X140" s="598" t="s">
        <v>950</v>
      </c>
      <c r="Y140" s="624">
        <v>34252</v>
      </c>
      <c r="Z140" s="625">
        <f t="shared" ca="1" si="1"/>
        <v>32</v>
      </c>
      <c r="AA140" s="616" t="s">
        <v>1467</v>
      </c>
      <c r="AB140" s="598"/>
      <c r="AC140" s="598" t="s">
        <v>996</v>
      </c>
      <c r="AD140" s="598" t="s">
        <v>997</v>
      </c>
      <c r="AE140" s="616" t="s">
        <v>729</v>
      </c>
      <c r="AF140" s="616" t="s">
        <v>729</v>
      </c>
      <c r="AG140" s="616" t="s">
        <v>1323</v>
      </c>
      <c r="AH140" s="598"/>
      <c r="AI140" s="598"/>
      <c r="AJ140" s="598" t="s">
        <v>1025</v>
      </c>
      <c r="AK140" s="598"/>
      <c r="AL140" s="626"/>
      <c r="AM140" s="626"/>
    </row>
    <row r="141" spans="3:39" ht="18" customHeight="1">
      <c r="C141" s="598">
        <v>121</v>
      </c>
      <c r="D141" s="598" t="s">
        <v>4516</v>
      </c>
      <c r="E141" s="598">
        <f t="shared" si="0"/>
        <v>113</v>
      </c>
      <c r="F141" s="616" t="s">
        <v>1233</v>
      </c>
      <c r="G141" s="616" t="s">
        <v>4515</v>
      </c>
      <c r="H141" s="618" t="s">
        <v>1232</v>
      </c>
      <c r="I141" s="618" t="s">
        <v>271</v>
      </c>
      <c r="J141" s="618" t="s">
        <v>1506</v>
      </c>
      <c r="K141" s="618" t="s">
        <v>1506</v>
      </c>
      <c r="L141" s="618" t="s">
        <v>1454</v>
      </c>
      <c r="M141" s="619" t="s">
        <v>1464</v>
      </c>
      <c r="N141" s="620"/>
      <c r="O141" s="620"/>
      <c r="P141" s="663" t="s">
        <v>1044</v>
      </c>
      <c r="Q141" s="621"/>
      <c r="R141" s="598"/>
      <c r="S141" s="598"/>
      <c r="T141" s="598"/>
      <c r="U141" s="598" t="s">
        <v>1015</v>
      </c>
      <c r="V141" s="663" t="s">
        <v>372</v>
      </c>
      <c r="W141" s="779" t="s">
        <v>4517</v>
      </c>
      <c r="X141" s="598" t="s">
        <v>950</v>
      </c>
      <c r="Y141" s="624">
        <v>30747</v>
      </c>
      <c r="Z141" s="625">
        <f t="shared" ca="1" si="1"/>
        <v>41</v>
      </c>
      <c r="AA141" s="616" t="s">
        <v>4518</v>
      </c>
      <c r="AB141" s="598"/>
      <c r="AC141" s="598" t="s">
        <v>996</v>
      </c>
      <c r="AD141" s="598" t="s">
        <v>997</v>
      </c>
      <c r="AE141" s="616" t="s">
        <v>729</v>
      </c>
      <c r="AF141" s="616" t="s">
        <v>729</v>
      </c>
      <c r="AG141" s="616" t="s">
        <v>1252</v>
      </c>
      <c r="AH141" s="598"/>
      <c r="AI141" s="598"/>
      <c r="AJ141" s="598" t="s">
        <v>1025</v>
      </c>
      <c r="AK141" s="598"/>
      <c r="AL141" s="626"/>
      <c r="AM141" s="626"/>
    </row>
    <row r="142" spans="3:39" ht="18" customHeight="1">
      <c r="C142" s="598">
        <v>122</v>
      </c>
      <c r="D142" s="598" t="s">
        <v>1619</v>
      </c>
      <c r="E142" s="598">
        <f t="shared" si="0"/>
        <v>114</v>
      </c>
      <c r="F142" s="616" t="s">
        <v>1233</v>
      </c>
      <c r="G142" s="616" t="s">
        <v>4515</v>
      </c>
      <c r="H142" s="618" t="s">
        <v>1232</v>
      </c>
      <c r="I142" s="618" t="s">
        <v>271</v>
      </c>
      <c r="J142" s="618" t="s">
        <v>1506</v>
      </c>
      <c r="K142" s="618" t="s">
        <v>1506</v>
      </c>
      <c r="L142" s="618" t="s">
        <v>1454</v>
      </c>
      <c r="M142" s="619" t="s">
        <v>1464</v>
      </c>
      <c r="N142" s="620"/>
      <c r="O142" s="620"/>
      <c r="P142" s="663" t="s">
        <v>1044</v>
      </c>
      <c r="Q142" s="621"/>
      <c r="R142" s="598"/>
      <c r="S142" s="598"/>
      <c r="T142" s="598"/>
      <c r="U142" s="598" t="s">
        <v>992</v>
      </c>
      <c r="V142" s="663" t="s">
        <v>385</v>
      </c>
      <c r="W142" s="779" t="s">
        <v>1620</v>
      </c>
      <c r="X142" s="598" t="s">
        <v>950</v>
      </c>
      <c r="Y142" s="624">
        <v>31903</v>
      </c>
      <c r="Z142" s="625">
        <f t="shared" ca="1" si="1"/>
        <v>38</v>
      </c>
      <c r="AA142" s="616" t="s">
        <v>1621</v>
      </c>
      <c r="AB142" s="598"/>
      <c r="AC142" s="598" t="s">
        <v>996</v>
      </c>
      <c r="AD142" s="598" t="s">
        <v>997</v>
      </c>
      <c r="AE142" s="616" t="s">
        <v>1494</v>
      </c>
      <c r="AF142" s="616" t="s">
        <v>1494</v>
      </c>
      <c r="AG142" s="616" t="s">
        <v>1623</v>
      </c>
      <c r="AH142" s="598"/>
      <c r="AI142" s="598"/>
      <c r="AJ142" s="598" t="s">
        <v>1025</v>
      </c>
      <c r="AK142" s="598"/>
      <c r="AL142" s="626"/>
      <c r="AM142" s="626"/>
    </row>
    <row r="143" spans="3:39" ht="18" customHeight="1">
      <c r="C143" s="598">
        <v>123</v>
      </c>
      <c r="D143" s="598" t="s">
        <v>1624</v>
      </c>
      <c r="E143" s="598">
        <f t="shared" si="0"/>
        <v>115</v>
      </c>
      <c r="F143" s="616" t="s">
        <v>1233</v>
      </c>
      <c r="G143" s="616" t="s">
        <v>4515</v>
      </c>
      <c r="H143" s="618" t="s">
        <v>1232</v>
      </c>
      <c r="I143" s="618" t="s">
        <v>271</v>
      </c>
      <c r="J143" s="618" t="s">
        <v>1506</v>
      </c>
      <c r="K143" s="618" t="s">
        <v>1506</v>
      </c>
      <c r="L143" s="618" t="s">
        <v>1454</v>
      </c>
      <c r="M143" s="619" t="s">
        <v>1464</v>
      </c>
      <c r="N143" s="620"/>
      <c r="O143" s="620"/>
      <c r="P143" s="663" t="s">
        <v>1044</v>
      </c>
      <c r="Q143" s="621"/>
      <c r="R143" s="598"/>
      <c r="S143" s="598"/>
      <c r="T143" s="598"/>
      <c r="U143" s="598" t="s">
        <v>992</v>
      </c>
      <c r="V143" s="663" t="s">
        <v>398</v>
      </c>
      <c r="W143" s="779" t="s">
        <v>1625</v>
      </c>
      <c r="X143" s="598" t="s">
        <v>950</v>
      </c>
      <c r="Y143" s="624">
        <v>31903</v>
      </c>
      <c r="Z143" s="625">
        <f t="shared" ca="1" si="1"/>
        <v>38</v>
      </c>
      <c r="AA143" s="616" t="s">
        <v>1626</v>
      </c>
      <c r="AB143" s="598"/>
      <c r="AC143" s="598" t="s">
        <v>1006</v>
      </c>
      <c r="AD143" s="598" t="s">
        <v>953</v>
      </c>
      <c r="AE143" s="616" t="s">
        <v>1494</v>
      </c>
      <c r="AF143" s="616" t="s">
        <v>1494</v>
      </c>
      <c r="AG143" s="616" t="s">
        <v>1623</v>
      </c>
      <c r="AH143" s="598"/>
      <c r="AI143" s="598"/>
      <c r="AJ143" s="598" t="s">
        <v>1025</v>
      </c>
      <c r="AK143" s="598"/>
      <c r="AL143" s="626"/>
      <c r="AM143" s="626"/>
    </row>
    <row r="144" spans="3:39" ht="18" customHeight="1">
      <c r="C144" s="598">
        <v>124</v>
      </c>
      <c r="D144" s="598" t="s">
        <v>4520</v>
      </c>
      <c r="E144" s="598">
        <f t="shared" si="0"/>
        <v>116</v>
      </c>
      <c r="F144" s="616" t="s">
        <v>1233</v>
      </c>
      <c r="G144" s="616" t="s">
        <v>4515</v>
      </c>
      <c r="H144" s="618" t="s">
        <v>1232</v>
      </c>
      <c r="I144" s="618" t="s">
        <v>271</v>
      </c>
      <c r="J144" s="618" t="s">
        <v>1506</v>
      </c>
      <c r="K144" s="618" t="s">
        <v>1506</v>
      </c>
      <c r="L144" s="618" t="s">
        <v>1454</v>
      </c>
      <c r="M144" s="619" t="s">
        <v>1464</v>
      </c>
      <c r="N144" s="620"/>
      <c r="O144" s="620"/>
      <c r="P144" s="663" t="s">
        <v>1044</v>
      </c>
      <c r="Q144" s="621"/>
      <c r="R144" s="598"/>
      <c r="S144" s="598"/>
      <c r="T144" s="598"/>
      <c r="U144" s="598" t="s">
        <v>992</v>
      </c>
      <c r="V144" s="663" t="s">
        <v>410</v>
      </c>
      <c r="W144" s="779" t="s">
        <v>4521</v>
      </c>
      <c r="X144" s="598" t="s">
        <v>950</v>
      </c>
      <c r="Y144" s="624">
        <v>38235</v>
      </c>
      <c r="Z144" s="625">
        <f t="shared" ca="1" si="1"/>
        <v>21</v>
      </c>
      <c r="AA144" s="616" t="s">
        <v>4522</v>
      </c>
      <c r="AB144" s="598"/>
      <c r="AC144" s="598" t="s">
        <v>996</v>
      </c>
      <c r="AD144" s="598" t="s">
        <v>1018</v>
      </c>
      <c r="AE144" s="616" t="s">
        <v>1041</v>
      </c>
      <c r="AF144" s="616" t="s">
        <v>729</v>
      </c>
      <c r="AG144" s="616" t="s">
        <v>4524</v>
      </c>
      <c r="AH144" s="598"/>
      <c r="AI144" s="598"/>
      <c r="AJ144" s="598" t="s">
        <v>1025</v>
      </c>
      <c r="AK144" s="598"/>
      <c r="AL144" s="626"/>
      <c r="AM144" s="626"/>
    </row>
    <row r="145" spans="3:39" ht="18" customHeight="1">
      <c r="C145" s="598">
        <v>125</v>
      </c>
      <c r="D145" s="598" t="s">
        <v>1469</v>
      </c>
      <c r="E145" s="598">
        <f t="shared" si="0"/>
        <v>117</v>
      </c>
      <c r="F145" s="616" t="s">
        <v>4978</v>
      </c>
      <c r="G145" s="616" t="s">
        <v>4515</v>
      </c>
      <c r="H145" s="618" t="s">
        <v>1232</v>
      </c>
      <c r="I145" s="618" t="s">
        <v>271</v>
      </c>
      <c r="J145" s="618" t="s">
        <v>1506</v>
      </c>
      <c r="K145" s="618" t="s">
        <v>1506</v>
      </c>
      <c r="L145" s="618" t="s">
        <v>1454</v>
      </c>
      <c r="M145" s="619" t="s">
        <v>1464</v>
      </c>
      <c r="N145" s="620"/>
      <c r="O145" s="620"/>
      <c r="P145" s="663" t="s">
        <v>1044</v>
      </c>
      <c r="Q145" s="621" t="s">
        <v>319</v>
      </c>
      <c r="R145" s="598"/>
      <c r="S145" s="598"/>
      <c r="T145" s="598"/>
      <c r="U145" s="598" t="s">
        <v>1015</v>
      </c>
      <c r="V145" s="663" t="s">
        <v>422</v>
      </c>
      <c r="W145" s="779" t="s">
        <v>1470</v>
      </c>
      <c r="X145" s="598" t="s">
        <v>950</v>
      </c>
      <c r="Y145" s="624">
        <v>29402</v>
      </c>
      <c r="Z145" s="625">
        <f t="shared" ca="1" si="1"/>
        <v>45</v>
      </c>
      <c r="AA145" s="616" t="s">
        <v>1471</v>
      </c>
      <c r="AB145" s="598"/>
      <c r="AC145" s="598" t="s">
        <v>996</v>
      </c>
      <c r="AD145" s="598" t="s">
        <v>997</v>
      </c>
      <c r="AE145" s="616" t="s">
        <v>729</v>
      </c>
      <c r="AF145" s="640" t="s">
        <v>729</v>
      </c>
      <c r="AG145" s="616" t="s">
        <v>5041</v>
      </c>
      <c r="AH145" s="598"/>
      <c r="AI145" s="598"/>
      <c r="AJ145" s="634"/>
      <c r="AK145" s="598"/>
      <c r="AL145" s="626"/>
      <c r="AM145" s="626"/>
    </row>
    <row r="146" spans="3:39" ht="18" customHeight="1">
      <c r="C146" s="598">
        <v>126</v>
      </c>
      <c r="D146" s="598" t="s">
        <v>3678</v>
      </c>
      <c r="E146" s="598">
        <f t="shared" si="0"/>
        <v>118</v>
      </c>
      <c r="F146" s="616" t="s">
        <v>4978</v>
      </c>
      <c r="G146" s="616" t="s">
        <v>4515</v>
      </c>
      <c r="H146" s="618" t="s">
        <v>1232</v>
      </c>
      <c r="I146" s="618" t="s">
        <v>271</v>
      </c>
      <c r="J146" s="618" t="s">
        <v>1506</v>
      </c>
      <c r="K146" s="618" t="s">
        <v>1506</v>
      </c>
      <c r="L146" s="618" t="s">
        <v>1454</v>
      </c>
      <c r="M146" s="619" t="s">
        <v>1464</v>
      </c>
      <c r="N146" s="620"/>
      <c r="O146" s="620"/>
      <c r="P146" s="663" t="s">
        <v>1044</v>
      </c>
      <c r="Q146" s="621" t="s">
        <v>319</v>
      </c>
      <c r="R146" s="598"/>
      <c r="S146" s="598"/>
      <c r="T146" s="598"/>
      <c r="U146" s="598" t="s">
        <v>992</v>
      </c>
      <c r="V146" s="663" t="s">
        <v>430</v>
      </c>
      <c r="W146" s="779" t="s">
        <v>3679</v>
      </c>
      <c r="X146" s="598" t="s">
        <v>950</v>
      </c>
      <c r="Y146" s="624">
        <v>32595</v>
      </c>
      <c r="Z146" s="625">
        <f t="shared" ca="1" si="1"/>
        <v>36</v>
      </c>
      <c r="AA146" s="616" t="s">
        <v>3680</v>
      </c>
      <c r="AB146" s="598"/>
      <c r="AC146" s="598" t="s">
        <v>996</v>
      </c>
      <c r="AD146" s="598" t="s">
        <v>1018</v>
      </c>
      <c r="AE146" s="616" t="s">
        <v>5042</v>
      </c>
      <c r="AF146" s="640" t="s">
        <v>5043</v>
      </c>
      <c r="AG146" s="640" t="s">
        <v>5044</v>
      </c>
      <c r="AH146" s="598"/>
      <c r="AI146" s="598"/>
      <c r="AJ146" s="634"/>
      <c r="AK146" s="598"/>
      <c r="AL146" s="626"/>
      <c r="AM146" s="626"/>
    </row>
    <row r="147" spans="3:39" ht="18" customHeight="1">
      <c r="C147" s="598">
        <v>127</v>
      </c>
      <c r="D147" s="598" t="s">
        <v>1474</v>
      </c>
      <c r="E147" s="598">
        <f t="shared" si="0"/>
        <v>119</v>
      </c>
      <c r="F147" s="616" t="s">
        <v>4978</v>
      </c>
      <c r="G147" s="616" t="s">
        <v>4515</v>
      </c>
      <c r="H147" s="618" t="s">
        <v>1232</v>
      </c>
      <c r="I147" s="618" t="s">
        <v>271</v>
      </c>
      <c r="J147" s="618" t="s">
        <v>1506</v>
      </c>
      <c r="K147" s="618" t="s">
        <v>1506</v>
      </c>
      <c r="L147" s="618" t="s">
        <v>1454</v>
      </c>
      <c r="M147" s="619" t="s">
        <v>1464</v>
      </c>
      <c r="N147" s="620"/>
      <c r="O147" s="620"/>
      <c r="P147" s="663" t="s">
        <v>1044</v>
      </c>
      <c r="Q147" s="621" t="s">
        <v>319</v>
      </c>
      <c r="R147" s="598"/>
      <c r="S147" s="598"/>
      <c r="T147" s="598"/>
      <c r="U147" s="598" t="s">
        <v>992</v>
      </c>
      <c r="V147" s="663" t="s">
        <v>438</v>
      </c>
      <c r="W147" s="779" t="s">
        <v>1475</v>
      </c>
      <c r="X147" s="598" t="s">
        <v>950</v>
      </c>
      <c r="Y147" s="624">
        <v>36641</v>
      </c>
      <c r="Z147" s="625">
        <f t="shared" ca="1" si="1"/>
        <v>25</v>
      </c>
      <c r="AA147" s="616" t="s">
        <v>5045</v>
      </c>
      <c r="AB147" s="598"/>
      <c r="AC147" s="598" t="s">
        <v>996</v>
      </c>
      <c r="AD147" s="598" t="s">
        <v>1018</v>
      </c>
      <c r="AE147" s="616" t="s">
        <v>5043</v>
      </c>
      <c r="AF147" s="640" t="s">
        <v>5043</v>
      </c>
      <c r="AG147" s="616" t="s">
        <v>5046</v>
      </c>
      <c r="AH147" s="598"/>
      <c r="AI147" s="598"/>
      <c r="AJ147" s="634"/>
      <c r="AK147" s="598"/>
      <c r="AL147" s="626"/>
      <c r="AM147" s="626"/>
    </row>
    <row r="148" spans="3:39" ht="18" customHeight="1">
      <c r="C148" s="598">
        <v>128</v>
      </c>
      <c r="D148" s="598" t="s">
        <v>4526</v>
      </c>
      <c r="E148" s="598">
        <f t="shared" si="0"/>
        <v>120</v>
      </c>
      <c r="F148" s="616" t="s">
        <v>4978</v>
      </c>
      <c r="G148" s="616" t="s">
        <v>4515</v>
      </c>
      <c r="H148" s="618" t="s">
        <v>1232</v>
      </c>
      <c r="I148" s="618" t="s">
        <v>271</v>
      </c>
      <c r="J148" s="618" t="s">
        <v>1506</v>
      </c>
      <c r="K148" s="618" t="s">
        <v>1506</v>
      </c>
      <c r="L148" s="618" t="s">
        <v>1454</v>
      </c>
      <c r="M148" s="619" t="s">
        <v>1464</v>
      </c>
      <c r="N148" s="620"/>
      <c r="O148" s="620"/>
      <c r="P148" s="663" t="s">
        <v>1044</v>
      </c>
      <c r="Q148" s="621" t="s">
        <v>319</v>
      </c>
      <c r="R148" s="598"/>
      <c r="S148" s="598"/>
      <c r="T148" s="598"/>
      <c r="U148" s="598" t="s">
        <v>992</v>
      </c>
      <c r="V148" s="663" t="s">
        <v>444</v>
      </c>
      <c r="W148" s="779" t="s">
        <v>4527</v>
      </c>
      <c r="X148" s="598" t="s">
        <v>950</v>
      </c>
      <c r="Y148" s="624">
        <v>36882</v>
      </c>
      <c r="Z148" s="625">
        <f t="shared" ca="1" si="1"/>
        <v>25</v>
      </c>
      <c r="AA148" s="616" t="s">
        <v>5047</v>
      </c>
      <c r="AB148" s="598"/>
      <c r="AC148" s="598" t="s">
        <v>996</v>
      </c>
      <c r="AD148" s="598" t="s">
        <v>1018</v>
      </c>
      <c r="AE148" s="616" t="s">
        <v>5048</v>
      </c>
      <c r="AF148" s="616" t="s">
        <v>1494</v>
      </c>
      <c r="AG148" s="653" t="s">
        <v>1623</v>
      </c>
      <c r="AH148" s="598"/>
      <c r="AI148" s="598"/>
      <c r="AJ148" s="634"/>
      <c r="AK148" s="598"/>
      <c r="AL148" s="626"/>
      <c r="AM148" s="626"/>
    </row>
    <row r="149" spans="3:39" ht="18" customHeight="1">
      <c r="C149" s="598">
        <v>129</v>
      </c>
      <c r="D149" s="598" t="s">
        <v>1600</v>
      </c>
      <c r="E149" s="598">
        <f t="shared" si="0"/>
        <v>121</v>
      </c>
      <c r="F149" s="616" t="s">
        <v>4978</v>
      </c>
      <c r="G149" s="616" t="s">
        <v>4515</v>
      </c>
      <c r="H149" s="618" t="s">
        <v>1232</v>
      </c>
      <c r="I149" s="618" t="s">
        <v>271</v>
      </c>
      <c r="J149" s="618" t="s">
        <v>1506</v>
      </c>
      <c r="K149" s="618" t="s">
        <v>1506</v>
      </c>
      <c r="L149" s="618" t="s">
        <v>1454</v>
      </c>
      <c r="M149" s="619" t="s">
        <v>1464</v>
      </c>
      <c r="N149" s="620"/>
      <c r="O149" s="620"/>
      <c r="P149" s="663" t="s">
        <v>1044</v>
      </c>
      <c r="Q149" s="621" t="s">
        <v>319</v>
      </c>
      <c r="R149" s="598"/>
      <c r="S149" s="598"/>
      <c r="T149" s="598"/>
      <c r="U149" s="598" t="s">
        <v>1015</v>
      </c>
      <c r="V149" s="663" t="s">
        <v>447</v>
      </c>
      <c r="W149" s="779" t="s">
        <v>1601</v>
      </c>
      <c r="X149" s="598" t="s">
        <v>950</v>
      </c>
      <c r="Y149" s="624">
        <v>30868</v>
      </c>
      <c r="Z149" s="625">
        <f t="shared" ca="1" si="1"/>
        <v>41</v>
      </c>
      <c r="AA149" s="616" t="s">
        <v>1602</v>
      </c>
      <c r="AB149" s="598"/>
      <c r="AC149" s="598" t="s">
        <v>996</v>
      </c>
      <c r="AD149" s="598" t="s">
        <v>1018</v>
      </c>
      <c r="AE149" s="616" t="s">
        <v>5043</v>
      </c>
      <c r="AF149" s="616" t="s">
        <v>729</v>
      </c>
      <c r="AG149" s="616" t="s">
        <v>1323</v>
      </c>
      <c r="AH149" s="598"/>
      <c r="AI149" s="598"/>
      <c r="AJ149" s="647" t="s">
        <v>1513</v>
      </c>
      <c r="AK149" s="598"/>
      <c r="AL149" s="626"/>
      <c r="AM149" s="626"/>
    </row>
    <row r="150" spans="3:39" ht="18" customHeight="1">
      <c r="C150" s="598">
        <v>130</v>
      </c>
      <c r="D150" s="598" t="s">
        <v>2139</v>
      </c>
      <c r="E150" s="598">
        <f t="shared" si="0"/>
        <v>122</v>
      </c>
      <c r="F150" s="616" t="s">
        <v>4978</v>
      </c>
      <c r="G150" s="616" t="s">
        <v>4515</v>
      </c>
      <c r="H150" s="618" t="s">
        <v>1232</v>
      </c>
      <c r="I150" s="618" t="s">
        <v>271</v>
      </c>
      <c r="J150" s="618" t="s">
        <v>1506</v>
      </c>
      <c r="K150" s="618" t="s">
        <v>1506</v>
      </c>
      <c r="L150" s="618" t="s">
        <v>1454</v>
      </c>
      <c r="M150" s="619" t="s">
        <v>1464</v>
      </c>
      <c r="N150" s="620"/>
      <c r="O150" s="620"/>
      <c r="P150" s="663" t="s">
        <v>1044</v>
      </c>
      <c r="Q150" s="621" t="s">
        <v>319</v>
      </c>
      <c r="R150" s="598"/>
      <c r="S150" s="598"/>
      <c r="T150" s="598"/>
      <c r="U150" s="598" t="s">
        <v>992</v>
      </c>
      <c r="V150" s="663" t="s">
        <v>449</v>
      </c>
      <c r="W150" s="779" t="s">
        <v>2140</v>
      </c>
      <c r="X150" s="598" t="s">
        <v>950</v>
      </c>
      <c r="Y150" s="624">
        <v>32006</v>
      </c>
      <c r="Z150" s="625">
        <f t="shared" ca="1" si="1"/>
        <v>38</v>
      </c>
      <c r="AA150" s="616" t="s">
        <v>2141</v>
      </c>
      <c r="AB150" s="598"/>
      <c r="AC150" s="598" t="s">
        <v>996</v>
      </c>
      <c r="AD150" s="598" t="s">
        <v>1018</v>
      </c>
      <c r="AE150" s="616" t="s">
        <v>5043</v>
      </c>
      <c r="AF150" s="616" t="s">
        <v>729</v>
      </c>
      <c r="AG150" s="616" t="s">
        <v>2142</v>
      </c>
      <c r="AH150" s="598"/>
      <c r="AI150" s="598"/>
      <c r="AJ150" s="647" t="s">
        <v>1513</v>
      </c>
      <c r="AK150" s="598"/>
      <c r="AL150" s="626"/>
      <c r="AM150" s="626"/>
    </row>
    <row r="151" spans="3:39" ht="18" customHeight="1">
      <c r="C151" s="598">
        <v>131</v>
      </c>
      <c r="D151" s="598" t="s">
        <v>4530</v>
      </c>
      <c r="E151" s="598">
        <f t="shared" si="0"/>
        <v>123</v>
      </c>
      <c r="F151" s="616" t="s">
        <v>1233</v>
      </c>
      <c r="G151" s="616" t="s">
        <v>4515</v>
      </c>
      <c r="H151" s="618" t="s">
        <v>1232</v>
      </c>
      <c r="I151" s="618" t="s">
        <v>271</v>
      </c>
      <c r="J151" s="618" t="s">
        <v>1506</v>
      </c>
      <c r="K151" s="618" t="s">
        <v>1506</v>
      </c>
      <c r="L151" s="618" t="s">
        <v>1454</v>
      </c>
      <c r="M151" s="619" t="s">
        <v>1464</v>
      </c>
      <c r="N151" s="620"/>
      <c r="O151" s="620"/>
      <c r="P151" s="663" t="s">
        <v>1044</v>
      </c>
      <c r="Q151" s="621"/>
      <c r="R151" s="598"/>
      <c r="S151" s="598"/>
      <c r="T151" s="598"/>
      <c r="U151" s="598" t="s">
        <v>1015</v>
      </c>
      <c r="V151" s="663" t="s">
        <v>4531</v>
      </c>
      <c r="W151" s="779" t="s">
        <v>4532</v>
      </c>
      <c r="X151" s="598" t="s">
        <v>950</v>
      </c>
      <c r="Y151" s="624">
        <v>34187</v>
      </c>
      <c r="Z151" s="625">
        <f t="shared" ca="1" si="1"/>
        <v>32</v>
      </c>
      <c r="AA151" s="616" t="s">
        <v>4533</v>
      </c>
      <c r="AB151" s="598"/>
      <c r="AC151" s="598" t="s">
        <v>996</v>
      </c>
      <c r="AD151" s="598" t="s">
        <v>1018</v>
      </c>
      <c r="AE151" s="616" t="s">
        <v>729</v>
      </c>
      <c r="AF151" s="616" t="s">
        <v>729</v>
      </c>
      <c r="AG151" s="616" t="s">
        <v>1533</v>
      </c>
      <c r="AH151" s="598"/>
      <c r="AI151" s="598" t="s">
        <v>4535</v>
      </c>
      <c r="AJ151" s="598" t="s">
        <v>1025</v>
      </c>
      <c r="AK151" s="598"/>
      <c r="AL151" s="626"/>
      <c r="AM151" s="626"/>
    </row>
    <row r="152" spans="3:39" ht="18" customHeight="1">
      <c r="C152" s="598">
        <v>132</v>
      </c>
      <c r="D152" s="598" t="s">
        <v>4536</v>
      </c>
      <c r="E152" s="598">
        <f t="shared" si="0"/>
        <v>124</v>
      </c>
      <c r="F152" s="616" t="s">
        <v>1233</v>
      </c>
      <c r="G152" s="616" t="s">
        <v>4515</v>
      </c>
      <c r="H152" s="618" t="s">
        <v>1232</v>
      </c>
      <c r="I152" s="618" t="s">
        <v>271</v>
      </c>
      <c r="J152" s="618" t="s">
        <v>1506</v>
      </c>
      <c r="K152" s="618" t="s">
        <v>1506</v>
      </c>
      <c r="L152" s="618" t="s">
        <v>1454</v>
      </c>
      <c r="M152" s="619" t="s">
        <v>1464</v>
      </c>
      <c r="N152" s="620"/>
      <c r="O152" s="620"/>
      <c r="P152" s="663" t="s">
        <v>1044</v>
      </c>
      <c r="Q152" s="621"/>
      <c r="R152" s="598"/>
      <c r="S152" s="598"/>
      <c r="T152" s="598"/>
      <c r="U152" s="598" t="s">
        <v>992</v>
      </c>
      <c r="V152" s="663" t="s">
        <v>4537</v>
      </c>
      <c r="W152" s="779" t="s">
        <v>4538</v>
      </c>
      <c r="X152" s="598" t="s">
        <v>950</v>
      </c>
      <c r="Y152" s="624">
        <v>37337</v>
      </c>
      <c r="Z152" s="625">
        <f t="shared" ca="1" si="1"/>
        <v>23</v>
      </c>
      <c r="AA152" s="616" t="s">
        <v>4539</v>
      </c>
      <c r="AB152" s="598"/>
      <c r="AC152" s="598" t="s">
        <v>996</v>
      </c>
      <c r="AD152" s="598" t="s">
        <v>1018</v>
      </c>
      <c r="AE152" s="616" t="s">
        <v>729</v>
      </c>
      <c r="AF152" s="616" t="s">
        <v>729</v>
      </c>
      <c r="AG152" s="616" t="s">
        <v>4541</v>
      </c>
      <c r="AH152" s="598"/>
      <c r="AI152" s="598" t="s">
        <v>4542</v>
      </c>
      <c r="AJ152" s="598" t="s">
        <v>1025</v>
      </c>
      <c r="AK152" s="598"/>
      <c r="AL152" s="626"/>
      <c r="AM152" s="626"/>
    </row>
    <row r="153" spans="3:39" ht="18" customHeight="1">
      <c r="C153" s="598">
        <v>133</v>
      </c>
      <c r="D153" s="598" t="s">
        <v>4543</v>
      </c>
      <c r="E153" s="598">
        <f t="shared" si="0"/>
        <v>125</v>
      </c>
      <c r="F153" s="616" t="s">
        <v>1233</v>
      </c>
      <c r="G153" s="616" t="s">
        <v>4515</v>
      </c>
      <c r="H153" s="618" t="s">
        <v>1232</v>
      </c>
      <c r="I153" s="618" t="s">
        <v>271</v>
      </c>
      <c r="J153" s="618" t="s">
        <v>1506</v>
      </c>
      <c r="K153" s="618" t="s">
        <v>4988</v>
      </c>
      <c r="L153" s="618" t="s">
        <v>1454</v>
      </c>
      <c r="M153" s="619" t="s">
        <v>1464</v>
      </c>
      <c r="N153" s="620"/>
      <c r="O153" s="620"/>
      <c r="P153" s="673" t="s">
        <v>1044</v>
      </c>
      <c r="Q153" s="621"/>
      <c r="R153" s="598"/>
      <c r="S153" s="598"/>
      <c r="T153" s="598"/>
      <c r="U153" s="598" t="s">
        <v>992</v>
      </c>
      <c r="V153" s="673" t="s">
        <v>4544</v>
      </c>
      <c r="W153" s="779" t="s">
        <v>4545</v>
      </c>
      <c r="X153" s="598" t="s">
        <v>950</v>
      </c>
      <c r="Y153" s="624">
        <v>35479</v>
      </c>
      <c r="Z153" s="625">
        <f t="shared" ca="1" si="1"/>
        <v>28</v>
      </c>
      <c r="AA153" s="616" t="s">
        <v>4546</v>
      </c>
      <c r="AB153" s="598"/>
      <c r="AC153" s="598" t="s">
        <v>996</v>
      </c>
      <c r="AD153" s="598" t="s">
        <v>1018</v>
      </c>
      <c r="AE153" s="616" t="s">
        <v>729</v>
      </c>
      <c r="AF153" s="616" t="s">
        <v>729</v>
      </c>
      <c r="AG153" s="616" t="s">
        <v>1317</v>
      </c>
      <c r="AH153" s="598"/>
      <c r="AI153" s="598" t="s">
        <v>4547</v>
      </c>
      <c r="AJ153" s="598" t="s">
        <v>1025</v>
      </c>
      <c r="AK153" s="598"/>
      <c r="AL153" s="626"/>
      <c r="AM153" s="626"/>
    </row>
    <row r="154" spans="3:39" ht="18" customHeight="1">
      <c r="C154" s="598">
        <v>134</v>
      </c>
      <c r="D154" s="598" t="s">
        <v>1245</v>
      </c>
      <c r="E154" s="598">
        <f t="shared" si="0"/>
        <v>126</v>
      </c>
      <c r="F154" s="616" t="s">
        <v>1233</v>
      </c>
      <c r="G154" s="616" t="s">
        <v>4515</v>
      </c>
      <c r="H154" s="618" t="s">
        <v>1232</v>
      </c>
      <c r="I154" s="618" t="s">
        <v>271</v>
      </c>
      <c r="J154" s="618" t="s">
        <v>1506</v>
      </c>
      <c r="K154" s="618" t="s">
        <v>1245</v>
      </c>
      <c r="L154" s="618" t="s">
        <v>1736</v>
      </c>
      <c r="M154" s="619"/>
      <c r="N154" s="620"/>
      <c r="O154" s="620"/>
      <c r="P154" s="667" t="s">
        <v>1074</v>
      </c>
      <c r="Q154" s="621"/>
      <c r="R154" s="598" t="s">
        <v>55</v>
      </c>
      <c r="S154" s="598" t="s">
        <v>178</v>
      </c>
      <c r="T154" s="598"/>
      <c r="U154" s="598" t="s">
        <v>962</v>
      </c>
      <c r="V154" s="667" t="s">
        <v>1246</v>
      </c>
      <c r="W154" s="779" t="s">
        <v>1247</v>
      </c>
      <c r="X154" s="598" t="s">
        <v>963</v>
      </c>
      <c r="Y154" s="624">
        <v>32406</v>
      </c>
      <c r="Z154" s="625">
        <f t="shared" ca="1" si="1"/>
        <v>37</v>
      </c>
      <c r="AA154" s="616" t="s">
        <v>1248</v>
      </c>
      <c r="AB154" s="598" t="s">
        <v>1249</v>
      </c>
      <c r="AC154" s="598" t="s">
        <v>966</v>
      </c>
      <c r="AD154" s="598" t="s">
        <v>953</v>
      </c>
      <c r="AE154" s="616" t="s">
        <v>729</v>
      </c>
      <c r="AF154" s="616" t="s">
        <v>1250</v>
      </c>
      <c r="AG154" s="616" t="s">
        <v>1251</v>
      </c>
      <c r="AH154" s="598"/>
      <c r="AI154" s="598"/>
      <c r="AJ154" s="598" t="s">
        <v>1125</v>
      </c>
      <c r="AK154" s="598"/>
      <c r="AL154" s="626"/>
      <c r="AM154" s="626"/>
    </row>
    <row r="155" spans="3:39" ht="18" customHeight="1">
      <c r="C155" s="598">
        <v>135</v>
      </c>
      <c r="D155" s="598" t="s">
        <v>1736</v>
      </c>
      <c r="E155" s="598">
        <f t="shared" si="0"/>
        <v>127</v>
      </c>
      <c r="F155" s="616" t="s">
        <v>1233</v>
      </c>
      <c r="G155" s="616" t="s">
        <v>4515</v>
      </c>
      <c r="H155" s="618" t="s">
        <v>1232</v>
      </c>
      <c r="I155" s="618" t="s">
        <v>271</v>
      </c>
      <c r="J155" s="618" t="s">
        <v>1506</v>
      </c>
      <c r="K155" s="618" t="s">
        <v>1245</v>
      </c>
      <c r="L155" s="618" t="s">
        <v>1736</v>
      </c>
      <c r="M155" s="619"/>
      <c r="N155" s="620"/>
      <c r="O155" s="620"/>
      <c r="P155" s="663" t="s">
        <v>1074</v>
      </c>
      <c r="Q155" s="621"/>
      <c r="R155" s="598" t="s">
        <v>69</v>
      </c>
      <c r="S155" s="598" t="s">
        <v>562</v>
      </c>
      <c r="T155" s="598"/>
      <c r="U155" s="598" t="s">
        <v>962</v>
      </c>
      <c r="V155" s="663" t="s">
        <v>1741</v>
      </c>
      <c r="W155" s="779" t="s">
        <v>1742</v>
      </c>
      <c r="X155" s="598" t="s">
        <v>963</v>
      </c>
      <c r="Y155" s="624">
        <v>27898</v>
      </c>
      <c r="Z155" s="625">
        <f t="shared" ca="1" si="1"/>
        <v>49</v>
      </c>
      <c r="AA155" s="616" t="s">
        <v>1743</v>
      </c>
      <c r="AB155" s="598"/>
      <c r="AC155" s="598" t="s">
        <v>996</v>
      </c>
      <c r="AD155" s="598" t="s">
        <v>997</v>
      </c>
      <c r="AE155" s="616" t="s">
        <v>729</v>
      </c>
      <c r="AF155" s="616" t="s">
        <v>729</v>
      </c>
      <c r="AG155" s="616" t="s">
        <v>4548</v>
      </c>
      <c r="AH155" s="598"/>
      <c r="AI155" s="598"/>
      <c r="AJ155" s="598" t="s">
        <v>1125</v>
      </c>
      <c r="AK155" s="598"/>
      <c r="AL155" s="626"/>
      <c r="AM155" s="626"/>
    </row>
    <row r="156" spans="3:39" ht="18" customHeight="1">
      <c r="C156" s="598">
        <v>136</v>
      </c>
      <c r="D156" s="598" t="s">
        <v>2585</v>
      </c>
      <c r="E156" s="598">
        <f t="shared" si="0"/>
        <v>128</v>
      </c>
      <c r="F156" s="616" t="s">
        <v>1233</v>
      </c>
      <c r="G156" s="616" t="s">
        <v>4515</v>
      </c>
      <c r="H156" s="618" t="s">
        <v>1232</v>
      </c>
      <c r="I156" s="618" t="s">
        <v>271</v>
      </c>
      <c r="J156" s="618" t="s">
        <v>1506</v>
      </c>
      <c r="K156" s="618" t="s">
        <v>1245</v>
      </c>
      <c r="L156" s="618" t="s">
        <v>1736</v>
      </c>
      <c r="M156" s="619"/>
      <c r="N156" s="620"/>
      <c r="O156" s="620"/>
      <c r="P156" s="663" t="s">
        <v>1074</v>
      </c>
      <c r="Q156" s="621"/>
      <c r="R156" s="598"/>
      <c r="S156" s="598"/>
      <c r="T156" s="598"/>
      <c r="U156" s="598" t="s">
        <v>962</v>
      </c>
      <c r="V156" s="663" t="s">
        <v>2586</v>
      </c>
      <c r="W156" s="779" t="s">
        <v>2587</v>
      </c>
      <c r="X156" s="598" t="s">
        <v>963</v>
      </c>
      <c r="Y156" s="624">
        <v>27770</v>
      </c>
      <c r="Z156" s="625">
        <f t="shared" ca="1" si="1"/>
        <v>50</v>
      </c>
      <c r="AA156" s="616" t="s">
        <v>2588</v>
      </c>
      <c r="AB156" s="598"/>
      <c r="AC156" s="598" t="s">
        <v>966</v>
      </c>
      <c r="AD156" s="598" t="s">
        <v>953</v>
      </c>
      <c r="AE156" s="616" t="s">
        <v>729</v>
      </c>
      <c r="AF156" s="616" t="s">
        <v>729</v>
      </c>
      <c r="AG156" s="616" t="s">
        <v>2589</v>
      </c>
      <c r="AH156" s="598"/>
      <c r="AI156" s="598"/>
      <c r="AJ156" s="598" t="s">
        <v>1125</v>
      </c>
      <c r="AK156" s="598"/>
      <c r="AL156" s="626"/>
      <c r="AM156" s="626"/>
    </row>
    <row r="157" spans="3:39" ht="18" customHeight="1">
      <c r="C157" s="598">
        <v>137</v>
      </c>
      <c r="D157" s="598" t="s">
        <v>3880</v>
      </c>
      <c r="E157" s="598">
        <f t="shared" si="0"/>
        <v>129</v>
      </c>
      <c r="F157" s="616" t="s">
        <v>1233</v>
      </c>
      <c r="G157" s="616" t="s">
        <v>4515</v>
      </c>
      <c r="H157" s="618" t="s">
        <v>1232</v>
      </c>
      <c r="I157" s="618" t="s">
        <v>271</v>
      </c>
      <c r="J157" s="618" t="s">
        <v>1506</v>
      </c>
      <c r="K157" s="618" t="s">
        <v>1245</v>
      </c>
      <c r="L157" s="618" t="s">
        <v>1736</v>
      </c>
      <c r="M157" s="619"/>
      <c r="N157" s="620"/>
      <c r="O157" s="620"/>
      <c r="P157" s="663" t="s">
        <v>1074</v>
      </c>
      <c r="Q157" s="621"/>
      <c r="R157" s="598"/>
      <c r="S157" s="598"/>
      <c r="T157" s="598"/>
      <c r="U157" s="598" t="s">
        <v>962</v>
      </c>
      <c r="V157" s="663" t="s">
        <v>3882</v>
      </c>
      <c r="W157" s="779" t="s">
        <v>3883</v>
      </c>
      <c r="X157" s="598" t="s">
        <v>963</v>
      </c>
      <c r="Y157" s="624">
        <v>31231</v>
      </c>
      <c r="Z157" s="625">
        <f t="shared" ca="1" si="1"/>
        <v>40</v>
      </c>
      <c r="AA157" s="616" t="s">
        <v>3884</v>
      </c>
      <c r="AB157" s="598"/>
      <c r="AC157" s="598" t="s">
        <v>996</v>
      </c>
      <c r="AD157" s="598" t="s">
        <v>953</v>
      </c>
      <c r="AE157" s="616" t="s">
        <v>729</v>
      </c>
      <c r="AF157" s="616" t="s">
        <v>246</v>
      </c>
      <c r="AG157" s="616" t="s">
        <v>3885</v>
      </c>
      <c r="AH157" s="598"/>
      <c r="AI157" s="598"/>
      <c r="AJ157" s="598" t="s">
        <v>1125</v>
      </c>
      <c r="AK157" s="598"/>
      <c r="AL157" s="626"/>
      <c r="AM157" s="626"/>
    </row>
    <row r="158" spans="3:39" ht="18" customHeight="1">
      <c r="C158" s="598">
        <v>138</v>
      </c>
      <c r="D158" s="598" t="s">
        <v>1756</v>
      </c>
      <c r="E158" s="598">
        <f t="shared" si="0"/>
        <v>130</v>
      </c>
      <c r="F158" s="616" t="s">
        <v>4978</v>
      </c>
      <c r="G158" s="616" t="s">
        <v>4515</v>
      </c>
      <c r="H158" s="618" t="s">
        <v>1232</v>
      </c>
      <c r="I158" s="618" t="s">
        <v>271</v>
      </c>
      <c r="J158" s="618" t="s">
        <v>1506</v>
      </c>
      <c r="K158" s="618" t="s">
        <v>1245</v>
      </c>
      <c r="L158" s="618" t="s">
        <v>1736</v>
      </c>
      <c r="M158" s="619"/>
      <c r="N158" s="620"/>
      <c r="O158" s="620"/>
      <c r="P158" s="663" t="s">
        <v>1074</v>
      </c>
      <c r="Q158" s="621"/>
      <c r="R158" s="598"/>
      <c r="S158" s="598"/>
      <c r="T158" s="598"/>
      <c r="U158" s="598" t="s">
        <v>962</v>
      </c>
      <c r="V158" s="663" t="s">
        <v>386</v>
      </c>
      <c r="W158" s="779" t="s">
        <v>1757</v>
      </c>
      <c r="X158" s="598" t="s">
        <v>963</v>
      </c>
      <c r="Y158" s="624">
        <v>24666</v>
      </c>
      <c r="Z158" s="625">
        <f t="shared" ca="1" si="1"/>
        <v>58</v>
      </c>
      <c r="AA158" s="616" t="s">
        <v>1758</v>
      </c>
      <c r="AB158" s="598"/>
      <c r="AC158" s="598" t="s">
        <v>996</v>
      </c>
      <c r="AD158" s="598" t="s">
        <v>1018</v>
      </c>
      <c r="AE158" s="616" t="s">
        <v>5043</v>
      </c>
      <c r="AF158" s="616" t="s">
        <v>729</v>
      </c>
      <c r="AG158" s="616" t="s">
        <v>1760</v>
      </c>
      <c r="AH158" s="598"/>
      <c r="AI158" s="598"/>
      <c r="AJ158" s="647" t="s">
        <v>1513</v>
      </c>
      <c r="AK158" s="598"/>
      <c r="AL158" s="626"/>
      <c r="AM158" s="626"/>
    </row>
    <row r="159" spans="3:39" ht="18" customHeight="1">
      <c r="C159" s="598">
        <v>139</v>
      </c>
      <c r="D159" s="598" t="s">
        <v>1761</v>
      </c>
      <c r="E159" s="598">
        <f t="shared" si="0"/>
        <v>131</v>
      </c>
      <c r="F159" s="616" t="s">
        <v>4978</v>
      </c>
      <c r="G159" s="616" t="s">
        <v>4515</v>
      </c>
      <c r="H159" s="618" t="s">
        <v>1232</v>
      </c>
      <c r="I159" s="618" t="s">
        <v>271</v>
      </c>
      <c r="J159" s="618" t="s">
        <v>1506</v>
      </c>
      <c r="K159" s="618" t="s">
        <v>1245</v>
      </c>
      <c r="L159" s="618" t="s">
        <v>1736</v>
      </c>
      <c r="M159" s="619"/>
      <c r="N159" s="620"/>
      <c r="O159" s="620"/>
      <c r="P159" s="663" t="s">
        <v>1074</v>
      </c>
      <c r="Q159" s="621"/>
      <c r="R159" s="598"/>
      <c r="S159" s="598"/>
      <c r="T159" s="598"/>
      <c r="U159" s="598" t="s">
        <v>962</v>
      </c>
      <c r="V159" s="663" t="s">
        <v>411</v>
      </c>
      <c r="W159" s="779" t="s">
        <v>1762</v>
      </c>
      <c r="X159" s="598" t="s">
        <v>963</v>
      </c>
      <c r="Y159" s="624">
        <v>26465</v>
      </c>
      <c r="Z159" s="625">
        <f t="shared" ca="1" si="1"/>
        <v>53</v>
      </c>
      <c r="AA159" s="616" t="s">
        <v>1763</v>
      </c>
      <c r="AB159" s="598"/>
      <c r="AC159" s="598" t="s">
        <v>996</v>
      </c>
      <c r="AD159" s="598" t="s">
        <v>1018</v>
      </c>
      <c r="AE159" s="616" t="s">
        <v>5043</v>
      </c>
      <c r="AF159" s="616" t="s">
        <v>729</v>
      </c>
      <c r="AG159" s="616" t="s">
        <v>1764</v>
      </c>
      <c r="AH159" s="598"/>
      <c r="AI159" s="598"/>
      <c r="AJ159" s="647" t="s">
        <v>1513</v>
      </c>
      <c r="AK159" s="598"/>
      <c r="AL159" s="626"/>
      <c r="AM159" s="626"/>
    </row>
    <row r="160" spans="3:39" ht="18" customHeight="1">
      <c r="C160" s="598">
        <v>140</v>
      </c>
      <c r="D160" s="598" t="s">
        <v>1505</v>
      </c>
      <c r="E160" s="598">
        <f t="shared" si="0"/>
        <v>132</v>
      </c>
      <c r="F160" s="616" t="s">
        <v>4978</v>
      </c>
      <c r="G160" s="616" t="s">
        <v>4515</v>
      </c>
      <c r="H160" s="618" t="s">
        <v>1232</v>
      </c>
      <c r="I160" s="618" t="s">
        <v>271</v>
      </c>
      <c r="J160" s="618" t="s">
        <v>1506</v>
      </c>
      <c r="K160" s="618" t="s">
        <v>1245</v>
      </c>
      <c r="L160" s="618" t="s">
        <v>1736</v>
      </c>
      <c r="M160" s="619"/>
      <c r="N160" s="620"/>
      <c r="O160" s="620"/>
      <c r="P160" s="673" t="s">
        <v>1074</v>
      </c>
      <c r="Q160" s="621"/>
      <c r="R160" s="598"/>
      <c r="S160" s="598"/>
      <c r="T160" s="598"/>
      <c r="U160" s="598" t="s">
        <v>962</v>
      </c>
      <c r="V160" s="673" t="s">
        <v>1508</v>
      </c>
      <c r="W160" s="779" t="s">
        <v>1509</v>
      </c>
      <c r="X160" s="598" t="s">
        <v>963</v>
      </c>
      <c r="Y160" s="624">
        <v>31125</v>
      </c>
      <c r="Z160" s="625">
        <f t="shared" ca="1" si="1"/>
        <v>40</v>
      </c>
      <c r="AA160" s="616" t="s">
        <v>1510</v>
      </c>
      <c r="AB160" s="598"/>
      <c r="AC160" s="598" t="s">
        <v>996</v>
      </c>
      <c r="AD160" s="598" t="s">
        <v>1018</v>
      </c>
      <c r="AE160" s="616" t="s">
        <v>5049</v>
      </c>
      <c r="AF160" s="616" t="s">
        <v>1512</v>
      </c>
      <c r="AG160" s="616" t="s">
        <v>4989</v>
      </c>
      <c r="AH160" s="598"/>
      <c r="AI160" s="598"/>
      <c r="AJ160" s="647" t="s">
        <v>1513</v>
      </c>
      <c r="AK160" s="598"/>
      <c r="AL160" s="626"/>
      <c r="AM160" s="626"/>
    </row>
    <row r="161" spans="3:39" ht="18" customHeight="1">
      <c r="C161" s="598">
        <v>141</v>
      </c>
      <c r="D161" s="598" t="s">
        <v>1270</v>
      </c>
      <c r="E161" s="598">
        <f t="shared" si="0"/>
        <v>133</v>
      </c>
      <c r="F161" s="616" t="s">
        <v>1233</v>
      </c>
      <c r="G161" s="616" t="s">
        <v>4515</v>
      </c>
      <c r="H161" s="618" t="s">
        <v>1232</v>
      </c>
      <c r="I161" s="618" t="s">
        <v>271</v>
      </c>
      <c r="J161" s="618" t="s">
        <v>1506</v>
      </c>
      <c r="K161" s="618" t="s">
        <v>1270</v>
      </c>
      <c r="L161" s="618" t="s">
        <v>1285</v>
      </c>
      <c r="M161" s="619"/>
      <c r="N161" s="620"/>
      <c r="O161" s="620"/>
      <c r="P161" s="667" t="s">
        <v>1115</v>
      </c>
      <c r="Q161" s="621"/>
      <c r="R161" s="598" t="s">
        <v>55</v>
      </c>
      <c r="S161" s="598" t="s">
        <v>178</v>
      </c>
      <c r="T161" s="598"/>
      <c r="U161" s="598" t="s">
        <v>1015</v>
      </c>
      <c r="V161" s="667" t="s">
        <v>609</v>
      </c>
      <c r="W161" s="779" t="s">
        <v>1271</v>
      </c>
      <c r="X161" s="598" t="s">
        <v>950</v>
      </c>
      <c r="Y161" s="624">
        <v>23479</v>
      </c>
      <c r="Z161" s="625">
        <f t="shared" ca="1" si="1"/>
        <v>61</v>
      </c>
      <c r="AA161" s="616" t="s">
        <v>1272</v>
      </c>
      <c r="AB161" s="598" t="s">
        <v>1273</v>
      </c>
      <c r="AC161" s="598" t="s">
        <v>966</v>
      </c>
      <c r="AD161" s="598" t="s">
        <v>953</v>
      </c>
      <c r="AE161" s="616" t="s">
        <v>729</v>
      </c>
      <c r="AF161" s="616" t="s">
        <v>1239</v>
      </c>
      <c r="AG161" s="616" t="s">
        <v>1274</v>
      </c>
      <c r="AH161" s="598"/>
      <c r="AI161" s="598"/>
      <c r="AJ161" s="598" t="s">
        <v>1125</v>
      </c>
      <c r="AK161" s="598"/>
      <c r="AL161" s="626"/>
      <c r="AM161" s="626"/>
    </row>
    <row r="162" spans="3:39" ht="18" customHeight="1">
      <c r="C162" s="598">
        <v>142</v>
      </c>
      <c r="D162" s="598" t="s">
        <v>1285</v>
      </c>
      <c r="E162" s="598">
        <f t="shared" si="0"/>
        <v>134</v>
      </c>
      <c r="F162" s="616" t="s">
        <v>1233</v>
      </c>
      <c r="G162" s="616" t="s">
        <v>4515</v>
      </c>
      <c r="H162" s="618" t="s">
        <v>1232</v>
      </c>
      <c r="I162" s="618" t="s">
        <v>271</v>
      </c>
      <c r="J162" s="618" t="s">
        <v>1506</v>
      </c>
      <c r="K162" s="618" t="s">
        <v>1270</v>
      </c>
      <c r="L162" s="618" t="s">
        <v>1285</v>
      </c>
      <c r="M162" s="619"/>
      <c r="N162" s="620"/>
      <c r="O162" s="620"/>
      <c r="P162" s="663" t="s">
        <v>1115</v>
      </c>
      <c r="Q162" s="621"/>
      <c r="R162" s="598" t="s">
        <v>69</v>
      </c>
      <c r="S162" s="598" t="s">
        <v>562</v>
      </c>
      <c r="T162" s="598"/>
      <c r="U162" s="598" t="s">
        <v>1090</v>
      </c>
      <c r="V162" s="663" t="s">
        <v>1287</v>
      </c>
      <c r="W162" s="779" t="s">
        <v>1288</v>
      </c>
      <c r="X162" s="598" t="s">
        <v>950</v>
      </c>
      <c r="Y162" s="624">
        <v>20169</v>
      </c>
      <c r="Z162" s="625">
        <f t="shared" ca="1" si="1"/>
        <v>70</v>
      </c>
      <c r="AA162" s="616" t="s">
        <v>1289</v>
      </c>
      <c r="AB162" s="598"/>
      <c r="AC162" s="598" t="s">
        <v>966</v>
      </c>
      <c r="AD162" s="598" t="s">
        <v>953</v>
      </c>
      <c r="AE162" s="616" t="s">
        <v>729</v>
      </c>
      <c r="AF162" s="616" t="s">
        <v>729</v>
      </c>
      <c r="AG162" s="616" t="s">
        <v>1269</v>
      </c>
      <c r="AH162" s="598"/>
      <c r="AI162" s="598"/>
      <c r="AJ162" s="598" t="s">
        <v>1125</v>
      </c>
      <c r="AK162" s="598"/>
      <c r="AL162" s="626"/>
      <c r="AM162" s="626"/>
    </row>
    <row r="163" spans="3:39" ht="18" customHeight="1">
      <c r="C163" s="598">
        <v>143</v>
      </c>
      <c r="D163" s="598" t="s">
        <v>2017</v>
      </c>
      <c r="E163" s="598">
        <f t="shared" si="0"/>
        <v>135</v>
      </c>
      <c r="F163" s="616" t="s">
        <v>1233</v>
      </c>
      <c r="G163" s="616" t="s">
        <v>4515</v>
      </c>
      <c r="H163" s="618" t="s">
        <v>1232</v>
      </c>
      <c r="I163" s="618" t="s">
        <v>271</v>
      </c>
      <c r="J163" s="618" t="s">
        <v>1506</v>
      </c>
      <c r="K163" s="618" t="s">
        <v>1270</v>
      </c>
      <c r="L163" s="618" t="s">
        <v>1285</v>
      </c>
      <c r="M163" s="619"/>
      <c r="N163" s="620"/>
      <c r="O163" s="620"/>
      <c r="P163" s="663" t="s">
        <v>1115</v>
      </c>
      <c r="Q163" s="621"/>
      <c r="R163" s="598"/>
      <c r="S163" s="598"/>
      <c r="T163" s="598"/>
      <c r="U163" s="598" t="s">
        <v>1015</v>
      </c>
      <c r="V163" s="663" t="s">
        <v>2018</v>
      </c>
      <c r="W163" s="779" t="s">
        <v>2019</v>
      </c>
      <c r="X163" s="598" t="s">
        <v>950</v>
      </c>
      <c r="Y163" s="624">
        <v>28954</v>
      </c>
      <c r="Z163" s="625">
        <f t="shared" ca="1" si="1"/>
        <v>46</v>
      </c>
      <c r="AA163" s="616" t="s">
        <v>2020</v>
      </c>
      <c r="AB163" s="598"/>
      <c r="AC163" s="598" t="s">
        <v>996</v>
      </c>
      <c r="AD163" s="598" t="s">
        <v>997</v>
      </c>
      <c r="AE163" s="616" t="s">
        <v>1494</v>
      </c>
      <c r="AF163" s="616" t="s">
        <v>1494</v>
      </c>
      <c r="AG163" s="616" t="s">
        <v>2016</v>
      </c>
      <c r="AH163" s="598"/>
      <c r="AI163" s="598" t="s">
        <v>5050</v>
      </c>
      <c r="AJ163" s="598" t="s">
        <v>1125</v>
      </c>
      <c r="AK163" s="598" t="s">
        <v>1020</v>
      </c>
      <c r="AL163" s="626"/>
      <c r="AM163" s="626"/>
    </row>
    <row r="164" spans="3:39" ht="18" customHeight="1">
      <c r="C164" s="598">
        <v>144</v>
      </c>
      <c r="D164" s="598" t="s">
        <v>1985</v>
      </c>
      <c r="E164" s="598">
        <f t="shared" si="0"/>
        <v>136</v>
      </c>
      <c r="F164" s="616" t="s">
        <v>1233</v>
      </c>
      <c r="G164" s="616" t="s">
        <v>4515</v>
      </c>
      <c r="H164" s="618" t="s">
        <v>1232</v>
      </c>
      <c r="I164" s="618" t="s">
        <v>271</v>
      </c>
      <c r="J164" s="618" t="s">
        <v>1506</v>
      </c>
      <c r="K164" s="618" t="s">
        <v>1270</v>
      </c>
      <c r="L164" s="618" t="s">
        <v>1285</v>
      </c>
      <c r="M164" s="619"/>
      <c r="N164" s="620"/>
      <c r="O164" s="620"/>
      <c r="P164" s="663" t="s">
        <v>1115</v>
      </c>
      <c r="Q164" s="621"/>
      <c r="R164" s="598"/>
      <c r="S164" s="598"/>
      <c r="T164" s="598"/>
      <c r="U164" s="598" t="s">
        <v>1015</v>
      </c>
      <c r="V164" s="663" t="s">
        <v>1986</v>
      </c>
      <c r="W164" s="779" t="s">
        <v>1987</v>
      </c>
      <c r="X164" s="598" t="s">
        <v>950</v>
      </c>
      <c r="Y164" s="624">
        <v>21997</v>
      </c>
      <c r="Z164" s="625">
        <f t="shared" ca="1" si="1"/>
        <v>65</v>
      </c>
      <c r="AA164" s="616" t="s">
        <v>1988</v>
      </c>
      <c r="AB164" s="598"/>
      <c r="AC164" s="598" t="s">
        <v>966</v>
      </c>
      <c r="AD164" s="598" t="s">
        <v>953</v>
      </c>
      <c r="AE164" s="616" t="s">
        <v>729</v>
      </c>
      <c r="AF164" s="616" t="s">
        <v>729</v>
      </c>
      <c r="AG164" s="616" t="s">
        <v>1990</v>
      </c>
      <c r="AH164" s="598"/>
      <c r="AI164" s="598"/>
      <c r="AJ164" s="598" t="s">
        <v>1125</v>
      </c>
      <c r="AK164" s="598"/>
      <c r="AL164" s="626"/>
      <c r="AM164" s="626"/>
    </row>
    <row r="165" spans="3:39" ht="18" customHeight="1">
      <c r="C165" s="598">
        <v>145</v>
      </c>
      <c r="D165" s="598" t="s">
        <v>1330</v>
      </c>
      <c r="E165" s="598">
        <f t="shared" si="0"/>
        <v>137</v>
      </c>
      <c r="F165" s="616" t="s">
        <v>1233</v>
      </c>
      <c r="G165" s="616" t="s">
        <v>4515</v>
      </c>
      <c r="H165" s="618" t="s">
        <v>1232</v>
      </c>
      <c r="I165" s="618" t="s">
        <v>271</v>
      </c>
      <c r="J165" s="618" t="s">
        <v>1506</v>
      </c>
      <c r="K165" s="618" t="s">
        <v>1270</v>
      </c>
      <c r="L165" s="618" t="s">
        <v>1285</v>
      </c>
      <c r="M165" s="619"/>
      <c r="N165" s="620"/>
      <c r="O165" s="620"/>
      <c r="P165" s="663" t="s">
        <v>1115</v>
      </c>
      <c r="Q165" s="621"/>
      <c r="R165" s="598"/>
      <c r="S165" s="598"/>
      <c r="T165" s="598"/>
      <c r="U165" s="598" t="s">
        <v>1015</v>
      </c>
      <c r="V165" s="663" t="s">
        <v>1331</v>
      </c>
      <c r="W165" s="779" t="s">
        <v>1332</v>
      </c>
      <c r="X165" s="598" t="s">
        <v>950</v>
      </c>
      <c r="Y165" s="624">
        <v>24432</v>
      </c>
      <c r="Z165" s="625">
        <f t="shared" ca="1" si="1"/>
        <v>59</v>
      </c>
      <c r="AA165" s="616" t="s">
        <v>1333</v>
      </c>
      <c r="AB165" s="598"/>
      <c r="AC165" s="598" t="s">
        <v>966</v>
      </c>
      <c r="AD165" s="598" t="s">
        <v>953</v>
      </c>
      <c r="AE165" s="616" t="s">
        <v>729</v>
      </c>
      <c r="AF165" s="616" t="s">
        <v>729</v>
      </c>
      <c r="AG165" s="616" t="s">
        <v>1425</v>
      </c>
      <c r="AH165" s="598"/>
      <c r="AI165" s="598"/>
      <c r="AJ165" s="598" t="s">
        <v>1125</v>
      </c>
      <c r="AK165" s="598"/>
      <c r="AL165" s="626"/>
      <c r="AM165" s="626"/>
    </row>
    <row r="166" spans="3:39" ht="18" customHeight="1">
      <c r="C166" s="598">
        <v>146</v>
      </c>
      <c r="D166" s="598" t="s">
        <v>2564</v>
      </c>
      <c r="E166" s="598">
        <f t="shared" si="0"/>
        <v>138</v>
      </c>
      <c r="F166" s="616" t="s">
        <v>1233</v>
      </c>
      <c r="G166" s="616" t="s">
        <v>4515</v>
      </c>
      <c r="H166" s="618" t="s">
        <v>1232</v>
      </c>
      <c r="I166" s="618" t="s">
        <v>271</v>
      </c>
      <c r="J166" s="618" t="s">
        <v>1506</v>
      </c>
      <c r="K166" s="618" t="s">
        <v>1270</v>
      </c>
      <c r="L166" s="618" t="s">
        <v>1285</v>
      </c>
      <c r="M166" s="619"/>
      <c r="N166" s="620"/>
      <c r="O166" s="620"/>
      <c r="P166" s="663" t="s">
        <v>1115</v>
      </c>
      <c r="Q166" s="621"/>
      <c r="R166" s="598"/>
      <c r="S166" s="598"/>
      <c r="T166" s="598"/>
      <c r="U166" s="598" t="s">
        <v>1015</v>
      </c>
      <c r="V166" s="663" t="s">
        <v>2565</v>
      </c>
      <c r="W166" s="779" t="s">
        <v>2566</v>
      </c>
      <c r="X166" s="598" t="s">
        <v>950</v>
      </c>
      <c r="Y166" s="624">
        <v>27473</v>
      </c>
      <c r="Z166" s="625">
        <f t="shared" ca="1" si="1"/>
        <v>50</v>
      </c>
      <c r="AA166" s="616" t="s">
        <v>2567</v>
      </c>
      <c r="AB166" s="598"/>
      <c r="AC166" s="598" t="s">
        <v>996</v>
      </c>
      <c r="AD166" s="598" t="s">
        <v>997</v>
      </c>
      <c r="AE166" s="616" t="s">
        <v>729</v>
      </c>
      <c r="AF166" s="616" t="s">
        <v>729</v>
      </c>
      <c r="AG166" s="616" t="s">
        <v>2569</v>
      </c>
      <c r="AH166" s="598"/>
      <c r="AI166" s="598"/>
      <c r="AJ166" s="598" t="s">
        <v>1125</v>
      </c>
      <c r="AK166" s="598"/>
      <c r="AL166" s="626"/>
      <c r="AM166" s="626"/>
    </row>
    <row r="167" spans="3:39" ht="18" customHeight="1">
      <c r="C167" s="598">
        <v>147</v>
      </c>
      <c r="D167" s="598" t="s">
        <v>2011</v>
      </c>
      <c r="E167" s="598">
        <f t="shared" si="0"/>
        <v>139</v>
      </c>
      <c r="F167" s="616" t="s">
        <v>1233</v>
      </c>
      <c r="G167" s="616" t="s">
        <v>4515</v>
      </c>
      <c r="H167" s="618" t="s">
        <v>1232</v>
      </c>
      <c r="I167" s="618" t="s">
        <v>271</v>
      </c>
      <c r="J167" s="618" t="s">
        <v>1506</v>
      </c>
      <c r="K167" s="618" t="s">
        <v>1270</v>
      </c>
      <c r="L167" s="618" t="s">
        <v>1285</v>
      </c>
      <c r="M167" s="619"/>
      <c r="N167" s="620"/>
      <c r="O167" s="620"/>
      <c r="P167" s="663" t="s">
        <v>1115</v>
      </c>
      <c r="Q167" s="621"/>
      <c r="R167" s="598"/>
      <c r="S167" s="598"/>
      <c r="T167" s="598"/>
      <c r="U167" s="598" t="s">
        <v>1015</v>
      </c>
      <c r="V167" s="663" t="s">
        <v>2012</v>
      </c>
      <c r="W167" s="779" t="s">
        <v>2013</v>
      </c>
      <c r="X167" s="598" t="s">
        <v>950</v>
      </c>
      <c r="Y167" s="624">
        <v>27920</v>
      </c>
      <c r="Z167" s="625">
        <f t="shared" ca="1" si="1"/>
        <v>49</v>
      </c>
      <c r="AA167" s="616" t="s">
        <v>2014</v>
      </c>
      <c r="AB167" s="598"/>
      <c r="AC167" s="598" t="s">
        <v>996</v>
      </c>
      <c r="AD167" s="598" t="s">
        <v>997</v>
      </c>
      <c r="AE167" s="616" t="s">
        <v>1494</v>
      </c>
      <c r="AF167" s="616" t="s">
        <v>1494</v>
      </c>
      <c r="AG167" s="616" t="s">
        <v>2016</v>
      </c>
      <c r="AH167" s="598"/>
      <c r="AI167" s="598"/>
      <c r="AJ167" s="598" t="s">
        <v>1125</v>
      </c>
      <c r="AK167" s="598"/>
      <c r="AL167" s="626"/>
      <c r="AM167" s="626"/>
    </row>
    <row r="168" spans="3:39" ht="18" customHeight="1">
      <c r="C168" s="598">
        <v>148</v>
      </c>
      <c r="D168" s="598" t="s">
        <v>1420</v>
      </c>
      <c r="E168" s="598">
        <f t="shared" si="0"/>
        <v>140</v>
      </c>
      <c r="F168" s="616" t="s">
        <v>1233</v>
      </c>
      <c r="G168" s="616" t="s">
        <v>4515</v>
      </c>
      <c r="H168" s="618" t="s">
        <v>1232</v>
      </c>
      <c r="I168" s="618" t="s">
        <v>271</v>
      </c>
      <c r="J168" s="618" t="s">
        <v>1506</v>
      </c>
      <c r="K168" s="618" t="s">
        <v>1270</v>
      </c>
      <c r="L168" s="618" t="s">
        <v>1285</v>
      </c>
      <c r="M168" s="619"/>
      <c r="N168" s="620"/>
      <c r="O168" s="620"/>
      <c r="P168" s="663" t="s">
        <v>1115</v>
      </c>
      <c r="Q168" s="621"/>
      <c r="R168" s="598"/>
      <c r="S168" s="598"/>
      <c r="T168" s="598"/>
      <c r="U168" s="598" t="s">
        <v>1015</v>
      </c>
      <c r="V168" s="663" t="s">
        <v>1421</v>
      </c>
      <c r="W168" s="779" t="s">
        <v>1422</v>
      </c>
      <c r="X168" s="598" t="s">
        <v>950</v>
      </c>
      <c r="Y168" s="624">
        <v>29363</v>
      </c>
      <c r="Z168" s="625">
        <f t="shared" ca="1" si="1"/>
        <v>45</v>
      </c>
      <c r="AA168" s="616" t="s">
        <v>1423</v>
      </c>
      <c r="AB168" s="598"/>
      <c r="AC168" s="598" t="s">
        <v>996</v>
      </c>
      <c r="AD168" s="598" t="s">
        <v>997</v>
      </c>
      <c r="AE168" s="616" t="s">
        <v>729</v>
      </c>
      <c r="AF168" s="616" t="s">
        <v>729</v>
      </c>
      <c r="AG168" s="616" t="s">
        <v>1425</v>
      </c>
      <c r="AH168" s="598"/>
      <c r="AI168" s="598"/>
      <c r="AJ168" s="598" t="s">
        <v>1125</v>
      </c>
      <c r="AK168" s="598"/>
      <c r="AL168" s="626"/>
      <c r="AM168" s="626"/>
    </row>
    <row r="169" spans="3:39" ht="18" customHeight="1">
      <c r="C169" s="598">
        <v>149</v>
      </c>
      <c r="D169" s="598" t="s">
        <v>4549</v>
      </c>
      <c r="E169" s="598">
        <f t="shared" si="0"/>
        <v>141</v>
      </c>
      <c r="F169" s="616" t="s">
        <v>1233</v>
      </c>
      <c r="G169" s="616" t="s">
        <v>4515</v>
      </c>
      <c r="H169" s="618" t="s">
        <v>1232</v>
      </c>
      <c r="I169" s="618" t="s">
        <v>271</v>
      </c>
      <c r="J169" s="618" t="s">
        <v>1506</v>
      </c>
      <c r="K169" s="618" t="s">
        <v>1270</v>
      </c>
      <c r="L169" s="618" t="s">
        <v>1285</v>
      </c>
      <c r="M169" s="619"/>
      <c r="N169" s="620"/>
      <c r="O169" s="620"/>
      <c r="P169" s="663" t="s">
        <v>1115</v>
      </c>
      <c r="Q169" s="621"/>
      <c r="R169" s="598"/>
      <c r="S169" s="598"/>
      <c r="T169" s="598"/>
      <c r="U169" s="598" t="s">
        <v>1015</v>
      </c>
      <c r="V169" s="663" t="s">
        <v>4550</v>
      </c>
      <c r="W169" s="779" t="s">
        <v>4551</v>
      </c>
      <c r="X169" s="598" t="s">
        <v>950</v>
      </c>
      <c r="Y169" s="624">
        <v>30023</v>
      </c>
      <c r="Z169" s="625">
        <f t="shared" ca="1" si="1"/>
        <v>43</v>
      </c>
      <c r="AA169" s="616" t="s">
        <v>4552</v>
      </c>
      <c r="AB169" s="598"/>
      <c r="AC169" s="598" t="s">
        <v>996</v>
      </c>
      <c r="AD169" s="598" t="s">
        <v>997</v>
      </c>
      <c r="AE169" s="616" t="s">
        <v>1494</v>
      </c>
      <c r="AF169" s="616" t="s">
        <v>1494</v>
      </c>
      <c r="AG169" s="616" t="s">
        <v>4554</v>
      </c>
      <c r="AH169" s="598"/>
      <c r="AI169" s="598"/>
      <c r="AJ169" s="598" t="s">
        <v>1125</v>
      </c>
      <c r="AK169" s="598"/>
      <c r="AL169" s="626"/>
      <c r="AM169" s="626"/>
    </row>
    <row r="170" spans="3:39" ht="18" customHeight="1">
      <c r="C170" s="598">
        <v>150</v>
      </c>
      <c r="D170" s="598" t="s">
        <v>4555</v>
      </c>
      <c r="E170" s="598">
        <f t="shared" si="0"/>
        <v>142</v>
      </c>
      <c r="F170" s="616" t="s">
        <v>4978</v>
      </c>
      <c r="G170" s="616" t="s">
        <v>4515</v>
      </c>
      <c r="H170" s="618" t="s">
        <v>1232</v>
      </c>
      <c r="I170" s="618" t="s">
        <v>271</v>
      </c>
      <c r="J170" s="618" t="s">
        <v>1506</v>
      </c>
      <c r="K170" s="618" t="s">
        <v>1270</v>
      </c>
      <c r="L170" s="618" t="s">
        <v>1285</v>
      </c>
      <c r="M170" s="619"/>
      <c r="N170" s="620"/>
      <c r="O170" s="620"/>
      <c r="P170" s="673" t="s">
        <v>1115</v>
      </c>
      <c r="Q170" s="621" t="s">
        <v>319</v>
      </c>
      <c r="R170" s="598"/>
      <c r="S170" s="598"/>
      <c r="T170" s="598"/>
      <c r="U170" s="598" t="s">
        <v>1015</v>
      </c>
      <c r="V170" s="673" t="s">
        <v>4556</v>
      </c>
      <c r="W170" s="779" t="s">
        <v>4557</v>
      </c>
      <c r="X170" s="598" t="s">
        <v>950</v>
      </c>
      <c r="Y170" s="624">
        <v>27368</v>
      </c>
      <c r="Z170" s="625">
        <f t="shared" ca="1" si="1"/>
        <v>51</v>
      </c>
      <c r="AA170" s="616" t="s">
        <v>4558</v>
      </c>
      <c r="AB170" s="598"/>
      <c r="AC170" s="598" t="s">
        <v>996</v>
      </c>
      <c r="AD170" s="598" t="s">
        <v>1018</v>
      </c>
      <c r="AE170" s="616" t="s">
        <v>729</v>
      </c>
      <c r="AF170" s="616" t="s">
        <v>729</v>
      </c>
      <c r="AG170" s="640" t="s">
        <v>1252</v>
      </c>
      <c r="AH170" s="598"/>
      <c r="AI170" s="598" t="s">
        <v>4560</v>
      </c>
      <c r="AJ170" s="598" t="s">
        <v>1318</v>
      </c>
      <c r="AK170" s="598" t="s">
        <v>1020</v>
      </c>
      <c r="AL170" s="626"/>
      <c r="AM170" s="626"/>
    </row>
    <row r="171" spans="3:39" ht="18" customHeight="1">
      <c r="C171" s="598">
        <v>151</v>
      </c>
      <c r="D171" s="598" t="s">
        <v>1202</v>
      </c>
      <c r="E171" s="598">
        <f t="shared" si="0"/>
        <v>143</v>
      </c>
      <c r="F171" s="616" t="s">
        <v>1351</v>
      </c>
      <c r="G171" s="616" t="s">
        <v>729</v>
      </c>
      <c r="H171" s="618" t="s">
        <v>1202</v>
      </c>
      <c r="I171" s="618" t="s">
        <v>30</v>
      </c>
      <c r="J171" s="618" t="s">
        <v>1202</v>
      </c>
      <c r="K171" s="618" t="s">
        <v>1202</v>
      </c>
      <c r="L171" s="618" t="s">
        <v>1821</v>
      </c>
      <c r="M171" s="619" t="s">
        <v>959</v>
      </c>
      <c r="N171" s="620"/>
      <c r="O171" s="620"/>
      <c r="P171" s="667" t="s">
        <v>1044</v>
      </c>
      <c r="Q171" s="621"/>
      <c r="R171" s="598" t="s">
        <v>1227</v>
      </c>
      <c r="S171" s="598" t="s">
        <v>173</v>
      </c>
      <c r="T171" s="598" t="s">
        <v>55</v>
      </c>
      <c r="U171" s="598" t="s">
        <v>992</v>
      </c>
      <c r="V171" s="667" t="s">
        <v>30</v>
      </c>
      <c r="W171" s="779" t="s">
        <v>1203</v>
      </c>
      <c r="X171" s="598" t="s">
        <v>950</v>
      </c>
      <c r="Y171" s="624">
        <v>33065</v>
      </c>
      <c r="Z171" s="625">
        <f t="shared" ca="1" si="1"/>
        <v>35</v>
      </c>
      <c r="AA171" s="616" t="s">
        <v>1204</v>
      </c>
      <c r="AB171" s="598"/>
      <c r="AC171" s="598" t="s">
        <v>1006</v>
      </c>
      <c r="AD171" s="598" t="s">
        <v>953</v>
      </c>
      <c r="AE171" s="616" t="s">
        <v>729</v>
      </c>
      <c r="AF171" s="616" t="s">
        <v>954</v>
      </c>
      <c r="AG171" s="616" t="s">
        <v>974</v>
      </c>
      <c r="AH171" s="598"/>
      <c r="AI171" s="598"/>
      <c r="AJ171" s="598"/>
      <c r="AK171" s="598"/>
      <c r="AL171" s="626"/>
      <c r="AM171" s="626"/>
    </row>
    <row r="172" spans="3:39" ht="18" customHeight="1">
      <c r="C172" s="598">
        <v>152</v>
      </c>
      <c r="D172" s="598" t="s">
        <v>1821</v>
      </c>
      <c r="E172" s="598">
        <f t="shared" si="0"/>
        <v>144</v>
      </c>
      <c r="F172" s="616" t="s">
        <v>1351</v>
      </c>
      <c r="G172" s="616" t="s">
        <v>729</v>
      </c>
      <c r="H172" s="618" t="s">
        <v>1202</v>
      </c>
      <c r="I172" s="618" t="s">
        <v>30</v>
      </c>
      <c r="J172" s="618" t="s">
        <v>1202</v>
      </c>
      <c r="K172" s="618" t="s">
        <v>1202</v>
      </c>
      <c r="L172" s="618" t="s">
        <v>1821</v>
      </c>
      <c r="M172" s="619" t="s">
        <v>959</v>
      </c>
      <c r="N172" s="620"/>
      <c r="O172" s="620"/>
      <c r="P172" s="663" t="s">
        <v>1044</v>
      </c>
      <c r="Q172" s="621"/>
      <c r="R172" s="598" t="s">
        <v>69</v>
      </c>
      <c r="S172" s="598" t="s">
        <v>69</v>
      </c>
      <c r="T172" s="598" t="s">
        <v>1825</v>
      </c>
      <c r="U172" s="598" t="s">
        <v>992</v>
      </c>
      <c r="V172" s="663" t="s">
        <v>1826</v>
      </c>
      <c r="W172" s="779" t="s">
        <v>1827</v>
      </c>
      <c r="X172" s="598" t="s">
        <v>950</v>
      </c>
      <c r="Y172" s="624">
        <v>37601</v>
      </c>
      <c r="Z172" s="625">
        <f t="shared" ca="1" si="1"/>
        <v>23</v>
      </c>
      <c r="AA172" s="616" t="s">
        <v>1828</v>
      </c>
      <c r="AB172" s="598"/>
      <c r="AC172" s="598" t="s">
        <v>1006</v>
      </c>
      <c r="AD172" s="598" t="s">
        <v>953</v>
      </c>
      <c r="AE172" s="616" t="s">
        <v>729</v>
      </c>
      <c r="AF172" s="616" t="s">
        <v>729</v>
      </c>
      <c r="AG172" s="616" t="s">
        <v>1830</v>
      </c>
      <c r="AH172" s="598"/>
      <c r="AI172" s="598"/>
      <c r="AJ172" s="598" t="s">
        <v>1011</v>
      </c>
      <c r="AK172" s="598"/>
      <c r="AL172" s="626"/>
      <c r="AM172" s="626"/>
    </row>
    <row r="173" spans="3:39" ht="18" customHeight="1">
      <c r="C173" s="598">
        <v>153</v>
      </c>
      <c r="D173" s="598" t="s">
        <v>1843</v>
      </c>
      <c r="E173" s="598">
        <f t="shared" si="0"/>
        <v>145</v>
      </c>
      <c r="F173" s="616" t="s">
        <v>1351</v>
      </c>
      <c r="G173" s="616" t="s">
        <v>729</v>
      </c>
      <c r="H173" s="618" t="s">
        <v>1202</v>
      </c>
      <c r="I173" s="618" t="s">
        <v>30</v>
      </c>
      <c r="J173" s="618" t="s">
        <v>1202</v>
      </c>
      <c r="K173" s="618" t="s">
        <v>1202</v>
      </c>
      <c r="L173" s="618" t="s">
        <v>1821</v>
      </c>
      <c r="M173" s="619" t="s">
        <v>959</v>
      </c>
      <c r="N173" s="620"/>
      <c r="O173" s="620"/>
      <c r="P173" s="663" t="s">
        <v>1044</v>
      </c>
      <c r="Q173" s="621"/>
      <c r="R173" s="598"/>
      <c r="S173" s="598"/>
      <c r="T173" s="598"/>
      <c r="U173" s="598" t="s">
        <v>992</v>
      </c>
      <c r="V173" s="663" t="s">
        <v>216</v>
      </c>
      <c r="W173" s="779" t="s">
        <v>1844</v>
      </c>
      <c r="X173" s="598" t="s">
        <v>950</v>
      </c>
      <c r="Y173" s="624">
        <v>37601</v>
      </c>
      <c r="Z173" s="625">
        <f t="shared" ca="1" si="1"/>
        <v>23</v>
      </c>
      <c r="AA173" s="616" t="s">
        <v>1845</v>
      </c>
      <c r="AB173" s="598"/>
      <c r="AC173" s="598" t="s">
        <v>1006</v>
      </c>
      <c r="AD173" s="598" t="s">
        <v>953</v>
      </c>
      <c r="AE173" s="616" t="s">
        <v>729</v>
      </c>
      <c r="AF173" s="616" t="s">
        <v>729</v>
      </c>
      <c r="AG173" s="616" t="s">
        <v>1847</v>
      </c>
      <c r="AH173" s="598"/>
      <c r="AI173" s="598"/>
      <c r="AJ173" s="598"/>
      <c r="AK173" s="598"/>
      <c r="AL173" s="626"/>
      <c r="AM173" s="626"/>
    </row>
    <row r="174" spans="3:39" ht="18" customHeight="1">
      <c r="C174" s="598">
        <v>154</v>
      </c>
      <c r="D174" s="598" t="s">
        <v>2087</v>
      </c>
      <c r="E174" s="598">
        <f t="shared" si="0"/>
        <v>146</v>
      </c>
      <c r="F174" s="616" t="s">
        <v>1351</v>
      </c>
      <c r="G174" s="616" t="s">
        <v>729</v>
      </c>
      <c r="H174" s="618" t="s">
        <v>1202</v>
      </c>
      <c r="I174" s="618" t="s">
        <v>30</v>
      </c>
      <c r="J174" s="618" t="s">
        <v>1202</v>
      </c>
      <c r="K174" s="618" t="s">
        <v>1202</v>
      </c>
      <c r="L174" s="618" t="s">
        <v>1821</v>
      </c>
      <c r="M174" s="619" t="s">
        <v>959</v>
      </c>
      <c r="N174" s="620"/>
      <c r="O174" s="620"/>
      <c r="P174" s="663" t="s">
        <v>1044</v>
      </c>
      <c r="Q174" s="621"/>
      <c r="R174" s="598" t="s">
        <v>173</v>
      </c>
      <c r="S174" s="598" t="s">
        <v>514</v>
      </c>
      <c r="T174" s="598" t="s">
        <v>55</v>
      </c>
      <c r="U174" s="598" t="s">
        <v>992</v>
      </c>
      <c r="V174" s="663" t="s">
        <v>335</v>
      </c>
      <c r="W174" s="779" t="s">
        <v>2089</v>
      </c>
      <c r="X174" s="598" t="s">
        <v>950</v>
      </c>
      <c r="Y174" s="624">
        <v>36694</v>
      </c>
      <c r="Z174" s="625">
        <f t="shared" ca="1" si="1"/>
        <v>25</v>
      </c>
      <c r="AA174" s="616" t="s">
        <v>2090</v>
      </c>
      <c r="AB174" s="598" t="s">
        <v>2091</v>
      </c>
      <c r="AC174" s="598" t="s">
        <v>1006</v>
      </c>
      <c r="AD174" s="598" t="s">
        <v>953</v>
      </c>
      <c r="AE174" s="616" t="s">
        <v>729</v>
      </c>
      <c r="AF174" s="616" t="s">
        <v>729</v>
      </c>
      <c r="AG174" s="616" t="s">
        <v>2092</v>
      </c>
      <c r="AH174" s="598"/>
      <c r="AI174" s="598"/>
      <c r="AJ174" s="598" t="s">
        <v>1011</v>
      </c>
      <c r="AK174" s="598"/>
      <c r="AL174" s="626"/>
      <c r="AM174" s="626"/>
    </row>
    <row r="175" spans="3:39" ht="18" customHeight="1">
      <c r="C175" s="598">
        <v>155</v>
      </c>
      <c r="D175" s="598" t="s">
        <v>1544</v>
      </c>
      <c r="E175" s="598">
        <f t="shared" si="0"/>
        <v>147</v>
      </c>
      <c r="F175" s="616" t="s">
        <v>1351</v>
      </c>
      <c r="G175" s="616" t="s">
        <v>729</v>
      </c>
      <c r="H175" s="618" t="s">
        <v>1202</v>
      </c>
      <c r="I175" s="618" t="s">
        <v>30</v>
      </c>
      <c r="J175" s="618" t="s">
        <v>1202</v>
      </c>
      <c r="K175" s="618" t="s">
        <v>1202</v>
      </c>
      <c r="L175" s="618" t="s">
        <v>1821</v>
      </c>
      <c r="M175" s="619" t="s">
        <v>959</v>
      </c>
      <c r="N175" s="620"/>
      <c r="O175" s="620"/>
      <c r="P175" s="663" t="s">
        <v>1044</v>
      </c>
      <c r="Q175" s="621"/>
      <c r="R175" s="598"/>
      <c r="S175" s="598"/>
      <c r="T175" s="598"/>
      <c r="U175" s="598" t="s">
        <v>992</v>
      </c>
      <c r="V175" s="663" t="s">
        <v>1545</v>
      </c>
      <c r="W175" s="779" t="s">
        <v>1546</v>
      </c>
      <c r="X175" s="598" t="s">
        <v>963</v>
      </c>
      <c r="Y175" s="624">
        <v>37703</v>
      </c>
      <c r="Z175" s="625">
        <f t="shared" ca="1" si="1"/>
        <v>22</v>
      </c>
      <c r="AA175" s="616" t="s">
        <v>1547</v>
      </c>
      <c r="AB175" s="598"/>
      <c r="AC175" s="598" t="s">
        <v>1006</v>
      </c>
      <c r="AD175" s="598" t="s">
        <v>953</v>
      </c>
      <c r="AE175" s="616" t="s">
        <v>729</v>
      </c>
      <c r="AF175" s="616" t="s">
        <v>729</v>
      </c>
      <c r="AG175" s="616"/>
      <c r="AH175" s="598"/>
      <c r="AI175" s="598"/>
      <c r="AJ175" s="598" t="s">
        <v>1440</v>
      </c>
      <c r="AK175" s="598"/>
      <c r="AL175" s="626"/>
      <c r="AM175" s="626"/>
    </row>
    <row r="176" spans="3:39" ht="18" customHeight="1">
      <c r="C176" s="598">
        <v>156</v>
      </c>
      <c r="D176" s="598" t="s">
        <v>1820</v>
      </c>
      <c r="E176" s="598">
        <f t="shared" si="0"/>
        <v>148</v>
      </c>
      <c r="F176" s="616" t="s">
        <v>1351</v>
      </c>
      <c r="G176" s="616" t="s">
        <v>729</v>
      </c>
      <c r="H176" s="618" t="s">
        <v>1195</v>
      </c>
      <c r="I176" s="618" t="s">
        <v>30</v>
      </c>
      <c r="J176" s="618" t="s">
        <v>1202</v>
      </c>
      <c r="K176" s="618" t="s">
        <v>1202</v>
      </c>
      <c r="L176" s="618" t="s">
        <v>1821</v>
      </c>
      <c r="M176" s="619" t="s">
        <v>959</v>
      </c>
      <c r="N176" s="620"/>
      <c r="O176" s="620"/>
      <c r="P176" s="673" t="s">
        <v>1044</v>
      </c>
      <c r="Q176" s="621"/>
      <c r="R176" s="598" t="s">
        <v>55</v>
      </c>
      <c r="S176" s="598" t="s">
        <v>178</v>
      </c>
      <c r="T176" s="598"/>
      <c r="U176" s="598" t="s">
        <v>992</v>
      </c>
      <c r="V176" s="673" t="s">
        <v>257</v>
      </c>
      <c r="W176" s="779" t="s">
        <v>1822</v>
      </c>
      <c r="X176" s="598" t="s">
        <v>950</v>
      </c>
      <c r="Y176" s="624">
        <v>35604</v>
      </c>
      <c r="Z176" s="625">
        <f t="shared" ca="1" si="1"/>
        <v>28</v>
      </c>
      <c r="AA176" s="616" t="s">
        <v>1823</v>
      </c>
      <c r="AB176" s="598" t="s">
        <v>1824</v>
      </c>
      <c r="AC176" s="598" t="s">
        <v>1006</v>
      </c>
      <c r="AD176" s="598" t="s">
        <v>953</v>
      </c>
      <c r="AE176" s="616" t="s">
        <v>729</v>
      </c>
      <c r="AF176" s="616" t="s">
        <v>729</v>
      </c>
      <c r="AG176" s="616" t="s">
        <v>1755</v>
      </c>
      <c r="AH176" s="598"/>
      <c r="AI176" s="598"/>
      <c r="AJ176" s="598"/>
      <c r="AK176" s="598"/>
      <c r="AL176" s="626"/>
      <c r="AM176" s="626"/>
    </row>
    <row r="177" spans="3:39" ht="18" customHeight="1">
      <c r="C177" s="598">
        <v>157</v>
      </c>
      <c r="D177" s="598" t="s">
        <v>1528</v>
      </c>
      <c r="E177" s="598">
        <f t="shared" si="0"/>
        <v>148</v>
      </c>
      <c r="F177" s="616"/>
      <c r="G177" s="616" t="s">
        <v>729</v>
      </c>
      <c r="H177" s="618" t="s">
        <v>1202</v>
      </c>
      <c r="I177" s="618" t="s">
        <v>30</v>
      </c>
      <c r="J177" s="618" t="s">
        <v>1202</v>
      </c>
      <c r="K177" s="618" t="s">
        <v>1528</v>
      </c>
      <c r="L177" s="618" t="s">
        <v>1734</v>
      </c>
      <c r="M177" s="619" t="s">
        <v>1831</v>
      </c>
      <c r="N177" s="620"/>
      <c r="O177" s="620"/>
      <c r="P177" s="667" t="s">
        <v>1074</v>
      </c>
      <c r="Q177" s="621"/>
      <c r="R177" s="598" t="s">
        <v>55</v>
      </c>
      <c r="S177" s="598" t="s">
        <v>178</v>
      </c>
      <c r="T177" s="598"/>
      <c r="U177" s="598"/>
      <c r="V177" s="667" t="s">
        <v>179</v>
      </c>
      <c r="W177" s="779" t="s">
        <v>1530</v>
      </c>
      <c r="X177" s="598" t="s">
        <v>963</v>
      </c>
      <c r="Y177" s="624">
        <v>31834</v>
      </c>
      <c r="Z177" s="625">
        <f t="shared" ca="1" si="1"/>
        <v>38</v>
      </c>
      <c r="AA177" s="616" t="s">
        <v>1531</v>
      </c>
      <c r="AB177" s="598"/>
      <c r="AC177" s="598" t="s">
        <v>966</v>
      </c>
      <c r="AD177" s="598" t="s">
        <v>953</v>
      </c>
      <c r="AE177" s="616" t="s">
        <v>729</v>
      </c>
      <c r="AF177" s="616" t="s">
        <v>1239</v>
      </c>
      <c r="AG177" s="616" t="s">
        <v>1533</v>
      </c>
      <c r="AH177" s="598" t="s">
        <v>955</v>
      </c>
      <c r="AI177" s="598"/>
      <c r="AJ177" s="598"/>
      <c r="AK177" s="598"/>
      <c r="AL177" s="626"/>
      <c r="AM177" s="626"/>
    </row>
    <row r="178" spans="3:39" ht="18" customHeight="1">
      <c r="C178" s="598">
        <v>158</v>
      </c>
      <c r="D178" s="598" t="s">
        <v>1734</v>
      </c>
      <c r="E178" s="598">
        <f t="shared" si="0"/>
        <v>149</v>
      </c>
      <c r="F178" s="616" t="s">
        <v>1351</v>
      </c>
      <c r="G178" s="616" t="s">
        <v>729</v>
      </c>
      <c r="H178" s="618" t="s">
        <v>1202</v>
      </c>
      <c r="I178" s="618" t="s">
        <v>30</v>
      </c>
      <c r="J178" s="618" t="s">
        <v>1202</v>
      </c>
      <c r="K178" s="618" t="s">
        <v>1528</v>
      </c>
      <c r="L178" s="618" t="s">
        <v>1734</v>
      </c>
      <c r="M178" s="619" t="s">
        <v>1831</v>
      </c>
      <c r="N178" s="620"/>
      <c r="O178" s="620"/>
      <c r="P178" s="663" t="s">
        <v>1074</v>
      </c>
      <c r="Q178" s="621"/>
      <c r="R178" s="598" t="s">
        <v>69</v>
      </c>
      <c r="S178" s="598" t="s">
        <v>69</v>
      </c>
      <c r="T178" s="598"/>
      <c r="U178" s="598" t="s">
        <v>962</v>
      </c>
      <c r="V178" s="663" t="s">
        <v>177</v>
      </c>
      <c r="W178" s="779" t="s">
        <v>1737</v>
      </c>
      <c r="X178" s="598" t="s">
        <v>963</v>
      </c>
      <c r="Y178" s="624">
        <v>28283</v>
      </c>
      <c r="Z178" s="625">
        <f t="shared" ca="1" si="1"/>
        <v>48</v>
      </c>
      <c r="AA178" s="616" t="s">
        <v>1738</v>
      </c>
      <c r="AB178" s="598"/>
      <c r="AC178" s="598" t="s">
        <v>966</v>
      </c>
      <c r="AD178" s="598" t="s">
        <v>953</v>
      </c>
      <c r="AE178" s="616" t="s">
        <v>729</v>
      </c>
      <c r="AF178" s="616" t="s">
        <v>729</v>
      </c>
      <c r="AG178" s="616" t="s">
        <v>1740</v>
      </c>
      <c r="AH178" s="598"/>
      <c r="AI178" s="598"/>
      <c r="AJ178" s="598" t="s">
        <v>1011</v>
      </c>
      <c r="AK178" s="598"/>
      <c r="AL178" s="626"/>
      <c r="AM178" s="626"/>
    </row>
    <row r="179" spans="3:39" ht="18" customHeight="1">
      <c r="C179" s="598">
        <v>159</v>
      </c>
      <c r="D179" s="598" t="s">
        <v>2590</v>
      </c>
      <c r="E179" s="598">
        <f t="shared" si="0"/>
        <v>150</v>
      </c>
      <c r="F179" s="616" t="s">
        <v>1351</v>
      </c>
      <c r="G179" s="616" t="s">
        <v>729</v>
      </c>
      <c r="H179" s="618" t="s">
        <v>1202</v>
      </c>
      <c r="I179" s="618" t="s">
        <v>30</v>
      </c>
      <c r="J179" s="618" t="s">
        <v>1202</v>
      </c>
      <c r="K179" s="618" t="s">
        <v>1528</v>
      </c>
      <c r="L179" s="618" t="s">
        <v>1734</v>
      </c>
      <c r="M179" s="619" t="s">
        <v>1831</v>
      </c>
      <c r="N179" s="620"/>
      <c r="O179" s="620"/>
      <c r="P179" s="663" t="s">
        <v>1074</v>
      </c>
      <c r="Q179" s="621"/>
      <c r="R179" s="598"/>
      <c r="S179" s="598"/>
      <c r="T179" s="598"/>
      <c r="U179" s="598" t="s">
        <v>962</v>
      </c>
      <c r="V179" s="663" t="s">
        <v>288</v>
      </c>
      <c r="W179" s="779" t="s">
        <v>2591</v>
      </c>
      <c r="X179" s="598" t="s">
        <v>963</v>
      </c>
      <c r="Y179" s="624">
        <v>33040</v>
      </c>
      <c r="Z179" s="625">
        <f t="shared" ca="1" si="1"/>
        <v>35</v>
      </c>
      <c r="AA179" s="616" t="s">
        <v>2592</v>
      </c>
      <c r="AB179" s="598"/>
      <c r="AC179" s="598" t="s">
        <v>996</v>
      </c>
      <c r="AD179" s="598" t="s">
        <v>997</v>
      </c>
      <c r="AE179" s="616" t="s">
        <v>729</v>
      </c>
      <c r="AF179" s="616" t="s">
        <v>729</v>
      </c>
      <c r="AG179" s="616" t="s">
        <v>2594</v>
      </c>
      <c r="AH179" s="598"/>
      <c r="AI179" s="598"/>
      <c r="AJ179" s="598" t="s">
        <v>1349</v>
      </c>
      <c r="AK179" s="598"/>
      <c r="AL179" s="626"/>
      <c r="AM179" s="626"/>
    </row>
    <row r="180" spans="3:39" ht="18" customHeight="1">
      <c r="C180" s="598">
        <v>160</v>
      </c>
      <c r="D180" s="598" t="s">
        <v>1751</v>
      </c>
      <c r="E180" s="598">
        <f t="shared" si="0"/>
        <v>151</v>
      </c>
      <c r="F180" s="616" t="s">
        <v>4978</v>
      </c>
      <c r="G180" s="616" t="s">
        <v>729</v>
      </c>
      <c r="H180" s="618" t="s">
        <v>1202</v>
      </c>
      <c r="I180" s="618" t="s">
        <v>30</v>
      </c>
      <c r="J180" s="618" t="s">
        <v>1202</v>
      </c>
      <c r="K180" s="618" t="s">
        <v>1528</v>
      </c>
      <c r="L180" s="618" t="s">
        <v>1734</v>
      </c>
      <c r="M180" s="619" t="s">
        <v>1831</v>
      </c>
      <c r="N180" s="620"/>
      <c r="O180" s="620"/>
      <c r="P180" s="663" t="s">
        <v>1074</v>
      </c>
      <c r="Q180" s="621" t="s">
        <v>319</v>
      </c>
      <c r="R180" s="598"/>
      <c r="S180" s="598"/>
      <c r="T180" s="598"/>
      <c r="U180" s="598" t="s">
        <v>962</v>
      </c>
      <c r="V180" s="663" t="s">
        <v>217</v>
      </c>
      <c r="W180" s="779" t="s">
        <v>1752</v>
      </c>
      <c r="X180" s="598" t="s">
        <v>963</v>
      </c>
      <c r="Y180" s="624">
        <v>28259</v>
      </c>
      <c r="Z180" s="625">
        <f t="shared" ca="1" si="1"/>
        <v>48</v>
      </c>
      <c r="AA180" s="616" t="s">
        <v>1753</v>
      </c>
      <c r="AB180" s="598"/>
      <c r="AC180" s="598" t="s">
        <v>996</v>
      </c>
      <c r="AD180" s="598" t="s">
        <v>1018</v>
      </c>
      <c r="AE180" s="616" t="s">
        <v>729</v>
      </c>
      <c r="AF180" s="640" t="s">
        <v>729</v>
      </c>
      <c r="AG180" s="616" t="s">
        <v>1323</v>
      </c>
      <c r="AH180" s="598"/>
      <c r="AI180" s="598"/>
      <c r="AJ180" s="634" t="s">
        <v>1359</v>
      </c>
      <c r="AK180" s="598"/>
      <c r="AL180" s="626"/>
      <c r="AM180" s="626"/>
    </row>
    <row r="181" spans="3:39" ht="18" customHeight="1">
      <c r="C181" s="598">
        <v>161</v>
      </c>
      <c r="D181" s="598" t="s">
        <v>1779</v>
      </c>
      <c r="E181" s="598">
        <f t="shared" si="0"/>
        <v>152</v>
      </c>
      <c r="F181" s="616" t="s">
        <v>4978</v>
      </c>
      <c r="G181" s="616" t="s">
        <v>729</v>
      </c>
      <c r="H181" s="618" t="s">
        <v>1202</v>
      </c>
      <c r="I181" s="618" t="s">
        <v>30</v>
      </c>
      <c r="J181" s="618" t="s">
        <v>1202</v>
      </c>
      <c r="K181" s="618" t="s">
        <v>1528</v>
      </c>
      <c r="L181" s="618" t="s">
        <v>1734</v>
      </c>
      <c r="M181" s="619" t="s">
        <v>1831</v>
      </c>
      <c r="N181" s="620"/>
      <c r="O181" s="620"/>
      <c r="P181" s="663" t="s">
        <v>1074</v>
      </c>
      <c r="Q181" s="621" t="s">
        <v>319</v>
      </c>
      <c r="R181" s="598"/>
      <c r="S181" s="598"/>
      <c r="T181" s="598"/>
      <c r="U181" s="598" t="s">
        <v>962</v>
      </c>
      <c r="V181" s="663" t="s">
        <v>237</v>
      </c>
      <c r="W181" s="779" t="s">
        <v>1784</v>
      </c>
      <c r="X181" s="598" t="s">
        <v>963</v>
      </c>
      <c r="Y181" s="624">
        <v>29734</v>
      </c>
      <c r="Z181" s="625">
        <f t="shared" ca="1" si="1"/>
        <v>44</v>
      </c>
      <c r="AA181" s="616" t="s">
        <v>1785</v>
      </c>
      <c r="AB181" s="598"/>
      <c r="AC181" s="598" t="s">
        <v>996</v>
      </c>
      <c r="AD181" s="598" t="s">
        <v>1018</v>
      </c>
      <c r="AE181" s="616" t="s">
        <v>1078</v>
      </c>
      <c r="AF181" s="640" t="s">
        <v>729</v>
      </c>
      <c r="AG181" s="640" t="s">
        <v>1252</v>
      </c>
      <c r="AH181" s="598"/>
      <c r="AI181" s="598"/>
      <c r="AJ181" s="634" t="s">
        <v>1359</v>
      </c>
      <c r="AK181" s="598"/>
      <c r="AL181" s="626"/>
      <c r="AM181" s="626"/>
    </row>
    <row r="182" spans="3:39" ht="18" customHeight="1">
      <c r="C182" s="598">
        <v>162</v>
      </c>
      <c r="D182" s="598" t="s">
        <v>1500</v>
      </c>
      <c r="E182" s="598">
        <f t="shared" si="0"/>
        <v>153</v>
      </c>
      <c r="F182" s="616" t="s">
        <v>4978</v>
      </c>
      <c r="G182" s="616" t="s">
        <v>729</v>
      </c>
      <c r="H182" s="618" t="s">
        <v>1202</v>
      </c>
      <c r="I182" s="618" t="s">
        <v>30</v>
      </c>
      <c r="J182" s="618" t="s">
        <v>1202</v>
      </c>
      <c r="K182" s="618" t="s">
        <v>1528</v>
      </c>
      <c r="L182" s="618" t="s">
        <v>1734</v>
      </c>
      <c r="M182" s="619" t="s">
        <v>1831</v>
      </c>
      <c r="N182" s="620"/>
      <c r="O182" s="620"/>
      <c r="P182" s="663" t="s">
        <v>1074</v>
      </c>
      <c r="Q182" s="621" t="s">
        <v>319</v>
      </c>
      <c r="R182" s="598"/>
      <c r="S182" s="598"/>
      <c r="T182" s="598"/>
      <c r="U182" s="598" t="s">
        <v>962</v>
      </c>
      <c r="V182" s="663" t="s">
        <v>258</v>
      </c>
      <c r="W182" s="779" t="s">
        <v>1502</v>
      </c>
      <c r="X182" s="598" t="s">
        <v>963</v>
      </c>
      <c r="Y182" s="624">
        <v>30020</v>
      </c>
      <c r="Z182" s="625">
        <f t="shared" ca="1" si="1"/>
        <v>43</v>
      </c>
      <c r="AA182" s="616" t="s">
        <v>1503</v>
      </c>
      <c r="AB182" s="598"/>
      <c r="AC182" s="598" t="s">
        <v>996</v>
      </c>
      <c r="AD182" s="598" t="s">
        <v>1018</v>
      </c>
      <c r="AE182" s="616" t="s">
        <v>729</v>
      </c>
      <c r="AF182" s="640" t="s">
        <v>729</v>
      </c>
      <c r="AG182" s="616" t="s">
        <v>1323</v>
      </c>
      <c r="AH182" s="598"/>
      <c r="AI182" s="598"/>
      <c r="AJ182" s="634" t="s">
        <v>1359</v>
      </c>
      <c r="AK182" s="598"/>
      <c r="AL182" s="626"/>
      <c r="AM182" s="626"/>
    </row>
    <row r="183" spans="3:39" ht="18" customHeight="1">
      <c r="C183" s="598">
        <v>163</v>
      </c>
      <c r="D183" s="598" t="s">
        <v>1778</v>
      </c>
      <c r="E183" s="598">
        <f t="shared" si="0"/>
        <v>154</v>
      </c>
      <c r="F183" s="616" t="s">
        <v>4978</v>
      </c>
      <c r="G183" s="616" t="s">
        <v>729</v>
      </c>
      <c r="H183" s="618" t="s">
        <v>1202</v>
      </c>
      <c r="I183" s="618" t="s">
        <v>30</v>
      </c>
      <c r="J183" s="618" t="s">
        <v>1202</v>
      </c>
      <c r="K183" s="618" t="s">
        <v>1528</v>
      </c>
      <c r="L183" s="618" t="s">
        <v>1734</v>
      </c>
      <c r="M183" s="619" t="s">
        <v>1831</v>
      </c>
      <c r="N183" s="620"/>
      <c r="O183" s="620"/>
      <c r="P183" s="663" t="s">
        <v>1074</v>
      </c>
      <c r="Q183" s="621" t="s">
        <v>319</v>
      </c>
      <c r="R183" s="598"/>
      <c r="S183" s="598"/>
      <c r="T183" s="598"/>
      <c r="U183" s="598" t="s">
        <v>962</v>
      </c>
      <c r="V183" s="663" t="s">
        <v>197</v>
      </c>
      <c r="W183" s="779" t="s">
        <v>1781</v>
      </c>
      <c r="X183" s="598" t="s">
        <v>963</v>
      </c>
      <c r="Y183" s="624">
        <v>30250</v>
      </c>
      <c r="Z183" s="625">
        <f t="shared" ca="1" si="1"/>
        <v>43</v>
      </c>
      <c r="AA183" s="616" t="s">
        <v>1782</v>
      </c>
      <c r="AB183" s="598"/>
      <c r="AC183" s="598" t="s">
        <v>996</v>
      </c>
      <c r="AD183" s="598" t="s">
        <v>997</v>
      </c>
      <c r="AE183" s="616" t="s">
        <v>729</v>
      </c>
      <c r="AF183" s="640" t="s">
        <v>729</v>
      </c>
      <c r="AG183" s="616" t="s">
        <v>1745</v>
      </c>
      <c r="AH183" s="598"/>
      <c r="AI183" s="598"/>
      <c r="AJ183" s="634" t="s">
        <v>1359</v>
      </c>
      <c r="AK183" s="598"/>
      <c r="AL183" s="626"/>
      <c r="AM183" s="626"/>
    </row>
    <row r="184" spans="3:39" ht="18" customHeight="1">
      <c r="C184" s="598">
        <v>164</v>
      </c>
      <c r="D184" s="598" t="s">
        <v>1787</v>
      </c>
      <c r="E184" s="598">
        <f t="shared" si="0"/>
        <v>155</v>
      </c>
      <c r="F184" s="616" t="s">
        <v>4978</v>
      </c>
      <c r="G184" s="616" t="s">
        <v>729</v>
      </c>
      <c r="H184" s="618" t="s">
        <v>1202</v>
      </c>
      <c r="I184" s="618" t="s">
        <v>30</v>
      </c>
      <c r="J184" s="618" t="s">
        <v>1202</v>
      </c>
      <c r="K184" s="618" t="s">
        <v>1528</v>
      </c>
      <c r="L184" s="618" t="s">
        <v>1734</v>
      </c>
      <c r="M184" s="619" t="s">
        <v>1831</v>
      </c>
      <c r="N184" s="620"/>
      <c r="O184" s="620"/>
      <c r="P184" s="663" t="s">
        <v>1074</v>
      </c>
      <c r="Q184" s="621" t="s">
        <v>319</v>
      </c>
      <c r="R184" s="598"/>
      <c r="S184" s="598"/>
      <c r="T184" s="598"/>
      <c r="U184" s="598" t="s">
        <v>962</v>
      </c>
      <c r="V184" s="663" t="s">
        <v>273</v>
      </c>
      <c r="W184" s="779" t="s">
        <v>1788</v>
      </c>
      <c r="X184" s="598" t="s">
        <v>963</v>
      </c>
      <c r="Y184" s="624">
        <v>34787</v>
      </c>
      <c r="Z184" s="625">
        <f t="shared" ca="1" si="1"/>
        <v>30</v>
      </c>
      <c r="AA184" s="616" t="s">
        <v>1789</v>
      </c>
      <c r="AB184" s="598"/>
      <c r="AC184" s="598" t="s">
        <v>996</v>
      </c>
      <c r="AD184" s="598" t="s">
        <v>1018</v>
      </c>
      <c r="AE184" s="616" t="s">
        <v>1494</v>
      </c>
      <c r="AF184" s="616" t="s">
        <v>1791</v>
      </c>
      <c r="AG184" s="616" t="s">
        <v>1792</v>
      </c>
      <c r="AH184" s="598"/>
      <c r="AI184" s="598"/>
      <c r="AJ184" s="634" t="s">
        <v>1359</v>
      </c>
      <c r="AK184" s="598"/>
      <c r="AL184" s="626"/>
      <c r="AM184" s="626"/>
    </row>
    <row r="185" spans="3:39" ht="18" customHeight="1">
      <c r="C185" s="598">
        <v>165</v>
      </c>
      <c r="D185" s="598" t="s">
        <v>1831</v>
      </c>
      <c r="E185" s="598">
        <f t="shared" si="0"/>
        <v>156</v>
      </c>
      <c r="F185" s="616" t="s">
        <v>4978</v>
      </c>
      <c r="G185" s="616" t="s">
        <v>729</v>
      </c>
      <c r="H185" s="618" t="s">
        <v>1202</v>
      </c>
      <c r="I185" s="618" t="s">
        <v>30</v>
      </c>
      <c r="J185" s="618" t="s">
        <v>1202</v>
      </c>
      <c r="K185" s="618" t="s">
        <v>1528</v>
      </c>
      <c r="L185" s="618" t="s">
        <v>1734</v>
      </c>
      <c r="M185" s="619" t="s">
        <v>1831</v>
      </c>
      <c r="N185" s="620"/>
      <c r="O185" s="620"/>
      <c r="P185" s="663" t="s">
        <v>1074</v>
      </c>
      <c r="Q185" s="621" t="s">
        <v>319</v>
      </c>
      <c r="R185" s="598" t="s">
        <v>69</v>
      </c>
      <c r="S185" s="598" t="s">
        <v>69</v>
      </c>
      <c r="T185" s="598"/>
      <c r="U185" s="598" t="s">
        <v>962</v>
      </c>
      <c r="V185" s="663" t="s">
        <v>198</v>
      </c>
      <c r="W185" s="779" t="s">
        <v>1832</v>
      </c>
      <c r="X185" s="598" t="s">
        <v>963</v>
      </c>
      <c r="Y185" s="624">
        <v>35647</v>
      </c>
      <c r="Z185" s="625">
        <f t="shared" ca="1" si="1"/>
        <v>28</v>
      </c>
      <c r="AA185" s="616" t="s">
        <v>1833</v>
      </c>
      <c r="AB185" s="598"/>
      <c r="AC185" s="598" t="s">
        <v>996</v>
      </c>
      <c r="AD185" s="598" t="s">
        <v>1018</v>
      </c>
      <c r="AE185" s="616" t="s">
        <v>729</v>
      </c>
      <c r="AF185" s="640" t="s">
        <v>729</v>
      </c>
      <c r="AG185" s="616" t="s">
        <v>1835</v>
      </c>
      <c r="AH185" s="598"/>
      <c r="AI185" s="598"/>
      <c r="AJ185" s="634" t="s">
        <v>1359</v>
      </c>
      <c r="AK185" s="598"/>
      <c r="AL185" s="626"/>
      <c r="AM185" s="626"/>
    </row>
    <row r="186" spans="3:39" ht="18" customHeight="1">
      <c r="C186" s="598">
        <v>166</v>
      </c>
      <c r="D186" s="598" t="s">
        <v>3857</v>
      </c>
      <c r="E186" s="598">
        <f t="shared" si="0"/>
        <v>157</v>
      </c>
      <c r="F186" s="616" t="s">
        <v>4978</v>
      </c>
      <c r="G186" s="616" t="s">
        <v>729</v>
      </c>
      <c r="H186" s="618" t="s">
        <v>1202</v>
      </c>
      <c r="I186" s="618" t="s">
        <v>30</v>
      </c>
      <c r="J186" s="618" t="s">
        <v>1202</v>
      </c>
      <c r="K186" s="618" t="s">
        <v>1528</v>
      </c>
      <c r="L186" s="618" t="s">
        <v>1734</v>
      </c>
      <c r="M186" s="619" t="s">
        <v>1831</v>
      </c>
      <c r="N186" s="620"/>
      <c r="O186" s="620"/>
      <c r="P186" s="663" t="s">
        <v>1074</v>
      </c>
      <c r="Q186" s="621" t="s">
        <v>319</v>
      </c>
      <c r="R186" s="598"/>
      <c r="S186" s="598"/>
      <c r="T186" s="598"/>
      <c r="U186" s="598" t="s">
        <v>992</v>
      </c>
      <c r="V186" s="663" t="s">
        <v>218</v>
      </c>
      <c r="W186" s="779" t="s">
        <v>3858</v>
      </c>
      <c r="X186" s="598" t="s">
        <v>963</v>
      </c>
      <c r="Y186" s="624">
        <v>32923</v>
      </c>
      <c r="Z186" s="625">
        <f t="shared" ca="1" si="1"/>
        <v>35</v>
      </c>
      <c r="AA186" s="616" t="s">
        <v>2994</v>
      </c>
      <c r="AB186" s="598"/>
      <c r="AC186" s="598" t="s">
        <v>996</v>
      </c>
      <c r="AD186" s="598" t="s">
        <v>1018</v>
      </c>
      <c r="AE186" s="616" t="s">
        <v>246</v>
      </c>
      <c r="AF186" s="616" t="s">
        <v>246</v>
      </c>
      <c r="AG186" s="616" t="s">
        <v>3860</v>
      </c>
      <c r="AH186" s="598"/>
      <c r="AI186" s="598"/>
      <c r="AJ186" s="634" t="s">
        <v>1359</v>
      </c>
      <c r="AK186" s="598"/>
      <c r="AL186" s="626"/>
      <c r="AM186" s="626"/>
    </row>
    <row r="187" spans="3:39" ht="18" customHeight="1">
      <c r="C187" s="598">
        <v>167</v>
      </c>
      <c r="D187" s="598" t="s">
        <v>1804</v>
      </c>
      <c r="E187" s="598">
        <f t="shared" si="0"/>
        <v>158</v>
      </c>
      <c r="F187" s="616" t="s">
        <v>4978</v>
      </c>
      <c r="G187" s="616" t="s">
        <v>729</v>
      </c>
      <c r="H187" s="618" t="s">
        <v>1202</v>
      </c>
      <c r="I187" s="618" t="s">
        <v>30</v>
      </c>
      <c r="J187" s="618" t="s">
        <v>1202</v>
      </c>
      <c r="K187" s="618" t="s">
        <v>1528</v>
      </c>
      <c r="L187" s="618" t="s">
        <v>1734</v>
      </c>
      <c r="M187" s="619" t="s">
        <v>1831</v>
      </c>
      <c r="N187" s="620"/>
      <c r="O187" s="620"/>
      <c r="P187" s="663" t="s">
        <v>1074</v>
      </c>
      <c r="Q187" s="621" t="s">
        <v>319</v>
      </c>
      <c r="R187" s="598"/>
      <c r="S187" s="598"/>
      <c r="T187" s="598"/>
      <c r="U187" s="598" t="s">
        <v>992</v>
      </c>
      <c r="V187" s="663" t="s">
        <v>238</v>
      </c>
      <c r="W187" s="779" t="s">
        <v>1805</v>
      </c>
      <c r="X187" s="598" t="s">
        <v>963</v>
      </c>
      <c r="Y187" s="624">
        <v>37793</v>
      </c>
      <c r="Z187" s="625">
        <f t="shared" ca="1" si="1"/>
        <v>22</v>
      </c>
      <c r="AA187" s="616" t="s">
        <v>1806</v>
      </c>
      <c r="AB187" s="598"/>
      <c r="AC187" s="598" t="s">
        <v>996</v>
      </c>
      <c r="AD187" s="598" t="s">
        <v>997</v>
      </c>
      <c r="AE187" s="616" t="s">
        <v>729</v>
      </c>
      <c r="AF187" s="640" t="s">
        <v>729</v>
      </c>
      <c r="AG187" s="616" t="s">
        <v>1808</v>
      </c>
      <c r="AH187" s="598"/>
      <c r="AI187" s="598"/>
      <c r="AJ187" s="634" t="s">
        <v>1359</v>
      </c>
      <c r="AK187" s="598"/>
      <c r="AL187" s="626"/>
      <c r="AM187" s="626"/>
    </row>
    <row r="188" spans="3:39" ht="18" customHeight="1">
      <c r="C188" s="598">
        <v>168</v>
      </c>
      <c r="D188" s="598" t="s">
        <v>3861</v>
      </c>
      <c r="E188" s="598">
        <f t="shared" si="0"/>
        <v>159</v>
      </c>
      <c r="F188" s="616" t="s">
        <v>4978</v>
      </c>
      <c r="G188" s="616" t="s">
        <v>729</v>
      </c>
      <c r="H188" s="618" t="s">
        <v>1202</v>
      </c>
      <c r="I188" s="618" t="s">
        <v>30</v>
      </c>
      <c r="J188" s="618" t="s">
        <v>1202</v>
      </c>
      <c r="K188" s="618" t="s">
        <v>1528</v>
      </c>
      <c r="L188" s="618" t="s">
        <v>1734</v>
      </c>
      <c r="M188" s="619" t="s">
        <v>1831</v>
      </c>
      <c r="N188" s="620"/>
      <c r="O188" s="620"/>
      <c r="P188" s="663" t="s">
        <v>1074</v>
      </c>
      <c r="Q188" s="621" t="s">
        <v>319</v>
      </c>
      <c r="R188" s="598"/>
      <c r="S188" s="598"/>
      <c r="T188" s="598"/>
      <c r="U188" s="598" t="s">
        <v>992</v>
      </c>
      <c r="V188" s="663" t="s">
        <v>3863</v>
      </c>
      <c r="W188" s="779" t="s">
        <v>3864</v>
      </c>
      <c r="X188" s="598" t="s">
        <v>963</v>
      </c>
      <c r="Y188" s="624">
        <v>32111</v>
      </c>
      <c r="Z188" s="625">
        <f t="shared" ca="1" si="1"/>
        <v>38</v>
      </c>
      <c r="AA188" s="616" t="s">
        <v>3865</v>
      </c>
      <c r="AB188" s="598"/>
      <c r="AC188" s="598" t="s">
        <v>996</v>
      </c>
      <c r="AD188" s="598" t="s">
        <v>1018</v>
      </c>
      <c r="AE188" s="616" t="s">
        <v>246</v>
      </c>
      <c r="AF188" s="616" t="s">
        <v>246</v>
      </c>
      <c r="AG188" s="616" t="s">
        <v>3867</v>
      </c>
      <c r="AH188" s="598"/>
      <c r="AI188" s="598"/>
      <c r="AJ188" s="700" t="s">
        <v>1612</v>
      </c>
      <c r="AK188" s="598"/>
      <c r="AL188" s="626"/>
      <c r="AM188" s="626"/>
    </row>
    <row r="189" spans="3:39" ht="18" customHeight="1">
      <c r="C189" s="598">
        <v>169</v>
      </c>
      <c r="D189" s="598" t="s">
        <v>1647</v>
      </c>
      <c r="E189" s="598">
        <f t="shared" si="0"/>
        <v>160</v>
      </c>
      <c r="F189" s="616" t="s">
        <v>4978</v>
      </c>
      <c r="G189" s="616" t="s">
        <v>729</v>
      </c>
      <c r="H189" s="618" t="s">
        <v>1202</v>
      </c>
      <c r="I189" s="618" t="s">
        <v>30</v>
      </c>
      <c r="J189" s="618" t="s">
        <v>1202</v>
      </c>
      <c r="K189" s="618" t="s">
        <v>1528</v>
      </c>
      <c r="L189" s="618" t="s">
        <v>1734</v>
      </c>
      <c r="M189" s="619" t="s">
        <v>1831</v>
      </c>
      <c r="N189" s="620"/>
      <c r="O189" s="620"/>
      <c r="P189" s="663" t="s">
        <v>1074</v>
      </c>
      <c r="Q189" s="621" t="s">
        <v>319</v>
      </c>
      <c r="R189" s="598"/>
      <c r="S189" s="598"/>
      <c r="T189" s="598"/>
      <c r="U189" s="598" t="s">
        <v>992</v>
      </c>
      <c r="V189" s="663" t="s">
        <v>274</v>
      </c>
      <c r="W189" s="779" t="s">
        <v>1649</v>
      </c>
      <c r="X189" s="598" t="s">
        <v>963</v>
      </c>
      <c r="Y189" s="624">
        <v>37979</v>
      </c>
      <c r="Z189" s="625">
        <f t="shared" ca="1" si="1"/>
        <v>22</v>
      </c>
      <c r="AA189" s="616" t="s">
        <v>1650</v>
      </c>
      <c r="AB189" s="598"/>
      <c r="AC189" s="598" t="s">
        <v>996</v>
      </c>
      <c r="AD189" s="598" t="s">
        <v>1018</v>
      </c>
      <c r="AE189" s="616" t="s">
        <v>729</v>
      </c>
      <c r="AF189" s="616" t="s">
        <v>729</v>
      </c>
      <c r="AG189" s="616" t="s">
        <v>1323</v>
      </c>
      <c r="AH189" s="598"/>
      <c r="AI189" s="598"/>
      <c r="AJ189" s="647" t="s">
        <v>1513</v>
      </c>
      <c r="AK189" s="598"/>
      <c r="AL189" s="626"/>
      <c r="AM189" s="626"/>
    </row>
    <row r="190" spans="3:39" ht="18" customHeight="1">
      <c r="C190" s="598">
        <v>170</v>
      </c>
      <c r="D190" s="598" t="s">
        <v>4561</v>
      </c>
      <c r="E190" s="598">
        <f t="shared" si="0"/>
        <v>161</v>
      </c>
      <c r="F190" s="616" t="s">
        <v>1351</v>
      </c>
      <c r="G190" s="616" t="s">
        <v>729</v>
      </c>
      <c r="H190" s="618" t="s">
        <v>1202</v>
      </c>
      <c r="I190" s="618" t="s">
        <v>30</v>
      </c>
      <c r="J190" s="618" t="s">
        <v>1202</v>
      </c>
      <c r="K190" s="618" t="s">
        <v>1528</v>
      </c>
      <c r="L190" s="618" t="s">
        <v>1734</v>
      </c>
      <c r="M190" s="619" t="s">
        <v>1831</v>
      </c>
      <c r="N190" s="620"/>
      <c r="O190" s="620"/>
      <c r="P190" s="663" t="s">
        <v>1074</v>
      </c>
      <c r="Q190" s="621"/>
      <c r="R190" s="598"/>
      <c r="S190" s="598"/>
      <c r="T190" s="598"/>
      <c r="U190" s="598" t="s">
        <v>962</v>
      </c>
      <c r="V190" s="663" t="s">
        <v>4562</v>
      </c>
      <c r="W190" s="779" t="s">
        <v>4563</v>
      </c>
      <c r="X190" s="598" t="s">
        <v>963</v>
      </c>
      <c r="Y190" s="624">
        <v>29202</v>
      </c>
      <c r="Z190" s="625">
        <f t="shared" ca="1" si="1"/>
        <v>46</v>
      </c>
      <c r="AA190" s="616" t="s">
        <v>4564</v>
      </c>
      <c r="AB190" s="598"/>
      <c r="AC190" s="598" t="s">
        <v>996</v>
      </c>
      <c r="AD190" s="598" t="s">
        <v>1018</v>
      </c>
      <c r="AE190" s="616" t="s">
        <v>729</v>
      </c>
      <c r="AF190" s="616" t="s">
        <v>729</v>
      </c>
      <c r="AG190" s="616" t="s">
        <v>4565</v>
      </c>
      <c r="AH190" s="598"/>
      <c r="AI190" s="598" t="s">
        <v>4566</v>
      </c>
      <c r="AJ190" s="598" t="s">
        <v>1440</v>
      </c>
      <c r="AK190" s="622" t="s">
        <v>4567</v>
      </c>
      <c r="AL190" s="626"/>
      <c r="AM190" s="626"/>
    </row>
    <row r="191" spans="3:39" ht="18" customHeight="1">
      <c r="C191" s="598">
        <v>171</v>
      </c>
      <c r="D191" s="598" t="s">
        <v>4568</v>
      </c>
      <c r="E191" s="598">
        <f t="shared" si="0"/>
        <v>162</v>
      </c>
      <c r="F191" s="616" t="s">
        <v>1351</v>
      </c>
      <c r="G191" s="616" t="s">
        <v>729</v>
      </c>
      <c r="H191" s="618" t="s">
        <v>1202</v>
      </c>
      <c r="I191" s="618" t="s">
        <v>30</v>
      </c>
      <c r="J191" s="618" t="s">
        <v>1202</v>
      </c>
      <c r="K191" s="618" t="s">
        <v>1528</v>
      </c>
      <c r="L191" s="618" t="s">
        <v>1734</v>
      </c>
      <c r="M191" s="619" t="s">
        <v>1831</v>
      </c>
      <c r="N191" s="620"/>
      <c r="O191" s="620"/>
      <c r="P191" s="663" t="s">
        <v>1074</v>
      </c>
      <c r="Q191" s="621"/>
      <c r="R191" s="598"/>
      <c r="S191" s="598"/>
      <c r="T191" s="598"/>
      <c r="U191" s="598" t="s">
        <v>992</v>
      </c>
      <c r="V191" s="663" t="s">
        <v>4569</v>
      </c>
      <c r="W191" s="779" t="s">
        <v>4570</v>
      </c>
      <c r="X191" s="598" t="s">
        <v>963</v>
      </c>
      <c r="Y191" s="624">
        <v>33672</v>
      </c>
      <c r="Z191" s="625">
        <f t="shared" ca="1" si="1"/>
        <v>33</v>
      </c>
      <c r="AA191" s="616" t="s">
        <v>4571</v>
      </c>
      <c r="AB191" s="598"/>
      <c r="AC191" s="598" t="s">
        <v>996</v>
      </c>
      <c r="AD191" s="598" t="s">
        <v>1018</v>
      </c>
      <c r="AE191" s="616" t="s">
        <v>729</v>
      </c>
      <c r="AF191" s="616" t="s">
        <v>729</v>
      </c>
      <c r="AG191" s="616" t="s">
        <v>2390</v>
      </c>
      <c r="AH191" s="598"/>
      <c r="AI191" s="598" t="s">
        <v>4572</v>
      </c>
      <c r="AJ191" s="598" t="s">
        <v>1440</v>
      </c>
      <c r="AK191" s="622" t="s">
        <v>4567</v>
      </c>
      <c r="AL191" s="626"/>
      <c r="AM191" s="626"/>
    </row>
    <row r="192" spans="3:39" ht="18" customHeight="1">
      <c r="C192" s="598">
        <v>172</v>
      </c>
      <c r="D192" s="598" t="s">
        <v>1770</v>
      </c>
      <c r="E192" s="598">
        <f t="shared" si="0"/>
        <v>163</v>
      </c>
      <c r="F192" s="616" t="s">
        <v>1351</v>
      </c>
      <c r="G192" s="616" t="s">
        <v>729</v>
      </c>
      <c r="H192" s="618" t="s">
        <v>1202</v>
      </c>
      <c r="I192" s="618" t="s">
        <v>30</v>
      </c>
      <c r="J192" s="618" t="s">
        <v>1202</v>
      </c>
      <c r="K192" s="618" t="s">
        <v>1528</v>
      </c>
      <c r="L192" s="618" t="s">
        <v>1734</v>
      </c>
      <c r="M192" s="619" t="s">
        <v>1831</v>
      </c>
      <c r="N192" s="620"/>
      <c r="O192" s="620"/>
      <c r="P192" s="663" t="s">
        <v>1074</v>
      </c>
      <c r="Q192" s="621"/>
      <c r="R192" s="598"/>
      <c r="S192" s="598"/>
      <c r="T192" s="598"/>
      <c r="U192" s="598" t="s">
        <v>962</v>
      </c>
      <c r="V192" s="663" t="s">
        <v>1771</v>
      </c>
      <c r="W192" s="779" t="s">
        <v>1772</v>
      </c>
      <c r="X192" s="598" t="s">
        <v>963</v>
      </c>
      <c r="Y192" s="624">
        <v>30297</v>
      </c>
      <c r="Z192" s="625">
        <f t="shared" ca="1" si="1"/>
        <v>43</v>
      </c>
      <c r="AA192" s="616" t="s">
        <v>1773</v>
      </c>
      <c r="AB192" s="598"/>
      <c r="AC192" s="598" t="s">
        <v>996</v>
      </c>
      <c r="AD192" s="598" t="s">
        <v>1018</v>
      </c>
      <c r="AE192" s="616" t="s">
        <v>729</v>
      </c>
      <c r="AF192" s="616" t="s">
        <v>729</v>
      </c>
      <c r="AG192" s="616" t="s">
        <v>1774</v>
      </c>
      <c r="AH192" s="598" t="s">
        <v>1775</v>
      </c>
      <c r="AI192" s="598" t="s">
        <v>1776</v>
      </c>
      <c r="AJ192" s="598" t="s">
        <v>1349</v>
      </c>
      <c r="AK192" s="598" t="s">
        <v>1777</v>
      </c>
      <c r="AL192" s="626"/>
      <c r="AM192" s="626"/>
    </row>
    <row r="193" spans="3:39" ht="18" customHeight="1">
      <c r="C193" s="598">
        <v>173</v>
      </c>
      <c r="D193" s="598" t="s">
        <v>4574</v>
      </c>
      <c r="E193" s="598">
        <f t="shared" si="0"/>
        <v>164</v>
      </c>
      <c r="F193" s="616" t="s">
        <v>1351</v>
      </c>
      <c r="G193" s="616" t="s">
        <v>729</v>
      </c>
      <c r="H193" s="618" t="s">
        <v>1202</v>
      </c>
      <c r="I193" s="618" t="s">
        <v>30</v>
      </c>
      <c r="J193" s="618" t="s">
        <v>1202</v>
      </c>
      <c r="K193" s="618" t="s">
        <v>1528</v>
      </c>
      <c r="L193" s="618" t="s">
        <v>1734</v>
      </c>
      <c r="M193" s="619" t="s">
        <v>1831</v>
      </c>
      <c r="N193" s="620"/>
      <c r="O193" s="620"/>
      <c r="P193" s="673" t="s">
        <v>1074</v>
      </c>
      <c r="Q193" s="621"/>
      <c r="R193" s="598"/>
      <c r="S193" s="598"/>
      <c r="T193" s="598"/>
      <c r="U193" s="598" t="s">
        <v>962</v>
      </c>
      <c r="V193" s="673" t="s">
        <v>4575</v>
      </c>
      <c r="W193" s="779" t="s">
        <v>4576</v>
      </c>
      <c r="X193" s="598" t="s">
        <v>963</v>
      </c>
      <c r="Y193" s="624">
        <v>30831</v>
      </c>
      <c r="Z193" s="625">
        <f t="shared" ca="1" si="1"/>
        <v>41</v>
      </c>
      <c r="AA193" s="616" t="s">
        <v>4577</v>
      </c>
      <c r="AB193" s="598"/>
      <c r="AC193" s="598" t="s">
        <v>996</v>
      </c>
      <c r="AD193" s="598" t="s">
        <v>1018</v>
      </c>
      <c r="AE193" s="616" t="s">
        <v>729</v>
      </c>
      <c r="AF193" s="616" t="s">
        <v>729</v>
      </c>
      <c r="AG193" s="616" t="s">
        <v>1533</v>
      </c>
      <c r="AH193" s="598"/>
      <c r="AI193" s="598" t="s">
        <v>4578</v>
      </c>
      <c r="AJ193" s="598" t="s">
        <v>1349</v>
      </c>
      <c r="AK193" s="598" t="s">
        <v>4567</v>
      </c>
      <c r="AL193" s="626"/>
      <c r="AM193" s="626"/>
    </row>
    <row r="194" spans="3:39" ht="18" customHeight="1">
      <c r="C194" s="598">
        <v>174</v>
      </c>
      <c r="D194" s="598" t="s">
        <v>1253</v>
      </c>
      <c r="E194" s="598">
        <f t="shared" si="0"/>
        <v>165</v>
      </c>
      <c r="F194" s="616" t="s">
        <v>1233</v>
      </c>
      <c r="G194" s="616" t="s">
        <v>729</v>
      </c>
      <c r="H194" s="618" t="s">
        <v>1202</v>
      </c>
      <c r="I194" s="618" t="s">
        <v>30</v>
      </c>
      <c r="J194" s="618" t="s">
        <v>1202</v>
      </c>
      <c r="K194" s="618" t="s">
        <v>1253</v>
      </c>
      <c r="L194" s="618" t="s">
        <v>2443</v>
      </c>
      <c r="M194" s="619"/>
      <c r="N194" s="620"/>
      <c r="O194" s="620"/>
      <c r="P194" s="667" t="s">
        <v>1115</v>
      </c>
      <c r="Q194" s="621"/>
      <c r="R194" s="598" t="s">
        <v>55</v>
      </c>
      <c r="S194" s="598" t="s">
        <v>178</v>
      </c>
      <c r="T194" s="598"/>
      <c r="U194" s="598" t="s">
        <v>1015</v>
      </c>
      <c r="V194" s="667" t="s">
        <v>1254</v>
      </c>
      <c r="W194" s="779" t="s">
        <v>1255</v>
      </c>
      <c r="X194" s="598" t="s">
        <v>950</v>
      </c>
      <c r="Y194" s="624">
        <v>29411</v>
      </c>
      <c r="Z194" s="625">
        <f t="shared" ca="1" si="1"/>
        <v>45</v>
      </c>
      <c r="AA194" s="616" t="s">
        <v>1256</v>
      </c>
      <c r="AB194" s="598"/>
      <c r="AC194" s="598" t="s">
        <v>966</v>
      </c>
      <c r="AD194" s="598" t="s">
        <v>953</v>
      </c>
      <c r="AE194" s="616" t="s">
        <v>729</v>
      </c>
      <c r="AF194" s="616" t="s">
        <v>1239</v>
      </c>
      <c r="AG194" s="616" t="s">
        <v>1258</v>
      </c>
      <c r="AH194" s="598"/>
      <c r="AI194" s="598"/>
      <c r="AJ194" s="598"/>
      <c r="AK194" s="598"/>
      <c r="AL194" s="626"/>
      <c r="AM194" s="626"/>
    </row>
    <row r="195" spans="3:39" ht="18" customHeight="1">
      <c r="C195" s="598">
        <v>175</v>
      </c>
      <c r="D195" s="598" t="s">
        <v>2443</v>
      </c>
      <c r="E195" s="598">
        <f t="shared" si="0"/>
        <v>166</v>
      </c>
      <c r="F195" s="616" t="s">
        <v>1351</v>
      </c>
      <c r="G195" s="616" t="s">
        <v>729</v>
      </c>
      <c r="H195" s="618" t="s">
        <v>1202</v>
      </c>
      <c r="I195" s="618" t="s">
        <v>30</v>
      </c>
      <c r="J195" s="618" t="s">
        <v>1202</v>
      </c>
      <c r="K195" s="618" t="s">
        <v>1253</v>
      </c>
      <c r="L195" s="618" t="s">
        <v>2443</v>
      </c>
      <c r="M195" s="619"/>
      <c r="N195" s="620"/>
      <c r="O195" s="620"/>
      <c r="P195" s="663" t="s">
        <v>1115</v>
      </c>
      <c r="Q195" s="621"/>
      <c r="R195" s="598" t="s">
        <v>69</v>
      </c>
      <c r="S195" s="598" t="s">
        <v>69</v>
      </c>
      <c r="T195" s="598"/>
      <c r="U195" s="598" t="s">
        <v>1015</v>
      </c>
      <c r="V195" s="663" t="s">
        <v>2449</v>
      </c>
      <c r="W195" s="779" t="s">
        <v>2450</v>
      </c>
      <c r="X195" s="598" t="s">
        <v>950</v>
      </c>
      <c r="Y195" s="624">
        <v>29346</v>
      </c>
      <c r="Z195" s="625">
        <f t="shared" ca="1" si="1"/>
        <v>45</v>
      </c>
      <c r="AA195" s="616" t="s">
        <v>2451</v>
      </c>
      <c r="AB195" s="598"/>
      <c r="AC195" s="598" t="s">
        <v>966</v>
      </c>
      <c r="AD195" s="598" t="s">
        <v>953</v>
      </c>
      <c r="AE195" s="616" t="s">
        <v>729</v>
      </c>
      <c r="AF195" s="616" t="s">
        <v>729</v>
      </c>
      <c r="AG195" s="616"/>
      <c r="AH195" s="598"/>
      <c r="AI195" s="598"/>
      <c r="AJ195" s="598" t="s">
        <v>1440</v>
      </c>
      <c r="AK195" s="598"/>
      <c r="AL195" s="626"/>
      <c r="AM195" s="626"/>
    </row>
    <row r="196" spans="3:39" ht="18" customHeight="1">
      <c r="C196" s="598">
        <v>176</v>
      </c>
      <c r="D196" s="598" t="s">
        <v>1336</v>
      </c>
      <c r="E196" s="598">
        <f t="shared" si="0"/>
        <v>167</v>
      </c>
      <c r="F196" s="616" t="s">
        <v>1233</v>
      </c>
      <c r="G196" s="616" t="s">
        <v>729</v>
      </c>
      <c r="H196" s="618" t="s">
        <v>1202</v>
      </c>
      <c r="I196" s="618" t="s">
        <v>30</v>
      </c>
      <c r="J196" s="618" t="s">
        <v>1202</v>
      </c>
      <c r="K196" s="618" t="s">
        <v>1253</v>
      </c>
      <c r="L196" s="618" t="s">
        <v>2443</v>
      </c>
      <c r="M196" s="619"/>
      <c r="N196" s="620"/>
      <c r="O196" s="620"/>
      <c r="P196" s="663" t="s">
        <v>1115</v>
      </c>
      <c r="Q196" s="621"/>
      <c r="R196" s="598"/>
      <c r="S196" s="598"/>
      <c r="T196" s="598"/>
      <c r="U196" s="598" t="s">
        <v>1015</v>
      </c>
      <c r="V196" s="663" t="s">
        <v>1339</v>
      </c>
      <c r="W196" s="779" t="s">
        <v>1340</v>
      </c>
      <c r="X196" s="598" t="s">
        <v>950</v>
      </c>
      <c r="Y196" s="624">
        <v>28450</v>
      </c>
      <c r="Z196" s="625">
        <f t="shared" ca="1" si="1"/>
        <v>48</v>
      </c>
      <c r="AA196" s="616" t="s">
        <v>1341</v>
      </c>
      <c r="AB196" s="598"/>
      <c r="AC196" s="598" t="s">
        <v>996</v>
      </c>
      <c r="AD196" s="598" t="s">
        <v>997</v>
      </c>
      <c r="AE196" s="616" t="s">
        <v>729</v>
      </c>
      <c r="AF196" s="616" t="s">
        <v>1239</v>
      </c>
      <c r="AG196" s="616" t="s">
        <v>1258</v>
      </c>
      <c r="AH196" s="598"/>
      <c r="AI196" s="598"/>
      <c r="AJ196" s="598" t="s">
        <v>1011</v>
      </c>
      <c r="AK196" s="598"/>
      <c r="AL196" s="626"/>
      <c r="AM196" s="626"/>
    </row>
    <row r="197" spans="3:39" ht="18" customHeight="1">
      <c r="C197" s="598">
        <v>177</v>
      </c>
      <c r="D197" s="598" t="s">
        <v>1967</v>
      </c>
      <c r="E197" s="598">
        <f t="shared" si="0"/>
        <v>168</v>
      </c>
      <c r="F197" s="616" t="s">
        <v>1351</v>
      </c>
      <c r="G197" s="616" t="s">
        <v>729</v>
      </c>
      <c r="H197" s="618" t="s">
        <v>1202</v>
      </c>
      <c r="I197" s="618" t="s">
        <v>30</v>
      </c>
      <c r="J197" s="618" t="s">
        <v>1202</v>
      </c>
      <c r="K197" s="618" t="s">
        <v>1253</v>
      </c>
      <c r="L197" s="618" t="s">
        <v>2443</v>
      </c>
      <c r="M197" s="619"/>
      <c r="N197" s="620"/>
      <c r="O197" s="620"/>
      <c r="P197" s="663" t="s">
        <v>1115</v>
      </c>
      <c r="Q197" s="621"/>
      <c r="R197" s="598"/>
      <c r="S197" s="598"/>
      <c r="T197" s="598"/>
      <c r="U197" s="598" t="s">
        <v>1015</v>
      </c>
      <c r="V197" s="663" t="s">
        <v>1968</v>
      </c>
      <c r="W197" s="779" t="s">
        <v>1969</v>
      </c>
      <c r="X197" s="598" t="s">
        <v>950</v>
      </c>
      <c r="Y197" s="624">
        <v>28228</v>
      </c>
      <c r="Z197" s="625">
        <f t="shared" ca="1" si="1"/>
        <v>48</v>
      </c>
      <c r="AA197" s="616" t="s">
        <v>1970</v>
      </c>
      <c r="AB197" s="598"/>
      <c r="AC197" s="598" t="s">
        <v>996</v>
      </c>
      <c r="AD197" s="598" t="s">
        <v>953</v>
      </c>
      <c r="AE197" s="616" t="s">
        <v>729</v>
      </c>
      <c r="AF197" s="616" t="s">
        <v>729</v>
      </c>
      <c r="AG197" s="616" t="s">
        <v>1972</v>
      </c>
      <c r="AH197" s="598"/>
      <c r="AI197" s="598"/>
      <c r="AJ197" s="598" t="s">
        <v>1440</v>
      </c>
      <c r="AK197" s="598"/>
      <c r="AL197" s="626"/>
      <c r="AM197" s="626"/>
    </row>
    <row r="198" spans="3:39" ht="18" customHeight="1">
      <c r="C198" s="598">
        <v>178</v>
      </c>
      <c r="D198" s="598" t="s">
        <v>1949</v>
      </c>
      <c r="E198" s="598">
        <f t="shared" si="0"/>
        <v>169</v>
      </c>
      <c r="F198" s="616" t="s">
        <v>1351</v>
      </c>
      <c r="G198" s="616" t="s">
        <v>729</v>
      </c>
      <c r="H198" s="618" t="s">
        <v>1202</v>
      </c>
      <c r="I198" s="618" t="s">
        <v>30</v>
      </c>
      <c r="J198" s="618" t="s">
        <v>1202</v>
      </c>
      <c r="K198" s="618" t="s">
        <v>1253</v>
      </c>
      <c r="L198" s="618" t="s">
        <v>2443</v>
      </c>
      <c r="M198" s="619"/>
      <c r="N198" s="620"/>
      <c r="O198" s="620"/>
      <c r="P198" s="663" t="s">
        <v>1115</v>
      </c>
      <c r="Q198" s="621"/>
      <c r="R198" s="598" t="s">
        <v>55</v>
      </c>
      <c r="S198" s="598" t="s">
        <v>178</v>
      </c>
      <c r="T198" s="598"/>
      <c r="U198" s="598" t="s">
        <v>1015</v>
      </c>
      <c r="V198" s="663" t="s">
        <v>336</v>
      </c>
      <c r="W198" s="779" t="s">
        <v>5051</v>
      </c>
      <c r="X198" s="598" t="s">
        <v>950</v>
      </c>
      <c r="Y198" s="624">
        <v>30593</v>
      </c>
      <c r="Z198" s="625">
        <f t="shared" ca="1" si="1"/>
        <v>42</v>
      </c>
      <c r="AA198" s="616" t="s">
        <v>1951</v>
      </c>
      <c r="AB198" s="598" t="s">
        <v>1952</v>
      </c>
      <c r="AC198" s="598" t="s">
        <v>966</v>
      </c>
      <c r="AD198" s="598" t="s">
        <v>953</v>
      </c>
      <c r="AE198" s="616" t="s">
        <v>729</v>
      </c>
      <c r="AF198" s="616" t="s">
        <v>729</v>
      </c>
      <c r="AG198" s="616"/>
      <c r="AH198" s="598"/>
      <c r="AI198" s="598"/>
      <c r="AJ198" s="598" t="s">
        <v>1440</v>
      </c>
      <c r="AK198" s="598"/>
      <c r="AL198" s="626"/>
      <c r="AM198" s="626"/>
    </row>
    <row r="199" spans="3:39" ht="18" customHeight="1">
      <c r="C199" s="598">
        <v>179</v>
      </c>
      <c r="D199" s="598" t="s">
        <v>4579</v>
      </c>
      <c r="E199" s="598">
        <f t="shared" si="0"/>
        <v>170</v>
      </c>
      <c r="F199" s="616" t="s">
        <v>1351</v>
      </c>
      <c r="G199" s="616" t="s">
        <v>729</v>
      </c>
      <c r="H199" s="618" t="s">
        <v>1202</v>
      </c>
      <c r="I199" s="618" t="s">
        <v>30</v>
      </c>
      <c r="J199" s="618" t="s">
        <v>1202</v>
      </c>
      <c r="K199" s="618" t="s">
        <v>1253</v>
      </c>
      <c r="L199" s="618" t="s">
        <v>2443</v>
      </c>
      <c r="M199" s="619"/>
      <c r="N199" s="620"/>
      <c r="O199" s="620"/>
      <c r="P199" s="663" t="s">
        <v>1115</v>
      </c>
      <c r="Q199" s="621"/>
      <c r="R199" s="598"/>
      <c r="S199" s="598"/>
      <c r="T199" s="598"/>
      <c r="U199" s="598" t="s">
        <v>1015</v>
      </c>
      <c r="V199" s="663" t="s">
        <v>4580</v>
      </c>
      <c r="W199" s="779" t="s">
        <v>4581</v>
      </c>
      <c r="X199" s="598" t="s">
        <v>950</v>
      </c>
      <c r="Y199" s="624">
        <v>31343</v>
      </c>
      <c r="Z199" s="625">
        <f t="shared" ca="1" si="1"/>
        <v>40</v>
      </c>
      <c r="AA199" s="616" t="s">
        <v>4582</v>
      </c>
      <c r="AB199" s="598"/>
      <c r="AC199" s="598" t="s">
        <v>996</v>
      </c>
      <c r="AD199" s="598" t="s">
        <v>997</v>
      </c>
      <c r="AE199" s="616" t="s">
        <v>729</v>
      </c>
      <c r="AF199" s="616" t="s">
        <v>729</v>
      </c>
      <c r="AG199" s="616"/>
      <c r="AH199" s="598"/>
      <c r="AI199" s="598"/>
      <c r="AJ199" s="598" t="s">
        <v>1440</v>
      </c>
      <c r="AK199" s="598"/>
      <c r="AL199" s="626"/>
      <c r="AM199" s="626"/>
    </row>
    <row r="200" spans="3:39" ht="18" customHeight="1">
      <c r="C200" s="598">
        <v>180</v>
      </c>
      <c r="D200" s="598" t="s">
        <v>2527</v>
      </c>
      <c r="E200" s="598">
        <f t="shared" si="0"/>
        <v>171</v>
      </c>
      <c r="F200" s="616" t="s">
        <v>1351</v>
      </c>
      <c r="G200" s="616" t="s">
        <v>729</v>
      </c>
      <c r="H200" s="618" t="s">
        <v>1202</v>
      </c>
      <c r="I200" s="618" t="s">
        <v>30</v>
      </c>
      <c r="J200" s="618" t="s">
        <v>1202</v>
      </c>
      <c r="K200" s="618" t="s">
        <v>1253</v>
      </c>
      <c r="L200" s="618" t="s">
        <v>2443</v>
      </c>
      <c r="M200" s="619"/>
      <c r="N200" s="620"/>
      <c r="O200" s="620"/>
      <c r="P200" s="663" t="s">
        <v>1115</v>
      </c>
      <c r="Q200" s="621"/>
      <c r="R200" s="598"/>
      <c r="S200" s="598"/>
      <c r="T200" s="598"/>
      <c r="U200" s="598" t="s">
        <v>1015</v>
      </c>
      <c r="V200" s="663" t="s">
        <v>2528</v>
      </c>
      <c r="W200" s="779" t="s">
        <v>2529</v>
      </c>
      <c r="X200" s="598" t="s">
        <v>950</v>
      </c>
      <c r="Y200" s="624">
        <v>22389</v>
      </c>
      <c r="Z200" s="625">
        <f t="shared" ca="1" si="1"/>
        <v>64</v>
      </c>
      <c r="AA200" s="616" t="s">
        <v>4592</v>
      </c>
      <c r="AB200" s="598"/>
      <c r="AC200" s="598" t="s">
        <v>996</v>
      </c>
      <c r="AD200" s="598" t="s">
        <v>1018</v>
      </c>
      <c r="AE200" s="616" t="s">
        <v>729</v>
      </c>
      <c r="AF200" s="616" t="s">
        <v>729</v>
      </c>
      <c r="AG200" s="616" t="s">
        <v>2530</v>
      </c>
      <c r="AH200" s="598"/>
      <c r="AI200" s="598"/>
      <c r="AJ200" s="598" t="s">
        <v>1011</v>
      </c>
      <c r="AK200" s="598"/>
      <c r="AL200" s="626"/>
      <c r="AM200" s="626"/>
    </row>
    <row r="201" spans="3:39" ht="18" customHeight="1">
      <c r="C201" s="598">
        <v>181</v>
      </c>
      <c r="D201" s="598" t="s">
        <v>1338</v>
      </c>
      <c r="E201" s="598">
        <f t="shared" si="0"/>
        <v>172</v>
      </c>
      <c r="F201" s="616" t="s">
        <v>1351</v>
      </c>
      <c r="G201" s="616" t="s">
        <v>729</v>
      </c>
      <c r="H201" s="618" t="s">
        <v>1202</v>
      </c>
      <c r="I201" s="618" t="s">
        <v>30</v>
      </c>
      <c r="J201" s="618" t="s">
        <v>1202</v>
      </c>
      <c r="K201" s="618" t="s">
        <v>1253</v>
      </c>
      <c r="L201" s="618" t="s">
        <v>2443</v>
      </c>
      <c r="M201" s="619"/>
      <c r="N201" s="620"/>
      <c r="O201" s="620"/>
      <c r="P201" s="663" t="s">
        <v>1115</v>
      </c>
      <c r="Q201" s="621"/>
      <c r="R201" s="598"/>
      <c r="S201" s="598"/>
      <c r="T201" s="702" t="s">
        <v>1974</v>
      </c>
      <c r="U201" s="598" t="s">
        <v>1015</v>
      </c>
      <c r="V201" s="663" t="s">
        <v>1393</v>
      </c>
      <c r="W201" s="779" t="s">
        <v>1394</v>
      </c>
      <c r="X201" s="598" t="s">
        <v>950</v>
      </c>
      <c r="Y201" s="624">
        <v>31414</v>
      </c>
      <c r="Z201" s="625">
        <f t="shared" ca="1" si="1"/>
        <v>40</v>
      </c>
      <c r="AA201" s="616" t="s">
        <v>1395</v>
      </c>
      <c r="AB201" s="598"/>
      <c r="AC201" s="598" t="s">
        <v>966</v>
      </c>
      <c r="AD201" s="598" t="s">
        <v>953</v>
      </c>
      <c r="AE201" s="616" t="s">
        <v>729</v>
      </c>
      <c r="AF201" s="616" t="s">
        <v>729</v>
      </c>
      <c r="AG201" s="616" t="s">
        <v>1397</v>
      </c>
      <c r="AH201" s="598"/>
      <c r="AI201" s="598"/>
      <c r="AJ201" s="598" t="s">
        <v>1011</v>
      </c>
      <c r="AK201" s="598"/>
      <c r="AL201" s="626"/>
      <c r="AM201" s="626"/>
    </row>
    <row r="202" spans="3:39" ht="18" customHeight="1">
      <c r="C202" s="598">
        <v>182</v>
      </c>
      <c r="D202" s="598" t="s">
        <v>1973</v>
      </c>
      <c r="E202" s="598">
        <f t="shared" si="0"/>
        <v>173</v>
      </c>
      <c r="F202" s="616" t="s">
        <v>1351</v>
      </c>
      <c r="G202" s="616" t="s">
        <v>729</v>
      </c>
      <c r="H202" s="618" t="s">
        <v>1202</v>
      </c>
      <c r="I202" s="618" t="s">
        <v>30</v>
      </c>
      <c r="J202" s="618" t="s">
        <v>1202</v>
      </c>
      <c r="K202" s="618" t="s">
        <v>1253</v>
      </c>
      <c r="L202" s="618" t="s">
        <v>2443</v>
      </c>
      <c r="M202" s="619"/>
      <c r="N202" s="620"/>
      <c r="O202" s="620"/>
      <c r="P202" s="663" t="s">
        <v>1115</v>
      </c>
      <c r="Q202" s="621"/>
      <c r="R202" s="598"/>
      <c r="S202" s="598"/>
      <c r="T202" s="702" t="s">
        <v>1974</v>
      </c>
      <c r="U202" s="598" t="s">
        <v>1015</v>
      </c>
      <c r="V202" s="663" t="s">
        <v>1975</v>
      </c>
      <c r="W202" s="779" t="s">
        <v>1976</v>
      </c>
      <c r="X202" s="598" t="s">
        <v>950</v>
      </c>
      <c r="Y202" s="624">
        <v>23081</v>
      </c>
      <c r="Z202" s="625">
        <f t="shared" ca="1" si="1"/>
        <v>62</v>
      </c>
      <c r="AA202" s="616" t="s">
        <v>1977</v>
      </c>
      <c r="AB202" s="598"/>
      <c r="AC202" s="598" t="s">
        <v>996</v>
      </c>
      <c r="AD202" s="598" t="s">
        <v>997</v>
      </c>
      <c r="AE202" s="616" t="s">
        <v>729</v>
      </c>
      <c r="AF202" s="616" t="s">
        <v>729</v>
      </c>
      <c r="AG202" s="616"/>
      <c r="AH202" s="598"/>
      <c r="AI202" s="598"/>
      <c r="AJ202" s="598" t="s">
        <v>1440</v>
      </c>
      <c r="AK202" s="598"/>
      <c r="AL202" s="626"/>
      <c r="AM202" s="626"/>
    </row>
    <row r="203" spans="3:39" ht="18" customHeight="1">
      <c r="C203" s="598">
        <v>183</v>
      </c>
      <c r="D203" s="598" t="s">
        <v>1434</v>
      </c>
      <c r="E203" s="598">
        <f t="shared" si="0"/>
        <v>174</v>
      </c>
      <c r="F203" s="616" t="s">
        <v>1351</v>
      </c>
      <c r="G203" s="616" t="s">
        <v>729</v>
      </c>
      <c r="H203" s="618" t="s">
        <v>1202</v>
      </c>
      <c r="I203" s="618" t="s">
        <v>30</v>
      </c>
      <c r="J203" s="618" t="s">
        <v>1202</v>
      </c>
      <c r="K203" s="618" t="s">
        <v>1253</v>
      </c>
      <c r="L203" s="618" t="s">
        <v>2443</v>
      </c>
      <c r="M203" s="619"/>
      <c r="N203" s="620"/>
      <c r="O203" s="620"/>
      <c r="P203" s="663" t="s">
        <v>1115</v>
      </c>
      <c r="Q203" s="621"/>
      <c r="R203" s="598"/>
      <c r="S203" s="598"/>
      <c r="T203" s="598"/>
      <c r="U203" s="598" t="s">
        <v>1015</v>
      </c>
      <c r="V203" s="663" t="s">
        <v>1435</v>
      </c>
      <c r="W203" s="779" t="s">
        <v>1436</v>
      </c>
      <c r="X203" s="598" t="s">
        <v>950</v>
      </c>
      <c r="Y203" s="624">
        <v>33133</v>
      </c>
      <c r="Z203" s="625">
        <f t="shared" ca="1" si="1"/>
        <v>35</v>
      </c>
      <c r="AA203" s="616" t="s">
        <v>1437</v>
      </c>
      <c r="AB203" s="598"/>
      <c r="AC203" s="598" t="s">
        <v>996</v>
      </c>
      <c r="AD203" s="598" t="s">
        <v>953</v>
      </c>
      <c r="AE203" s="616" t="s">
        <v>729</v>
      </c>
      <c r="AF203" s="616" t="s">
        <v>729</v>
      </c>
      <c r="AG203" s="616" t="s">
        <v>1439</v>
      </c>
      <c r="AH203" s="598"/>
      <c r="AI203" s="598"/>
      <c r="AJ203" s="598" t="s">
        <v>1440</v>
      </c>
      <c r="AK203" s="598"/>
      <c r="AL203" s="626"/>
      <c r="AM203" s="626"/>
    </row>
    <row r="204" spans="3:39" ht="18" customHeight="1">
      <c r="C204" s="598">
        <v>184</v>
      </c>
      <c r="D204" s="598" t="s">
        <v>1883</v>
      </c>
      <c r="E204" s="598">
        <f t="shared" si="0"/>
        <v>175</v>
      </c>
      <c r="F204" s="616" t="s">
        <v>1351</v>
      </c>
      <c r="G204" s="616" t="s">
        <v>729</v>
      </c>
      <c r="H204" s="618" t="s">
        <v>1202</v>
      </c>
      <c r="I204" s="618" t="s">
        <v>30</v>
      </c>
      <c r="J204" s="618" t="s">
        <v>1202</v>
      </c>
      <c r="K204" s="618" t="s">
        <v>1253</v>
      </c>
      <c r="L204" s="618" t="s">
        <v>2443</v>
      </c>
      <c r="M204" s="619"/>
      <c r="N204" s="620"/>
      <c r="O204" s="620"/>
      <c r="P204" s="673" t="s">
        <v>1115</v>
      </c>
      <c r="Q204" s="621"/>
      <c r="R204" s="598"/>
      <c r="S204" s="598"/>
      <c r="T204" s="598"/>
      <c r="U204" s="598" t="s">
        <v>1015</v>
      </c>
      <c r="V204" s="673" t="s">
        <v>1884</v>
      </c>
      <c r="W204" s="779" t="s">
        <v>1885</v>
      </c>
      <c r="X204" s="598" t="s">
        <v>950</v>
      </c>
      <c r="Y204" s="624">
        <v>37018</v>
      </c>
      <c r="Z204" s="625">
        <f t="shared" ca="1" si="1"/>
        <v>24</v>
      </c>
      <c r="AA204" s="654" t="s">
        <v>1886</v>
      </c>
      <c r="AB204" s="598"/>
      <c r="AC204" s="598" t="s">
        <v>996</v>
      </c>
      <c r="AD204" s="598" t="s">
        <v>997</v>
      </c>
      <c r="AE204" s="616" t="s">
        <v>729</v>
      </c>
      <c r="AF204" s="616" t="s">
        <v>729</v>
      </c>
      <c r="AG204" s="616" t="s">
        <v>1830</v>
      </c>
      <c r="AH204" s="598"/>
      <c r="AI204" s="598"/>
      <c r="AJ204" s="598" t="s">
        <v>1349</v>
      </c>
      <c r="AK204" s="598"/>
      <c r="AL204" s="626"/>
      <c r="AM204" s="626"/>
    </row>
    <row r="205" spans="3:39" ht="18" customHeight="1">
      <c r="C205" s="598">
        <v>185</v>
      </c>
      <c r="D205" s="598" t="s">
        <v>1912</v>
      </c>
      <c r="E205" s="598">
        <f t="shared" si="0"/>
        <v>176</v>
      </c>
      <c r="F205" s="616" t="s">
        <v>1351</v>
      </c>
      <c r="G205" s="616" t="s">
        <v>729</v>
      </c>
      <c r="H205" s="618" t="s">
        <v>1202</v>
      </c>
      <c r="I205" s="618" t="s">
        <v>30</v>
      </c>
      <c r="J205" s="618" t="s">
        <v>1202</v>
      </c>
      <c r="K205" s="618" t="s">
        <v>1912</v>
      </c>
      <c r="L205" s="618" t="s">
        <v>2442</v>
      </c>
      <c r="M205" s="619"/>
      <c r="N205" s="620"/>
      <c r="O205" s="620"/>
      <c r="P205" s="667" t="s">
        <v>1127</v>
      </c>
      <c r="Q205" s="621"/>
      <c r="R205" s="598" t="s">
        <v>55</v>
      </c>
      <c r="S205" s="598" t="s">
        <v>178</v>
      </c>
      <c r="T205" s="598"/>
      <c r="U205" s="598" t="s">
        <v>1015</v>
      </c>
      <c r="V205" s="667" t="s">
        <v>1914</v>
      </c>
      <c r="W205" s="779" t="s">
        <v>1915</v>
      </c>
      <c r="X205" s="598" t="s">
        <v>950</v>
      </c>
      <c r="Y205" s="624">
        <v>31138</v>
      </c>
      <c r="Z205" s="625">
        <f t="shared" ca="1" si="1"/>
        <v>40</v>
      </c>
      <c r="AA205" s="654" t="s">
        <v>1916</v>
      </c>
      <c r="AB205" s="598"/>
      <c r="AC205" s="598" t="s">
        <v>966</v>
      </c>
      <c r="AD205" s="598" t="s">
        <v>953</v>
      </c>
      <c r="AE205" s="616" t="s">
        <v>729</v>
      </c>
      <c r="AF205" s="616" t="s">
        <v>729</v>
      </c>
      <c r="AG205" s="616" t="s">
        <v>1561</v>
      </c>
      <c r="AH205" s="598"/>
      <c r="AI205" s="598"/>
      <c r="AJ205" s="598" t="s">
        <v>1349</v>
      </c>
      <c r="AK205" s="598"/>
      <c r="AL205" s="626"/>
      <c r="AM205" s="626"/>
    </row>
    <row r="206" spans="3:39" ht="18" customHeight="1">
      <c r="C206" s="598">
        <v>186</v>
      </c>
      <c r="D206" s="598" t="s">
        <v>2442</v>
      </c>
      <c r="E206" s="598">
        <f t="shared" si="0"/>
        <v>177</v>
      </c>
      <c r="F206" s="616" t="s">
        <v>1351</v>
      </c>
      <c r="G206" s="616" t="s">
        <v>729</v>
      </c>
      <c r="H206" s="618" t="s">
        <v>1202</v>
      </c>
      <c r="I206" s="618" t="s">
        <v>30</v>
      </c>
      <c r="J206" s="618" t="s">
        <v>1202</v>
      </c>
      <c r="K206" s="618" t="s">
        <v>1912</v>
      </c>
      <c r="L206" s="618" t="s">
        <v>2442</v>
      </c>
      <c r="M206" s="619"/>
      <c r="N206" s="620"/>
      <c r="O206" s="620"/>
      <c r="P206" s="663" t="s">
        <v>1127</v>
      </c>
      <c r="Q206" s="621"/>
      <c r="R206" s="598" t="s">
        <v>69</v>
      </c>
      <c r="S206" s="598" t="s">
        <v>69</v>
      </c>
      <c r="T206" s="598"/>
      <c r="U206" s="598" t="s">
        <v>1015</v>
      </c>
      <c r="V206" s="663" t="s">
        <v>2444</v>
      </c>
      <c r="W206" s="779" t="s">
        <v>2445</v>
      </c>
      <c r="X206" s="598" t="s">
        <v>950</v>
      </c>
      <c r="Y206" s="624">
        <v>31817</v>
      </c>
      <c r="Z206" s="625">
        <f t="shared" ca="1" si="1"/>
        <v>38</v>
      </c>
      <c r="AA206" s="616" t="s">
        <v>2446</v>
      </c>
      <c r="AB206" s="598"/>
      <c r="AC206" s="598" t="s">
        <v>966</v>
      </c>
      <c r="AD206" s="598" t="s">
        <v>953</v>
      </c>
      <c r="AE206" s="616" t="s">
        <v>729</v>
      </c>
      <c r="AF206" s="616" t="s">
        <v>729</v>
      </c>
      <c r="AG206" s="616" t="s">
        <v>2448</v>
      </c>
      <c r="AH206" s="598"/>
      <c r="AI206" s="598"/>
      <c r="AJ206" s="598" t="s">
        <v>1349</v>
      </c>
      <c r="AK206" s="598"/>
      <c r="AL206" s="626"/>
      <c r="AM206" s="626"/>
    </row>
    <row r="207" spans="3:39" ht="18" customHeight="1">
      <c r="C207" s="598">
        <v>187</v>
      </c>
      <c r="D207" s="598" t="s">
        <v>2055</v>
      </c>
      <c r="E207" s="598">
        <f t="shared" si="0"/>
        <v>178</v>
      </c>
      <c r="F207" s="616" t="s">
        <v>1351</v>
      </c>
      <c r="G207" s="616" t="s">
        <v>729</v>
      </c>
      <c r="H207" s="618" t="s">
        <v>1202</v>
      </c>
      <c r="I207" s="618" t="s">
        <v>30</v>
      </c>
      <c r="J207" s="618" t="s">
        <v>1202</v>
      </c>
      <c r="K207" s="618" t="s">
        <v>1912</v>
      </c>
      <c r="L207" s="618" t="s">
        <v>2442</v>
      </c>
      <c r="M207" s="619"/>
      <c r="N207" s="620"/>
      <c r="O207" s="620"/>
      <c r="P207" s="663" t="s">
        <v>1127</v>
      </c>
      <c r="Q207" s="621"/>
      <c r="R207" s="598"/>
      <c r="S207" s="598"/>
      <c r="T207" s="702" t="s">
        <v>5052</v>
      </c>
      <c r="U207" s="598" t="s">
        <v>1015</v>
      </c>
      <c r="V207" s="663" t="s">
        <v>219</v>
      </c>
      <c r="W207" s="779" t="s">
        <v>2058</v>
      </c>
      <c r="X207" s="598" t="s">
        <v>950</v>
      </c>
      <c r="Y207" s="624">
        <v>20588</v>
      </c>
      <c r="Z207" s="625">
        <f t="shared" ca="1" si="1"/>
        <v>69</v>
      </c>
      <c r="AA207" s="654" t="s">
        <v>2059</v>
      </c>
      <c r="AB207" s="598"/>
      <c r="AC207" s="598" t="s">
        <v>996</v>
      </c>
      <c r="AD207" s="598" t="s">
        <v>1018</v>
      </c>
      <c r="AE207" s="616" t="s">
        <v>729</v>
      </c>
      <c r="AF207" s="616" t="s">
        <v>729</v>
      </c>
      <c r="AG207" s="616" t="s">
        <v>2061</v>
      </c>
      <c r="AH207" s="598"/>
      <c r="AI207" s="598"/>
      <c r="AJ207" s="598" t="s">
        <v>1349</v>
      </c>
      <c r="AK207" s="598"/>
      <c r="AL207" s="626"/>
      <c r="AM207" s="626"/>
    </row>
    <row r="208" spans="3:39" ht="18" customHeight="1">
      <c r="C208" s="598">
        <v>188</v>
      </c>
      <c r="D208" s="598" t="s">
        <v>1923</v>
      </c>
      <c r="E208" s="598">
        <f t="shared" si="0"/>
        <v>179</v>
      </c>
      <c r="F208" s="616" t="s">
        <v>1351</v>
      </c>
      <c r="G208" s="616" t="s">
        <v>729</v>
      </c>
      <c r="H208" s="618" t="s">
        <v>1202</v>
      </c>
      <c r="I208" s="618" t="s">
        <v>30</v>
      </c>
      <c r="J208" s="618" t="s">
        <v>1202</v>
      </c>
      <c r="K208" s="618" t="s">
        <v>1912</v>
      </c>
      <c r="L208" s="618" t="s">
        <v>2442</v>
      </c>
      <c r="M208" s="619"/>
      <c r="N208" s="620"/>
      <c r="O208" s="620"/>
      <c r="P208" s="663" t="s">
        <v>1127</v>
      </c>
      <c r="Q208" s="621"/>
      <c r="R208" s="598" t="s">
        <v>55</v>
      </c>
      <c r="S208" s="598" t="s">
        <v>178</v>
      </c>
      <c r="T208" s="598"/>
      <c r="U208" s="598" t="s">
        <v>1015</v>
      </c>
      <c r="V208" s="663" t="s">
        <v>299</v>
      </c>
      <c r="W208" s="779" t="s">
        <v>1925</v>
      </c>
      <c r="X208" s="598" t="s">
        <v>950</v>
      </c>
      <c r="Y208" s="624">
        <v>22549</v>
      </c>
      <c r="Z208" s="625">
        <f t="shared" ca="1" si="1"/>
        <v>64</v>
      </c>
      <c r="AA208" s="654" t="s">
        <v>1926</v>
      </c>
      <c r="AB208" s="598" t="s">
        <v>1927</v>
      </c>
      <c r="AC208" s="598" t="s">
        <v>966</v>
      </c>
      <c r="AD208" s="598" t="s">
        <v>953</v>
      </c>
      <c r="AE208" s="616" t="s">
        <v>729</v>
      </c>
      <c r="AF208" s="616" t="s">
        <v>729</v>
      </c>
      <c r="AG208" s="616" t="s">
        <v>1928</v>
      </c>
      <c r="AH208" s="598"/>
      <c r="AI208" s="598"/>
      <c r="AJ208" s="598" t="s">
        <v>1349</v>
      </c>
      <c r="AK208" s="598"/>
      <c r="AL208" s="626"/>
      <c r="AM208" s="626"/>
    </row>
    <row r="209" spans="1:39" ht="18" customHeight="1">
      <c r="C209" s="598">
        <v>189</v>
      </c>
      <c r="D209" s="598" t="s">
        <v>1343</v>
      </c>
      <c r="E209" s="598">
        <f t="shared" si="0"/>
        <v>180</v>
      </c>
      <c r="F209" s="616" t="s">
        <v>1351</v>
      </c>
      <c r="G209" s="616" t="s">
        <v>729</v>
      </c>
      <c r="H209" s="618" t="s">
        <v>1202</v>
      </c>
      <c r="I209" s="618" t="s">
        <v>30</v>
      </c>
      <c r="J209" s="618" t="s">
        <v>1202</v>
      </c>
      <c r="K209" s="618" t="s">
        <v>1912</v>
      </c>
      <c r="L209" s="618" t="s">
        <v>2442</v>
      </c>
      <c r="M209" s="619"/>
      <c r="N209" s="620"/>
      <c r="O209" s="620"/>
      <c r="P209" s="663" t="s">
        <v>1127</v>
      </c>
      <c r="Q209" s="621"/>
      <c r="R209" s="598"/>
      <c r="S209" s="598"/>
      <c r="T209" s="598"/>
      <c r="U209" s="598" t="s">
        <v>1015</v>
      </c>
      <c r="V209" s="663" t="s">
        <v>1344</v>
      </c>
      <c r="W209" s="779" t="s">
        <v>1345</v>
      </c>
      <c r="X209" s="598" t="s">
        <v>950</v>
      </c>
      <c r="Y209" s="624">
        <v>26557</v>
      </c>
      <c r="Z209" s="625">
        <f t="shared" ca="1" si="1"/>
        <v>53</v>
      </c>
      <c r="AA209" s="654" t="s">
        <v>1346</v>
      </c>
      <c r="AB209" s="598"/>
      <c r="AC209" s="598" t="s">
        <v>996</v>
      </c>
      <c r="AD209" s="598" t="s">
        <v>997</v>
      </c>
      <c r="AE209" s="616" t="s">
        <v>729</v>
      </c>
      <c r="AF209" s="616" t="s">
        <v>729</v>
      </c>
      <c r="AG209" s="616" t="s">
        <v>1348</v>
      </c>
      <c r="AH209" s="598"/>
      <c r="AI209" s="598"/>
      <c r="AJ209" s="598" t="s">
        <v>1349</v>
      </c>
      <c r="AK209" s="598"/>
      <c r="AL209" s="626"/>
      <c r="AM209" s="626"/>
    </row>
    <row r="210" spans="1:39" ht="18" customHeight="1">
      <c r="C210" s="598">
        <v>190</v>
      </c>
      <c r="D210" s="598" t="s">
        <v>1913</v>
      </c>
      <c r="E210" s="598">
        <f t="shared" si="0"/>
        <v>181</v>
      </c>
      <c r="F210" s="616" t="s">
        <v>1351</v>
      </c>
      <c r="G210" s="616" t="s">
        <v>729</v>
      </c>
      <c r="H210" s="618" t="s">
        <v>1202</v>
      </c>
      <c r="I210" s="618" t="s">
        <v>30</v>
      </c>
      <c r="J210" s="618" t="s">
        <v>1202</v>
      </c>
      <c r="K210" s="618" t="s">
        <v>1912</v>
      </c>
      <c r="L210" s="618" t="s">
        <v>2442</v>
      </c>
      <c r="M210" s="619"/>
      <c r="N210" s="620"/>
      <c r="O210" s="620"/>
      <c r="P210" s="663" t="s">
        <v>1127</v>
      </c>
      <c r="Q210" s="621"/>
      <c r="R210" s="598"/>
      <c r="S210" s="598"/>
      <c r="T210" s="702" t="s">
        <v>5052</v>
      </c>
      <c r="U210" s="598" t="s">
        <v>1015</v>
      </c>
      <c r="V210" s="663" t="s">
        <v>1918</v>
      </c>
      <c r="W210" s="779" t="s">
        <v>1919</v>
      </c>
      <c r="X210" s="598" t="s">
        <v>950</v>
      </c>
      <c r="Y210" s="624">
        <v>28649</v>
      </c>
      <c r="Z210" s="625">
        <f t="shared" ca="1" si="1"/>
        <v>47</v>
      </c>
      <c r="AA210" s="654" t="s">
        <v>1920</v>
      </c>
      <c r="AB210" s="598"/>
      <c r="AC210" s="598" t="s">
        <v>966</v>
      </c>
      <c r="AD210" s="598" t="s">
        <v>953</v>
      </c>
      <c r="AE210" s="616" t="s">
        <v>729</v>
      </c>
      <c r="AF210" s="616" t="s">
        <v>729</v>
      </c>
      <c r="AG210" s="616" t="s">
        <v>1922</v>
      </c>
      <c r="AH210" s="598"/>
      <c r="AI210" s="598"/>
      <c r="AJ210" s="598" t="s">
        <v>1349</v>
      </c>
      <c r="AK210" s="598"/>
      <c r="AL210" s="626"/>
      <c r="AM210" s="626"/>
    </row>
    <row r="211" spans="1:39" ht="18" customHeight="1">
      <c r="C211" s="598">
        <v>191</v>
      </c>
      <c r="D211" s="598" t="s">
        <v>1685</v>
      </c>
      <c r="E211" s="598">
        <f t="shared" si="0"/>
        <v>182</v>
      </c>
      <c r="F211" s="616" t="s">
        <v>1351</v>
      </c>
      <c r="G211" s="616" t="s">
        <v>729</v>
      </c>
      <c r="H211" s="618" t="s">
        <v>1202</v>
      </c>
      <c r="I211" s="618" t="s">
        <v>30</v>
      </c>
      <c r="J211" s="618" t="s">
        <v>1202</v>
      </c>
      <c r="K211" s="618" t="s">
        <v>1912</v>
      </c>
      <c r="L211" s="618" t="s">
        <v>2442</v>
      </c>
      <c r="M211" s="619"/>
      <c r="N211" s="620"/>
      <c r="O211" s="620"/>
      <c r="P211" s="663" t="s">
        <v>1127</v>
      </c>
      <c r="Q211" s="621"/>
      <c r="R211" s="598"/>
      <c r="S211" s="598"/>
      <c r="T211" s="702" t="s">
        <v>5052</v>
      </c>
      <c r="U211" s="598" t="s">
        <v>1015</v>
      </c>
      <c r="V211" s="663" t="s">
        <v>1688</v>
      </c>
      <c r="W211" s="779" t="s">
        <v>1689</v>
      </c>
      <c r="X211" s="598" t="s">
        <v>950</v>
      </c>
      <c r="Y211" s="624">
        <v>29485</v>
      </c>
      <c r="Z211" s="625">
        <f t="shared" ca="1" si="1"/>
        <v>45</v>
      </c>
      <c r="AA211" s="654" t="s">
        <v>1690</v>
      </c>
      <c r="AB211" s="598"/>
      <c r="AC211" s="598" t="s">
        <v>996</v>
      </c>
      <c r="AD211" s="598" t="s">
        <v>997</v>
      </c>
      <c r="AE211" s="616" t="s">
        <v>729</v>
      </c>
      <c r="AF211" s="616" t="s">
        <v>729</v>
      </c>
      <c r="AG211" s="616" t="s">
        <v>1323</v>
      </c>
      <c r="AH211" s="598"/>
      <c r="AI211" s="598"/>
      <c r="AJ211" s="598" t="s">
        <v>1349</v>
      </c>
      <c r="AK211" s="598"/>
      <c r="AL211" s="626"/>
      <c r="AM211" s="626"/>
    </row>
    <row r="212" spans="1:39" ht="18" customHeight="1">
      <c r="A212" s="174"/>
      <c r="B212" s="174"/>
      <c r="C212" s="598">
        <v>192</v>
      </c>
      <c r="D212" s="598" t="s">
        <v>1991</v>
      </c>
      <c r="E212" s="598">
        <f>SUBTOTAL(103,$U$21:U212)</f>
        <v>183</v>
      </c>
      <c r="F212" s="685" t="s">
        <v>1351</v>
      </c>
      <c r="G212" s="616" t="s">
        <v>729</v>
      </c>
      <c r="H212" s="618" t="s">
        <v>1202</v>
      </c>
      <c r="I212" s="618" t="s">
        <v>30</v>
      </c>
      <c r="J212" s="618" t="s">
        <v>1202</v>
      </c>
      <c r="K212" s="618" t="s">
        <v>1912</v>
      </c>
      <c r="L212" s="618" t="s">
        <v>2442</v>
      </c>
      <c r="M212" s="627"/>
      <c r="N212" s="636"/>
      <c r="O212" s="636"/>
      <c r="P212" s="663" t="s">
        <v>1127</v>
      </c>
      <c r="Q212" s="637"/>
      <c r="R212" s="598" t="s">
        <v>55</v>
      </c>
      <c r="S212" s="598" t="s">
        <v>178</v>
      </c>
      <c r="T212" s="627"/>
      <c r="U212" s="703" t="s">
        <v>1015</v>
      </c>
      <c r="V212" s="672" t="s">
        <v>289</v>
      </c>
      <c r="W212" s="780" t="s">
        <v>1993</v>
      </c>
      <c r="X212" s="598" t="s">
        <v>950</v>
      </c>
      <c r="Y212" s="624">
        <v>28944</v>
      </c>
      <c r="Z212" s="625">
        <f t="shared" ca="1" si="1"/>
        <v>46</v>
      </c>
      <c r="AA212" s="598" t="s">
        <v>1994</v>
      </c>
      <c r="AB212" s="598" t="s">
        <v>1995</v>
      </c>
      <c r="AC212" s="598" t="s">
        <v>966</v>
      </c>
      <c r="AD212" s="598" t="s">
        <v>953</v>
      </c>
      <c r="AE212" s="598" t="s">
        <v>246</v>
      </c>
      <c r="AF212" s="598" t="s">
        <v>246</v>
      </c>
      <c r="AG212" s="598" t="s">
        <v>4586</v>
      </c>
      <c r="AH212" s="627"/>
      <c r="AI212" s="627"/>
      <c r="AJ212" s="598" t="s">
        <v>1025</v>
      </c>
      <c r="AK212" s="627"/>
      <c r="AL212" s="627"/>
      <c r="AM212" s="627"/>
    </row>
    <row r="213" spans="1:39" ht="18" customHeight="1">
      <c r="C213" s="598">
        <v>193</v>
      </c>
      <c r="D213" s="598" t="s">
        <v>4587</v>
      </c>
      <c r="E213" s="598">
        <f t="shared" ref="E213:E345" si="2">SUBTOTAL(103,$U$21:U213)</f>
        <v>184</v>
      </c>
      <c r="F213" s="616" t="s">
        <v>1351</v>
      </c>
      <c r="G213" s="616" t="s">
        <v>729</v>
      </c>
      <c r="H213" s="618" t="s">
        <v>1202</v>
      </c>
      <c r="I213" s="618" t="s">
        <v>30</v>
      </c>
      <c r="J213" s="618" t="s">
        <v>1202</v>
      </c>
      <c r="K213" s="618" t="s">
        <v>1912</v>
      </c>
      <c r="L213" s="618" t="s">
        <v>2442</v>
      </c>
      <c r="M213" s="619"/>
      <c r="N213" s="620"/>
      <c r="O213" s="620"/>
      <c r="P213" s="673" t="s">
        <v>1127</v>
      </c>
      <c r="Q213" s="621"/>
      <c r="R213" s="598"/>
      <c r="S213" s="598"/>
      <c r="T213" s="598"/>
      <c r="U213" s="598" t="s">
        <v>1015</v>
      </c>
      <c r="V213" s="673" t="s">
        <v>4588</v>
      </c>
      <c r="W213" s="779" t="s">
        <v>4589</v>
      </c>
      <c r="X213" s="598" t="s">
        <v>950</v>
      </c>
      <c r="Y213" s="624">
        <v>30235</v>
      </c>
      <c r="Z213" s="625">
        <f t="shared" ca="1" si="1"/>
        <v>43</v>
      </c>
      <c r="AA213" s="616" t="s">
        <v>4590</v>
      </c>
      <c r="AB213" s="598"/>
      <c r="AC213" s="598" t="s">
        <v>996</v>
      </c>
      <c r="AD213" s="598" t="s">
        <v>997</v>
      </c>
      <c r="AE213" s="616" t="s">
        <v>729</v>
      </c>
      <c r="AF213" s="616" t="s">
        <v>729</v>
      </c>
      <c r="AG213" s="616" t="s">
        <v>4591</v>
      </c>
      <c r="AH213" s="598"/>
      <c r="AI213" s="598"/>
      <c r="AJ213" s="598"/>
      <c r="AK213" s="598"/>
      <c r="AL213" s="626"/>
      <c r="AM213" s="626"/>
    </row>
    <row r="214" spans="1:39" ht="18" customHeight="1">
      <c r="C214" s="598">
        <v>194</v>
      </c>
      <c r="D214" s="598" t="s">
        <v>1550</v>
      </c>
      <c r="E214" s="598">
        <f t="shared" si="2"/>
        <v>184</v>
      </c>
      <c r="F214" s="616"/>
      <c r="G214" s="616" t="s">
        <v>729</v>
      </c>
      <c r="H214" s="618" t="s">
        <v>1202</v>
      </c>
      <c r="I214" s="618" t="s">
        <v>30</v>
      </c>
      <c r="J214" s="618" t="s">
        <v>1202</v>
      </c>
      <c r="K214" s="618" t="s">
        <v>1550</v>
      </c>
      <c r="L214" s="618" t="s">
        <v>2071</v>
      </c>
      <c r="M214" s="619" t="s">
        <v>1957</v>
      </c>
      <c r="N214" s="620"/>
      <c r="O214" s="620"/>
      <c r="P214" s="667" t="s">
        <v>1157</v>
      </c>
      <c r="Q214" s="621"/>
      <c r="R214" s="598" t="s">
        <v>55</v>
      </c>
      <c r="S214" s="598" t="s">
        <v>178</v>
      </c>
      <c r="T214" s="598"/>
      <c r="U214" s="598"/>
      <c r="V214" s="667" t="s">
        <v>181</v>
      </c>
      <c r="W214" s="779" t="s">
        <v>1553</v>
      </c>
      <c r="X214" s="598" t="s">
        <v>950</v>
      </c>
      <c r="Y214" s="624">
        <v>19598</v>
      </c>
      <c r="Z214" s="625">
        <f t="shared" ca="1" si="1"/>
        <v>72</v>
      </c>
      <c r="AA214" s="616" t="s">
        <v>1554</v>
      </c>
      <c r="AB214" s="598"/>
      <c r="AC214" s="598" t="s">
        <v>966</v>
      </c>
      <c r="AD214" s="598" t="s">
        <v>953</v>
      </c>
      <c r="AE214" s="616" t="s">
        <v>729</v>
      </c>
      <c r="AF214" s="616" t="s">
        <v>1239</v>
      </c>
      <c r="AG214" s="616" t="s">
        <v>1258</v>
      </c>
      <c r="AH214" s="598" t="s">
        <v>955</v>
      </c>
      <c r="AI214" s="598"/>
      <c r="AJ214" s="598"/>
      <c r="AK214" s="598"/>
      <c r="AL214" s="626"/>
      <c r="AM214" s="626"/>
    </row>
    <row r="215" spans="1:39" ht="18" customHeight="1">
      <c r="C215" s="598">
        <v>195</v>
      </c>
      <c r="D215" s="598" t="s">
        <v>2071</v>
      </c>
      <c r="E215" s="598">
        <f t="shared" si="2"/>
        <v>185</v>
      </c>
      <c r="F215" s="616" t="s">
        <v>1351</v>
      </c>
      <c r="G215" s="616" t="s">
        <v>729</v>
      </c>
      <c r="H215" s="618" t="s">
        <v>1202</v>
      </c>
      <c r="I215" s="618" t="s">
        <v>30</v>
      </c>
      <c r="J215" s="618" t="s">
        <v>1202</v>
      </c>
      <c r="K215" s="618" t="s">
        <v>1550</v>
      </c>
      <c r="L215" s="618" t="s">
        <v>2071</v>
      </c>
      <c r="M215" s="619" t="s">
        <v>1957</v>
      </c>
      <c r="N215" s="620"/>
      <c r="O215" s="620"/>
      <c r="P215" s="663" t="s">
        <v>1157</v>
      </c>
      <c r="Q215" s="621" t="s">
        <v>319</v>
      </c>
      <c r="R215" s="598" t="s">
        <v>69</v>
      </c>
      <c r="S215" s="598" t="s">
        <v>562</v>
      </c>
      <c r="T215" s="598"/>
      <c r="U215" s="598" t="s">
        <v>1090</v>
      </c>
      <c r="V215" s="663" t="s">
        <v>260</v>
      </c>
      <c r="W215" s="779" t="s">
        <v>2073</v>
      </c>
      <c r="X215" s="598" t="s">
        <v>950</v>
      </c>
      <c r="Y215" s="624">
        <v>18593</v>
      </c>
      <c r="Z215" s="625">
        <f t="shared" ca="1" si="1"/>
        <v>75</v>
      </c>
      <c r="AA215" s="616" t="s">
        <v>2074</v>
      </c>
      <c r="AB215" s="598"/>
      <c r="AC215" s="598" t="s">
        <v>996</v>
      </c>
      <c r="AD215" s="598" t="s">
        <v>1018</v>
      </c>
      <c r="AE215" s="616" t="s">
        <v>729</v>
      </c>
      <c r="AF215" s="616" t="s">
        <v>729</v>
      </c>
      <c r="AG215" s="616" t="s">
        <v>1750</v>
      </c>
      <c r="AH215" s="598"/>
      <c r="AI215" s="598"/>
      <c r="AJ215" s="598" t="s">
        <v>1107</v>
      </c>
      <c r="AK215" s="598"/>
      <c r="AL215" s="626"/>
      <c r="AM215" s="626"/>
    </row>
    <row r="216" spans="1:39" ht="18" customHeight="1">
      <c r="C216" s="598">
        <v>196</v>
      </c>
      <c r="D216" s="598" t="s">
        <v>1957</v>
      </c>
      <c r="E216" s="598">
        <f t="shared" si="2"/>
        <v>186</v>
      </c>
      <c r="F216" s="616" t="s">
        <v>1351</v>
      </c>
      <c r="G216" s="616" t="s">
        <v>729</v>
      </c>
      <c r="H216" s="618" t="s">
        <v>1202</v>
      </c>
      <c r="I216" s="618" t="s">
        <v>30</v>
      </c>
      <c r="J216" s="618" t="s">
        <v>1202</v>
      </c>
      <c r="K216" s="618" t="s">
        <v>1550</v>
      </c>
      <c r="L216" s="618" t="s">
        <v>2071</v>
      </c>
      <c r="M216" s="619" t="s">
        <v>1957</v>
      </c>
      <c r="N216" s="620"/>
      <c r="O216" s="620"/>
      <c r="P216" s="663" t="s">
        <v>1157</v>
      </c>
      <c r="Q216" s="621" t="s">
        <v>319</v>
      </c>
      <c r="R216" s="598" t="s">
        <v>69</v>
      </c>
      <c r="S216" s="598" t="s">
        <v>562</v>
      </c>
      <c r="T216" s="598"/>
      <c r="U216" s="598" t="s">
        <v>1015</v>
      </c>
      <c r="V216" s="663" t="s">
        <v>1958</v>
      </c>
      <c r="W216" s="779" t="s">
        <v>1959</v>
      </c>
      <c r="X216" s="598" t="s">
        <v>950</v>
      </c>
      <c r="Y216" s="624">
        <v>23999</v>
      </c>
      <c r="Z216" s="625">
        <f t="shared" ca="1" si="1"/>
        <v>60</v>
      </c>
      <c r="AA216" s="616" t="s">
        <v>1960</v>
      </c>
      <c r="AB216" s="598"/>
      <c r="AC216" s="598" t="s">
        <v>996</v>
      </c>
      <c r="AD216" s="598" t="s">
        <v>1018</v>
      </c>
      <c r="AE216" s="616" t="s">
        <v>729</v>
      </c>
      <c r="AF216" s="616" t="s">
        <v>729</v>
      </c>
      <c r="AG216" s="616" t="s">
        <v>1962</v>
      </c>
      <c r="AH216" s="598"/>
      <c r="AI216" s="598"/>
      <c r="AJ216" s="598" t="s">
        <v>1107</v>
      </c>
      <c r="AK216" s="598"/>
      <c r="AL216" s="626"/>
      <c r="AM216" s="626"/>
    </row>
    <row r="217" spans="1:39" ht="18" customHeight="1">
      <c r="C217" s="598">
        <v>197</v>
      </c>
      <c r="D217" s="598" t="s">
        <v>2076</v>
      </c>
      <c r="E217" s="598">
        <f t="shared" si="2"/>
        <v>187</v>
      </c>
      <c r="F217" s="616" t="s">
        <v>1351</v>
      </c>
      <c r="G217" s="616" t="s">
        <v>729</v>
      </c>
      <c r="H217" s="618" t="s">
        <v>1202</v>
      </c>
      <c r="I217" s="618" t="s">
        <v>30</v>
      </c>
      <c r="J217" s="618" t="s">
        <v>1202</v>
      </c>
      <c r="K217" s="618" t="s">
        <v>1550</v>
      </c>
      <c r="L217" s="618" t="s">
        <v>2071</v>
      </c>
      <c r="M217" s="619" t="s">
        <v>1957</v>
      </c>
      <c r="N217" s="620"/>
      <c r="O217" s="620"/>
      <c r="P217" s="663" t="s">
        <v>1157</v>
      </c>
      <c r="Q217" s="621" t="s">
        <v>319</v>
      </c>
      <c r="R217" s="598"/>
      <c r="S217" s="598"/>
      <c r="T217" s="598"/>
      <c r="U217" s="598" t="s">
        <v>1090</v>
      </c>
      <c r="V217" s="663" t="s">
        <v>239</v>
      </c>
      <c r="W217" s="779" t="s">
        <v>2077</v>
      </c>
      <c r="X217" s="598" t="s">
        <v>950</v>
      </c>
      <c r="Y217" s="624">
        <v>15134</v>
      </c>
      <c r="Z217" s="625">
        <f t="shared" ca="1" si="1"/>
        <v>84</v>
      </c>
      <c r="AA217" s="616" t="s">
        <v>2078</v>
      </c>
      <c r="AB217" s="598"/>
      <c r="AC217" s="598" t="s">
        <v>996</v>
      </c>
      <c r="AD217" s="598" t="s">
        <v>1018</v>
      </c>
      <c r="AE217" s="616" t="s">
        <v>729</v>
      </c>
      <c r="AF217" s="616" t="s">
        <v>729</v>
      </c>
      <c r="AG217" s="616" t="s">
        <v>1962</v>
      </c>
      <c r="AH217" s="598"/>
      <c r="AI217" s="598"/>
      <c r="AJ217" s="598" t="s">
        <v>1107</v>
      </c>
      <c r="AK217" s="598"/>
      <c r="AL217" s="626"/>
      <c r="AM217" s="626"/>
    </row>
    <row r="218" spans="1:39" ht="18" customHeight="1">
      <c r="C218" s="598">
        <v>198</v>
      </c>
      <c r="D218" s="598" t="s">
        <v>2790</v>
      </c>
      <c r="E218" s="598">
        <f t="shared" si="2"/>
        <v>188</v>
      </c>
      <c r="F218" s="616" t="s">
        <v>1351</v>
      </c>
      <c r="G218" s="616" t="s">
        <v>729</v>
      </c>
      <c r="H218" s="618" t="s">
        <v>1202</v>
      </c>
      <c r="I218" s="618" t="s">
        <v>30</v>
      </c>
      <c r="J218" s="618" t="s">
        <v>1202</v>
      </c>
      <c r="K218" s="618" t="s">
        <v>1550</v>
      </c>
      <c r="L218" s="618" t="s">
        <v>2071</v>
      </c>
      <c r="M218" s="619" t="s">
        <v>1957</v>
      </c>
      <c r="N218" s="620"/>
      <c r="O218" s="620"/>
      <c r="P218" s="663" t="s">
        <v>1157</v>
      </c>
      <c r="Q218" s="621" t="s">
        <v>319</v>
      </c>
      <c r="R218" s="598"/>
      <c r="S218" s="598"/>
      <c r="T218" s="598"/>
      <c r="U218" s="598" t="s">
        <v>1090</v>
      </c>
      <c r="V218" s="663" t="s">
        <v>2791</v>
      </c>
      <c r="W218" s="779" t="s">
        <v>2792</v>
      </c>
      <c r="X218" s="598" t="s">
        <v>950</v>
      </c>
      <c r="Y218" s="624">
        <v>20092</v>
      </c>
      <c r="Z218" s="625">
        <f t="shared" ca="1" si="1"/>
        <v>71</v>
      </c>
      <c r="AA218" s="616" t="s">
        <v>2793</v>
      </c>
      <c r="AB218" s="598"/>
      <c r="AC218" s="598" t="s">
        <v>996</v>
      </c>
      <c r="AD218" s="598" t="s">
        <v>1018</v>
      </c>
      <c r="AE218" s="616" t="s">
        <v>2737</v>
      </c>
      <c r="AF218" s="616" t="s">
        <v>2737</v>
      </c>
      <c r="AG218" s="616" t="s">
        <v>2795</v>
      </c>
      <c r="AH218" s="598"/>
      <c r="AI218" s="598"/>
      <c r="AJ218" s="598" t="s">
        <v>1107</v>
      </c>
      <c r="AK218" s="598"/>
      <c r="AL218" s="626"/>
      <c r="AM218" s="626"/>
    </row>
    <row r="219" spans="1:39" ht="18" customHeight="1">
      <c r="C219" s="598">
        <v>199</v>
      </c>
      <c r="D219" s="598" t="s">
        <v>2056</v>
      </c>
      <c r="E219" s="598">
        <f t="shared" si="2"/>
        <v>189</v>
      </c>
      <c r="F219" s="616" t="s">
        <v>1351</v>
      </c>
      <c r="G219" s="616" t="s">
        <v>729</v>
      </c>
      <c r="H219" s="618" t="s">
        <v>1202</v>
      </c>
      <c r="I219" s="618" t="s">
        <v>30</v>
      </c>
      <c r="J219" s="618" t="s">
        <v>1202</v>
      </c>
      <c r="K219" s="618" t="s">
        <v>1550</v>
      </c>
      <c r="L219" s="618" t="s">
        <v>2071</v>
      </c>
      <c r="M219" s="619" t="s">
        <v>1957</v>
      </c>
      <c r="N219" s="620"/>
      <c r="O219" s="620"/>
      <c r="P219" s="673" t="s">
        <v>1157</v>
      </c>
      <c r="Q219" s="621" t="s">
        <v>319</v>
      </c>
      <c r="R219" s="598"/>
      <c r="S219" s="598"/>
      <c r="T219" s="598"/>
      <c r="U219" s="598" t="s">
        <v>1090</v>
      </c>
      <c r="V219" s="673" t="s">
        <v>200</v>
      </c>
      <c r="W219" s="779" t="s">
        <v>2062</v>
      </c>
      <c r="X219" s="598" t="s">
        <v>950</v>
      </c>
      <c r="Y219" s="624">
        <v>20242</v>
      </c>
      <c r="Z219" s="625">
        <f t="shared" ca="1" si="1"/>
        <v>70</v>
      </c>
      <c r="AA219" s="616" t="s">
        <v>2063</v>
      </c>
      <c r="AB219" s="598"/>
      <c r="AC219" s="598" t="s">
        <v>996</v>
      </c>
      <c r="AD219" s="598" t="s">
        <v>1018</v>
      </c>
      <c r="AE219" s="616" t="s">
        <v>729</v>
      </c>
      <c r="AF219" s="616" t="s">
        <v>729</v>
      </c>
      <c r="AG219" s="616" t="s">
        <v>1252</v>
      </c>
      <c r="AH219" s="598"/>
      <c r="AI219" s="598"/>
      <c r="AJ219" s="598" t="s">
        <v>1107</v>
      </c>
      <c r="AK219" s="598"/>
      <c r="AL219" s="626"/>
      <c r="AM219" s="626"/>
    </row>
    <row r="220" spans="1:39" ht="18" customHeight="1">
      <c r="C220" s="598">
        <v>200</v>
      </c>
      <c r="D220" s="598" t="s">
        <v>1260</v>
      </c>
      <c r="E220" s="598">
        <f t="shared" si="2"/>
        <v>189</v>
      </c>
      <c r="F220" s="616"/>
      <c r="G220" s="616" t="s">
        <v>729</v>
      </c>
      <c r="H220" s="618" t="s">
        <v>1202</v>
      </c>
      <c r="I220" s="618" t="s">
        <v>30</v>
      </c>
      <c r="J220" s="618" t="s">
        <v>1202</v>
      </c>
      <c r="K220" s="618" t="s">
        <v>1260</v>
      </c>
      <c r="L220" s="618" t="s">
        <v>1415</v>
      </c>
      <c r="M220" s="619" t="s">
        <v>1870</v>
      </c>
      <c r="N220" s="620" t="s">
        <v>2301</v>
      </c>
      <c r="O220" s="620"/>
      <c r="P220" s="667" t="s">
        <v>1480</v>
      </c>
      <c r="Q220" s="621"/>
      <c r="R220" s="598" t="s">
        <v>55</v>
      </c>
      <c r="S220" s="598" t="s">
        <v>178</v>
      </c>
      <c r="T220" s="598"/>
      <c r="U220" s="598"/>
      <c r="V220" s="667" t="s">
        <v>297</v>
      </c>
      <c r="W220" s="779" t="s">
        <v>1261</v>
      </c>
      <c r="X220" s="598" t="s">
        <v>950</v>
      </c>
      <c r="Y220" s="624">
        <v>24204</v>
      </c>
      <c r="Z220" s="625">
        <f t="shared" ca="1" si="1"/>
        <v>59</v>
      </c>
      <c r="AA220" s="616" t="s">
        <v>1262</v>
      </c>
      <c r="AB220" s="598"/>
      <c r="AC220" s="598" t="s">
        <v>966</v>
      </c>
      <c r="AD220" s="598" t="s">
        <v>953</v>
      </c>
      <c r="AE220" s="616" t="s">
        <v>729</v>
      </c>
      <c r="AF220" s="616" t="s">
        <v>1239</v>
      </c>
      <c r="AG220" s="616" t="s">
        <v>1240</v>
      </c>
      <c r="AH220" s="598" t="s">
        <v>955</v>
      </c>
      <c r="AI220" s="598"/>
      <c r="AJ220" s="598"/>
      <c r="AK220" s="598"/>
      <c r="AL220" s="626"/>
      <c r="AM220" s="626"/>
    </row>
    <row r="221" spans="1:39" ht="18" customHeight="1">
      <c r="C221" s="598">
        <v>201</v>
      </c>
      <c r="D221" s="598" t="s">
        <v>1415</v>
      </c>
      <c r="E221" s="598">
        <f t="shared" si="2"/>
        <v>190</v>
      </c>
      <c r="F221" s="616" t="s">
        <v>1351</v>
      </c>
      <c r="G221" s="616" t="s">
        <v>729</v>
      </c>
      <c r="H221" s="618" t="s">
        <v>1202</v>
      </c>
      <c r="I221" s="618" t="s">
        <v>30</v>
      </c>
      <c r="J221" s="618" t="s">
        <v>1202</v>
      </c>
      <c r="K221" s="618" t="s">
        <v>1260</v>
      </c>
      <c r="L221" s="618" t="s">
        <v>1415</v>
      </c>
      <c r="M221" s="619" t="s">
        <v>1870</v>
      </c>
      <c r="N221" s="620" t="s">
        <v>2301</v>
      </c>
      <c r="O221" s="620"/>
      <c r="P221" s="663" t="s">
        <v>1480</v>
      </c>
      <c r="Q221" s="621" t="s">
        <v>319</v>
      </c>
      <c r="R221" s="598" t="s">
        <v>69</v>
      </c>
      <c r="S221" s="598" t="s">
        <v>562</v>
      </c>
      <c r="T221" s="598"/>
      <c r="U221" s="598" t="s">
        <v>1015</v>
      </c>
      <c r="V221" s="663" t="s">
        <v>1416</v>
      </c>
      <c r="W221" s="779" t="s">
        <v>1417</v>
      </c>
      <c r="X221" s="598" t="s">
        <v>950</v>
      </c>
      <c r="Y221" s="624">
        <v>32534</v>
      </c>
      <c r="Z221" s="625">
        <f t="shared" ca="1" si="1"/>
        <v>37</v>
      </c>
      <c r="AA221" s="616" t="s">
        <v>1418</v>
      </c>
      <c r="AB221" s="598"/>
      <c r="AC221" s="598" t="s">
        <v>996</v>
      </c>
      <c r="AD221" s="598" t="s">
        <v>1018</v>
      </c>
      <c r="AE221" s="616" t="s">
        <v>729</v>
      </c>
      <c r="AF221" s="616" t="s">
        <v>729</v>
      </c>
      <c r="AG221" s="616" t="s">
        <v>1323</v>
      </c>
      <c r="AH221" s="598"/>
      <c r="AI221" s="598"/>
      <c r="AJ221" s="598" t="s">
        <v>1107</v>
      </c>
      <c r="AK221" s="598"/>
      <c r="AL221" s="626"/>
      <c r="AM221" s="626"/>
    </row>
    <row r="222" spans="1:39" ht="18" customHeight="1">
      <c r="C222" s="598">
        <v>202</v>
      </c>
      <c r="D222" s="598" t="s">
        <v>1870</v>
      </c>
      <c r="E222" s="598">
        <f t="shared" si="2"/>
        <v>191</v>
      </c>
      <c r="F222" s="616" t="s">
        <v>1351</v>
      </c>
      <c r="G222" s="616" t="s">
        <v>729</v>
      </c>
      <c r="H222" s="618" t="s">
        <v>1202</v>
      </c>
      <c r="I222" s="618" t="s">
        <v>30</v>
      </c>
      <c r="J222" s="618" t="s">
        <v>1202</v>
      </c>
      <c r="K222" s="618" t="s">
        <v>1260</v>
      </c>
      <c r="L222" s="618" t="s">
        <v>1415</v>
      </c>
      <c r="M222" s="619" t="s">
        <v>1870</v>
      </c>
      <c r="N222" s="620" t="s">
        <v>2301</v>
      </c>
      <c r="O222" s="620"/>
      <c r="P222" s="663" t="s">
        <v>1480</v>
      </c>
      <c r="Q222" s="621" t="s">
        <v>319</v>
      </c>
      <c r="R222" s="598" t="s">
        <v>69</v>
      </c>
      <c r="S222" s="598" t="s">
        <v>562</v>
      </c>
      <c r="T222" s="598"/>
      <c r="U222" s="598" t="s">
        <v>1015</v>
      </c>
      <c r="V222" s="663" t="s">
        <v>1872</v>
      </c>
      <c r="W222" s="779" t="s">
        <v>1873</v>
      </c>
      <c r="X222" s="598" t="s">
        <v>950</v>
      </c>
      <c r="Y222" s="624">
        <v>34534</v>
      </c>
      <c r="Z222" s="625">
        <f t="shared" ca="1" si="1"/>
        <v>31</v>
      </c>
      <c r="AA222" s="616" t="s">
        <v>1874</v>
      </c>
      <c r="AB222" s="598"/>
      <c r="AC222" s="598" t="s">
        <v>996</v>
      </c>
      <c r="AD222" s="598" t="s">
        <v>1018</v>
      </c>
      <c r="AE222" s="616" t="s">
        <v>1494</v>
      </c>
      <c r="AF222" s="616" t="s">
        <v>1791</v>
      </c>
      <c r="AG222" s="616" t="s">
        <v>1876</v>
      </c>
      <c r="AH222" s="598"/>
      <c r="AI222" s="598"/>
      <c r="AJ222" s="598" t="s">
        <v>1107</v>
      </c>
      <c r="AK222" s="598"/>
      <c r="AL222" s="626"/>
      <c r="AM222" s="626"/>
    </row>
    <row r="223" spans="1:39" ht="18" customHeight="1">
      <c r="C223" s="598">
        <v>203</v>
      </c>
      <c r="D223" s="598" t="s">
        <v>2301</v>
      </c>
      <c r="E223" s="598">
        <f t="shared" si="2"/>
        <v>192</v>
      </c>
      <c r="F223" s="616" t="s">
        <v>1351</v>
      </c>
      <c r="G223" s="616" t="s">
        <v>729</v>
      </c>
      <c r="H223" s="618" t="s">
        <v>1202</v>
      </c>
      <c r="I223" s="618" t="s">
        <v>30</v>
      </c>
      <c r="J223" s="618" t="s">
        <v>1202</v>
      </c>
      <c r="K223" s="618" t="s">
        <v>1260</v>
      </c>
      <c r="L223" s="618" t="s">
        <v>1415</v>
      </c>
      <c r="M223" s="619" t="s">
        <v>1870</v>
      </c>
      <c r="N223" s="620" t="s">
        <v>2301</v>
      </c>
      <c r="O223" s="620"/>
      <c r="P223" s="663" t="s">
        <v>1480</v>
      </c>
      <c r="Q223" s="621" t="s">
        <v>319</v>
      </c>
      <c r="R223" s="598" t="s">
        <v>69</v>
      </c>
      <c r="S223" s="598" t="s">
        <v>562</v>
      </c>
      <c r="T223" s="598"/>
      <c r="U223" s="598" t="s">
        <v>992</v>
      </c>
      <c r="V223" s="663" t="s">
        <v>2304</v>
      </c>
      <c r="W223" s="779" t="s">
        <v>2305</v>
      </c>
      <c r="X223" s="598" t="s">
        <v>950</v>
      </c>
      <c r="Y223" s="624">
        <v>35142</v>
      </c>
      <c r="Z223" s="625">
        <f t="shared" ca="1" si="1"/>
        <v>29</v>
      </c>
      <c r="AA223" s="616"/>
      <c r="AB223" s="598"/>
      <c r="AC223" s="598" t="s">
        <v>996</v>
      </c>
      <c r="AD223" s="598" t="s">
        <v>1018</v>
      </c>
      <c r="AE223" s="616" t="s">
        <v>729</v>
      </c>
      <c r="AF223" s="616" t="s">
        <v>4992</v>
      </c>
      <c r="AG223" s="616" t="s">
        <v>4993</v>
      </c>
      <c r="AH223" s="598"/>
      <c r="AI223" s="598"/>
      <c r="AJ223" s="598" t="s">
        <v>1107</v>
      </c>
      <c r="AK223" s="598"/>
      <c r="AL223" s="626"/>
      <c r="AM223" s="626"/>
    </row>
    <row r="224" spans="1:39" ht="18" customHeight="1">
      <c r="C224" s="598">
        <v>204</v>
      </c>
      <c r="D224" s="598" t="s">
        <v>1893</v>
      </c>
      <c r="E224" s="598">
        <f t="shared" si="2"/>
        <v>193</v>
      </c>
      <c r="F224" s="616" t="s">
        <v>1351</v>
      </c>
      <c r="G224" s="616" t="s">
        <v>729</v>
      </c>
      <c r="H224" s="618" t="s">
        <v>1202</v>
      </c>
      <c r="I224" s="618" t="s">
        <v>30</v>
      </c>
      <c r="J224" s="618" t="s">
        <v>1202</v>
      </c>
      <c r="K224" s="618" t="s">
        <v>1260</v>
      </c>
      <c r="L224" s="618" t="s">
        <v>1415</v>
      </c>
      <c r="M224" s="619" t="s">
        <v>1870</v>
      </c>
      <c r="N224" s="620" t="s">
        <v>2301</v>
      </c>
      <c r="O224" s="620"/>
      <c r="P224" s="663" t="s">
        <v>1480</v>
      </c>
      <c r="Q224" s="621" t="s">
        <v>319</v>
      </c>
      <c r="R224" s="598"/>
      <c r="S224" s="598"/>
      <c r="T224" s="598"/>
      <c r="U224" s="598" t="s">
        <v>1015</v>
      </c>
      <c r="V224" s="663" t="s">
        <v>5019</v>
      </c>
      <c r="W224" s="779" t="s">
        <v>5020</v>
      </c>
      <c r="X224" s="598" t="s">
        <v>950</v>
      </c>
      <c r="Y224" s="624">
        <v>31403</v>
      </c>
      <c r="Z224" s="625">
        <f t="shared" ca="1" si="1"/>
        <v>40</v>
      </c>
      <c r="AA224" s="616" t="s">
        <v>1896</v>
      </c>
      <c r="AB224" s="598"/>
      <c r="AC224" s="598" t="s">
        <v>996</v>
      </c>
      <c r="AD224" s="598" t="s">
        <v>1018</v>
      </c>
      <c r="AE224" s="616" t="s">
        <v>1898</v>
      </c>
      <c r="AF224" s="616" t="s">
        <v>729</v>
      </c>
      <c r="AG224" s="616" t="s">
        <v>1899</v>
      </c>
      <c r="AH224" s="598"/>
      <c r="AI224" s="598"/>
      <c r="AJ224" s="598" t="s">
        <v>1107</v>
      </c>
      <c r="AK224" s="598"/>
      <c r="AL224" s="626"/>
      <c r="AM224" s="626"/>
    </row>
    <row r="225" spans="3:39" ht="18" customHeight="1">
      <c r="C225" s="598">
        <v>205</v>
      </c>
      <c r="D225" s="598" t="s">
        <v>4595</v>
      </c>
      <c r="E225" s="598">
        <f t="shared" si="2"/>
        <v>194</v>
      </c>
      <c r="F225" s="616" t="s">
        <v>1351</v>
      </c>
      <c r="G225" s="616" t="s">
        <v>729</v>
      </c>
      <c r="H225" s="618" t="s">
        <v>1202</v>
      </c>
      <c r="I225" s="618" t="s">
        <v>30</v>
      </c>
      <c r="J225" s="618" t="s">
        <v>1202</v>
      </c>
      <c r="K225" s="618" t="s">
        <v>1260</v>
      </c>
      <c r="L225" s="618" t="s">
        <v>1415</v>
      </c>
      <c r="M225" s="619" t="s">
        <v>1870</v>
      </c>
      <c r="N225" s="620" t="s">
        <v>2301</v>
      </c>
      <c r="O225" s="620"/>
      <c r="P225" s="663" t="s">
        <v>1480</v>
      </c>
      <c r="Q225" s="621" t="s">
        <v>319</v>
      </c>
      <c r="R225" s="598"/>
      <c r="S225" s="598"/>
      <c r="T225" s="598"/>
      <c r="U225" s="598" t="s">
        <v>1015</v>
      </c>
      <c r="V225" s="663" t="s">
        <v>4596</v>
      </c>
      <c r="W225" s="779" t="s">
        <v>4597</v>
      </c>
      <c r="X225" s="598" t="s">
        <v>950</v>
      </c>
      <c r="Y225" s="624">
        <v>35901</v>
      </c>
      <c r="Z225" s="625">
        <f t="shared" ca="1" si="1"/>
        <v>27</v>
      </c>
      <c r="AA225" s="616" t="s">
        <v>4598</v>
      </c>
      <c r="AB225" s="598"/>
      <c r="AC225" s="598" t="s">
        <v>996</v>
      </c>
      <c r="AD225" s="598" t="s">
        <v>1018</v>
      </c>
      <c r="AE225" s="616" t="s">
        <v>729</v>
      </c>
      <c r="AF225" s="616" t="s">
        <v>1250</v>
      </c>
      <c r="AG225" s="616" t="s">
        <v>4599</v>
      </c>
      <c r="AH225" s="598"/>
      <c r="AI225" s="598" t="s">
        <v>4600</v>
      </c>
      <c r="AJ225" s="598" t="s">
        <v>1107</v>
      </c>
      <c r="AK225" s="598" t="s">
        <v>1020</v>
      </c>
      <c r="AL225" s="626"/>
      <c r="AM225" s="626"/>
    </row>
    <row r="226" spans="3:39" ht="18" customHeight="1">
      <c r="C226" s="598">
        <v>206</v>
      </c>
      <c r="D226" s="598" t="s">
        <v>1903</v>
      </c>
      <c r="E226" s="598">
        <f t="shared" si="2"/>
        <v>195</v>
      </c>
      <c r="F226" s="616" t="s">
        <v>1351</v>
      </c>
      <c r="G226" s="616" t="s">
        <v>729</v>
      </c>
      <c r="H226" s="618" t="s">
        <v>1202</v>
      </c>
      <c r="I226" s="618" t="s">
        <v>30</v>
      </c>
      <c r="J226" s="618" t="s">
        <v>1202</v>
      </c>
      <c r="K226" s="618" t="s">
        <v>1260</v>
      </c>
      <c r="L226" s="618" t="s">
        <v>1415</v>
      </c>
      <c r="M226" s="619" t="s">
        <v>1870</v>
      </c>
      <c r="N226" s="620" t="s">
        <v>2301</v>
      </c>
      <c r="O226" s="620"/>
      <c r="P226" s="673" t="s">
        <v>1480</v>
      </c>
      <c r="Q226" s="621" t="s">
        <v>319</v>
      </c>
      <c r="R226" s="598"/>
      <c r="S226" s="598"/>
      <c r="T226" s="598"/>
      <c r="U226" s="598" t="s">
        <v>992</v>
      </c>
      <c r="V226" s="673" t="s">
        <v>1905</v>
      </c>
      <c r="W226" s="779" t="s">
        <v>1906</v>
      </c>
      <c r="X226" s="598" t="s">
        <v>950</v>
      </c>
      <c r="Y226" s="624">
        <v>31881</v>
      </c>
      <c r="Z226" s="625">
        <f t="shared" ca="1" si="1"/>
        <v>38</v>
      </c>
      <c r="AA226" s="616" t="s">
        <v>1907</v>
      </c>
      <c r="AB226" s="598"/>
      <c r="AC226" s="598" t="s">
        <v>996</v>
      </c>
      <c r="AD226" s="598" t="s">
        <v>1018</v>
      </c>
      <c r="AE226" s="616" t="s">
        <v>1909</v>
      </c>
      <c r="AF226" s="616" t="s">
        <v>1910</v>
      </c>
      <c r="AG226" s="616" t="s">
        <v>1911</v>
      </c>
      <c r="AH226" s="598"/>
      <c r="AI226" s="598"/>
      <c r="AJ226" s="598" t="s">
        <v>1107</v>
      </c>
      <c r="AK226" s="598"/>
      <c r="AL226" s="626"/>
      <c r="AM226" s="626"/>
    </row>
    <row r="227" spans="3:39" ht="18" customHeight="1">
      <c r="C227" s="598">
        <v>207</v>
      </c>
      <c r="D227" s="598" t="s">
        <v>1202</v>
      </c>
      <c r="E227" s="598">
        <f t="shared" si="2"/>
        <v>195</v>
      </c>
      <c r="F227" s="616"/>
      <c r="G227" s="616" t="s">
        <v>729</v>
      </c>
      <c r="H227" s="618" t="s">
        <v>1202</v>
      </c>
      <c r="I227" s="618" t="s">
        <v>30</v>
      </c>
      <c r="J227" s="618" t="s">
        <v>1202</v>
      </c>
      <c r="K227" s="618" t="s">
        <v>1202</v>
      </c>
      <c r="L227" s="618" t="s">
        <v>959</v>
      </c>
      <c r="M227" s="619" t="s">
        <v>959</v>
      </c>
      <c r="N227" s="620"/>
      <c r="O227" s="620"/>
      <c r="P227" s="667" t="s">
        <v>4601</v>
      </c>
      <c r="Q227" s="621"/>
      <c r="R227" s="598"/>
      <c r="S227" s="598"/>
      <c r="T227" s="598"/>
      <c r="U227" s="598"/>
      <c r="V227" s="667" t="s">
        <v>30</v>
      </c>
      <c r="W227" s="779" t="s">
        <v>1203</v>
      </c>
      <c r="X227" s="598" t="s">
        <v>950</v>
      </c>
      <c r="Y227" s="624">
        <v>33065</v>
      </c>
      <c r="Z227" s="625">
        <f t="shared" ca="1" si="1"/>
        <v>35</v>
      </c>
      <c r="AA227" s="616" t="s">
        <v>1204</v>
      </c>
      <c r="AB227" s="598"/>
      <c r="AC227" s="598" t="s">
        <v>1006</v>
      </c>
      <c r="AD227" s="598" t="s">
        <v>953</v>
      </c>
      <c r="AE227" s="616" t="s">
        <v>973</v>
      </c>
      <c r="AF227" s="616" t="s">
        <v>954</v>
      </c>
      <c r="AG227" s="616" t="s">
        <v>968</v>
      </c>
      <c r="AH227" s="598" t="s">
        <v>955</v>
      </c>
      <c r="AI227" s="598"/>
      <c r="AJ227" s="598"/>
      <c r="AK227" s="598"/>
      <c r="AL227" s="626"/>
      <c r="AM227" s="626"/>
    </row>
    <row r="228" spans="3:39" ht="18" customHeight="1">
      <c r="C228" s="598">
        <v>208</v>
      </c>
      <c r="D228" s="598" t="s">
        <v>4602</v>
      </c>
      <c r="E228" s="598">
        <f t="shared" si="2"/>
        <v>196</v>
      </c>
      <c r="F228" s="616" t="s">
        <v>1351</v>
      </c>
      <c r="G228" s="616" t="s">
        <v>729</v>
      </c>
      <c r="H228" s="618" t="s">
        <v>1202</v>
      </c>
      <c r="I228" s="618" t="s">
        <v>30</v>
      </c>
      <c r="J228" s="618" t="s">
        <v>1202</v>
      </c>
      <c r="K228" s="618" t="s">
        <v>1202</v>
      </c>
      <c r="L228" s="618" t="s">
        <v>959</v>
      </c>
      <c r="M228" s="619" t="s">
        <v>959</v>
      </c>
      <c r="N228" s="620"/>
      <c r="O228" s="620"/>
      <c r="P228" s="663" t="s">
        <v>4601</v>
      </c>
      <c r="Q228" s="621"/>
      <c r="R228" s="598"/>
      <c r="S228" s="598"/>
      <c r="T228" s="598"/>
      <c r="U228" s="598" t="s">
        <v>1015</v>
      </c>
      <c r="V228" s="663" t="s">
        <v>4603</v>
      </c>
      <c r="W228" s="779" t="s">
        <v>4604</v>
      </c>
      <c r="X228" s="598" t="s">
        <v>950</v>
      </c>
      <c r="Y228" s="624">
        <v>32134</v>
      </c>
      <c r="Z228" s="625">
        <f t="shared" ca="1" si="1"/>
        <v>38</v>
      </c>
      <c r="AA228" s="616" t="s">
        <v>4605</v>
      </c>
      <c r="AB228" s="598"/>
      <c r="AC228" s="598" t="s">
        <v>996</v>
      </c>
      <c r="AD228" s="598" t="s">
        <v>1018</v>
      </c>
      <c r="AE228" s="616" t="s">
        <v>729</v>
      </c>
      <c r="AF228" s="616" t="s">
        <v>729</v>
      </c>
      <c r="AG228" s="616"/>
      <c r="AH228" s="598"/>
      <c r="AI228" s="598" t="s">
        <v>4606</v>
      </c>
      <c r="AJ228" s="598" t="s">
        <v>1440</v>
      </c>
      <c r="AK228" s="598" t="s">
        <v>4607</v>
      </c>
      <c r="AL228" s="626"/>
      <c r="AM228" s="626"/>
    </row>
    <row r="229" spans="3:39" ht="18" customHeight="1">
      <c r="C229" s="598">
        <v>209</v>
      </c>
      <c r="D229" s="598" t="s">
        <v>4608</v>
      </c>
      <c r="E229" s="598">
        <f t="shared" si="2"/>
        <v>197</v>
      </c>
      <c r="F229" s="616" t="s">
        <v>1351</v>
      </c>
      <c r="G229" s="616" t="s">
        <v>729</v>
      </c>
      <c r="H229" s="618" t="s">
        <v>1202</v>
      </c>
      <c r="I229" s="618" t="s">
        <v>30</v>
      </c>
      <c r="J229" s="618" t="s">
        <v>1202</v>
      </c>
      <c r="K229" s="618" t="s">
        <v>1202</v>
      </c>
      <c r="L229" s="618" t="s">
        <v>959</v>
      </c>
      <c r="M229" s="619" t="s">
        <v>959</v>
      </c>
      <c r="N229" s="620"/>
      <c r="O229" s="620"/>
      <c r="P229" s="663" t="s">
        <v>4601</v>
      </c>
      <c r="Q229" s="621" t="s">
        <v>319</v>
      </c>
      <c r="R229" s="598"/>
      <c r="S229" s="598"/>
      <c r="T229" s="598"/>
      <c r="U229" s="598" t="s">
        <v>1015</v>
      </c>
      <c r="V229" s="663" t="s">
        <v>4609</v>
      </c>
      <c r="W229" s="779" t="s">
        <v>4610</v>
      </c>
      <c r="X229" s="598" t="s">
        <v>950</v>
      </c>
      <c r="Y229" s="624">
        <v>33526</v>
      </c>
      <c r="Z229" s="625">
        <f t="shared" ca="1" si="1"/>
        <v>34</v>
      </c>
      <c r="AA229" s="616" t="s">
        <v>4611</v>
      </c>
      <c r="AB229" s="598"/>
      <c r="AC229" s="598" t="s">
        <v>996</v>
      </c>
      <c r="AD229" s="598" t="s">
        <v>1018</v>
      </c>
      <c r="AE229" s="616" t="s">
        <v>729</v>
      </c>
      <c r="AF229" s="616" t="s">
        <v>729</v>
      </c>
      <c r="AG229" s="616" t="s">
        <v>1252</v>
      </c>
      <c r="AH229" s="598"/>
      <c r="AI229" s="598" t="s">
        <v>4612</v>
      </c>
      <c r="AJ229" s="598" t="s">
        <v>1107</v>
      </c>
      <c r="AK229" s="598" t="s">
        <v>4607</v>
      </c>
      <c r="AL229" s="626"/>
      <c r="AM229" s="626"/>
    </row>
    <row r="230" spans="3:39" ht="18" customHeight="1">
      <c r="C230" s="598">
        <v>210</v>
      </c>
      <c r="D230" s="598" t="s">
        <v>4613</v>
      </c>
      <c r="E230" s="598">
        <f t="shared" si="2"/>
        <v>198</v>
      </c>
      <c r="F230" s="616" t="s">
        <v>1351</v>
      </c>
      <c r="G230" s="616" t="s">
        <v>729</v>
      </c>
      <c r="H230" s="618" t="s">
        <v>1202</v>
      </c>
      <c r="I230" s="618" t="s">
        <v>30</v>
      </c>
      <c r="J230" s="618" t="s">
        <v>1202</v>
      </c>
      <c r="K230" s="618" t="s">
        <v>1202</v>
      </c>
      <c r="L230" s="618" t="s">
        <v>959</v>
      </c>
      <c r="M230" s="619" t="s">
        <v>959</v>
      </c>
      <c r="N230" s="620"/>
      <c r="O230" s="620"/>
      <c r="P230" s="663" t="s">
        <v>4601</v>
      </c>
      <c r="Q230" s="621" t="s">
        <v>319</v>
      </c>
      <c r="R230" s="598"/>
      <c r="S230" s="598"/>
      <c r="T230" s="598"/>
      <c r="U230" s="598" t="s">
        <v>992</v>
      </c>
      <c r="V230" s="663" t="s">
        <v>4614</v>
      </c>
      <c r="W230" s="779" t="s">
        <v>4615</v>
      </c>
      <c r="X230" s="598" t="s">
        <v>950</v>
      </c>
      <c r="Y230" s="624">
        <v>35919</v>
      </c>
      <c r="Z230" s="625">
        <f t="shared" ca="1" si="1"/>
        <v>27</v>
      </c>
      <c r="AA230" s="616" t="s">
        <v>4616</v>
      </c>
      <c r="AB230" s="598"/>
      <c r="AC230" s="598" t="s">
        <v>996</v>
      </c>
      <c r="AD230" s="598" t="s">
        <v>1018</v>
      </c>
      <c r="AE230" s="616" t="s">
        <v>729</v>
      </c>
      <c r="AF230" s="616" t="s">
        <v>729</v>
      </c>
      <c r="AG230" s="616" t="s">
        <v>1323</v>
      </c>
      <c r="AH230" s="598"/>
      <c r="AI230" s="598" t="s">
        <v>4617</v>
      </c>
      <c r="AJ230" s="598" t="s">
        <v>1107</v>
      </c>
      <c r="AK230" s="598" t="s">
        <v>4607</v>
      </c>
      <c r="AL230" s="626"/>
      <c r="AM230" s="626"/>
    </row>
    <row r="231" spans="3:39" ht="18" customHeight="1">
      <c r="C231" s="598">
        <v>211</v>
      </c>
      <c r="D231" s="598" t="s">
        <v>4618</v>
      </c>
      <c r="E231" s="598">
        <f t="shared" si="2"/>
        <v>199</v>
      </c>
      <c r="F231" s="616" t="s">
        <v>4978</v>
      </c>
      <c r="G231" s="616" t="s">
        <v>729</v>
      </c>
      <c r="H231" s="618" t="s">
        <v>1202</v>
      </c>
      <c r="I231" s="618" t="s">
        <v>30</v>
      </c>
      <c r="J231" s="618" t="s">
        <v>1202</v>
      </c>
      <c r="K231" s="618" t="s">
        <v>1202</v>
      </c>
      <c r="L231" s="618" t="s">
        <v>959</v>
      </c>
      <c r="M231" s="619" t="s">
        <v>959</v>
      </c>
      <c r="N231" s="620"/>
      <c r="O231" s="620"/>
      <c r="P231" s="663" t="s">
        <v>4601</v>
      </c>
      <c r="Q231" s="621"/>
      <c r="R231" s="598"/>
      <c r="S231" s="598"/>
      <c r="T231" s="598"/>
      <c r="U231" s="598" t="s">
        <v>1015</v>
      </c>
      <c r="V231" s="663" t="s">
        <v>4619</v>
      </c>
      <c r="W231" s="779" t="s">
        <v>4620</v>
      </c>
      <c r="X231" s="598" t="s">
        <v>950</v>
      </c>
      <c r="Y231" s="624">
        <v>33182</v>
      </c>
      <c r="Z231" s="625">
        <f t="shared" ca="1" si="1"/>
        <v>35</v>
      </c>
      <c r="AA231" s="616" t="s">
        <v>4621</v>
      </c>
      <c r="AB231" s="598"/>
      <c r="AC231" s="598" t="s">
        <v>996</v>
      </c>
      <c r="AD231" s="598" t="s">
        <v>1018</v>
      </c>
      <c r="AE231" s="616" t="s">
        <v>1494</v>
      </c>
      <c r="AF231" s="616" t="s">
        <v>1494</v>
      </c>
      <c r="AG231" s="616" t="s">
        <v>4622</v>
      </c>
      <c r="AH231" s="598"/>
      <c r="AI231" s="598" t="s">
        <v>1019</v>
      </c>
      <c r="AJ231" s="598" t="s">
        <v>1125</v>
      </c>
      <c r="AK231" s="598"/>
      <c r="AL231" s="626"/>
      <c r="AM231" s="626"/>
    </row>
    <row r="232" spans="3:39" ht="18" customHeight="1">
      <c r="C232" s="598">
        <v>212</v>
      </c>
      <c r="D232" s="598" t="s">
        <v>4623</v>
      </c>
      <c r="E232" s="598">
        <f t="shared" si="2"/>
        <v>200</v>
      </c>
      <c r="F232" s="616" t="s">
        <v>1810</v>
      </c>
      <c r="G232" s="616" t="s">
        <v>729</v>
      </c>
      <c r="H232" s="618" t="s">
        <v>1202</v>
      </c>
      <c r="I232" s="618" t="s">
        <v>30</v>
      </c>
      <c r="J232" s="618" t="s">
        <v>1202</v>
      </c>
      <c r="K232" s="618" t="s">
        <v>1202</v>
      </c>
      <c r="L232" s="618" t="s">
        <v>959</v>
      </c>
      <c r="M232" s="619" t="s">
        <v>959</v>
      </c>
      <c r="N232" s="620"/>
      <c r="O232" s="620"/>
      <c r="P232" s="663" t="s">
        <v>4601</v>
      </c>
      <c r="Q232" s="621"/>
      <c r="R232" s="598"/>
      <c r="S232" s="598"/>
      <c r="T232" s="598"/>
      <c r="U232" s="598" t="s">
        <v>992</v>
      </c>
      <c r="V232" s="663" t="s">
        <v>4624</v>
      </c>
      <c r="W232" s="779" t="s">
        <v>4625</v>
      </c>
      <c r="X232" s="598" t="s">
        <v>950</v>
      </c>
      <c r="Y232" s="624">
        <v>36632</v>
      </c>
      <c r="Z232" s="625">
        <f t="shared" ca="1" si="1"/>
        <v>25</v>
      </c>
      <c r="AA232" s="616" t="s">
        <v>4626</v>
      </c>
      <c r="AB232" s="598"/>
      <c r="AC232" s="598" t="s">
        <v>996</v>
      </c>
      <c r="AD232" s="598" t="s">
        <v>1018</v>
      </c>
      <c r="AE232" s="616" t="s">
        <v>973</v>
      </c>
      <c r="AF232" s="616" t="s">
        <v>973</v>
      </c>
      <c r="AG232" s="616" t="s">
        <v>3527</v>
      </c>
      <c r="AH232" s="598"/>
      <c r="AI232" s="598" t="s">
        <v>4229</v>
      </c>
      <c r="AJ232" s="598" t="s">
        <v>1125</v>
      </c>
      <c r="AK232" s="598" t="s">
        <v>4607</v>
      </c>
      <c r="AL232" s="626"/>
      <c r="AM232" s="626"/>
    </row>
    <row r="233" spans="3:39" ht="18" customHeight="1">
      <c r="C233" s="598">
        <v>213</v>
      </c>
      <c r="D233" s="598" t="s">
        <v>4627</v>
      </c>
      <c r="E233" s="598">
        <f t="shared" si="2"/>
        <v>201</v>
      </c>
      <c r="F233" s="616" t="s">
        <v>1351</v>
      </c>
      <c r="G233" s="616" t="s">
        <v>729</v>
      </c>
      <c r="H233" s="618" t="s">
        <v>1202</v>
      </c>
      <c r="I233" s="618" t="s">
        <v>30</v>
      </c>
      <c r="J233" s="618" t="s">
        <v>1202</v>
      </c>
      <c r="K233" s="618" t="s">
        <v>1202</v>
      </c>
      <c r="L233" s="618" t="s">
        <v>959</v>
      </c>
      <c r="M233" s="619" t="s">
        <v>959</v>
      </c>
      <c r="N233" s="620"/>
      <c r="O233" s="620"/>
      <c r="P233" s="673" t="s">
        <v>4601</v>
      </c>
      <c r="Q233" s="621"/>
      <c r="R233" s="598"/>
      <c r="S233" s="598"/>
      <c r="T233" s="598"/>
      <c r="U233" s="598" t="s">
        <v>1015</v>
      </c>
      <c r="V233" s="673" t="s">
        <v>4628</v>
      </c>
      <c r="W233" s="779" t="s">
        <v>4629</v>
      </c>
      <c r="X233" s="598" t="s">
        <v>950</v>
      </c>
      <c r="Y233" s="624">
        <v>32089</v>
      </c>
      <c r="Z233" s="625">
        <f t="shared" ca="1" si="1"/>
        <v>38</v>
      </c>
      <c r="AA233" s="654" t="s">
        <v>4630</v>
      </c>
      <c r="AB233" s="598"/>
      <c r="AC233" s="598" t="s">
        <v>996</v>
      </c>
      <c r="AD233" s="598" t="s">
        <v>1018</v>
      </c>
      <c r="AE233" s="616" t="s">
        <v>729</v>
      </c>
      <c r="AF233" s="616" t="s">
        <v>729</v>
      </c>
      <c r="AG233" s="616" t="s">
        <v>4631</v>
      </c>
      <c r="AH233" s="598"/>
      <c r="AI233" s="598" t="s">
        <v>4606</v>
      </c>
      <c r="AJ233" s="598" t="s">
        <v>1349</v>
      </c>
      <c r="AK233" s="680" t="s">
        <v>4632</v>
      </c>
      <c r="AL233" s="626"/>
      <c r="AM233" s="626"/>
    </row>
    <row r="234" spans="3:39" ht="18" customHeight="1">
      <c r="C234" s="598">
        <v>214</v>
      </c>
      <c r="D234" s="598" t="s">
        <v>2087</v>
      </c>
      <c r="E234" s="598">
        <f t="shared" si="2"/>
        <v>201</v>
      </c>
      <c r="F234" s="616"/>
      <c r="G234" s="616" t="s">
        <v>4633</v>
      </c>
      <c r="H234" s="618" t="s">
        <v>1202</v>
      </c>
      <c r="I234" s="618" t="s">
        <v>335</v>
      </c>
      <c r="J234" s="618" t="s">
        <v>2087</v>
      </c>
      <c r="K234" s="618" t="s">
        <v>2087</v>
      </c>
      <c r="L234" s="618" t="s">
        <v>1453</v>
      </c>
      <c r="M234" s="619" t="s">
        <v>2302</v>
      </c>
      <c r="N234" s="620"/>
      <c r="O234" s="620"/>
      <c r="P234" s="667" t="s">
        <v>1044</v>
      </c>
      <c r="Q234" s="621"/>
      <c r="R234" s="598" t="s">
        <v>173</v>
      </c>
      <c r="S234" s="598" t="s">
        <v>514</v>
      </c>
      <c r="T234" s="598"/>
      <c r="U234" s="598"/>
      <c r="V234" s="667" t="s">
        <v>335</v>
      </c>
      <c r="W234" s="779" t="s">
        <v>2089</v>
      </c>
      <c r="X234" s="598" t="s">
        <v>950</v>
      </c>
      <c r="Y234" s="624">
        <v>36694</v>
      </c>
      <c r="Z234" s="625">
        <f t="shared" ca="1" si="1"/>
        <v>25</v>
      </c>
      <c r="AA234" s="616" t="s">
        <v>2090</v>
      </c>
      <c r="AB234" s="598"/>
      <c r="AC234" s="598" t="s">
        <v>1006</v>
      </c>
      <c r="AD234" s="598" t="s">
        <v>953</v>
      </c>
      <c r="AE234" s="616" t="s">
        <v>729</v>
      </c>
      <c r="AF234" s="616" t="s">
        <v>729</v>
      </c>
      <c r="AG234" s="616" t="s">
        <v>2092</v>
      </c>
      <c r="AH234" s="598" t="s">
        <v>955</v>
      </c>
      <c r="AI234" s="598"/>
      <c r="AJ234" s="598"/>
      <c r="AK234" s="598"/>
      <c r="AL234" s="626"/>
      <c r="AM234" s="626"/>
    </row>
    <row r="235" spans="3:39" ht="18" customHeight="1">
      <c r="C235" s="598">
        <v>215</v>
      </c>
      <c r="D235" s="598" t="s">
        <v>1453</v>
      </c>
      <c r="E235" s="598">
        <f t="shared" si="2"/>
        <v>202</v>
      </c>
      <c r="F235" s="616" t="s">
        <v>4978</v>
      </c>
      <c r="G235" s="616" t="s">
        <v>4633</v>
      </c>
      <c r="H235" s="618" t="s">
        <v>1202</v>
      </c>
      <c r="I235" s="618" t="s">
        <v>335</v>
      </c>
      <c r="J235" s="618" t="s">
        <v>2087</v>
      </c>
      <c r="K235" s="618" t="s">
        <v>2087</v>
      </c>
      <c r="L235" s="618" t="s">
        <v>1453</v>
      </c>
      <c r="M235" s="619" t="s">
        <v>2302</v>
      </c>
      <c r="N235" s="620"/>
      <c r="O235" s="620"/>
      <c r="P235" s="663" t="s">
        <v>1044</v>
      </c>
      <c r="Q235" s="621" t="s">
        <v>319</v>
      </c>
      <c r="R235" s="598" t="s">
        <v>69</v>
      </c>
      <c r="S235" s="598" t="s">
        <v>562</v>
      </c>
      <c r="T235" s="598"/>
      <c r="U235" s="598" t="s">
        <v>1015</v>
      </c>
      <c r="V235" s="663" t="s">
        <v>361</v>
      </c>
      <c r="W235" s="779" t="s">
        <v>1456</v>
      </c>
      <c r="X235" s="598" t="s">
        <v>950</v>
      </c>
      <c r="Y235" s="624">
        <v>34385</v>
      </c>
      <c r="Z235" s="625">
        <f t="shared" ca="1" si="1"/>
        <v>31</v>
      </c>
      <c r="AA235" s="616" t="s">
        <v>1457</v>
      </c>
      <c r="AB235" s="598"/>
      <c r="AC235" s="598" t="s">
        <v>996</v>
      </c>
      <c r="AD235" s="598" t="s">
        <v>997</v>
      </c>
      <c r="AE235" s="616" t="s">
        <v>729</v>
      </c>
      <c r="AF235" s="616" t="s">
        <v>1250</v>
      </c>
      <c r="AG235" s="616" t="s">
        <v>1459</v>
      </c>
      <c r="AH235" s="598"/>
      <c r="AI235" s="598"/>
      <c r="AJ235" s="598" t="s">
        <v>1452</v>
      </c>
      <c r="AK235" s="598"/>
      <c r="AL235" s="626"/>
      <c r="AM235" s="626"/>
    </row>
    <row r="236" spans="3:39" ht="18" customHeight="1">
      <c r="C236" s="598">
        <v>216</v>
      </c>
      <c r="D236" s="598" t="s">
        <v>2302</v>
      </c>
      <c r="E236" s="598">
        <f t="shared" si="2"/>
        <v>203</v>
      </c>
      <c r="F236" s="616" t="s">
        <v>4978</v>
      </c>
      <c r="G236" s="616" t="s">
        <v>4633</v>
      </c>
      <c r="H236" s="618" t="s">
        <v>1202</v>
      </c>
      <c r="I236" s="618" t="s">
        <v>335</v>
      </c>
      <c r="J236" s="618" t="s">
        <v>2087</v>
      </c>
      <c r="K236" s="618" t="s">
        <v>2087</v>
      </c>
      <c r="L236" s="618" t="s">
        <v>1453</v>
      </c>
      <c r="M236" s="619" t="s">
        <v>2302</v>
      </c>
      <c r="N236" s="620"/>
      <c r="O236" s="620"/>
      <c r="P236" s="663" t="s">
        <v>1044</v>
      </c>
      <c r="Q236" s="621" t="s">
        <v>319</v>
      </c>
      <c r="R236" s="598" t="s">
        <v>69</v>
      </c>
      <c r="S236" s="598" t="s">
        <v>562</v>
      </c>
      <c r="T236" s="598"/>
      <c r="U236" s="598" t="s">
        <v>992</v>
      </c>
      <c r="V236" s="663" t="s">
        <v>344</v>
      </c>
      <c r="W236" s="779" t="s">
        <v>2307</v>
      </c>
      <c r="X236" s="598" t="s">
        <v>950</v>
      </c>
      <c r="Y236" s="624">
        <v>38170</v>
      </c>
      <c r="Z236" s="625">
        <f t="shared" ca="1" si="1"/>
        <v>21</v>
      </c>
      <c r="AA236" s="616" t="s">
        <v>2308</v>
      </c>
      <c r="AB236" s="598"/>
      <c r="AC236" s="598" t="s">
        <v>996</v>
      </c>
      <c r="AD236" s="598" t="s">
        <v>1018</v>
      </c>
      <c r="AE236" s="616" t="s">
        <v>729</v>
      </c>
      <c r="AF236" s="616" t="s">
        <v>729</v>
      </c>
      <c r="AG236" s="616" t="s">
        <v>1808</v>
      </c>
      <c r="AH236" s="598"/>
      <c r="AI236" s="598" t="s">
        <v>2310</v>
      </c>
      <c r="AJ236" s="598" t="s">
        <v>1318</v>
      </c>
      <c r="AK236" s="598"/>
      <c r="AL236" s="626"/>
      <c r="AM236" s="626"/>
    </row>
    <row r="237" spans="3:39" ht="18" customHeight="1">
      <c r="C237" s="598">
        <v>217</v>
      </c>
      <c r="D237" s="598" t="s">
        <v>4401</v>
      </c>
      <c r="E237" s="598">
        <f t="shared" si="2"/>
        <v>204</v>
      </c>
      <c r="F237" s="616" t="s">
        <v>4978</v>
      </c>
      <c r="G237" s="616" t="s">
        <v>4633</v>
      </c>
      <c r="H237" s="618" t="s">
        <v>1202</v>
      </c>
      <c r="I237" s="618" t="s">
        <v>335</v>
      </c>
      <c r="J237" s="618" t="s">
        <v>2087</v>
      </c>
      <c r="K237" s="618" t="s">
        <v>2087</v>
      </c>
      <c r="L237" s="618" t="s">
        <v>1453</v>
      </c>
      <c r="M237" s="619" t="s">
        <v>2302</v>
      </c>
      <c r="N237" s="620"/>
      <c r="O237" s="620"/>
      <c r="P237" s="663" t="s">
        <v>1044</v>
      </c>
      <c r="Q237" s="621" t="s">
        <v>319</v>
      </c>
      <c r="R237" s="598"/>
      <c r="S237" s="598"/>
      <c r="T237" s="598"/>
      <c r="U237" s="598" t="s">
        <v>992</v>
      </c>
      <c r="V237" s="663" t="s">
        <v>4402</v>
      </c>
      <c r="W237" s="779" t="s">
        <v>4403</v>
      </c>
      <c r="X237" s="598" t="s">
        <v>963</v>
      </c>
      <c r="Y237" s="624">
        <v>35551</v>
      </c>
      <c r="Z237" s="625">
        <f t="shared" ca="1" si="1"/>
        <v>28</v>
      </c>
      <c r="AA237" s="616" t="s">
        <v>4404</v>
      </c>
      <c r="AB237" s="598"/>
      <c r="AC237" s="598" t="s">
        <v>996</v>
      </c>
      <c r="AD237" s="598" t="s">
        <v>997</v>
      </c>
      <c r="AE237" s="616" t="s">
        <v>246</v>
      </c>
      <c r="AF237" s="616" t="s">
        <v>246</v>
      </c>
      <c r="AG237" s="616" t="s">
        <v>4393</v>
      </c>
      <c r="AH237" s="598"/>
      <c r="AI237" s="598"/>
      <c r="AJ237" s="598" t="s">
        <v>1107</v>
      </c>
      <c r="AK237" s="598"/>
      <c r="AL237" s="626"/>
      <c r="AM237" s="626"/>
    </row>
    <row r="238" spans="3:39" ht="18" customHeight="1">
      <c r="C238" s="598">
        <v>218</v>
      </c>
      <c r="D238" s="598" t="s">
        <v>1859</v>
      </c>
      <c r="E238" s="598">
        <f t="shared" si="2"/>
        <v>205</v>
      </c>
      <c r="F238" s="616" t="s">
        <v>4978</v>
      </c>
      <c r="G238" s="616" t="s">
        <v>4633</v>
      </c>
      <c r="H238" s="618" t="s">
        <v>1202</v>
      </c>
      <c r="I238" s="618" t="s">
        <v>335</v>
      </c>
      <c r="J238" s="618" t="s">
        <v>2087</v>
      </c>
      <c r="K238" s="618" t="s">
        <v>2087</v>
      </c>
      <c r="L238" s="618" t="s">
        <v>1453</v>
      </c>
      <c r="M238" s="619" t="s">
        <v>2302</v>
      </c>
      <c r="N238" s="620"/>
      <c r="O238" s="620"/>
      <c r="P238" s="663" t="s">
        <v>1044</v>
      </c>
      <c r="Q238" s="621"/>
      <c r="R238" s="598"/>
      <c r="S238" s="598"/>
      <c r="T238" s="598"/>
      <c r="U238" s="598" t="s">
        <v>992</v>
      </c>
      <c r="V238" s="663" t="s">
        <v>373</v>
      </c>
      <c r="W238" s="779" t="s">
        <v>1860</v>
      </c>
      <c r="X238" s="598" t="s">
        <v>950</v>
      </c>
      <c r="Y238" s="624">
        <v>36437</v>
      </c>
      <c r="Z238" s="625">
        <f t="shared" ca="1" si="1"/>
        <v>26</v>
      </c>
      <c r="AA238" s="616" t="s">
        <v>1861</v>
      </c>
      <c r="AB238" s="598"/>
      <c r="AC238" s="598" t="s">
        <v>996</v>
      </c>
      <c r="AD238" s="598" t="s">
        <v>997</v>
      </c>
      <c r="AE238" s="616" t="s">
        <v>1494</v>
      </c>
      <c r="AF238" s="616" t="s">
        <v>1494</v>
      </c>
      <c r="AG238" s="616" t="s">
        <v>1863</v>
      </c>
      <c r="AH238" s="598"/>
      <c r="AI238" s="598"/>
      <c r="AJ238" s="598" t="s">
        <v>1452</v>
      </c>
      <c r="AK238" s="598"/>
      <c r="AL238" s="626"/>
      <c r="AM238" s="626"/>
    </row>
    <row r="239" spans="3:39" ht="18" customHeight="1">
      <c r="C239" s="598">
        <v>219</v>
      </c>
      <c r="D239" s="598" t="s">
        <v>2119</v>
      </c>
      <c r="E239" s="598">
        <f t="shared" si="2"/>
        <v>206</v>
      </c>
      <c r="F239" s="616" t="s">
        <v>4978</v>
      </c>
      <c r="G239" s="616" t="s">
        <v>4633</v>
      </c>
      <c r="H239" s="618" t="s">
        <v>1202</v>
      </c>
      <c r="I239" s="618" t="s">
        <v>335</v>
      </c>
      <c r="J239" s="618" t="s">
        <v>2087</v>
      </c>
      <c r="K239" s="618" t="s">
        <v>2087</v>
      </c>
      <c r="L239" s="618" t="s">
        <v>1453</v>
      </c>
      <c r="M239" s="619" t="s">
        <v>2302</v>
      </c>
      <c r="N239" s="620"/>
      <c r="O239" s="620"/>
      <c r="P239" s="663" t="s">
        <v>1044</v>
      </c>
      <c r="Q239" s="621"/>
      <c r="R239" s="598"/>
      <c r="S239" s="598"/>
      <c r="T239" s="598"/>
      <c r="U239" s="598" t="s">
        <v>992</v>
      </c>
      <c r="V239" s="663" t="s">
        <v>387</v>
      </c>
      <c r="W239" s="779" t="s">
        <v>2120</v>
      </c>
      <c r="X239" s="598" t="s">
        <v>950</v>
      </c>
      <c r="Y239" s="624">
        <v>36516</v>
      </c>
      <c r="Z239" s="625">
        <f t="shared" ca="1" si="1"/>
        <v>26</v>
      </c>
      <c r="AA239" s="616" t="s">
        <v>2121</v>
      </c>
      <c r="AB239" s="598"/>
      <c r="AC239" s="598" t="s">
        <v>996</v>
      </c>
      <c r="AD239" s="598" t="s">
        <v>1018</v>
      </c>
      <c r="AE239" s="616" t="s">
        <v>1494</v>
      </c>
      <c r="AF239" s="616" t="s">
        <v>1494</v>
      </c>
      <c r="AG239" s="616" t="s">
        <v>1623</v>
      </c>
      <c r="AH239" s="598"/>
      <c r="AI239" s="598"/>
      <c r="AJ239" s="598" t="s">
        <v>1452</v>
      </c>
      <c r="AK239" s="598"/>
      <c r="AL239" s="626"/>
      <c r="AM239" s="626"/>
    </row>
    <row r="240" spans="3:39" ht="18" customHeight="1">
      <c r="C240" s="598">
        <v>220</v>
      </c>
      <c r="D240" s="598" t="s">
        <v>1809</v>
      </c>
      <c r="E240" s="598">
        <f t="shared" si="2"/>
        <v>207</v>
      </c>
      <c r="F240" s="616" t="s">
        <v>1810</v>
      </c>
      <c r="G240" s="616" t="s">
        <v>4633</v>
      </c>
      <c r="H240" s="618" t="s">
        <v>1202</v>
      </c>
      <c r="I240" s="618" t="s">
        <v>335</v>
      </c>
      <c r="J240" s="618" t="s">
        <v>2087</v>
      </c>
      <c r="K240" s="618" t="s">
        <v>2087</v>
      </c>
      <c r="L240" s="618" t="s">
        <v>1453</v>
      </c>
      <c r="M240" s="619" t="s">
        <v>2302</v>
      </c>
      <c r="N240" s="620"/>
      <c r="O240" s="620"/>
      <c r="P240" s="663" t="s">
        <v>1044</v>
      </c>
      <c r="Q240" s="621"/>
      <c r="R240" s="598"/>
      <c r="S240" s="598"/>
      <c r="T240" s="598"/>
      <c r="U240" s="598" t="s">
        <v>992</v>
      </c>
      <c r="V240" s="663" t="s">
        <v>400</v>
      </c>
      <c r="W240" s="779" t="s">
        <v>1811</v>
      </c>
      <c r="X240" s="598" t="s">
        <v>963</v>
      </c>
      <c r="Y240" s="624">
        <v>33468</v>
      </c>
      <c r="Z240" s="625">
        <f t="shared" ca="1" si="1"/>
        <v>34</v>
      </c>
      <c r="AA240" s="616" t="s">
        <v>1812</v>
      </c>
      <c r="AB240" s="598"/>
      <c r="AC240" s="598" t="s">
        <v>996</v>
      </c>
      <c r="AD240" s="598" t="s">
        <v>1018</v>
      </c>
      <c r="AE240" s="616" t="s">
        <v>1078</v>
      </c>
      <c r="AF240" s="616" t="s">
        <v>4994</v>
      </c>
      <c r="AG240" s="616" t="s">
        <v>4995</v>
      </c>
      <c r="AH240" s="598"/>
      <c r="AI240" s="598"/>
      <c r="AJ240" s="598" t="s">
        <v>1452</v>
      </c>
      <c r="AK240" s="598" t="s">
        <v>3510</v>
      </c>
      <c r="AL240" s="626"/>
      <c r="AM240" s="626"/>
    </row>
    <row r="241" spans="3:39" ht="18" customHeight="1">
      <c r="C241" s="598">
        <v>221</v>
      </c>
      <c r="D241" s="598" t="s">
        <v>1864</v>
      </c>
      <c r="E241" s="598">
        <f t="shared" si="2"/>
        <v>208</v>
      </c>
      <c r="F241" s="616" t="s">
        <v>1810</v>
      </c>
      <c r="G241" s="616" t="s">
        <v>4633</v>
      </c>
      <c r="H241" s="618" t="s">
        <v>1202</v>
      </c>
      <c r="I241" s="618" t="s">
        <v>335</v>
      </c>
      <c r="J241" s="618" t="s">
        <v>2087</v>
      </c>
      <c r="K241" s="618" t="s">
        <v>2087</v>
      </c>
      <c r="L241" s="618" t="s">
        <v>1453</v>
      </c>
      <c r="M241" s="619" t="s">
        <v>2302</v>
      </c>
      <c r="N241" s="620"/>
      <c r="O241" s="620"/>
      <c r="P241" s="663" t="s">
        <v>1044</v>
      </c>
      <c r="Q241" s="621"/>
      <c r="R241" s="598"/>
      <c r="S241" s="598"/>
      <c r="T241" s="598"/>
      <c r="U241" s="598" t="s">
        <v>992</v>
      </c>
      <c r="V241" s="663" t="s">
        <v>412</v>
      </c>
      <c r="W241" s="779" t="s">
        <v>1865</v>
      </c>
      <c r="X241" s="598" t="s">
        <v>950</v>
      </c>
      <c r="Y241" s="624">
        <v>38335</v>
      </c>
      <c r="Z241" s="625">
        <f t="shared" ca="1" si="1"/>
        <v>21</v>
      </c>
      <c r="AA241" s="616" t="s">
        <v>1866</v>
      </c>
      <c r="AB241" s="598"/>
      <c r="AC241" s="598" t="s">
        <v>996</v>
      </c>
      <c r="AD241" s="598" t="s">
        <v>1018</v>
      </c>
      <c r="AE241" s="616" t="s">
        <v>1868</v>
      </c>
      <c r="AF241" s="616" t="s">
        <v>729</v>
      </c>
      <c r="AG241" s="616" t="s">
        <v>1869</v>
      </c>
      <c r="AH241" s="598"/>
      <c r="AI241" s="598"/>
      <c r="AJ241" s="598" t="s">
        <v>1452</v>
      </c>
      <c r="AK241" s="598" t="s">
        <v>3510</v>
      </c>
      <c r="AL241" s="626"/>
      <c r="AM241" s="626"/>
    </row>
    <row r="242" spans="3:39" ht="18" customHeight="1">
      <c r="C242" s="598">
        <v>222</v>
      </c>
      <c r="D242" s="598" t="s">
        <v>4094</v>
      </c>
      <c r="E242" s="598">
        <f t="shared" si="2"/>
        <v>209</v>
      </c>
      <c r="F242" s="616" t="s">
        <v>4978</v>
      </c>
      <c r="G242" s="616" t="s">
        <v>4633</v>
      </c>
      <c r="H242" s="618" t="s">
        <v>1202</v>
      </c>
      <c r="I242" s="618" t="s">
        <v>335</v>
      </c>
      <c r="J242" s="618" t="s">
        <v>2087</v>
      </c>
      <c r="K242" s="618" t="s">
        <v>2087</v>
      </c>
      <c r="L242" s="618" t="s">
        <v>1453</v>
      </c>
      <c r="M242" s="619" t="s">
        <v>2302</v>
      </c>
      <c r="N242" s="620"/>
      <c r="O242" s="620"/>
      <c r="P242" s="673" t="s">
        <v>1044</v>
      </c>
      <c r="Q242" s="621" t="s">
        <v>319</v>
      </c>
      <c r="R242" s="598"/>
      <c r="S242" s="598"/>
      <c r="T242" s="598"/>
      <c r="U242" s="598" t="s">
        <v>1015</v>
      </c>
      <c r="V242" s="673" t="s">
        <v>375</v>
      </c>
      <c r="W242" s="779" t="s">
        <v>4095</v>
      </c>
      <c r="X242" s="598" t="s">
        <v>950</v>
      </c>
      <c r="Y242" s="624">
        <v>33658</v>
      </c>
      <c r="Z242" s="625">
        <f t="shared" ca="1" si="1"/>
        <v>33</v>
      </c>
      <c r="AA242" s="616" t="s">
        <v>4096</v>
      </c>
      <c r="AB242" s="598"/>
      <c r="AC242" s="598" t="s">
        <v>996</v>
      </c>
      <c r="AD242" s="598" t="s">
        <v>1018</v>
      </c>
      <c r="AE242" s="616" t="s">
        <v>246</v>
      </c>
      <c r="AF242" s="616" t="s">
        <v>246</v>
      </c>
      <c r="AG242" s="616" t="s">
        <v>4644</v>
      </c>
      <c r="AH242" s="598"/>
      <c r="AI242" s="598"/>
      <c r="AJ242" s="598" t="s">
        <v>1318</v>
      </c>
      <c r="AK242" s="598"/>
      <c r="AL242" s="626"/>
      <c r="AM242" s="626"/>
    </row>
    <row r="243" spans="3:39" ht="18" customHeight="1">
      <c r="C243" s="598">
        <v>223</v>
      </c>
      <c r="D243" s="598" t="s">
        <v>1820</v>
      </c>
      <c r="E243" s="598">
        <f t="shared" si="2"/>
        <v>209</v>
      </c>
      <c r="F243" s="616"/>
      <c r="G243" s="616" t="s">
        <v>4633</v>
      </c>
      <c r="H243" s="618" t="s">
        <v>1202</v>
      </c>
      <c r="I243" s="618" t="s">
        <v>335</v>
      </c>
      <c r="J243" s="618" t="s">
        <v>2087</v>
      </c>
      <c r="K243" s="618" t="s">
        <v>1820</v>
      </c>
      <c r="L243" s="618" t="s">
        <v>1836</v>
      </c>
      <c r="M243" s="619" t="s">
        <v>959</v>
      </c>
      <c r="N243" s="620"/>
      <c r="O243" s="620"/>
      <c r="P243" s="667" t="s">
        <v>1074</v>
      </c>
      <c r="Q243" s="621"/>
      <c r="R243" s="598" t="s">
        <v>55</v>
      </c>
      <c r="S243" s="598" t="s">
        <v>178</v>
      </c>
      <c r="T243" s="598"/>
      <c r="U243" s="598"/>
      <c r="V243" s="667" t="s">
        <v>257</v>
      </c>
      <c r="W243" s="779" t="s">
        <v>1822</v>
      </c>
      <c r="X243" s="598" t="s">
        <v>950</v>
      </c>
      <c r="Y243" s="624">
        <v>35604</v>
      </c>
      <c r="Z243" s="625">
        <f t="shared" ca="1" si="1"/>
        <v>28</v>
      </c>
      <c r="AA243" s="616" t="s">
        <v>1823</v>
      </c>
      <c r="AB243" s="598"/>
      <c r="AC243" s="598" t="s">
        <v>1006</v>
      </c>
      <c r="AD243" s="598" t="s">
        <v>953</v>
      </c>
      <c r="AE243" s="616" t="s">
        <v>729</v>
      </c>
      <c r="AF243" s="616" t="s">
        <v>729</v>
      </c>
      <c r="AG243" s="616" t="s">
        <v>2092</v>
      </c>
      <c r="AH243" s="598" t="s">
        <v>955</v>
      </c>
      <c r="AI243" s="598"/>
      <c r="AJ243" s="598"/>
      <c r="AK243" s="598"/>
      <c r="AL243" s="626"/>
      <c r="AM243" s="626"/>
    </row>
    <row r="244" spans="3:39" ht="18" customHeight="1">
      <c r="C244" s="598">
        <v>224</v>
      </c>
      <c r="D244" s="598" t="s">
        <v>1836</v>
      </c>
      <c r="E244" s="598">
        <f t="shared" si="2"/>
        <v>210</v>
      </c>
      <c r="F244" s="616" t="s">
        <v>1351</v>
      </c>
      <c r="G244" s="616" t="s">
        <v>4633</v>
      </c>
      <c r="H244" s="618" t="s">
        <v>1202</v>
      </c>
      <c r="I244" s="618" t="s">
        <v>335</v>
      </c>
      <c r="J244" s="618" t="s">
        <v>2087</v>
      </c>
      <c r="K244" s="618" t="s">
        <v>1820</v>
      </c>
      <c r="L244" s="618" t="s">
        <v>1836</v>
      </c>
      <c r="M244" s="619"/>
      <c r="N244" s="620"/>
      <c r="O244" s="620"/>
      <c r="P244" s="663" t="s">
        <v>1074</v>
      </c>
      <c r="Q244" s="621"/>
      <c r="R244" s="598" t="s">
        <v>69</v>
      </c>
      <c r="S244" s="598" t="s">
        <v>1710</v>
      </c>
      <c r="T244" s="598"/>
      <c r="U244" s="598" t="s">
        <v>1705</v>
      </c>
      <c r="V244" s="663" t="s">
        <v>1837</v>
      </c>
      <c r="W244" s="779" t="s">
        <v>1838</v>
      </c>
      <c r="X244" s="598" t="s">
        <v>950</v>
      </c>
      <c r="Y244" s="624">
        <v>39593</v>
      </c>
      <c r="Z244" s="625">
        <f t="shared" ca="1" si="1"/>
        <v>17</v>
      </c>
      <c r="AA244" s="616" t="s">
        <v>1839</v>
      </c>
      <c r="AB244" s="598"/>
      <c r="AC244" s="598" t="s">
        <v>996</v>
      </c>
      <c r="AD244" s="598" t="s">
        <v>953</v>
      </c>
      <c r="AE244" s="616" t="s">
        <v>1494</v>
      </c>
      <c r="AF244" s="616" t="s">
        <v>1494</v>
      </c>
      <c r="AG244" s="616"/>
      <c r="AH244" s="598"/>
      <c r="AI244" s="598"/>
      <c r="AJ244" s="598" t="s">
        <v>1125</v>
      </c>
      <c r="AK244" s="598"/>
      <c r="AL244" s="626"/>
      <c r="AM244" s="626"/>
    </row>
    <row r="245" spans="3:39" ht="18" customHeight="1">
      <c r="C245" s="598">
        <v>225</v>
      </c>
      <c r="D245" s="598" t="s">
        <v>1264</v>
      </c>
      <c r="E245" s="598">
        <f t="shared" si="2"/>
        <v>211</v>
      </c>
      <c r="F245" s="616" t="s">
        <v>4978</v>
      </c>
      <c r="G245" s="616" t="s">
        <v>4633</v>
      </c>
      <c r="H245" s="618" t="s">
        <v>1202</v>
      </c>
      <c r="I245" s="618" t="s">
        <v>335</v>
      </c>
      <c r="J245" s="618" t="s">
        <v>2087</v>
      </c>
      <c r="K245" s="618" t="s">
        <v>1820</v>
      </c>
      <c r="L245" s="618" t="s">
        <v>1836</v>
      </c>
      <c r="M245" s="619"/>
      <c r="N245" s="620"/>
      <c r="O245" s="620"/>
      <c r="P245" s="663" t="s">
        <v>1074</v>
      </c>
      <c r="Q245" s="621"/>
      <c r="R245" s="598"/>
      <c r="S245" s="598"/>
      <c r="T245" s="598"/>
      <c r="U245" s="598" t="s">
        <v>1015</v>
      </c>
      <c r="V245" s="663" t="s">
        <v>1265</v>
      </c>
      <c r="W245" s="779" t="s">
        <v>1266</v>
      </c>
      <c r="X245" s="598" t="s">
        <v>950</v>
      </c>
      <c r="Y245" s="624">
        <v>34308</v>
      </c>
      <c r="Z245" s="625">
        <f t="shared" ca="1" si="1"/>
        <v>32</v>
      </c>
      <c r="AA245" s="616" t="s">
        <v>1267</v>
      </c>
      <c r="AB245" s="598"/>
      <c r="AC245" s="598" t="s">
        <v>996</v>
      </c>
      <c r="AD245" s="598" t="s">
        <v>997</v>
      </c>
      <c r="AE245" s="616" t="s">
        <v>729</v>
      </c>
      <c r="AF245" s="640" t="s">
        <v>729</v>
      </c>
      <c r="AG245" s="616" t="s">
        <v>1269</v>
      </c>
      <c r="AH245" s="598"/>
      <c r="AI245" s="598"/>
      <c r="AJ245" s="598" t="s">
        <v>1125</v>
      </c>
      <c r="AK245" s="598"/>
      <c r="AL245" s="626"/>
      <c r="AM245" s="626"/>
    </row>
    <row r="246" spans="3:39" ht="18" customHeight="1">
      <c r="C246" s="598">
        <v>226</v>
      </c>
      <c r="D246" s="598" t="s">
        <v>1848</v>
      </c>
      <c r="E246" s="598">
        <f t="shared" si="2"/>
        <v>212</v>
      </c>
      <c r="F246" s="616" t="s">
        <v>4978</v>
      </c>
      <c r="G246" s="616" t="s">
        <v>4633</v>
      </c>
      <c r="H246" s="618" t="s">
        <v>1202</v>
      </c>
      <c r="I246" s="618" t="s">
        <v>335</v>
      </c>
      <c r="J246" s="618" t="s">
        <v>2087</v>
      </c>
      <c r="K246" s="618" t="s">
        <v>1820</v>
      </c>
      <c r="L246" s="618" t="s">
        <v>1836</v>
      </c>
      <c r="M246" s="619"/>
      <c r="N246" s="620"/>
      <c r="O246" s="620"/>
      <c r="P246" s="663" t="s">
        <v>1074</v>
      </c>
      <c r="Q246" s="621"/>
      <c r="R246" s="598"/>
      <c r="S246" s="598"/>
      <c r="T246" s="598"/>
      <c r="U246" s="598" t="s">
        <v>992</v>
      </c>
      <c r="V246" s="663" t="s">
        <v>1849</v>
      </c>
      <c r="W246" s="779" t="s">
        <v>1850</v>
      </c>
      <c r="X246" s="598" t="s">
        <v>950</v>
      </c>
      <c r="Y246" s="624">
        <v>36350</v>
      </c>
      <c r="Z246" s="625">
        <f t="shared" ca="1" si="1"/>
        <v>26</v>
      </c>
      <c r="AA246" s="616" t="s">
        <v>1851</v>
      </c>
      <c r="AB246" s="598"/>
      <c r="AC246" s="598" t="s">
        <v>996</v>
      </c>
      <c r="AD246" s="598" t="s">
        <v>997</v>
      </c>
      <c r="AE246" s="616" t="s">
        <v>729</v>
      </c>
      <c r="AF246" s="640" t="s">
        <v>729</v>
      </c>
      <c r="AG246" s="616" t="s">
        <v>1853</v>
      </c>
      <c r="AH246" s="598"/>
      <c r="AI246" s="598"/>
      <c r="AJ246" s="598" t="s">
        <v>1125</v>
      </c>
      <c r="AK246" s="598"/>
      <c r="AL246" s="626"/>
      <c r="AM246" s="626"/>
    </row>
    <row r="247" spans="3:39" ht="18" customHeight="1">
      <c r="C247" s="598">
        <v>227</v>
      </c>
      <c r="D247" s="598" t="s">
        <v>1854</v>
      </c>
      <c r="E247" s="598">
        <f t="shared" si="2"/>
        <v>213</v>
      </c>
      <c r="F247" s="616" t="s">
        <v>4978</v>
      </c>
      <c r="G247" s="616" t="s">
        <v>4633</v>
      </c>
      <c r="H247" s="618" t="s">
        <v>1202</v>
      </c>
      <c r="I247" s="618" t="s">
        <v>335</v>
      </c>
      <c r="J247" s="618" t="s">
        <v>2087</v>
      </c>
      <c r="K247" s="618" t="s">
        <v>1820</v>
      </c>
      <c r="L247" s="618" t="s">
        <v>1836</v>
      </c>
      <c r="M247" s="619"/>
      <c r="N247" s="620"/>
      <c r="O247" s="620"/>
      <c r="P247" s="663" t="s">
        <v>1074</v>
      </c>
      <c r="Q247" s="621"/>
      <c r="R247" s="598"/>
      <c r="S247" s="598"/>
      <c r="T247" s="598"/>
      <c r="U247" s="598" t="s">
        <v>992</v>
      </c>
      <c r="V247" s="663" t="s">
        <v>1855</v>
      </c>
      <c r="W247" s="779" t="s">
        <v>1856</v>
      </c>
      <c r="X247" s="598" t="s">
        <v>963</v>
      </c>
      <c r="Y247" s="624">
        <v>36950</v>
      </c>
      <c r="Z247" s="625">
        <f t="shared" ca="1" si="1"/>
        <v>24</v>
      </c>
      <c r="AA247" s="616" t="s">
        <v>1857</v>
      </c>
      <c r="AB247" s="598"/>
      <c r="AC247" s="598" t="s">
        <v>996</v>
      </c>
      <c r="AD247" s="598" t="s">
        <v>1018</v>
      </c>
      <c r="AE247" s="616" t="s">
        <v>729</v>
      </c>
      <c r="AF247" s="640" t="s">
        <v>729</v>
      </c>
      <c r="AG247" s="616" t="s">
        <v>2413</v>
      </c>
      <c r="AH247" s="598"/>
      <c r="AI247" s="598"/>
      <c r="AJ247" s="598" t="s">
        <v>1125</v>
      </c>
      <c r="AK247" s="598"/>
      <c r="AL247" s="626"/>
      <c r="AM247" s="626"/>
    </row>
    <row r="248" spans="3:39" ht="18" customHeight="1">
      <c r="C248" s="598">
        <v>228</v>
      </c>
      <c r="D248" s="598" t="s">
        <v>1538</v>
      </c>
      <c r="E248" s="598">
        <f t="shared" si="2"/>
        <v>214</v>
      </c>
      <c r="F248" s="616" t="s">
        <v>4978</v>
      </c>
      <c r="G248" s="616" t="s">
        <v>4633</v>
      </c>
      <c r="H248" s="618" t="s">
        <v>1202</v>
      </c>
      <c r="I248" s="618" t="s">
        <v>335</v>
      </c>
      <c r="J248" s="618" t="s">
        <v>2087</v>
      </c>
      <c r="K248" s="618" t="s">
        <v>1820</v>
      </c>
      <c r="L248" s="618" t="s">
        <v>1836</v>
      </c>
      <c r="M248" s="619"/>
      <c r="N248" s="620"/>
      <c r="O248" s="620"/>
      <c r="P248" s="663" t="s">
        <v>1074</v>
      </c>
      <c r="Q248" s="621"/>
      <c r="R248" s="598"/>
      <c r="S248" s="598"/>
      <c r="T248" s="598"/>
      <c r="U248" s="598" t="s">
        <v>992</v>
      </c>
      <c r="V248" s="663" t="s">
        <v>1539</v>
      </c>
      <c r="W248" s="779" t="s">
        <v>1540</v>
      </c>
      <c r="X248" s="598" t="s">
        <v>963</v>
      </c>
      <c r="Y248" s="624">
        <v>37497</v>
      </c>
      <c r="Z248" s="625">
        <f t="shared" ca="1" si="1"/>
        <v>23</v>
      </c>
      <c r="AA248" s="616" t="s">
        <v>1541</v>
      </c>
      <c r="AB248" s="598"/>
      <c r="AC248" s="598" t="s">
        <v>996</v>
      </c>
      <c r="AD248" s="598" t="s">
        <v>1018</v>
      </c>
      <c r="AE248" s="616" t="s">
        <v>729</v>
      </c>
      <c r="AF248" s="616" t="s">
        <v>1239</v>
      </c>
      <c r="AG248" s="616" t="s">
        <v>1543</v>
      </c>
      <c r="AH248" s="598"/>
      <c r="AI248" s="598"/>
      <c r="AJ248" s="598" t="s">
        <v>1125</v>
      </c>
      <c r="AK248" s="598"/>
      <c r="AL248" s="626"/>
      <c r="AM248" s="626"/>
    </row>
    <row r="249" spans="3:39" ht="18" customHeight="1">
      <c r="C249" s="598">
        <v>229</v>
      </c>
      <c r="D249" s="598" t="s">
        <v>1608</v>
      </c>
      <c r="E249" s="598">
        <f t="shared" si="2"/>
        <v>215</v>
      </c>
      <c r="F249" s="616" t="s">
        <v>4978</v>
      </c>
      <c r="G249" s="616" t="s">
        <v>4633</v>
      </c>
      <c r="H249" s="618" t="s">
        <v>1202</v>
      </c>
      <c r="I249" s="618" t="s">
        <v>335</v>
      </c>
      <c r="J249" s="618" t="s">
        <v>2087</v>
      </c>
      <c r="K249" s="618" t="s">
        <v>1820</v>
      </c>
      <c r="L249" s="618" t="s">
        <v>1836</v>
      </c>
      <c r="M249" s="619"/>
      <c r="N249" s="620"/>
      <c r="O249" s="620"/>
      <c r="P249" s="663" t="s">
        <v>1074</v>
      </c>
      <c r="Q249" s="621" t="s">
        <v>319</v>
      </c>
      <c r="R249" s="598"/>
      <c r="S249" s="598"/>
      <c r="T249" s="598"/>
      <c r="U249" s="598" t="s">
        <v>1015</v>
      </c>
      <c r="V249" s="663" t="s">
        <v>401</v>
      </c>
      <c r="W249" s="779" t="s">
        <v>1609</v>
      </c>
      <c r="X249" s="598" t="s">
        <v>950</v>
      </c>
      <c r="Y249" s="624">
        <v>36538</v>
      </c>
      <c r="Z249" s="625">
        <f t="shared" ca="1" si="1"/>
        <v>26</v>
      </c>
      <c r="AA249" s="616" t="s">
        <v>1610</v>
      </c>
      <c r="AB249" s="598"/>
      <c r="AC249" s="598" t="s">
        <v>996</v>
      </c>
      <c r="AD249" s="598" t="s">
        <v>1018</v>
      </c>
      <c r="AE249" s="616" t="s">
        <v>729</v>
      </c>
      <c r="AF249" s="640" t="s">
        <v>729</v>
      </c>
      <c r="AG249" s="616" t="s">
        <v>1323</v>
      </c>
      <c r="AH249" s="598"/>
      <c r="AI249" s="598"/>
      <c r="AJ249" s="700" t="s">
        <v>1612</v>
      </c>
      <c r="AK249" s="598"/>
      <c r="AL249" s="626"/>
      <c r="AM249" s="626"/>
    </row>
    <row r="250" spans="3:39" ht="18" customHeight="1">
      <c r="C250" s="598">
        <v>230</v>
      </c>
      <c r="D250" s="598" t="s">
        <v>2093</v>
      </c>
      <c r="E250" s="598">
        <f t="shared" si="2"/>
        <v>216</v>
      </c>
      <c r="F250" s="616" t="s">
        <v>4978</v>
      </c>
      <c r="G250" s="616" t="s">
        <v>4633</v>
      </c>
      <c r="H250" s="618" t="s">
        <v>1202</v>
      </c>
      <c r="I250" s="618" t="s">
        <v>335</v>
      </c>
      <c r="J250" s="618" t="s">
        <v>2087</v>
      </c>
      <c r="K250" s="618" t="s">
        <v>1820</v>
      </c>
      <c r="L250" s="618" t="s">
        <v>1836</v>
      </c>
      <c r="M250" s="619"/>
      <c r="N250" s="620"/>
      <c r="O250" s="620"/>
      <c r="P250" s="663" t="s">
        <v>1074</v>
      </c>
      <c r="Q250" s="621" t="s">
        <v>319</v>
      </c>
      <c r="R250" s="598"/>
      <c r="S250" s="598"/>
      <c r="T250" s="598"/>
      <c r="U250" s="598" t="s">
        <v>992</v>
      </c>
      <c r="V250" s="663" t="s">
        <v>413</v>
      </c>
      <c r="W250" s="779" t="s">
        <v>2094</v>
      </c>
      <c r="X250" s="598" t="s">
        <v>950</v>
      </c>
      <c r="Y250" s="624">
        <v>38233</v>
      </c>
      <c r="Z250" s="625">
        <f t="shared" ca="1" si="1"/>
        <v>21</v>
      </c>
      <c r="AA250" s="616" t="s">
        <v>2095</v>
      </c>
      <c r="AB250" s="598"/>
      <c r="AC250" s="598" t="s">
        <v>996</v>
      </c>
      <c r="AD250" s="598" t="s">
        <v>1018</v>
      </c>
      <c r="AE250" s="616" t="s">
        <v>729</v>
      </c>
      <c r="AF250" s="640" t="s">
        <v>729</v>
      </c>
      <c r="AG250" s="616" t="s">
        <v>2097</v>
      </c>
      <c r="AH250" s="598"/>
      <c r="AI250" s="598"/>
      <c r="AJ250" s="700" t="s">
        <v>1612</v>
      </c>
      <c r="AK250" s="598"/>
      <c r="AL250" s="626"/>
      <c r="AM250" s="626"/>
    </row>
    <row r="251" spans="3:39" ht="18" customHeight="1">
      <c r="C251" s="598">
        <v>231</v>
      </c>
      <c r="D251" s="598" t="s">
        <v>1613</v>
      </c>
      <c r="E251" s="598">
        <f t="shared" si="2"/>
        <v>217</v>
      </c>
      <c r="F251" s="616" t="s">
        <v>4978</v>
      </c>
      <c r="G251" s="616" t="s">
        <v>4633</v>
      </c>
      <c r="H251" s="618" t="s">
        <v>1202</v>
      </c>
      <c r="I251" s="618" t="s">
        <v>335</v>
      </c>
      <c r="J251" s="618" t="s">
        <v>2087</v>
      </c>
      <c r="K251" s="618" t="s">
        <v>1820</v>
      </c>
      <c r="L251" s="618" t="s">
        <v>1836</v>
      </c>
      <c r="M251" s="619"/>
      <c r="N251" s="620"/>
      <c r="O251" s="620"/>
      <c r="P251" s="663" t="s">
        <v>1074</v>
      </c>
      <c r="Q251" s="621" t="s">
        <v>319</v>
      </c>
      <c r="R251" s="598"/>
      <c r="S251" s="598"/>
      <c r="T251" s="598"/>
      <c r="U251" s="598" t="s">
        <v>992</v>
      </c>
      <c r="V251" s="663" t="s">
        <v>1614</v>
      </c>
      <c r="W251" s="779" t="s">
        <v>1615</v>
      </c>
      <c r="X251" s="598" t="s">
        <v>950</v>
      </c>
      <c r="Y251" s="624">
        <v>36315</v>
      </c>
      <c r="Z251" s="625">
        <f t="shared" ca="1" si="1"/>
        <v>26</v>
      </c>
      <c r="AA251" s="616" t="s">
        <v>1616</v>
      </c>
      <c r="AB251" s="598"/>
      <c r="AC251" s="598" t="s">
        <v>996</v>
      </c>
      <c r="AD251" s="598" t="s">
        <v>1018</v>
      </c>
      <c r="AE251" s="616" t="s">
        <v>729</v>
      </c>
      <c r="AF251" s="616" t="s">
        <v>729</v>
      </c>
      <c r="AG251" s="616" t="s">
        <v>1323</v>
      </c>
      <c r="AH251" s="598"/>
      <c r="AI251" s="598"/>
      <c r="AJ251" s="647" t="s">
        <v>1513</v>
      </c>
      <c r="AK251" s="598"/>
      <c r="AL251" s="626"/>
      <c r="AM251" s="626"/>
    </row>
    <row r="252" spans="3:39" ht="18" customHeight="1">
      <c r="C252" s="598">
        <v>232</v>
      </c>
      <c r="D252" s="598" t="s">
        <v>2311</v>
      </c>
      <c r="E252" s="598">
        <f t="shared" si="2"/>
        <v>218</v>
      </c>
      <c r="F252" s="616" t="s">
        <v>4978</v>
      </c>
      <c r="G252" s="616" t="s">
        <v>4633</v>
      </c>
      <c r="H252" s="618" t="s">
        <v>1202</v>
      </c>
      <c r="I252" s="618" t="s">
        <v>335</v>
      </c>
      <c r="J252" s="618" t="s">
        <v>2087</v>
      </c>
      <c r="K252" s="618" t="s">
        <v>1820</v>
      </c>
      <c r="L252" s="618" t="s">
        <v>1836</v>
      </c>
      <c r="M252" s="619"/>
      <c r="N252" s="620"/>
      <c r="O252" s="620"/>
      <c r="P252" s="663" t="s">
        <v>1074</v>
      </c>
      <c r="Q252" s="621" t="s">
        <v>319</v>
      </c>
      <c r="R252" s="598"/>
      <c r="S252" s="598"/>
      <c r="T252" s="598"/>
      <c r="U252" s="598" t="s">
        <v>992</v>
      </c>
      <c r="V252" s="663" t="s">
        <v>431</v>
      </c>
      <c r="W252" s="779" t="s">
        <v>2312</v>
      </c>
      <c r="X252" s="598" t="s">
        <v>950</v>
      </c>
      <c r="Y252" s="624">
        <v>36581</v>
      </c>
      <c r="Z252" s="625">
        <f t="shared" ca="1" si="1"/>
        <v>25</v>
      </c>
      <c r="AA252" s="616" t="s">
        <v>2313</v>
      </c>
      <c r="AB252" s="598"/>
      <c r="AC252" s="598" t="s">
        <v>996</v>
      </c>
      <c r="AD252" s="598" t="s">
        <v>1018</v>
      </c>
      <c r="AE252" s="616" t="s">
        <v>729</v>
      </c>
      <c r="AF252" s="616" t="s">
        <v>729</v>
      </c>
      <c r="AG252" s="616" t="s">
        <v>2185</v>
      </c>
      <c r="AH252" s="598"/>
      <c r="AI252" s="598"/>
      <c r="AJ252" s="647" t="s">
        <v>1513</v>
      </c>
      <c r="AK252" s="598"/>
      <c r="AL252" s="626"/>
      <c r="AM252" s="626"/>
    </row>
    <row r="253" spans="3:39" ht="18" customHeight="1">
      <c r="C253" s="598">
        <v>233</v>
      </c>
      <c r="D253" s="598" t="s">
        <v>4634</v>
      </c>
      <c r="E253" s="598">
        <f t="shared" si="2"/>
        <v>219</v>
      </c>
      <c r="F253" s="616" t="s">
        <v>4978</v>
      </c>
      <c r="G253" s="616" t="s">
        <v>4633</v>
      </c>
      <c r="H253" s="618" t="s">
        <v>1202</v>
      </c>
      <c r="I253" s="618" t="s">
        <v>335</v>
      </c>
      <c r="J253" s="618" t="s">
        <v>2087</v>
      </c>
      <c r="K253" s="618" t="s">
        <v>1820</v>
      </c>
      <c r="L253" s="618" t="s">
        <v>1836</v>
      </c>
      <c r="M253" s="619"/>
      <c r="N253" s="620"/>
      <c r="O253" s="620"/>
      <c r="P253" s="663" t="s">
        <v>1074</v>
      </c>
      <c r="Q253" s="621"/>
      <c r="R253" s="598"/>
      <c r="S253" s="598"/>
      <c r="T253" s="598"/>
      <c r="U253" s="598" t="s">
        <v>992</v>
      </c>
      <c r="V253" s="663" t="s">
        <v>440</v>
      </c>
      <c r="W253" s="779" t="s">
        <v>4635</v>
      </c>
      <c r="X253" s="598" t="s">
        <v>950</v>
      </c>
      <c r="Y253" s="624">
        <v>37693</v>
      </c>
      <c r="Z253" s="625">
        <f t="shared" ca="1" si="1"/>
        <v>22</v>
      </c>
      <c r="AA253" s="616" t="s">
        <v>4636</v>
      </c>
      <c r="AB253" s="598"/>
      <c r="AC253" s="598" t="s">
        <v>996</v>
      </c>
      <c r="AD253" s="598" t="s">
        <v>1018</v>
      </c>
      <c r="AE253" s="616" t="s">
        <v>729</v>
      </c>
      <c r="AF253" s="616" t="s">
        <v>1239</v>
      </c>
      <c r="AG253" s="616" t="s">
        <v>1488</v>
      </c>
      <c r="AH253" s="598"/>
      <c r="AI253" s="598" t="s">
        <v>1019</v>
      </c>
      <c r="AJ253" s="598" t="s">
        <v>1125</v>
      </c>
      <c r="AK253" s="598"/>
      <c r="AL253" s="626"/>
      <c r="AM253" s="626"/>
    </row>
    <row r="254" spans="3:39" ht="18" customHeight="1">
      <c r="C254" s="598">
        <v>234</v>
      </c>
      <c r="D254" s="598" t="s">
        <v>4637</v>
      </c>
      <c r="E254" s="598">
        <f t="shared" si="2"/>
        <v>220</v>
      </c>
      <c r="F254" s="616" t="s">
        <v>1351</v>
      </c>
      <c r="G254" s="616" t="s">
        <v>4633</v>
      </c>
      <c r="H254" s="618" t="s">
        <v>1202</v>
      </c>
      <c r="I254" s="618" t="s">
        <v>335</v>
      </c>
      <c r="J254" s="618" t="s">
        <v>2087</v>
      </c>
      <c r="K254" s="618" t="s">
        <v>1820</v>
      </c>
      <c r="L254" s="618" t="s">
        <v>1836</v>
      </c>
      <c r="M254" s="619"/>
      <c r="N254" s="620"/>
      <c r="O254" s="620"/>
      <c r="P254" s="673" t="s">
        <v>1074</v>
      </c>
      <c r="Q254" s="621"/>
      <c r="R254" s="598"/>
      <c r="S254" s="598"/>
      <c r="T254" s="598"/>
      <c r="U254" s="598" t="s">
        <v>1705</v>
      </c>
      <c r="V254" s="673" t="s">
        <v>4638</v>
      </c>
      <c r="W254" s="779" t="s">
        <v>4639</v>
      </c>
      <c r="X254" s="598" t="s">
        <v>950</v>
      </c>
      <c r="Y254" s="624">
        <v>39312</v>
      </c>
      <c r="Z254" s="625">
        <f t="shared" ca="1" si="1"/>
        <v>18</v>
      </c>
      <c r="AA254" s="616" t="s">
        <v>4640</v>
      </c>
      <c r="AB254" s="598"/>
      <c r="AC254" s="598" t="s">
        <v>996</v>
      </c>
      <c r="AD254" s="598" t="s">
        <v>1018</v>
      </c>
      <c r="AE254" s="616" t="s">
        <v>2737</v>
      </c>
      <c r="AF254" s="616" t="s">
        <v>2737</v>
      </c>
      <c r="AG254" s="616"/>
      <c r="AH254" s="598"/>
      <c r="AI254" s="598" t="s">
        <v>4642</v>
      </c>
      <c r="AJ254" s="598" t="s">
        <v>1125</v>
      </c>
      <c r="AK254" s="598" t="s">
        <v>4607</v>
      </c>
      <c r="AL254" s="626"/>
      <c r="AM254" s="626"/>
    </row>
    <row r="255" spans="3:39" ht="18" customHeight="1">
      <c r="C255" s="598">
        <v>235</v>
      </c>
      <c r="D255" s="598" t="s">
        <v>1949</v>
      </c>
      <c r="E255" s="598">
        <f t="shared" si="2"/>
        <v>220</v>
      </c>
      <c r="F255" s="616"/>
      <c r="G255" s="616" t="s">
        <v>4633</v>
      </c>
      <c r="H255" s="618" t="s">
        <v>1202</v>
      </c>
      <c r="I255" s="618" t="s">
        <v>335</v>
      </c>
      <c r="J255" s="618" t="s">
        <v>3047</v>
      </c>
      <c r="K255" s="618" t="s">
        <v>4561</v>
      </c>
      <c r="L255" s="618" t="s">
        <v>1313</v>
      </c>
      <c r="M255" s="619" t="s">
        <v>2134</v>
      </c>
      <c r="N255" s="620"/>
      <c r="O255" s="620"/>
      <c r="P255" s="667" t="s">
        <v>1115</v>
      </c>
      <c r="Q255" s="621"/>
      <c r="R255" s="598" t="s">
        <v>55</v>
      </c>
      <c r="S255" s="598" t="s">
        <v>178</v>
      </c>
      <c r="T255" s="598"/>
      <c r="U255" s="598"/>
      <c r="V255" s="667" t="s">
        <v>336</v>
      </c>
      <c r="W255" s="779" t="s">
        <v>4643</v>
      </c>
      <c r="X255" s="598" t="s">
        <v>950</v>
      </c>
      <c r="Y255" s="624">
        <v>30593</v>
      </c>
      <c r="Z255" s="625">
        <f t="shared" ca="1" si="1"/>
        <v>42</v>
      </c>
      <c r="AA255" s="616" t="s">
        <v>1951</v>
      </c>
      <c r="AB255" s="598"/>
      <c r="AC255" s="598" t="s">
        <v>966</v>
      </c>
      <c r="AD255" s="598" t="s">
        <v>953</v>
      </c>
      <c r="AE255" s="616" t="s">
        <v>729</v>
      </c>
      <c r="AF255" s="616" t="s">
        <v>729</v>
      </c>
      <c r="AG255" s="616"/>
      <c r="AH255" s="598" t="s">
        <v>955</v>
      </c>
      <c r="AI255" s="598"/>
      <c r="AJ255" s="598"/>
      <c r="AK255" s="598"/>
      <c r="AL255" s="626"/>
      <c r="AM255" s="626"/>
    </row>
    <row r="256" spans="3:39" ht="18" customHeight="1">
      <c r="C256" s="598">
        <v>236</v>
      </c>
      <c r="D256" s="598" t="s">
        <v>1950</v>
      </c>
      <c r="E256" s="598">
        <f t="shared" si="2"/>
        <v>221</v>
      </c>
      <c r="F256" s="616" t="s">
        <v>4978</v>
      </c>
      <c r="G256" s="616" t="s">
        <v>4633</v>
      </c>
      <c r="H256" s="618" t="s">
        <v>1202</v>
      </c>
      <c r="I256" s="618" t="s">
        <v>335</v>
      </c>
      <c r="J256" s="618" t="s">
        <v>2087</v>
      </c>
      <c r="K256" s="618" t="s">
        <v>1949</v>
      </c>
      <c r="L256" s="618" t="s">
        <v>1313</v>
      </c>
      <c r="M256" s="619" t="s">
        <v>2134</v>
      </c>
      <c r="N256" s="620"/>
      <c r="O256" s="620"/>
      <c r="P256" s="663" t="s">
        <v>1115</v>
      </c>
      <c r="Q256" s="621" t="s">
        <v>319</v>
      </c>
      <c r="R256" s="598"/>
      <c r="S256" s="598"/>
      <c r="T256" s="598"/>
      <c r="U256" s="598" t="s">
        <v>1015</v>
      </c>
      <c r="V256" s="663" t="s">
        <v>345</v>
      </c>
      <c r="W256" s="779" t="s">
        <v>1954</v>
      </c>
      <c r="X256" s="598" t="s">
        <v>950</v>
      </c>
      <c r="Y256" s="624">
        <v>27988</v>
      </c>
      <c r="Z256" s="625">
        <f t="shared" ca="1" si="1"/>
        <v>49</v>
      </c>
      <c r="AA256" s="616" t="s">
        <v>1955</v>
      </c>
      <c r="AB256" s="598"/>
      <c r="AC256" s="598" t="s">
        <v>996</v>
      </c>
      <c r="AD256" s="598" t="s">
        <v>1018</v>
      </c>
      <c r="AE256" s="616" t="s">
        <v>729</v>
      </c>
      <c r="AF256" s="640" t="s">
        <v>729</v>
      </c>
      <c r="AG256" s="616" t="s">
        <v>1760</v>
      </c>
      <c r="AH256" s="598"/>
      <c r="AI256" s="598"/>
      <c r="AJ256" s="598" t="s">
        <v>1318</v>
      </c>
      <c r="AK256" s="598"/>
      <c r="AL256" s="626"/>
      <c r="AM256" s="626"/>
    </row>
    <row r="257" spans="3:39" ht="18" customHeight="1">
      <c r="C257" s="598">
        <v>237</v>
      </c>
      <c r="D257" s="598" t="s">
        <v>1313</v>
      </c>
      <c r="E257" s="598">
        <f t="shared" si="2"/>
        <v>222</v>
      </c>
      <c r="F257" s="616" t="s">
        <v>4978</v>
      </c>
      <c r="G257" s="616" t="s">
        <v>4633</v>
      </c>
      <c r="H257" s="618" t="s">
        <v>1202</v>
      </c>
      <c r="I257" s="618" t="s">
        <v>335</v>
      </c>
      <c r="J257" s="618" t="s">
        <v>2087</v>
      </c>
      <c r="K257" s="618" t="s">
        <v>1949</v>
      </c>
      <c r="L257" s="618" t="s">
        <v>1313</v>
      </c>
      <c r="M257" s="619" t="s">
        <v>2134</v>
      </c>
      <c r="N257" s="620"/>
      <c r="O257" s="620"/>
      <c r="P257" s="663" t="s">
        <v>1115</v>
      </c>
      <c r="Q257" s="621" t="s">
        <v>319</v>
      </c>
      <c r="R257" s="598" t="s">
        <v>69</v>
      </c>
      <c r="S257" s="598" t="s">
        <v>69</v>
      </c>
      <c r="T257" s="598"/>
      <c r="U257" s="598" t="s">
        <v>1015</v>
      </c>
      <c r="V257" s="663" t="s">
        <v>360</v>
      </c>
      <c r="W257" s="779" t="s">
        <v>1314</v>
      </c>
      <c r="X257" s="598" t="s">
        <v>950</v>
      </c>
      <c r="Y257" s="624">
        <v>30325</v>
      </c>
      <c r="Z257" s="625">
        <f t="shared" ca="1" si="1"/>
        <v>43</v>
      </c>
      <c r="AA257" s="616" t="s">
        <v>1315</v>
      </c>
      <c r="AB257" s="598"/>
      <c r="AC257" s="598" t="s">
        <v>996</v>
      </c>
      <c r="AD257" s="598" t="s">
        <v>1018</v>
      </c>
      <c r="AE257" s="616" t="s">
        <v>729</v>
      </c>
      <c r="AF257" s="640" t="s">
        <v>729</v>
      </c>
      <c r="AG257" s="616" t="s">
        <v>1317</v>
      </c>
      <c r="AH257" s="598"/>
      <c r="AI257" s="598"/>
      <c r="AJ257" s="598" t="s">
        <v>1318</v>
      </c>
      <c r="AK257" s="598"/>
      <c r="AL257" s="626"/>
      <c r="AM257" s="626"/>
    </row>
    <row r="258" spans="3:39" ht="18" customHeight="1">
      <c r="C258" s="598">
        <v>238</v>
      </c>
      <c r="D258" s="598" t="s">
        <v>2459</v>
      </c>
      <c r="E258" s="598">
        <f t="shared" si="2"/>
        <v>223</v>
      </c>
      <c r="F258" s="616" t="s">
        <v>4978</v>
      </c>
      <c r="G258" s="616" t="s">
        <v>4633</v>
      </c>
      <c r="H258" s="618" t="s">
        <v>1202</v>
      </c>
      <c r="I258" s="618" t="s">
        <v>335</v>
      </c>
      <c r="J258" s="618" t="s">
        <v>2087</v>
      </c>
      <c r="K258" s="618" t="s">
        <v>1949</v>
      </c>
      <c r="L258" s="618" t="s">
        <v>1313</v>
      </c>
      <c r="M258" s="619" t="s">
        <v>2134</v>
      </c>
      <c r="N258" s="620"/>
      <c r="O258" s="620"/>
      <c r="P258" s="663" t="s">
        <v>1115</v>
      </c>
      <c r="Q258" s="621" t="s">
        <v>319</v>
      </c>
      <c r="R258" s="598"/>
      <c r="S258" s="598"/>
      <c r="T258" s="598"/>
      <c r="U258" s="598" t="s">
        <v>1015</v>
      </c>
      <c r="V258" s="663" t="s">
        <v>388</v>
      </c>
      <c r="W258" s="779" t="s">
        <v>2460</v>
      </c>
      <c r="X258" s="598" t="s">
        <v>950</v>
      </c>
      <c r="Y258" s="624">
        <v>30447</v>
      </c>
      <c r="Z258" s="625">
        <f t="shared" ca="1" si="1"/>
        <v>42</v>
      </c>
      <c r="AA258" s="616" t="s">
        <v>2461</v>
      </c>
      <c r="AB258" s="598"/>
      <c r="AC258" s="598" t="s">
        <v>996</v>
      </c>
      <c r="AD258" s="598" t="s">
        <v>1018</v>
      </c>
      <c r="AE258" s="616" t="s">
        <v>729</v>
      </c>
      <c r="AF258" s="640" t="s">
        <v>729</v>
      </c>
      <c r="AG258" s="616" t="s">
        <v>2463</v>
      </c>
      <c r="AH258" s="598"/>
      <c r="AI258" s="598"/>
      <c r="AJ258" s="598" t="s">
        <v>1318</v>
      </c>
      <c r="AK258" s="598"/>
      <c r="AL258" s="626"/>
      <c r="AM258" s="626"/>
    </row>
    <row r="259" spans="3:39" ht="18" customHeight="1">
      <c r="C259" s="598">
        <v>239</v>
      </c>
      <c r="D259" s="598" t="s">
        <v>2134</v>
      </c>
      <c r="E259" s="598">
        <f t="shared" si="2"/>
        <v>224</v>
      </c>
      <c r="F259" s="616" t="s">
        <v>4978</v>
      </c>
      <c r="G259" s="616" t="s">
        <v>4633</v>
      </c>
      <c r="H259" s="618" t="s">
        <v>1202</v>
      </c>
      <c r="I259" s="618" t="s">
        <v>335</v>
      </c>
      <c r="J259" s="618" t="s">
        <v>2087</v>
      </c>
      <c r="K259" s="618" t="s">
        <v>1949</v>
      </c>
      <c r="L259" s="618" t="s">
        <v>1313</v>
      </c>
      <c r="M259" s="619" t="s">
        <v>2134</v>
      </c>
      <c r="N259" s="620"/>
      <c r="O259" s="620"/>
      <c r="P259" s="663" t="s">
        <v>1115</v>
      </c>
      <c r="Q259" s="621" t="s">
        <v>319</v>
      </c>
      <c r="R259" s="598"/>
      <c r="S259" s="598"/>
      <c r="T259" s="598" t="s">
        <v>5015</v>
      </c>
      <c r="U259" s="598" t="s">
        <v>1015</v>
      </c>
      <c r="V259" s="663" t="s">
        <v>346</v>
      </c>
      <c r="W259" s="779" t="s">
        <v>2136</v>
      </c>
      <c r="X259" s="598" t="s">
        <v>950</v>
      </c>
      <c r="Y259" s="624">
        <v>30826</v>
      </c>
      <c r="Z259" s="625">
        <f t="shared" ca="1" si="1"/>
        <v>41</v>
      </c>
      <c r="AA259" s="616" t="s">
        <v>2137</v>
      </c>
      <c r="AB259" s="598"/>
      <c r="AC259" s="598" t="s">
        <v>996</v>
      </c>
      <c r="AD259" s="598" t="s">
        <v>1018</v>
      </c>
      <c r="AE259" s="616" t="s">
        <v>729</v>
      </c>
      <c r="AF259" s="640" t="s">
        <v>729</v>
      </c>
      <c r="AG259" s="640" t="s">
        <v>1252</v>
      </c>
      <c r="AH259" s="598"/>
      <c r="AI259" s="598"/>
      <c r="AJ259" s="598" t="s">
        <v>1318</v>
      </c>
      <c r="AK259" s="598"/>
      <c r="AL259" s="626"/>
      <c r="AM259" s="626"/>
    </row>
    <row r="260" spans="3:39" ht="18" customHeight="1">
      <c r="C260" s="598">
        <v>240</v>
      </c>
      <c r="D260" s="598" t="s">
        <v>2135</v>
      </c>
      <c r="E260" s="598">
        <f t="shared" si="2"/>
        <v>225</v>
      </c>
      <c r="F260" s="616" t="s">
        <v>4978</v>
      </c>
      <c r="G260" s="616" t="s">
        <v>4633</v>
      </c>
      <c r="H260" s="618" t="s">
        <v>1202</v>
      </c>
      <c r="I260" s="618" t="s">
        <v>335</v>
      </c>
      <c r="J260" s="618" t="s">
        <v>2087</v>
      </c>
      <c r="K260" s="618" t="s">
        <v>1949</v>
      </c>
      <c r="L260" s="618" t="s">
        <v>1313</v>
      </c>
      <c r="M260" s="619" t="s">
        <v>2134</v>
      </c>
      <c r="N260" s="620"/>
      <c r="O260" s="620"/>
      <c r="P260" s="663" t="s">
        <v>1115</v>
      </c>
      <c r="Q260" s="621" t="s">
        <v>319</v>
      </c>
      <c r="R260" s="598"/>
      <c r="S260" s="598"/>
      <c r="T260" s="598"/>
      <c r="U260" s="598" t="s">
        <v>1015</v>
      </c>
      <c r="V260" s="663" t="s">
        <v>402</v>
      </c>
      <c r="W260" s="779" t="s">
        <v>2341</v>
      </c>
      <c r="X260" s="598" t="s">
        <v>950</v>
      </c>
      <c r="Y260" s="624">
        <v>31415</v>
      </c>
      <c r="Z260" s="625">
        <f t="shared" ca="1" si="1"/>
        <v>40</v>
      </c>
      <c r="AA260" s="616" t="s">
        <v>2342</v>
      </c>
      <c r="AB260" s="598"/>
      <c r="AC260" s="598" t="s">
        <v>996</v>
      </c>
      <c r="AD260" s="598" t="s">
        <v>1018</v>
      </c>
      <c r="AE260" s="616" t="s">
        <v>729</v>
      </c>
      <c r="AF260" s="640" t="s">
        <v>729</v>
      </c>
      <c r="AG260" s="616" t="s">
        <v>2118</v>
      </c>
      <c r="AH260" s="598"/>
      <c r="AI260" s="598"/>
      <c r="AJ260" s="700" t="s">
        <v>1612</v>
      </c>
      <c r="AK260" s="598"/>
      <c r="AL260" s="626"/>
      <c r="AM260" s="626"/>
    </row>
    <row r="261" spans="3:39" ht="18" customHeight="1">
      <c r="C261" s="598">
        <v>241</v>
      </c>
      <c r="D261" s="598" t="s">
        <v>1441</v>
      </c>
      <c r="E261" s="598">
        <f t="shared" si="2"/>
        <v>226</v>
      </c>
      <c r="F261" s="616" t="s">
        <v>1233</v>
      </c>
      <c r="G261" s="616" t="s">
        <v>4633</v>
      </c>
      <c r="H261" s="618" t="s">
        <v>1202</v>
      </c>
      <c r="I261" s="618" t="s">
        <v>335</v>
      </c>
      <c r="J261" s="618" t="s">
        <v>2087</v>
      </c>
      <c r="K261" s="618" t="s">
        <v>1949</v>
      </c>
      <c r="L261" s="618" t="s">
        <v>1313</v>
      </c>
      <c r="M261" s="619" t="s">
        <v>2134</v>
      </c>
      <c r="N261" s="620"/>
      <c r="O261" s="620"/>
      <c r="P261" s="673" t="s">
        <v>1115</v>
      </c>
      <c r="Q261" s="621" t="s">
        <v>319</v>
      </c>
      <c r="R261" s="598"/>
      <c r="S261" s="598"/>
      <c r="T261" s="598"/>
      <c r="U261" s="598" t="s">
        <v>992</v>
      </c>
      <c r="V261" s="673" t="s">
        <v>374</v>
      </c>
      <c r="W261" s="779" t="s">
        <v>1442</v>
      </c>
      <c r="X261" s="598" t="s">
        <v>950</v>
      </c>
      <c r="Y261" s="624">
        <v>33178</v>
      </c>
      <c r="Z261" s="625">
        <f t="shared" ca="1" si="1"/>
        <v>35</v>
      </c>
      <c r="AA261" s="616" t="s">
        <v>1443</v>
      </c>
      <c r="AB261" s="598"/>
      <c r="AC261" s="598" t="s">
        <v>996</v>
      </c>
      <c r="AD261" s="598" t="s">
        <v>1018</v>
      </c>
      <c r="AE261" s="616" t="s">
        <v>729</v>
      </c>
      <c r="AF261" s="616" t="s">
        <v>729</v>
      </c>
      <c r="AG261" s="616" t="s">
        <v>1323</v>
      </c>
      <c r="AH261" s="598"/>
      <c r="AI261" s="598"/>
      <c r="AJ261" s="700" t="s">
        <v>1446</v>
      </c>
      <c r="AK261" s="598"/>
      <c r="AL261" s="626"/>
      <c r="AM261" s="626"/>
    </row>
    <row r="262" spans="3:39" ht="18" customHeight="1">
      <c r="C262" s="598">
        <v>242</v>
      </c>
      <c r="D262" s="598" t="s">
        <v>4138</v>
      </c>
      <c r="E262" s="598">
        <f t="shared" si="2"/>
        <v>227</v>
      </c>
      <c r="F262" s="616" t="s">
        <v>1351</v>
      </c>
      <c r="G262" s="616" t="s">
        <v>4633</v>
      </c>
      <c r="H262" s="618" t="s">
        <v>1202</v>
      </c>
      <c r="I262" s="618" t="s">
        <v>335</v>
      </c>
      <c r="J262" s="618" t="s">
        <v>2087</v>
      </c>
      <c r="K262" s="618" t="s">
        <v>4138</v>
      </c>
      <c r="L262" s="619" t="s">
        <v>2134</v>
      </c>
      <c r="M262" s="619"/>
      <c r="N262" s="620" t="s">
        <v>3106</v>
      </c>
      <c r="O262" s="620"/>
      <c r="P262" s="667" t="s">
        <v>325</v>
      </c>
      <c r="Q262" s="621"/>
      <c r="R262" s="598" t="s">
        <v>55</v>
      </c>
      <c r="S262" s="598" t="s">
        <v>178</v>
      </c>
      <c r="T262" s="598"/>
      <c r="U262" s="598" t="s">
        <v>1705</v>
      </c>
      <c r="V262" s="667" t="s">
        <v>337</v>
      </c>
      <c r="W262" s="779" t="s">
        <v>4141</v>
      </c>
      <c r="X262" s="598" t="s">
        <v>950</v>
      </c>
      <c r="Y262" s="624">
        <v>39305</v>
      </c>
      <c r="Z262" s="625">
        <f t="shared" ca="1" si="1"/>
        <v>18</v>
      </c>
      <c r="AA262" s="616" t="s">
        <v>4142</v>
      </c>
      <c r="AB262" s="598" t="s">
        <v>4143</v>
      </c>
      <c r="AC262" s="598" t="s">
        <v>996</v>
      </c>
      <c r="AD262" s="598" t="s">
        <v>953</v>
      </c>
      <c r="AE262" s="616" t="s">
        <v>246</v>
      </c>
      <c r="AF262" s="616" t="s">
        <v>246</v>
      </c>
      <c r="AG262" s="616" t="s">
        <v>3815</v>
      </c>
      <c r="AH262" s="598"/>
      <c r="AI262" s="598"/>
      <c r="AJ262" s="598" t="s">
        <v>1440</v>
      </c>
      <c r="AK262" s="598"/>
      <c r="AL262" s="626"/>
      <c r="AM262" s="626"/>
    </row>
    <row r="263" spans="3:39" ht="18" customHeight="1">
      <c r="C263" s="598">
        <v>244</v>
      </c>
      <c r="D263" s="598" t="s">
        <v>3100</v>
      </c>
      <c r="E263" s="598">
        <f t="shared" si="2"/>
        <v>228</v>
      </c>
      <c r="F263" s="616" t="s">
        <v>1351</v>
      </c>
      <c r="G263" s="616" t="s">
        <v>4633</v>
      </c>
      <c r="H263" s="618" t="s">
        <v>1202</v>
      </c>
      <c r="I263" s="618" t="s">
        <v>335</v>
      </c>
      <c r="J263" s="618" t="s">
        <v>2087</v>
      </c>
      <c r="K263" s="618" t="s">
        <v>4138</v>
      </c>
      <c r="L263" s="619" t="s">
        <v>3100</v>
      </c>
      <c r="M263" s="619"/>
      <c r="N263" s="620" t="s">
        <v>3106</v>
      </c>
      <c r="O263" s="620"/>
      <c r="P263" s="663" t="s">
        <v>325</v>
      </c>
      <c r="Q263" s="621" t="s">
        <v>319</v>
      </c>
      <c r="R263" s="598" t="s">
        <v>69</v>
      </c>
      <c r="S263" s="598" t="s">
        <v>1710</v>
      </c>
      <c r="T263" s="598"/>
      <c r="U263" s="598" t="s">
        <v>1705</v>
      </c>
      <c r="V263" s="663" t="s">
        <v>362</v>
      </c>
      <c r="W263" s="779" t="s">
        <v>3102</v>
      </c>
      <c r="X263" s="598" t="s">
        <v>950</v>
      </c>
      <c r="Y263" s="624">
        <v>39342</v>
      </c>
      <c r="Z263" s="625">
        <f t="shared" ca="1" si="1"/>
        <v>18</v>
      </c>
      <c r="AA263" s="616" t="s">
        <v>3103</v>
      </c>
      <c r="AB263" s="598"/>
      <c r="AC263" s="598" t="s">
        <v>996</v>
      </c>
      <c r="AD263" s="598" t="s">
        <v>1018</v>
      </c>
      <c r="AE263" s="616" t="s">
        <v>1041</v>
      </c>
      <c r="AF263" s="616" t="s">
        <v>1041</v>
      </c>
      <c r="AG263" s="616" t="s">
        <v>3105</v>
      </c>
      <c r="AH263" s="598"/>
      <c r="AI263" s="598"/>
      <c r="AJ263" s="598" t="s">
        <v>1107</v>
      </c>
      <c r="AK263" s="598"/>
      <c r="AL263" s="626"/>
      <c r="AM263" s="626"/>
    </row>
    <row r="264" spans="3:39" ht="18" customHeight="1">
      <c r="C264" s="598">
        <v>243</v>
      </c>
      <c r="D264" s="598" t="s">
        <v>3692</v>
      </c>
      <c r="E264" s="598">
        <f t="shared" si="2"/>
        <v>229</v>
      </c>
      <c r="F264" s="616" t="s">
        <v>1810</v>
      </c>
      <c r="G264" s="616" t="s">
        <v>4633</v>
      </c>
      <c r="H264" s="618" t="s">
        <v>1202</v>
      </c>
      <c r="I264" s="618" t="s">
        <v>335</v>
      </c>
      <c r="J264" s="618" t="s">
        <v>2087</v>
      </c>
      <c r="K264" s="618" t="s">
        <v>4138</v>
      </c>
      <c r="L264" s="619" t="s">
        <v>3100</v>
      </c>
      <c r="M264" s="619"/>
      <c r="N264" s="620" t="s">
        <v>3106</v>
      </c>
      <c r="O264" s="620"/>
      <c r="P264" s="663" t="s">
        <v>325</v>
      </c>
      <c r="Q264" s="621"/>
      <c r="R264" s="598"/>
      <c r="S264" s="598"/>
      <c r="T264" s="598"/>
      <c r="U264" s="598" t="s">
        <v>992</v>
      </c>
      <c r="V264" s="663" t="s">
        <v>347</v>
      </c>
      <c r="W264" s="779" t="s">
        <v>3693</v>
      </c>
      <c r="X264" s="598" t="s">
        <v>963</v>
      </c>
      <c r="Y264" s="624">
        <v>38566</v>
      </c>
      <c r="Z264" s="625">
        <f t="shared" ca="1" si="1"/>
        <v>20</v>
      </c>
      <c r="AA264" s="654" t="s">
        <v>3694</v>
      </c>
      <c r="AB264" s="598"/>
      <c r="AC264" s="598" t="s">
        <v>996</v>
      </c>
      <c r="AD264" s="598" t="s">
        <v>1018</v>
      </c>
      <c r="AE264" s="616" t="s">
        <v>1078</v>
      </c>
      <c r="AF264" s="616" t="s">
        <v>1078</v>
      </c>
      <c r="AG264" s="616"/>
      <c r="AH264" s="598"/>
      <c r="AI264" s="598"/>
      <c r="AJ264" s="598" t="s">
        <v>1349</v>
      </c>
      <c r="AK264" s="598" t="s">
        <v>3510</v>
      </c>
      <c r="AL264" s="626"/>
      <c r="AM264" s="626"/>
    </row>
    <row r="265" spans="3:39" ht="18" customHeight="1">
      <c r="C265" s="598">
        <v>245</v>
      </c>
      <c r="D265" s="598" t="s">
        <v>4645</v>
      </c>
      <c r="E265" s="598">
        <f t="shared" si="2"/>
        <v>230</v>
      </c>
      <c r="F265" s="616" t="s">
        <v>1810</v>
      </c>
      <c r="G265" s="616" t="s">
        <v>4633</v>
      </c>
      <c r="H265" s="618" t="s">
        <v>1202</v>
      </c>
      <c r="I265" s="618" t="s">
        <v>335</v>
      </c>
      <c r="J265" s="618" t="s">
        <v>2087</v>
      </c>
      <c r="K265" s="618" t="s">
        <v>4138</v>
      </c>
      <c r="L265" s="619" t="s">
        <v>3100</v>
      </c>
      <c r="M265" s="619"/>
      <c r="N265" s="620" t="s">
        <v>3106</v>
      </c>
      <c r="O265" s="620"/>
      <c r="P265" s="663" t="s">
        <v>325</v>
      </c>
      <c r="Q265" s="621"/>
      <c r="R265" s="598"/>
      <c r="S265" s="598"/>
      <c r="T265" s="598"/>
      <c r="U265" s="598" t="s">
        <v>1705</v>
      </c>
      <c r="V265" s="663" t="s">
        <v>376</v>
      </c>
      <c r="W265" s="779" t="s">
        <v>4646</v>
      </c>
      <c r="X265" s="598" t="s">
        <v>950</v>
      </c>
      <c r="Y265" s="624" t="s">
        <v>4647</v>
      </c>
      <c r="Z265" s="625">
        <f t="shared" ca="1" si="1"/>
        <v>17</v>
      </c>
      <c r="AA265" s="616" t="s">
        <v>4648</v>
      </c>
      <c r="AB265" s="598"/>
      <c r="AC265" s="598" t="s">
        <v>996</v>
      </c>
      <c r="AD265" s="598" t="s">
        <v>953</v>
      </c>
      <c r="AE265" s="616" t="s">
        <v>1078</v>
      </c>
      <c r="AF265" s="616" t="s">
        <v>1078</v>
      </c>
      <c r="AG265" s="616" t="s">
        <v>4649</v>
      </c>
      <c r="AH265" s="598"/>
      <c r="AI265" s="598"/>
      <c r="AJ265" s="598" t="s">
        <v>1114</v>
      </c>
      <c r="AK265" s="598" t="s">
        <v>3510</v>
      </c>
      <c r="AL265" s="626"/>
      <c r="AM265" s="626"/>
    </row>
    <row r="266" spans="3:39" ht="18" customHeight="1">
      <c r="C266" s="598">
        <v>246</v>
      </c>
      <c r="D266" s="598" t="s">
        <v>3068</v>
      </c>
      <c r="E266" s="598">
        <f t="shared" si="2"/>
        <v>231</v>
      </c>
      <c r="F266" s="616" t="s">
        <v>1351</v>
      </c>
      <c r="G266" s="616" t="s">
        <v>4633</v>
      </c>
      <c r="H266" s="618" t="s">
        <v>1202</v>
      </c>
      <c r="I266" s="618" t="s">
        <v>335</v>
      </c>
      <c r="J266" s="618" t="s">
        <v>2087</v>
      </c>
      <c r="K266" s="618" t="s">
        <v>4138</v>
      </c>
      <c r="L266" s="619" t="s">
        <v>3100</v>
      </c>
      <c r="M266" s="619"/>
      <c r="N266" s="620" t="s">
        <v>3106</v>
      </c>
      <c r="O266" s="620"/>
      <c r="P266" s="663" t="s">
        <v>325</v>
      </c>
      <c r="Q266" s="621"/>
      <c r="R266" s="598"/>
      <c r="S266" s="598"/>
      <c r="T266" s="598"/>
      <c r="U266" s="598" t="s">
        <v>992</v>
      </c>
      <c r="V266" s="663" t="s">
        <v>389</v>
      </c>
      <c r="W266" s="779" t="s">
        <v>3069</v>
      </c>
      <c r="X266" s="598" t="s">
        <v>963</v>
      </c>
      <c r="Y266" s="624">
        <v>38811</v>
      </c>
      <c r="Z266" s="625">
        <f t="shared" ca="1" si="1"/>
        <v>19</v>
      </c>
      <c r="AA266" s="616" t="s">
        <v>3070</v>
      </c>
      <c r="AB266" s="598"/>
      <c r="AC266" s="598" t="s">
        <v>996</v>
      </c>
      <c r="AD266" s="598" t="s">
        <v>953</v>
      </c>
      <c r="AE266" s="616" t="s">
        <v>1041</v>
      </c>
      <c r="AF266" s="616" t="s">
        <v>1041</v>
      </c>
      <c r="AG266" s="616"/>
      <c r="AH266" s="598" t="s">
        <v>1775</v>
      </c>
      <c r="AI266" s="598" t="s">
        <v>5053</v>
      </c>
      <c r="AJ266" s="598" t="s">
        <v>1025</v>
      </c>
      <c r="AK266" s="598"/>
      <c r="AL266" s="626"/>
      <c r="AM266" s="626"/>
    </row>
    <row r="267" spans="3:39" ht="18" customHeight="1">
      <c r="C267" s="598">
        <v>247</v>
      </c>
      <c r="D267" s="598" t="s">
        <v>2612</v>
      </c>
      <c r="E267" s="598">
        <f t="shared" si="2"/>
        <v>232</v>
      </c>
      <c r="F267" s="616" t="s">
        <v>1351</v>
      </c>
      <c r="G267" s="616" t="s">
        <v>4633</v>
      </c>
      <c r="H267" s="618" t="s">
        <v>1202</v>
      </c>
      <c r="I267" s="618" t="s">
        <v>335</v>
      </c>
      <c r="J267" s="618" t="s">
        <v>2087</v>
      </c>
      <c r="K267" s="618" t="s">
        <v>4138</v>
      </c>
      <c r="L267" s="619" t="s">
        <v>3100</v>
      </c>
      <c r="M267" s="619"/>
      <c r="N267" s="620" t="s">
        <v>3106</v>
      </c>
      <c r="O267" s="620"/>
      <c r="P267" s="663" t="s">
        <v>325</v>
      </c>
      <c r="Q267" s="621"/>
      <c r="R267" s="598"/>
      <c r="S267" s="598"/>
      <c r="T267" s="598"/>
      <c r="U267" s="598" t="s">
        <v>1705</v>
      </c>
      <c r="V267" s="663" t="s">
        <v>403</v>
      </c>
      <c r="W267" s="779" t="s">
        <v>2613</v>
      </c>
      <c r="X267" s="598" t="s">
        <v>963</v>
      </c>
      <c r="Y267" s="624">
        <v>39236</v>
      </c>
      <c r="Z267" s="625">
        <f t="shared" ca="1" si="1"/>
        <v>18</v>
      </c>
      <c r="AA267" s="616" t="s">
        <v>2614</v>
      </c>
      <c r="AB267" s="598"/>
      <c r="AC267" s="598" t="s">
        <v>996</v>
      </c>
      <c r="AD267" s="598" t="s">
        <v>953</v>
      </c>
      <c r="AE267" s="616" t="s">
        <v>729</v>
      </c>
      <c r="AF267" s="616" t="s">
        <v>729</v>
      </c>
      <c r="AG267" s="616"/>
      <c r="AH267" s="598"/>
      <c r="AI267" s="598"/>
      <c r="AJ267" s="598" t="s">
        <v>1025</v>
      </c>
      <c r="AK267" s="598"/>
      <c r="AL267" s="626"/>
      <c r="AM267" s="626"/>
    </row>
    <row r="268" spans="3:39" ht="18" customHeight="1">
      <c r="C268" s="598">
        <v>248</v>
      </c>
      <c r="D268" s="598" t="s">
        <v>3037</v>
      </c>
      <c r="E268" s="598">
        <f t="shared" si="2"/>
        <v>233</v>
      </c>
      <c r="F268" s="616" t="s">
        <v>1351</v>
      </c>
      <c r="G268" s="616" t="s">
        <v>4633</v>
      </c>
      <c r="H268" s="618" t="s">
        <v>1202</v>
      </c>
      <c r="I268" s="618" t="s">
        <v>335</v>
      </c>
      <c r="J268" s="618" t="s">
        <v>2087</v>
      </c>
      <c r="K268" s="618" t="s">
        <v>4138</v>
      </c>
      <c r="L268" s="619" t="s">
        <v>3100</v>
      </c>
      <c r="M268" s="619"/>
      <c r="N268" s="620" t="s">
        <v>3106</v>
      </c>
      <c r="O268" s="620"/>
      <c r="P268" s="663" t="s">
        <v>325</v>
      </c>
      <c r="Q268" s="621" t="s">
        <v>319</v>
      </c>
      <c r="R268" s="598" t="s">
        <v>69</v>
      </c>
      <c r="S268" s="598" t="s">
        <v>1710</v>
      </c>
      <c r="T268" s="598"/>
      <c r="U268" s="598" t="s">
        <v>1705</v>
      </c>
      <c r="V268" s="663" t="s">
        <v>414</v>
      </c>
      <c r="W268" s="779" t="s">
        <v>3038</v>
      </c>
      <c r="X268" s="598" t="s">
        <v>963</v>
      </c>
      <c r="Y268" s="624">
        <v>39486</v>
      </c>
      <c r="Z268" s="625">
        <f t="shared" ca="1" si="1"/>
        <v>17</v>
      </c>
      <c r="AA268" s="616" t="s">
        <v>3039</v>
      </c>
      <c r="AB268" s="598"/>
      <c r="AC268" s="598" t="s">
        <v>996</v>
      </c>
      <c r="AD268" s="598" t="s">
        <v>1018</v>
      </c>
      <c r="AE268" s="616" t="s">
        <v>1041</v>
      </c>
      <c r="AF268" s="616" t="s">
        <v>3041</v>
      </c>
      <c r="AG268" s="616" t="s">
        <v>3042</v>
      </c>
      <c r="AH268" s="598"/>
      <c r="AI268" s="598"/>
      <c r="AJ268" s="598" t="s">
        <v>1107</v>
      </c>
      <c r="AK268" s="598"/>
      <c r="AL268" s="626"/>
      <c r="AM268" s="626"/>
    </row>
    <row r="269" spans="3:39" ht="18" customHeight="1">
      <c r="C269" s="598">
        <v>249</v>
      </c>
      <c r="D269" s="598" t="s">
        <v>3106</v>
      </c>
      <c r="E269" s="598">
        <f t="shared" si="2"/>
        <v>234</v>
      </c>
      <c r="F269" s="616" t="s">
        <v>1351</v>
      </c>
      <c r="G269" s="616" t="s">
        <v>4633</v>
      </c>
      <c r="H269" s="618" t="s">
        <v>1202</v>
      </c>
      <c r="I269" s="618" t="s">
        <v>335</v>
      </c>
      <c r="J269" s="618" t="s">
        <v>2087</v>
      </c>
      <c r="K269" s="618" t="s">
        <v>4138</v>
      </c>
      <c r="L269" s="619" t="s">
        <v>3100</v>
      </c>
      <c r="M269" s="619"/>
      <c r="N269" s="620" t="s">
        <v>3106</v>
      </c>
      <c r="O269" s="620"/>
      <c r="P269" s="663" t="s">
        <v>325</v>
      </c>
      <c r="Q269" s="621" t="s">
        <v>319</v>
      </c>
      <c r="R269" s="598"/>
      <c r="S269" s="598"/>
      <c r="T269" s="598" t="s">
        <v>5015</v>
      </c>
      <c r="U269" s="598" t="s">
        <v>1705</v>
      </c>
      <c r="V269" s="663" t="s">
        <v>426</v>
      </c>
      <c r="W269" s="779" t="s">
        <v>3107</v>
      </c>
      <c r="X269" s="598" t="s">
        <v>950</v>
      </c>
      <c r="Y269" s="624">
        <v>40060</v>
      </c>
      <c r="Z269" s="625">
        <f t="shared" ca="1" si="1"/>
        <v>16</v>
      </c>
      <c r="AA269" s="616" t="s">
        <v>3108</v>
      </c>
      <c r="AB269" s="598"/>
      <c r="AC269" s="598" t="s">
        <v>996</v>
      </c>
      <c r="AD269" s="598" t="s">
        <v>1018</v>
      </c>
      <c r="AE269" s="616" t="s">
        <v>1041</v>
      </c>
      <c r="AF269" s="616" t="s">
        <v>1041</v>
      </c>
      <c r="AG269" s="616" t="s">
        <v>2645</v>
      </c>
      <c r="AH269" s="598"/>
      <c r="AI269" s="598"/>
      <c r="AJ269" s="598" t="s">
        <v>1107</v>
      </c>
      <c r="AK269" s="598"/>
      <c r="AL269" s="626"/>
      <c r="AM269" s="626"/>
    </row>
    <row r="270" spans="3:39" ht="18" customHeight="1">
      <c r="C270" s="598">
        <v>250</v>
      </c>
      <c r="D270" s="598" t="s">
        <v>4650</v>
      </c>
      <c r="E270" s="598">
        <f t="shared" si="2"/>
        <v>235</v>
      </c>
      <c r="F270" s="616" t="s">
        <v>1351</v>
      </c>
      <c r="G270" s="616" t="s">
        <v>4633</v>
      </c>
      <c r="H270" s="618" t="s">
        <v>1202</v>
      </c>
      <c r="I270" s="618" t="s">
        <v>335</v>
      </c>
      <c r="J270" s="618" t="s">
        <v>2087</v>
      </c>
      <c r="K270" s="618" t="s">
        <v>4138</v>
      </c>
      <c r="L270" s="619" t="s">
        <v>3100</v>
      </c>
      <c r="M270" s="619"/>
      <c r="N270" s="620" t="s">
        <v>3106</v>
      </c>
      <c r="O270" s="620"/>
      <c r="P270" s="673" t="s">
        <v>325</v>
      </c>
      <c r="Q270" s="621" t="s">
        <v>319</v>
      </c>
      <c r="R270" s="598"/>
      <c r="S270" s="598"/>
      <c r="T270" s="598"/>
      <c r="U270" s="598" t="s">
        <v>1705</v>
      </c>
      <c r="V270" s="673" t="s">
        <v>432</v>
      </c>
      <c r="W270" s="779" t="s">
        <v>4651</v>
      </c>
      <c r="X270" s="598" t="s">
        <v>950</v>
      </c>
      <c r="Y270" s="624">
        <v>40531</v>
      </c>
      <c r="Z270" s="625">
        <f t="shared" ca="1" si="1"/>
        <v>15</v>
      </c>
      <c r="AA270" s="616" t="s">
        <v>4652</v>
      </c>
      <c r="AB270" s="598"/>
      <c r="AC270" s="598" t="s">
        <v>996</v>
      </c>
      <c r="AD270" s="598" t="s">
        <v>1018</v>
      </c>
      <c r="AE270" s="616" t="s">
        <v>246</v>
      </c>
      <c r="AF270" s="616" t="s">
        <v>246</v>
      </c>
      <c r="AG270" s="653" t="s">
        <v>4064</v>
      </c>
      <c r="AH270" s="598"/>
      <c r="AI270" s="598"/>
      <c r="AJ270" s="634" t="s">
        <v>1359</v>
      </c>
      <c r="AK270" s="598" t="s">
        <v>4653</v>
      </c>
      <c r="AL270" s="626"/>
      <c r="AM270" s="626"/>
    </row>
    <row r="271" spans="3:39" ht="18" customHeight="1">
      <c r="C271" s="598">
        <v>251</v>
      </c>
      <c r="D271" s="598" t="s">
        <v>2087</v>
      </c>
      <c r="E271" s="598">
        <f t="shared" si="2"/>
        <v>235</v>
      </c>
      <c r="F271" s="616"/>
      <c r="G271" s="616" t="s">
        <v>4633</v>
      </c>
      <c r="H271" s="618" t="s">
        <v>1202</v>
      </c>
      <c r="I271" s="618" t="s">
        <v>335</v>
      </c>
      <c r="J271" s="618" t="s">
        <v>2087</v>
      </c>
      <c r="K271" s="618" t="s">
        <v>2087</v>
      </c>
      <c r="L271" s="618" t="s">
        <v>1701</v>
      </c>
      <c r="M271" s="619"/>
      <c r="N271" s="620"/>
      <c r="O271" s="620"/>
      <c r="P271" s="667" t="s">
        <v>326</v>
      </c>
      <c r="Q271" s="621"/>
      <c r="R271" s="598" t="s">
        <v>173</v>
      </c>
      <c r="S271" s="598" t="s">
        <v>514</v>
      </c>
      <c r="T271" s="598"/>
      <c r="U271" s="598"/>
      <c r="V271" s="667" t="s">
        <v>335</v>
      </c>
      <c r="W271" s="779" t="s">
        <v>2089</v>
      </c>
      <c r="X271" s="598" t="s">
        <v>950</v>
      </c>
      <c r="Y271" s="624">
        <v>36694</v>
      </c>
      <c r="Z271" s="625">
        <f t="shared" ca="1" si="1"/>
        <v>25</v>
      </c>
      <c r="AA271" s="616" t="s">
        <v>2090</v>
      </c>
      <c r="AB271" s="598"/>
      <c r="AC271" s="598" t="s">
        <v>1006</v>
      </c>
      <c r="AD271" s="598" t="s">
        <v>953</v>
      </c>
      <c r="AE271" s="616" t="s">
        <v>729</v>
      </c>
      <c r="AF271" s="616" t="s">
        <v>729</v>
      </c>
      <c r="AG271" s="616" t="s">
        <v>2092</v>
      </c>
      <c r="AH271" s="598" t="s">
        <v>955</v>
      </c>
      <c r="AI271" s="598"/>
      <c r="AJ271" s="598"/>
      <c r="AK271" s="598"/>
      <c r="AL271" s="626"/>
      <c r="AM271" s="626"/>
    </row>
    <row r="272" spans="3:39" ht="18" customHeight="1">
      <c r="C272" s="598">
        <v>252</v>
      </c>
      <c r="D272" s="598" t="s">
        <v>1701</v>
      </c>
      <c r="E272" s="598">
        <f t="shared" si="2"/>
        <v>236</v>
      </c>
      <c r="F272" s="616" t="s">
        <v>1351</v>
      </c>
      <c r="G272" s="616" t="s">
        <v>4633</v>
      </c>
      <c r="H272" s="618" t="s">
        <v>1202</v>
      </c>
      <c r="I272" s="618" t="s">
        <v>335</v>
      </c>
      <c r="J272" s="618" t="s">
        <v>2087</v>
      </c>
      <c r="K272" s="618" t="s">
        <v>2087</v>
      </c>
      <c r="L272" s="618" t="s">
        <v>1701</v>
      </c>
      <c r="M272" s="619"/>
      <c r="N272" s="620"/>
      <c r="O272" s="620"/>
      <c r="P272" s="663" t="s">
        <v>326</v>
      </c>
      <c r="Q272" s="621"/>
      <c r="R272" s="598" t="s">
        <v>69</v>
      </c>
      <c r="S272" s="598" t="s">
        <v>1710</v>
      </c>
      <c r="T272" s="598"/>
      <c r="U272" s="598" t="s">
        <v>1705</v>
      </c>
      <c r="V272" s="663" t="s">
        <v>349</v>
      </c>
      <c r="W272" s="779" t="s">
        <v>1706</v>
      </c>
      <c r="X272" s="598" t="s">
        <v>950</v>
      </c>
      <c r="Y272" s="624">
        <v>39497</v>
      </c>
      <c r="Z272" s="625">
        <f t="shared" ca="1" si="1"/>
        <v>17</v>
      </c>
      <c r="AA272" s="616" t="s">
        <v>1707</v>
      </c>
      <c r="AB272" s="598" t="s">
        <v>1708</v>
      </c>
      <c r="AC272" s="598" t="s">
        <v>996</v>
      </c>
      <c r="AD272" s="598" t="s">
        <v>997</v>
      </c>
      <c r="AE272" s="616" t="s">
        <v>729</v>
      </c>
      <c r="AF272" s="616" t="s">
        <v>1250</v>
      </c>
      <c r="AG272" s="616" t="s">
        <v>1709</v>
      </c>
      <c r="AH272" s="598"/>
      <c r="AI272" s="598"/>
      <c r="AJ272" s="598" t="s">
        <v>1452</v>
      </c>
      <c r="AK272" s="598"/>
      <c r="AL272" s="626"/>
      <c r="AM272" s="626"/>
    </row>
    <row r="273" spans="3:39" ht="18" customHeight="1">
      <c r="C273" s="598">
        <v>253</v>
      </c>
      <c r="D273" s="598" t="s">
        <v>3122</v>
      </c>
      <c r="E273" s="598">
        <f t="shared" si="2"/>
        <v>237</v>
      </c>
      <c r="F273" s="616" t="s">
        <v>1351</v>
      </c>
      <c r="G273" s="616" t="s">
        <v>4633</v>
      </c>
      <c r="H273" s="618" t="s">
        <v>1202</v>
      </c>
      <c r="I273" s="618" t="s">
        <v>335</v>
      </c>
      <c r="J273" s="618" t="s">
        <v>2087</v>
      </c>
      <c r="K273" s="618" t="s">
        <v>2087</v>
      </c>
      <c r="L273" s="618" t="s">
        <v>1701</v>
      </c>
      <c r="M273" s="619"/>
      <c r="N273" s="620"/>
      <c r="O273" s="620"/>
      <c r="P273" s="663" t="s">
        <v>326</v>
      </c>
      <c r="Q273" s="621"/>
      <c r="R273" s="598"/>
      <c r="S273" s="598"/>
      <c r="T273" s="598"/>
      <c r="U273" s="598" t="s">
        <v>1705</v>
      </c>
      <c r="V273" s="663" t="s">
        <v>363</v>
      </c>
      <c r="W273" s="779" t="s">
        <v>3123</v>
      </c>
      <c r="X273" s="598" t="s">
        <v>950</v>
      </c>
      <c r="Y273" s="624">
        <v>39425</v>
      </c>
      <c r="Z273" s="625">
        <f t="shared" ca="1" si="1"/>
        <v>18</v>
      </c>
      <c r="AA273" s="616" t="s">
        <v>3124</v>
      </c>
      <c r="AB273" s="598"/>
      <c r="AC273" s="598" t="s">
        <v>996</v>
      </c>
      <c r="AD273" s="598" t="s">
        <v>997</v>
      </c>
      <c r="AE273" s="616" t="s">
        <v>2737</v>
      </c>
      <c r="AF273" s="616" t="s">
        <v>2737</v>
      </c>
      <c r="AG273" s="616" t="s">
        <v>3126</v>
      </c>
      <c r="AH273" s="598"/>
      <c r="AI273" s="598"/>
      <c r="AJ273" s="598" t="s">
        <v>1452</v>
      </c>
      <c r="AK273" s="598"/>
      <c r="AL273" s="626"/>
      <c r="AM273" s="626"/>
    </row>
    <row r="274" spans="3:39" ht="18" customHeight="1">
      <c r="C274" s="598">
        <v>254</v>
      </c>
      <c r="D274" s="598" t="s">
        <v>1714</v>
      </c>
      <c r="E274" s="598">
        <f t="shared" si="2"/>
        <v>238</v>
      </c>
      <c r="F274" s="616" t="s">
        <v>1351</v>
      </c>
      <c r="G274" s="616" t="s">
        <v>4633</v>
      </c>
      <c r="H274" s="618" t="s">
        <v>1202</v>
      </c>
      <c r="I274" s="618" t="s">
        <v>335</v>
      </c>
      <c r="J274" s="618" t="s">
        <v>2087</v>
      </c>
      <c r="K274" s="618" t="s">
        <v>2087</v>
      </c>
      <c r="L274" s="618" t="s">
        <v>1701</v>
      </c>
      <c r="M274" s="619"/>
      <c r="N274" s="620"/>
      <c r="O274" s="620"/>
      <c r="P274" s="663" t="s">
        <v>326</v>
      </c>
      <c r="Q274" s="621"/>
      <c r="R274" s="598"/>
      <c r="S274" s="598"/>
      <c r="T274" s="598"/>
      <c r="U274" s="598" t="s">
        <v>1705</v>
      </c>
      <c r="V274" s="663" t="s">
        <v>377</v>
      </c>
      <c r="W274" s="779" t="s">
        <v>1715</v>
      </c>
      <c r="X274" s="598" t="s">
        <v>950</v>
      </c>
      <c r="Y274" s="624">
        <v>39833</v>
      </c>
      <c r="Z274" s="625">
        <f t="shared" ca="1" si="1"/>
        <v>17</v>
      </c>
      <c r="AA274" s="616" t="s">
        <v>1716</v>
      </c>
      <c r="AB274" s="598"/>
      <c r="AC274" s="598" t="s">
        <v>996</v>
      </c>
      <c r="AD274" s="598" t="s">
        <v>997</v>
      </c>
      <c r="AE274" s="616" t="s">
        <v>729</v>
      </c>
      <c r="AF274" s="616" t="s">
        <v>729</v>
      </c>
      <c r="AG274" s="616" t="s">
        <v>1718</v>
      </c>
      <c r="AH274" s="598"/>
      <c r="AI274" s="598"/>
      <c r="AJ274" s="598" t="s">
        <v>1452</v>
      </c>
      <c r="AK274" s="598"/>
      <c r="AL274" s="626"/>
      <c r="AM274" s="626"/>
    </row>
    <row r="275" spans="3:39" ht="18" customHeight="1">
      <c r="C275" s="598">
        <v>255</v>
      </c>
      <c r="D275" s="598" t="s">
        <v>3127</v>
      </c>
      <c r="E275" s="598">
        <f t="shared" si="2"/>
        <v>239</v>
      </c>
      <c r="F275" s="616" t="s">
        <v>1351</v>
      </c>
      <c r="G275" s="616" t="s">
        <v>4633</v>
      </c>
      <c r="H275" s="618" t="s">
        <v>1202</v>
      </c>
      <c r="I275" s="618" t="s">
        <v>335</v>
      </c>
      <c r="J275" s="618" t="s">
        <v>2087</v>
      </c>
      <c r="K275" s="618" t="s">
        <v>2087</v>
      </c>
      <c r="L275" s="618" t="s">
        <v>1701</v>
      </c>
      <c r="M275" s="619"/>
      <c r="N275" s="620"/>
      <c r="O275" s="620"/>
      <c r="P275" s="663" t="s">
        <v>326</v>
      </c>
      <c r="Q275" s="621"/>
      <c r="R275" s="598"/>
      <c r="S275" s="598"/>
      <c r="T275" s="598"/>
      <c r="U275" s="598" t="s">
        <v>1705</v>
      </c>
      <c r="V275" s="663" t="s">
        <v>390</v>
      </c>
      <c r="W275" s="779" t="s">
        <v>3128</v>
      </c>
      <c r="X275" s="598" t="s">
        <v>950</v>
      </c>
      <c r="Y275" s="624">
        <v>40449</v>
      </c>
      <c r="Z275" s="625">
        <f t="shared" ca="1" si="1"/>
        <v>15</v>
      </c>
      <c r="AA275" s="616" t="s">
        <v>3129</v>
      </c>
      <c r="AB275" s="598"/>
      <c r="AC275" s="598" t="s">
        <v>996</v>
      </c>
      <c r="AD275" s="598" t="s">
        <v>997</v>
      </c>
      <c r="AE275" s="616" t="s">
        <v>1041</v>
      </c>
      <c r="AF275" s="616" t="s">
        <v>2985</v>
      </c>
      <c r="AG275" s="616" t="s">
        <v>3131</v>
      </c>
      <c r="AH275" s="598"/>
      <c r="AI275" s="598"/>
      <c r="AJ275" s="598" t="s">
        <v>1452</v>
      </c>
      <c r="AK275" s="598"/>
      <c r="AL275" s="626"/>
      <c r="AM275" s="626"/>
    </row>
    <row r="276" spans="3:39" ht="18" customHeight="1">
      <c r="C276" s="598">
        <v>256</v>
      </c>
      <c r="D276" s="598" t="s">
        <v>1534</v>
      </c>
      <c r="E276" s="598">
        <f t="shared" si="2"/>
        <v>240</v>
      </c>
      <c r="F276" s="616" t="s">
        <v>1351</v>
      </c>
      <c r="G276" s="616" t="s">
        <v>4633</v>
      </c>
      <c r="H276" s="618" t="s">
        <v>1202</v>
      </c>
      <c r="I276" s="618" t="s">
        <v>335</v>
      </c>
      <c r="J276" s="618" t="s">
        <v>2087</v>
      </c>
      <c r="K276" s="618" t="s">
        <v>2087</v>
      </c>
      <c r="L276" s="618" t="s">
        <v>1701</v>
      </c>
      <c r="M276" s="619"/>
      <c r="N276" s="620"/>
      <c r="O276" s="620"/>
      <c r="P276" s="663" t="s">
        <v>326</v>
      </c>
      <c r="Q276" s="621" t="s">
        <v>319</v>
      </c>
      <c r="R276" s="598"/>
      <c r="S276" s="598"/>
      <c r="T276" s="598"/>
      <c r="U276" s="598" t="s">
        <v>992</v>
      </c>
      <c r="V276" s="663" t="s">
        <v>404</v>
      </c>
      <c r="W276" s="779" t="s">
        <v>1535</v>
      </c>
      <c r="X276" s="598" t="s">
        <v>963</v>
      </c>
      <c r="Y276" s="624">
        <v>39065</v>
      </c>
      <c r="Z276" s="625">
        <f t="shared" ref="Z276:Z379" ca="1" si="3">DATEDIF(Y276,TODAY(),"Y")</f>
        <v>19</v>
      </c>
      <c r="AA276" s="616" t="s">
        <v>1536</v>
      </c>
      <c r="AB276" s="598"/>
      <c r="AC276" s="598" t="s">
        <v>996</v>
      </c>
      <c r="AD276" s="598" t="s">
        <v>1018</v>
      </c>
      <c r="AE276" s="616" t="s">
        <v>729</v>
      </c>
      <c r="AF276" s="616" t="s">
        <v>729</v>
      </c>
      <c r="AG276" s="616" t="s">
        <v>1323</v>
      </c>
      <c r="AH276" s="598"/>
      <c r="AI276" s="598"/>
      <c r="AJ276" s="598" t="s">
        <v>1318</v>
      </c>
      <c r="AK276" s="598"/>
      <c r="AL276" s="626"/>
      <c r="AM276" s="626"/>
    </row>
    <row r="277" spans="3:39" ht="18" customHeight="1">
      <c r="C277" s="598">
        <v>257</v>
      </c>
      <c r="D277" s="598" t="s">
        <v>1724</v>
      </c>
      <c r="E277" s="598">
        <f t="shared" si="2"/>
        <v>241</v>
      </c>
      <c r="F277" s="616" t="s">
        <v>1351</v>
      </c>
      <c r="G277" s="616" t="s">
        <v>4633</v>
      </c>
      <c r="H277" s="618" t="s">
        <v>1202</v>
      </c>
      <c r="I277" s="618" t="s">
        <v>335</v>
      </c>
      <c r="J277" s="618" t="s">
        <v>2087</v>
      </c>
      <c r="K277" s="618" t="s">
        <v>2087</v>
      </c>
      <c r="L277" s="618" t="s">
        <v>1701</v>
      </c>
      <c r="M277" s="619"/>
      <c r="N277" s="620"/>
      <c r="O277" s="620"/>
      <c r="P277" s="663" t="s">
        <v>326</v>
      </c>
      <c r="Q277" s="621" t="s">
        <v>319</v>
      </c>
      <c r="R277" s="598"/>
      <c r="S277" s="598"/>
      <c r="T277" s="598"/>
      <c r="U277" s="598" t="s">
        <v>1705</v>
      </c>
      <c r="V277" s="663" t="s">
        <v>415</v>
      </c>
      <c r="W277" s="779" t="s">
        <v>1725</v>
      </c>
      <c r="X277" s="598" t="s">
        <v>950</v>
      </c>
      <c r="Y277" s="624">
        <v>39343</v>
      </c>
      <c r="Z277" s="625">
        <f t="shared" ca="1" si="3"/>
        <v>18</v>
      </c>
      <c r="AA277" s="616" t="s">
        <v>1726</v>
      </c>
      <c r="AB277" s="598"/>
      <c r="AC277" s="598" t="s">
        <v>996</v>
      </c>
      <c r="AD277" s="598" t="s">
        <v>1018</v>
      </c>
      <c r="AE277" s="616" t="s">
        <v>729</v>
      </c>
      <c r="AF277" s="616" t="s">
        <v>729</v>
      </c>
      <c r="AG277" s="616" t="s">
        <v>1323</v>
      </c>
      <c r="AH277" s="598"/>
      <c r="AI277" s="598"/>
      <c r="AJ277" s="647" t="s">
        <v>1513</v>
      </c>
      <c r="AK277" s="598"/>
      <c r="AL277" s="626"/>
      <c r="AM277" s="626"/>
    </row>
    <row r="278" spans="3:39" ht="18" customHeight="1">
      <c r="C278" s="598">
        <v>258</v>
      </c>
      <c r="D278" s="598" t="s">
        <v>1702</v>
      </c>
      <c r="E278" s="598">
        <f t="shared" si="2"/>
        <v>242</v>
      </c>
      <c r="F278" s="616" t="s">
        <v>1351</v>
      </c>
      <c r="G278" s="616" t="s">
        <v>4633</v>
      </c>
      <c r="H278" s="618" t="s">
        <v>1202</v>
      </c>
      <c r="I278" s="618" t="s">
        <v>335</v>
      </c>
      <c r="J278" s="618" t="s">
        <v>2087</v>
      </c>
      <c r="K278" s="618" t="s">
        <v>2087</v>
      </c>
      <c r="L278" s="618" t="s">
        <v>1701</v>
      </c>
      <c r="M278" s="619"/>
      <c r="N278" s="620"/>
      <c r="O278" s="620"/>
      <c r="P278" s="673" t="s">
        <v>326</v>
      </c>
      <c r="Q278" s="621" t="s">
        <v>319</v>
      </c>
      <c r="R278" s="598"/>
      <c r="S278" s="598"/>
      <c r="T278" s="598"/>
      <c r="U278" s="598" t="s">
        <v>1705</v>
      </c>
      <c r="V278" s="673" t="s">
        <v>427</v>
      </c>
      <c r="W278" s="779" t="s">
        <v>1711</v>
      </c>
      <c r="X278" s="598" t="s">
        <v>963</v>
      </c>
      <c r="Y278" s="624">
        <v>40125</v>
      </c>
      <c r="Z278" s="625">
        <f t="shared" ca="1" si="3"/>
        <v>16</v>
      </c>
      <c r="AA278" s="616" t="s">
        <v>1712</v>
      </c>
      <c r="AB278" s="598"/>
      <c r="AC278" s="598" t="s">
        <v>996</v>
      </c>
      <c r="AD278" s="598" t="s">
        <v>1018</v>
      </c>
      <c r="AE278" s="616" t="s">
        <v>1670</v>
      </c>
      <c r="AF278" s="616" t="s">
        <v>729</v>
      </c>
      <c r="AG278" s="616" t="s">
        <v>1323</v>
      </c>
      <c r="AH278" s="598"/>
      <c r="AI278" s="598"/>
      <c r="AJ278" s="647" t="s">
        <v>1513</v>
      </c>
      <c r="AK278" s="598"/>
      <c r="AL278" s="626"/>
      <c r="AM278" s="626"/>
    </row>
    <row r="279" spans="3:39" ht="18" customHeight="1">
      <c r="C279" s="598">
        <v>259</v>
      </c>
      <c r="D279" s="598" t="s">
        <v>3505</v>
      </c>
      <c r="E279" s="598">
        <f t="shared" si="2"/>
        <v>243</v>
      </c>
      <c r="F279" s="616" t="s">
        <v>1810</v>
      </c>
      <c r="G279" s="616" t="s">
        <v>973</v>
      </c>
      <c r="H279" s="618" t="s">
        <v>3505</v>
      </c>
      <c r="I279" s="618" t="s">
        <v>183</v>
      </c>
      <c r="J279" s="618" t="s">
        <v>3505</v>
      </c>
      <c r="K279" s="618" t="s">
        <v>3505</v>
      </c>
      <c r="L279" s="618"/>
      <c r="M279" s="619"/>
      <c r="N279" s="620"/>
      <c r="O279" s="620"/>
      <c r="P279" s="667" t="s">
        <v>1044</v>
      </c>
      <c r="Q279" s="621"/>
      <c r="R279" s="598" t="s">
        <v>1227</v>
      </c>
      <c r="S279" s="598" t="s">
        <v>173</v>
      </c>
      <c r="T279" s="598"/>
      <c r="U279" s="598" t="s">
        <v>1090</v>
      </c>
      <c r="V279" s="667" t="s">
        <v>183</v>
      </c>
      <c r="W279" s="779" t="s">
        <v>3506</v>
      </c>
      <c r="X279" s="598" t="s">
        <v>950</v>
      </c>
      <c r="Y279" s="624">
        <v>19177</v>
      </c>
      <c r="Z279" s="625">
        <f t="shared" ca="1" si="3"/>
        <v>73</v>
      </c>
      <c r="AA279" s="616" t="s">
        <v>3507</v>
      </c>
      <c r="AB279" s="598"/>
      <c r="AC279" s="598" t="s">
        <v>966</v>
      </c>
      <c r="AD279" s="598" t="s">
        <v>953</v>
      </c>
      <c r="AE279" s="616" t="s">
        <v>973</v>
      </c>
      <c r="AF279" s="616" t="s">
        <v>973</v>
      </c>
      <c r="AG279" s="616" t="s">
        <v>3509</v>
      </c>
      <c r="AH279" s="598"/>
      <c r="AI279" s="598"/>
      <c r="AJ279" s="598"/>
      <c r="AK279" s="598" t="s">
        <v>3510</v>
      </c>
      <c r="AL279" s="626"/>
      <c r="AM279" s="626"/>
    </row>
    <row r="280" spans="3:39" ht="18" customHeight="1">
      <c r="C280" s="598">
        <v>260</v>
      </c>
      <c r="D280" s="598" t="s">
        <v>3708</v>
      </c>
      <c r="E280" s="598">
        <f t="shared" si="2"/>
        <v>244</v>
      </c>
      <c r="F280" s="616" t="s">
        <v>1810</v>
      </c>
      <c r="G280" s="616" t="s">
        <v>973</v>
      </c>
      <c r="H280" s="618" t="s">
        <v>3505</v>
      </c>
      <c r="I280" s="618" t="s">
        <v>183</v>
      </c>
      <c r="J280" s="618" t="s">
        <v>3505</v>
      </c>
      <c r="K280" s="618" t="s">
        <v>3505</v>
      </c>
      <c r="L280" s="618" t="s">
        <v>959</v>
      </c>
      <c r="M280" s="619"/>
      <c r="N280" s="620"/>
      <c r="O280" s="620"/>
      <c r="P280" s="663" t="s">
        <v>1044</v>
      </c>
      <c r="Q280" s="621"/>
      <c r="R280" s="598" t="s">
        <v>173</v>
      </c>
      <c r="S280" s="598" t="s">
        <v>514</v>
      </c>
      <c r="T280" s="598" t="s">
        <v>55</v>
      </c>
      <c r="U280" s="598" t="s">
        <v>1015</v>
      </c>
      <c r="V280" s="663" t="s">
        <v>203</v>
      </c>
      <c r="W280" s="779" t="s">
        <v>3709</v>
      </c>
      <c r="X280" s="598" t="s">
        <v>950</v>
      </c>
      <c r="Y280" s="624">
        <v>20911</v>
      </c>
      <c r="Z280" s="625">
        <f t="shared" ca="1" si="3"/>
        <v>68</v>
      </c>
      <c r="AA280" s="616" t="s">
        <v>3710</v>
      </c>
      <c r="AB280" s="598"/>
      <c r="AC280" s="598" t="s">
        <v>966</v>
      </c>
      <c r="AD280" s="598" t="s">
        <v>953</v>
      </c>
      <c r="AE280" s="616" t="s">
        <v>973</v>
      </c>
      <c r="AF280" s="616" t="s">
        <v>973</v>
      </c>
      <c r="AG280" s="616" t="s">
        <v>3509</v>
      </c>
      <c r="AH280" s="598"/>
      <c r="AI280" s="598"/>
      <c r="AJ280" s="598"/>
      <c r="AK280" s="598" t="s">
        <v>3510</v>
      </c>
      <c r="AL280" s="626"/>
      <c r="AM280" s="626"/>
    </row>
    <row r="281" spans="3:39" ht="18" customHeight="1">
      <c r="C281" s="598">
        <v>261</v>
      </c>
      <c r="D281" s="598" t="s">
        <v>3559</v>
      </c>
      <c r="E281" s="598">
        <f t="shared" si="2"/>
        <v>245</v>
      </c>
      <c r="F281" s="616" t="s">
        <v>1810</v>
      </c>
      <c r="G281" s="616" t="s">
        <v>973</v>
      </c>
      <c r="H281" s="618" t="s">
        <v>3505</v>
      </c>
      <c r="I281" s="618" t="s">
        <v>183</v>
      </c>
      <c r="J281" s="618" t="s">
        <v>3505</v>
      </c>
      <c r="K281" s="618" t="s">
        <v>3505</v>
      </c>
      <c r="L281" s="618" t="s">
        <v>959</v>
      </c>
      <c r="M281" s="619"/>
      <c r="N281" s="620"/>
      <c r="O281" s="620"/>
      <c r="P281" s="663" t="s">
        <v>1044</v>
      </c>
      <c r="Q281" s="621"/>
      <c r="R281" s="598" t="s">
        <v>55</v>
      </c>
      <c r="S281" s="598" t="s">
        <v>178</v>
      </c>
      <c r="T281" s="598"/>
      <c r="U281" s="598" t="s">
        <v>1015</v>
      </c>
      <c r="V281" s="663" t="s">
        <v>222</v>
      </c>
      <c r="W281" s="779" t="s">
        <v>3561</v>
      </c>
      <c r="X281" s="598" t="s">
        <v>950</v>
      </c>
      <c r="Y281" s="624">
        <v>21600</v>
      </c>
      <c r="Z281" s="625">
        <f t="shared" ca="1" si="3"/>
        <v>66</v>
      </c>
      <c r="AA281" s="616" t="s">
        <v>3562</v>
      </c>
      <c r="AB281" s="598"/>
      <c r="AC281" s="598" t="s">
        <v>966</v>
      </c>
      <c r="AD281" s="598" t="s">
        <v>953</v>
      </c>
      <c r="AE281" s="616" t="s">
        <v>973</v>
      </c>
      <c r="AF281" s="616" t="s">
        <v>973</v>
      </c>
      <c r="AG281" s="616" t="s">
        <v>3509</v>
      </c>
      <c r="AH281" s="598"/>
      <c r="AI281" s="598"/>
      <c r="AJ281" s="598"/>
      <c r="AK281" s="598" t="s">
        <v>3510</v>
      </c>
      <c r="AL281" s="626"/>
      <c r="AM281" s="626"/>
    </row>
    <row r="282" spans="3:39" ht="18" customHeight="1">
      <c r="C282" s="598">
        <v>262</v>
      </c>
      <c r="D282" s="598" t="s">
        <v>4169</v>
      </c>
      <c r="E282" s="598">
        <f t="shared" si="2"/>
        <v>246</v>
      </c>
      <c r="F282" s="616" t="s">
        <v>1810</v>
      </c>
      <c r="G282" s="616" t="s">
        <v>973</v>
      </c>
      <c r="H282" s="618" t="s">
        <v>3505</v>
      </c>
      <c r="I282" s="618" t="s">
        <v>183</v>
      </c>
      <c r="J282" s="618" t="s">
        <v>3505</v>
      </c>
      <c r="K282" s="618" t="s">
        <v>3505</v>
      </c>
      <c r="L282" s="618" t="s">
        <v>959</v>
      </c>
      <c r="M282" s="619"/>
      <c r="N282" s="620"/>
      <c r="O282" s="620"/>
      <c r="P282" s="673" t="s">
        <v>1044</v>
      </c>
      <c r="Q282" s="621"/>
      <c r="R282" s="598" t="s">
        <v>55</v>
      </c>
      <c r="S282" s="598" t="s">
        <v>178</v>
      </c>
      <c r="T282" s="598"/>
      <c r="U282" s="598" t="s">
        <v>1015</v>
      </c>
      <c r="V282" s="673" t="s">
        <v>241</v>
      </c>
      <c r="W282" s="779" t="s">
        <v>4170</v>
      </c>
      <c r="X282" s="598" t="s">
        <v>950</v>
      </c>
      <c r="Y282" s="624">
        <v>25211</v>
      </c>
      <c r="Z282" s="625">
        <f t="shared" ca="1" si="3"/>
        <v>57</v>
      </c>
      <c r="AA282" s="616" t="s">
        <v>4171</v>
      </c>
      <c r="AB282" s="598"/>
      <c r="AC282" s="598" t="s">
        <v>966</v>
      </c>
      <c r="AD282" s="598" t="s">
        <v>953</v>
      </c>
      <c r="AE282" s="616" t="s">
        <v>973</v>
      </c>
      <c r="AF282" s="616" t="s">
        <v>973</v>
      </c>
      <c r="AG282" s="616" t="s">
        <v>3509</v>
      </c>
      <c r="AH282" s="598"/>
      <c r="AI282" s="598"/>
      <c r="AJ282" s="598"/>
      <c r="AK282" s="598" t="s">
        <v>3510</v>
      </c>
      <c r="AL282" s="626"/>
      <c r="AM282" s="626"/>
    </row>
    <row r="283" spans="3:39" ht="18" customHeight="1">
      <c r="C283" s="598">
        <v>263</v>
      </c>
      <c r="D283" s="598" t="s">
        <v>3555</v>
      </c>
      <c r="E283" s="598">
        <f t="shared" si="2"/>
        <v>247</v>
      </c>
      <c r="F283" s="616" t="s">
        <v>1810</v>
      </c>
      <c r="G283" s="616" t="s">
        <v>973</v>
      </c>
      <c r="H283" s="618" t="s">
        <v>3505</v>
      </c>
      <c r="I283" s="618" t="s">
        <v>183</v>
      </c>
      <c r="J283" s="618" t="s">
        <v>3505</v>
      </c>
      <c r="K283" s="618" t="s">
        <v>3505</v>
      </c>
      <c r="L283" s="618" t="s">
        <v>3555</v>
      </c>
      <c r="M283" s="619"/>
      <c r="N283" s="620"/>
      <c r="O283" s="620"/>
      <c r="P283" s="667" t="s">
        <v>1074</v>
      </c>
      <c r="Q283" s="621"/>
      <c r="R283" s="598" t="s">
        <v>69</v>
      </c>
      <c r="S283" s="598" t="s">
        <v>69</v>
      </c>
      <c r="T283" s="598"/>
      <c r="U283" s="598" t="s">
        <v>992</v>
      </c>
      <c r="V283" s="667" t="s">
        <v>291</v>
      </c>
      <c r="W283" s="779" t="s">
        <v>3556</v>
      </c>
      <c r="X283" s="598" t="s">
        <v>950</v>
      </c>
      <c r="Y283" s="624">
        <v>32972</v>
      </c>
      <c r="Z283" s="625">
        <f t="shared" ca="1" si="3"/>
        <v>35</v>
      </c>
      <c r="AA283" s="616" t="s">
        <v>3557</v>
      </c>
      <c r="AB283" s="598"/>
      <c r="AC283" s="598" t="s">
        <v>996</v>
      </c>
      <c r="AD283" s="598" t="s">
        <v>997</v>
      </c>
      <c r="AE283" s="616" t="s">
        <v>973</v>
      </c>
      <c r="AF283" s="616" t="s">
        <v>973</v>
      </c>
      <c r="AG283" s="616" t="s">
        <v>3509</v>
      </c>
      <c r="AH283" s="598"/>
      <c r="AI283" s="598"/>
      <c r="AJ283" s="598"/>
      <c r="AK283" s="598" t="s">
        <v>3510</v>
      </c>
      <c r="AL283" s="626"/>
      <c r="AM283" s="626"/>
    </row>
    <row r="284" spans="3:39" ht="18" customHeight="1">
      <c r="C284" s="598">
        <v>264</v>
      </c>
      <c r="D284" s="598" t="s">
        <v>3528</v>
      </c>
      <c r="E284" s="598">
        <f t="shared" si="2"/>
        <v>248</v>
      </c>
      <c r="F284" s="616" t="s">
        <v>1810</v>
      </c>
      <c r="G284" s="616" t="s">
        <v>973</v>
      </c>
      <c r="H284" s="618" t="s">
        <v>3505</v>
      </c>
      <c r="I284" s="618" t="s">
        <v>183</v>
      </c>
      <c r="J284" s="618" t="s">
        <v>3505</v>
      </c>
      <c r="K284" s="618" t="s">
        <v>3505</v>
      </c>
      <c r="L284" s="618" t="s">
        <v>3555</v>
      </c>
      <c r="M284" s="619"/>
      <c r="N284" s="620"/>
      <c r="O284" s="620"/>
      <c r="P284" s="663" t="s">
        <v>1074</v>
      </c>
      <c r="Q284" s="621"/>
      <c r="R284" s="598"/>
      <c r="S284" s="598"/>
      <c r="T284" s="598"/>
      <c r="U284" s="598" t="s">
        <v>1090</v>
      </c>
      <c r="V284" s="663" t="s">
        <v>204</v>
      </c>
      <c r="W284" s="779" t="s">
        <v>3532</v>
      </c>
      <c r="X284" s="598" t="s">
        <v>950</v>
      </c>
      <c r="Y284" s="624">
        <v>17993</v>
      </c>
      <c r="Z284" s="625">
        <f t="shared" ca="1" si="3"/>
        <v>76</v>
      </c>
      <c r="AA284" s="616" t="s">
        <v>3533</v>
      </c>
      <c r="AB284" s="598"/>
      <c r="AC284" s="598" t="s">
        <v>966</v>
      </c>
      <c r="AD284" s="598" t="s">
        <v>953</v>
      </c>
      <c r="AE284" s="616" t="s">
        <v>973</v>
      </c>
      <c r="AF284" s="616" t="s">
        <v>973</v>
      </c>
      <c r="AG284" s="616" t="s">
        <v>3509</v>
      </c>
      <c r="AH284" s="598"/>
      <c r="AI284" s="598"/>
      <c r="AJ284" s="598"/>
      <c r="AK284" s="598" t="s">
        <v>3510</v>
      </c>
      <c r="AL284" s="626"/>
      <c r="AM284" s="626"/>
    </row>
    <row r="285" spans="3:39" ht="18" customHeight="1">
      <c r="C285" s="598">
        <v>265</v>
      </c>
      <c r="D285" s="598" t="s">
        <v>3511</v>
      </c>
      <c r="E285" s="598">
        <f t="shared" si="2"/>
        <v>249</v>
      </c>
      <c r="F285" s="616" t="s">
        <v>1810</v>
      </c>
      <c r="G285" s="616" t="s">
        <v>973</v>
      </c>
      <c r="H285" s="618" t="s">
        <v>3505</v>
      </c>
      <c r="I285" s="618" t="s">
        <v>183</v>
      </c>
      <c r="J285" s="618" t="s">
        <v>3505</v>
      </c>
      <c r="K285" s="618" t="s">
        <v>3505</v>
      </c>
      <c r="L285" s="618" t="s">
        <v>3555</v>
      </c>
      <c r="M285" s="619"/>
      <c r="N285" s="620"/>
      <c r="O285" s="620"/>
      <c r="P285" s="663" t="s">
        <v>1074</v>
      </c>
      <c r="Q285" s="621"/>
      <c r="R285" s="598"/>
      <c r="S285" s="598"/>
      <c r="T285" s="598"/>
      <c r="U285" s="598" t="s">
        <v>1090</v>
      </c>
      <c r="V285" s="663" t="s">
        <v>223</v>
      </c>
      <c r="W285" s="779" t="s">
        <v>3512</v>
      </c>
      <c r="X285" s="598" t="s">
        <v>963</v>
      </c>
      <c r="Y285" s="624">
        <v>19696</v>
      </c>
      <c r="Z285" s="625">
        <f t="shared" ca="1" si="3"/>
        <v>72</v>
      </c>
      <c r="AA285" s="616" t="s">
        <v>3513</v>
      </c>
      <c r="AB285" s="598"/>
      <c r="AC285" s="598" t="s">
        <v>966</v>
      </c>
      <c r="AD285" s="598" t="s">
        <v>953</v>
      </c>
      <c r="AE285" s="616" t="s">
        <v>973</v>
      </c>
      <c r="AF285" s="616" t="s">
        <v>973</v>
      </c>
      <c r="AG285" s="616" t="s">
        <v>3509</v>
      </c>
      <c r="AH285" s="598"/>
      <c r="AI285" s="598"/>
      <c r="AJ285" s="598"/>
      <c r="AK285" s="598" t="s">
        <v>3510</v>
      </c>
      <c r="AL285" s="626"/>
      <c r="AM285" s="626"/>
    </row>
    <row r="286" spans="3:39" ht="18" customHeight="1">
      <c r="C286" s="598">
        <v>266</v>
      </c>
      <c r="D286" s="598" t="s">
        <v>3540</v>
      </c>
      <c r="E286" s="598">
        <f t="shared" si="2"/>
        <v>250</v>
      </c>
      <c r="F286" s="616" t="s">
        <v>1810</v>
      </c>
      <c r="G286" s="616" t="s">
        <v>973</v>
      </c>
      <c r="H286" s="618" t="s">
        <v>3505</v>
      </c>
      <c r="I286" s="618" t="s">
        <v>183</v>
      </c>
      <c r="J286" s="618" t="s">
        <v>3505</v>
      </c>
      <c r="K286" s="618" t="s">
        <v>3505</v>
      </c>
      <c r="L286" s="618" t="s">
        <v>3555</v>
      </c>
      <c r="M286" s="619"/>
      <c r="N286" s="620"/>
      <c r="O286" s="620"/>
      <c r="P286" s="663" t="s">
        <v>1074</v>
      </c>
      <c r="Q286" s="621"/>
      <c r="R286" s="598"/>
      <c r="S286" s="598"/>
      <c r="T286" s="598"/>
      <c r="U286" s="598" t="s">
        <v>1090</v>
      </c>
      <c r="V286" s="663" t="s">
        <v>242</v>
      </c>
      <c r="W286" s="779" t="s">
        <v>3541</v>
      </c>
      <c r="X286" s="598" t="s">
        <v>950</v>
      </c>
      <c r="Y286" s="624">
        <v>19049</v>
      </c>
      <c r="Z286" s="625">
        <f t="shared" ca="1" si="3"/>
        <v>73</v>
      </c>
      <c r="AA286" s="616" t="s">
        <v>3542</v>
      </c>
      <c r="AB286" s="598"/>
      <c r="AC286" s="598" t="s">
        <v>966</v>
      </c>
      <c r="AD286" s="598" t="s">
        <v>953</v>
      </c>
      <c r="AE286" s="616" t="s">
        <v>973</v>
      </c>
      <c r="AF286" s="616" t="s">
        <v>973</v>
      </c>
      <c r="AG286" s="616" t="s">
        <v>3509</v>
      </c>
      <c r="AH286" s="598"/>
      <c r="AI286" s="598"/>
      <c r="AJ286" s="598"/>
      <c r="AK286" s="598" t="s">
        <v>3510</v>
      </c>
      <c r="AL286" s="626"/>
      <c r="AM286" s="626"/>
    </row>
    <row r="287" spans="3:39" ht="18" customHeight="1">
      <c r="C287" s="598">
        <v>267</v>
      </c>
      <c r="D287" s="598" t="s">
        <v>3523</v>
      </c>
      <c r="E287" s="598">
        <f t="shared" si="2"/>
        <v>251</v>
      </c>
      <c r="F287" s="616" t="s">
        <v>1810</v>
      </c>
      <c r="G287" s="616" t="s">
        <v>973</v>
      </c>
      <c r="H287" s="618" t="s">
        <v>3505</v>
      </c>
      <c r="I287" s="618" t="s">
        <v>183</v>
      </c>
      <c r="J287" s="618" t="s">
        <v>3505</v>
      </c>
      <c r="K287" s="618" t="s">
        <v>3505</v>
      </c>
      <c r="L287" s="618" t="s">
        <v>3555</v>
      </c>
      <c r="M287" s="619"/>
      <c r="N287" s="620"/>
      <c r="O287" s="620"/>
      <c r="P287" s="663" t="s">
        <v>1074</v>
      </c>
      <c r="Q287" s="621"/>
      <c r="R287" s="598"/>
      <c r="S287" s="598"/>
      <c r="T287" s="598"/>
      <c r="U287" s="598" t="s">
        <v>962</v>
      </c>
      <c r="V287" s="663" t="s">
        <v>262</v>
      </c>
      <c r="W287" s="779" t="s">
        <v>3524</v>
      </c>
      <c r="X287" s="598" t="s">
        <v>963</v>
      </c>
      <c r="Y287" s="624">
        <v>29738</v>
      </c>
      <c r="Z287" s="625">
        <f t="shared" ca="1" si="3"/>
        <v>44</v>
      </c>
      <c r="AA287" s="616" t="s">
        <v>3525</v>
      </c>
      <c r="AB287" s="598"/>
      <c r="AC287" s="598" t="s">
        <v>996</v>
      </c>
      <c r="AD287" s="598" t="s">
        <v>997</v>
      </c>
      <c r="AE287" s="616" t="s">
        <v>973</v>
      </c>
      <c r="AF287" s="616" t="s">
        <v>973</v>
      </c>
      <c r="AG287" s="616" t="s">
        <v>3527</v>
      </c>
      <c r="AH287" s="598"/>
      <c r="AI287" s="598"/>
      <c r="AJ287" s="598"/>
      <c r="AK287" s="598" t="s">
        <v>3510</v>
      </c>
      <c r="AL287" s="626"/>
      <c r="AM287" s="626"/>
    </row>
    <row r="288" spans="3:39" ht="18" customHeight="1">
      <c r="C288" s="598">
        <v>268</v>
      </c>
      <c r="D288" s="598" t="s">
        <v>3544</v>
      </c>
      <c r="E288" s="598">
        <f t="shared" si="2"/>
        <v>252</v>
      </c>
      <c r="F288" s="616" t="s">
        <v>1810</v>
      </c>
      <c r="G288" s="616" t="s">
        <v>973</v>
      </c>
      <c r="H288" s="618" t="s">
        <v>3505</v>
      </c>
      <c r="I288" s="618" t="s">
        <v>183</v>
      </c>
      <c r="J288" s="618" t="s">
        <v>3505</v>
      </c>
      <c r="K288" s="618" t="s">
        <v>3505</v>
      </c>
      <c r="L288" s="618" t="s">
        <v>3555</v>
      </c>
      <c r="M288" s="619"/>
      <c r="N288" s="620"/>
      <c r="O288" s="620"/>
      <c r="P288" s="673" t="s">
        <v>1074</v>
      </c>
      <c r="Q288" s="621"/>
      <c r="R288" s="598"/>
      <c r="S288" s="598"/>
      <c r="T288" s="598"/>
      <c r="U288" s="598" t="s">
        <v>1015</v>
      </c>
      <c r="V288" s="673" t="s">
        <v>279</v>
      </c>
      <c r="W288" s="779" t="s">
        <v>3545</v>
      </c>
      <c r="X288" s="598" t="s">
        <v>950</v>
      </c>
      <c r="Y288" s="624">
        <v>21258</v>
      </c>
      <c r="Z288" s="625">
        <f t="shared" ca="1" si="3"/>
        <v>67</v>
      </c>
      <c r="AA288" s="616" t="s">
        <v>3546</v>
      </c>
      <c r="AB288" s="598"/>
      <c r="AC288" s="598" t="s">
        <v>966</v>
      </c>
      <c r="AD288" s="598" t="s">
        <v>953</v>
      </c>
      <c r="AE288" s="616" t="s">
        <v>973</v>
      </c>
      <c r="AF288" s="616" t="s">
        <v>973</v>
      </c>
      <c r="AG288" s="616" t="s">
        <v>3527</v>
      </c>
      <c r="AH288" s="598"/>
      <c r="AI288" s="598"/>
      <c r="AJ288" s="598"/>
      <c r="AK288" s="598" t="s">
        <v>3510</v>
      </c>
      <c r="AL288" s="626"/>
      <c r="AM288" s="626"/>
    </row>
    <row r="289" spans="3:39" ht="18" customHeight="1">
      <c r="C289" s="598">
        <v>269</v>
      </c>
      <c r="D289" s="598" t="s">
        <v>3529</v>
      </c>
      <c r="E289" s="598">
        <f t="shared" si="2"/>
        <v>253</v>
      </c>
      <c r="F289" s="616" t="s">
        <v>1810</v>
      </c>
      <c r="G289" s="616" t="s">
        <v>973</v>
      </c>
      <c r="H289" s="618" t="s">
        <v>3505</v>
      </c>
      <c r="I289" s="618" t="s">
        <v>183</v>
      </c>
      <c r="J289" s="618" t="s">
        <v>3505</v>
      </c>
      <c r="K289" s="618" t="s">
        <v>3505</v>
      </c>
      <c r="L289" s="618" t="s">
        <v>3529</v>
      </c>
      <c r="M289" s="619"/>
      <c r="N289" s="620"/>
      <c r="O289" s="620"/>
      <c r="P289" s="667" t="s">
        <v>1115</v>
      </c>
      <c r="Q289" s="621"/>
      <c r="R289" s="598" t="s">
        <v>69</v>
      </c>
      <c r="S289" s="598" t="s">
        <v>562</v>
      </c>
      <c r="T289" s="598"/>
      <c r="U289" s="598" t="s">
        <v>1015</v>
      </c>
      <c r="V289" s="667" t="s">
        <v>3536</v>
      </c>
      <c r="W289" s="779" t="s">
        <v>3537</v>
      </c>
      <c r="X289" s="598" t="s">
        <v>950</v>
      </c>
      <c r="Y289" s="624">
        <v>20540</v>
      </c>
      <c r="Z289" s="625">
        <f t="shared" ca="1" si="3"/>
        <v>69</v>
      </c>
      <c r="AA289" s="616" t="s">
        <v>3538</v>
      </c>
      <c r="AB289" s="598"/>
      <c r="AC289" s="598" t="s">
        <v>996</v>
      </c>
      <c r="AD289" s="598" t="s">
        <v>997</v>
      </c>
      <c r="AE289" s="616" t="s">
        <v>973</v>
      </c>
      <c r="AF289" s="616" t="s">
        <v>973</v>
      </c>
      <c r="AG289" s="616" t="s">
        <v>3509</v>
      </c>
      <c r="AH289" s="598"/>
      <c r="AI289" s="598"/>
      <c r="AJ289" s="598" t="s">
        <v>1011</v>
      </c>
      <c r="AK289" s="598" t="s">
        <v>3510</v>
      </c>
      <c r="AL289" s="626"/>
      <c r="AM289" s="626"/>
    </row>
    <row r="290" spans="3:39" ht="18" customHeight="1">
      <c r="C290" s="598">
        <v>270</v>
      </c>
      <c r="D290" s="598" t="s">
        <v>3548</v>
      </c>
      <c r="E290" s="598">
        <f t="shared" si="2"/>
        <v>254</v>
      </c>
      <c r="F290" s="616" t="s">
        <v>1810</v>
      </c>
      <c r="G290" s="616" t="s">
        <v>973</v>
      </c>
      <c r="H290" s="618" t="s">
        <v>3505</v>
      </c>
      <c r="I290" s="618" t="s">
        <v>183</v>
      </c>
      <c r="J290" s="618" t="s">
        <v>3505</v>
      </c>
      <c r="K290" s="618" t="s">
        <v>3505</v>
      </c>
      <c r="L290" s="618" t="s">
        <v>3529</v>
      </c>
      <c r="M290" s="619"/>
      <c r="N290" s="620"/>
      <c r="O290" s="620"/>
      <c r="P290" s="663" t="s">
        <v>1115</v>
      </c>
      <c r="Q290" s="621"/>
      <c r="R290" s="598"/>
      <c r="S290" s="598"/>
      <c r="T290" s="598"/>
      <c r="U290" s="598" t="s">
        <v>1090</v>
      </c>
      <c r="V290" s="663" t="s">
        <v>224</v>
      </c>
      <c r="W290" s="779" t="s">
        <v>3549</v>
      </c>
      <c r="X290" s="598" t="s">
        <v>950</v>
      </c>
      <c r="Y290" s="624">
        <v>19980</v>
      </c>
      <c r="Z290" s="625">
        <f t="shared" ca="1" si="3"/>
        <v>71</v>
      </c>
      <c r="AA290" s="616" t="s">
        <v>3550</v>
      </c>
      <c r="AB290" s="598"/>
      <c r="AC290" s="598" t="s">
        <v>996</v>
      </c>
      <c r="AD290" s="598" t="s">
        <v>1018</v>
      </c>
      <c r="AE290" s="616" t="s">
        <v>973</v>
      </c>
      <c r="AF290" s="616" t="s">
        <v>973</v>
      </c>
      <c r="AG290" s="616" t="s">
        <v>3509</v>
      </c>
      <c r="AH290" s="598"/>
      <c r="AI290" s="598"/>
      <c r="AJ290" s="598" t="s">
        <v>1025</v>
      </c>
      <c r="AK290" s="598" t="s">
        <v>3510</v>
      </c>
      <c r="AL290" s="626"/>
      <c r="AM290" s="626"/>
    </row>
    <row r="291" spans="3:39" ht="18" customHeight="1">
      <c r="C291" s="598">
        <v>271</v>
      </c>
      <c r="D291" s="598" t="s">
        <v>3795</v>
      </c>
      <c r="E291" s="598">
        <f t="shared" si="2"/>
        <v>255</v>
      </c>
      <c r="F291" s="616" t="s">
        <v>1810</v>
      </c>
      <c r="G291" s="616" t="s">
        <v>973</v>
      </c>
      <c r="H291" s="618" t="s">
        <v>3505</v>
      </c>
      <c r="I291" s="618" t="s">
        <v>183</v>
      </c>
      <c r="J291" s="618" t="s">
        <v>3505</v>
      </c>
      <c r="K291" s="618" t="s">
        <v>3505</v>
      </c>
      <c r="L291" s="618" t="s">
        <v>3529</v>
      </c>
      <c r="M291" s="619"/>
      <c r="N291" s="620"/>
      <c r="O291" s="620"/>
      <c r="P291" s="663" t="s">
        <v>1115</v>
      </c>
      <c r="Q291" s="621"/>
      <c r="R291" s="598"/>
      <c r="S291" s="598"/>
      <c r="T291" s="598"/>
      <c r="U291" s="598" t="s">
        <v>1090</v>
      </c>
      <c r="V291" s="663" t="s">
        <v>3797</v>
      </c>
      <c r="W291" s="779" t="s">
        <v>3798</v>
      </c>
      <c r="X291" s="598" t="s">
        <v>950</v>
      </c>
      <c r="Y291" s="624">
        <v>19511</v>
      </c>
      <c r="Z291" s="625">
        <f t="shared" ca="1" si="3"/>
        <v>72</v>
      </c>
      <c r="AA291" s="616" t="s">
        <v>3799</v>
      </c>
      <c r="AB291" s="598"/>
      <c r="AC291" s="598" t="s">
        <v>996</v>
      </c>
      <c r="AD291" s="598" t="s">
        <v>1018</v>
      </c>
      <c r="AE291" s="616" t="s">
        <v>973</v>
      </c>
      <c r="AF291" s="616" t="s">
        <v>973</v>
      </c>
      <c r="AG291" s="616" t="s">
        <v>3509</v>
      </c>
      <c r="AH291" s="598" t="s">
        <v>1775</v>
      </c>
      <c r="AI291" s="598" t="s">
        <v>3800</v>
      </c>
      <c r="AJ291" s="598" t="s">
        <v>1025</v>
      </c>
      <c r="AK291" s="598"/>
      <c r="AL291" s="626"/>
      <c r="AM291" s="626"/>
    </row>
    <row r="292" spans="3:39" ht="18" customHeight="1">
      <c r="C292" s="598">
        <v>272</v>
      </c>
      <c r="D292" s="598" t="s">
        <v>3801</v>
      </c>
      <c r="E292" s="598">
        <f t="shared" si="2"/>
        <v>256</v>
      </c>
      <c r="F292" s="616" t="s">
        <v>1810</v>
      </c>
      <c r="G292" s="616" t="s">
        <v>973</v>
      </c>
      <c r="H292" s="618" t="s">
        <v>3505</v>
      </c>
      <c r="I292" s="618" t="s">
        <v>183</v>
      </c>
      <c r="J292" s="618" t="s">
        <v>3505</v>
      </c>
      <c r="K292" s="618" t="s">
        <v>3505</v>
      </c>
      <c r="L292" s="618" t="s">
        <v>3529</v>
      </c>
      <c r="M292" s="619"/>
      <c r="N292" s="620"/>
      <c r="O292" s="620"/>
      <c r="P292" s="663" t="s">
        <v>1115</v>
      </c>
      <c r="Q292" s="621"/>
      <c r="R292" s="598"/>
      <c r="S292" s="598"/>
      <c r="T292" s="598"/>
      <c r="U292" s="598" t="s">
        <v>1090</v>
      </c>
      <c r="V292" s="663" t="s">
        <v>3802</v>
      </c>
      <c r="W292" s="779" t="s">
        <v>3803</v>
      </c>
      <c r="X292" s="598" t="s">
        <v>950</v>
      </c>
      <c r="Y292" s="624">
        <v>12079</v>
      </c>
      <c r="Z292" s="625">
        <f t="shared" ca="1" si="3"/>
        <v>93</v>
      </c>
      <c r="AA292" s="616" t="s">
        <v>3804</v>
      </c>
      <c r="AB292" s="598"/>
      <c r="AC292" s="598" t="s">
        <v>996</v>
      </c>
      <c r="AD292" s="598" t="s">
        <v>997</v>
      </c>
      <c r="AE292" s="616" t="s">
        <v>973</v>
      </c>
      <c r="AF292" s="616" t="s">
        <v>973</v>
      </c>
      <c r="AG292" s="616" t="s">
        <v>3509</v>
      </c>
      <c r="AH292" s="598"/>
      <c r="AI292" s="598" t="s">
        <v>4999</v>
      </c>
      <c r="AJ292" s="598" t="s">
        <v>1011</v>
      </c>
      <c r="AK292" s="598" t="s">
        <v>3806</v>
      </c>
      <c r="AL292" s="626"/>
      <c r="AM292" s="626"/>
    </row>
    <row r="293" spans="3:39" ht="18" customHeight="1">
      <c r="C293" s="598">
        <v>273</v>
      </c>
      <c r="D293" s="598" t="s">
        <v>4657</v>
      </c>
      <c r="E293" s="598">
        <f t="shared" si="2"/>
        <v>257</v>
      </c>
      <c r="F293" s="616" t="s">
        <v>1810</v>
      </c>
      <c r="G293" s="616" t="s">
        <v>973</v>
      </c>
      <c r="H293" s="618" t="s">
        <v>3505</v>
      </c>
      <c r="I293" s="618" t="s">
        <v>183</v>
      </c>
      <c r="J293" s="618" t="s">
        <v>3505</v>
      </c>
      <c r="K293" s="618" t="s">
        <v>3505</v>
      </c>
      <c r="L293" s="618" t="s">
        <v>3529</v>
      </c>
      <c r="M293" s="619"/>
      <c r="N293" s="620"/>
      <c r="O293" s="620"/>
      <c r="P293" s="673" t="s">
        <v>1115</v>
      </c>
      <c r="Q293" s="621"/>
      <c r="R293" s="598"/>
      <c r="S293" s="598"/>
      <c r="T293" s="598"/>
      <c r="U293" s="598" t="s">
        <v>1015</v>
      </c>
      <c r="V293" s="673" t="s">
        <v>4658</v>
      </c>
      <c r="W293" s="779" t="s">
        <v>4659</v>
      </c>
      <c r="X293" s="598" t="s">
        <v>950</v>
      </c>
      <c r="Y293" s="624">
        <v>23752</v>
      </c>
      <c r="Z293" s="625">
        <f t="shared" ca="1" si="3"/>
        <v>61</v>
      </c>
      <c r="AA293" s="616" t="s">
        <v>3804</v>
      </c>
      <c r="AB293" s="598"/>
      <c r="AC293" s="598" t="s">
        <v>996</v>
      </c>
      <c r="AD293" s="598" t="s">
        <v>1018</v>
      </c>
      <c r="AE293" s="616" t="s">
        <v>973</v>
      </c>
      <c r="AF293" s="616" t="s">
        <v>973</v>
      </c>
      <c r="AG293" s="616" t="s">
        <v>3509</v>
      </c>
      <c r="AH293" s="598"/>
      <c r="AI293" s="598" t="s">
        <v>4660</v>
      </c>
      <c r="AJ293" s="598" t="s">
        <v>1011</v>
      </c>
      <c r="AK293" s="598" t="s">
        <v>3806</v>
      </c>
      <c r="AL293" s="626"/>
      <c r="AM293" s="626"/>
    </row>
    <row r="294" spans="3:39" ht="18" customHeight="1">
      <c r="C294" s="598">
        <v>274</v>
      </c>
      <c r="D294" s="598" t="s">
        <v>4397</v>
      </c>
      <c r="E294" s="598">
        <f t="shared" si="2"/>
        <v>257</v>
      </c>
      <c r="F294" s="616"/>
      <c r="G294" s="616" t="s">
        <v>973</v>
      </c>
      <c r="H294" s="618" t="s">
        <v>3505</v>
      </c>
      <c r="I294" s="618" t="s">
        <v>183</v>
      </c>
      <c r="J294" s="618" t="s">
        <v>3505</v>
      </c>
      <c r="K294" s="618" t="s">
        <v>4397</v>
      </c>
      <c r="L294" s="618" t="s">
        <v>3702</v>
      </c>
      <c r="M294" s="619"/>
      <c r="N294" s="620"/>
      <c r="O294" s="620"/>
      <c r="P294" s="667" t="s">
        <v>1127</v>
      </c>
      <c r="Q294" s="621"/>
      <c r="R294" s="598" t="s">
        <v>55</v>
      </c>
      <c r="S294" s="598" t="s">
        <v>178</v>
      </c>
      <c r="T294" s="598"/>
      <c r="U294" s="598"/>
      <c r="V294" s="667" t="s">
        <v>184</v>
      </c>
      <c r="W294" s="779" t="s">
        <v>4398</v>
      </c>
      <c r="X294" s="598" t="s">
        <v>950</v>
      </c>
      <c r="Y294" s="624">
        <v>36505</v>
      </c>
      <c r="Z294" s="625">
        <f t="shared" ca="1" si="3"/>
        <v>26</v>
      </c>
      <c r="AA294" s="616" t="s">
        <v>4399</v>
      </c>
      <c r="AB294" s="598"/>
      <c r="AC294" s="598" t="s">
        <v>996</v>
      </c>
      <c r="AD294" s="598" t="s">
        <v>953</v>
      </c>
      <c r="AE294" s="616" t="s">
        <v>246</v>
      </c>
      <c r="AF294" s="616" t="s">
        <v>954</v>
      </c>
      <c r="AG294" s="616" t="s">
        <v>968</v>
      </c>
      <c r="AH294" s="598" t="s">
        <v>955</v>
      </c>
      <c r="AI294" s="598"/>
      <c r="AJ294" s="598"/>
      <c r="AK294" s="598"/>
      <c r="AL294" s="626"/>
      <c r="AM294" s="626"/>
    </row>
    <row r="295" spans="3:39" ht="18" customHeight="1">
      <c r="C295" s="598">
        <v>275</v>
      </c>
      <c r="D295" s="598" t="s">
        <v>3702</v>
      </c>
      <c r="E295" s="598">
        <f t="shared" si="2"/>
        <v>258</v>
      </c>
      <c r="F295" s="616" t="s">
        <v>1810</v>
      </c>
      <c r="G295" s="616" t="s">
        <v>973</v>
      </c>
      <c r="H295" s="618" t="s">
        <v>3505</v>
      </c>
      <c r="I295" s="618" t="s">
        <v>183</v>
      </c>
      <c r="J295" s="618" t="s">
        <v>3505</v>
      </c>
      <c r="K295" s="618" t="s">
        <v>4397</v>
      </c>
      <c r="L295" s="618" t="s">
        <v>3702</v>
      </c>
      <c r="M295" s="619"/>
      <c r="N295" s="620"/>
      <c r="O295" s="620"/>
      <c r="P295" s="663" t="s">
        <v>1127</v>
      </c>
      <c r="Q295" s="621"/>
      <c r="R295" s="598" t="s">
        <v>69</v>
      </c>
      <c r="S295" s="598" t="s">
        <v>562</v>
      </c>
      <c r="T295" s="598"/>
      <c r="U295" s="598" t="s">
        <v>1015</v>
      </c>
      <c r="V295" s="663" t="s">
        <v>205</v>
      </c>
      <c r="W295" s="779" t="s">
        <v>4661</v>
      </c>
      <c r="X295" s="598" t="s">
        <v>950</v>
      </c>
      <c r="Y295" s="624">
        <v>34934</v>
      </c>
      <c r="Z295" s="625">
        <f t="shared" ca="1" si="3"/>
        <v>30</v>
      </c>
      <c r="AA295" s="616" t="s">
        <v>3706</v>
      </c>
      <c r="AB295" s="598"/>
      <c r="AC295" s="598" t="s">
        <v>996</v>
      </c>
      <c r="AD295" s="598" t="s">
        <v>1018</v>
      </c>
      <c r="AE295" s="616" t="s">
        <v>973</v>
      </c>
      <c r="AF295" s="616" t="s">
        <v>973</v>
      </c>
      <c r="AG295" s="616" t="s">
        <v>3686</v>
      </c>
      <c r="AH295" s="598"/>
      <c r="AI295" s="598"/>
      <c r="AJ295" s="598" t="s">
        <v>1452</v>
      </c>
      <c r="AK295" s="598" t="s">
        <v>3510</v>
      </c>
      <c r="AL295" s="626"/>
      <c r="AM295" s="626"/>
    </row>
    <row r="296" spans="3:39" ht="18" customHeight="1">
      <c r="C296" s="598">
        <v>276</v>
      </c>
      <c r="D296" s="598" t="s">
        <v>3682</v>
      </c>
      <c r="E296" s="598">
        <f t="shared" si="2"/>
        <v>259</v>
      </c>
      <c r="F296" s="616" t="s">
        <v>1810</v>
      </c>
      <c r="G296" s="616" t="s">
        <v>973</v>
      </c>
      <c r="H296" s="618" t="s">
        <v>3505</v>
      </c>
      <c r="I296" s="618" t="s">
        <v>183</v>
      </c>
      <c r="J296" s="618" t="s">
        <v>3505</v>
      </c>
      <c r="K296" s="618" t="s">
        <v>4397</v>
      </c>
      <c r="L296" s="618" t="s">
        <v>3702</v>
      </c>
      <c r="M296" s="619"/>
      <c r="N296" s="620"/>
      <c r="O296" s="620"/>
      <c r="P296" s="663" t="s">
        <v>1127</v>
      </c>
      <c r="Q296" s="621"/>
      <c r="R296" s="598"/>
      <c r="S296" s="598"/>
      <c r="T296" s="598"/>
      <c r="U296" s="598" t="s">
        <v>992</v>
      </c>
      <c r="V296" s="663" t="s">
        <v>225</v>
      </c>
      <c r="W296" s="779" t="s">
        <v>3683</v>
      </c>
      <c r="X296" s="598" t="s">
        <v>950</v>
      </c>
      <c r="Y296" s="624">
        <v>34898</v>
      </c>
      <c r="Z296" s="625">
        <f t="shared" ca="1" si="3"/>
        <v>30</v>
      </c>
      <c r="AA296" s="616" t="s">
        <v>3684</v>
      </c>
      <c r="AB296" s="598"/>
      <c r="AC296" s="598" t="s">
        <v>996</v>
      </c>
      <c r="AD296" s="598" t="s">
        <v>1018</v>
      </c>
      <c r="AE296" s="616" t="s">
        <v>973</v>
      </c>
      <c r="AF296" s="616" t="s">
        <v>973</v>
      </c>
      <c r="AG296" s="616" t="s">
        <v>3686</v>
      </c>
      <c r="AH296" s="598"/>
      <c r="AI296" s="598"/>
      <c r="AJ296" s="598" t="s">
        <v>1452</v>
      </c>
      <c r="AK296" s="598" t="s">
        <v>3510</v>
      </c>
      <c r="AL296" s="626"/>
      <c r="AM296" s="626"/>
    </row>
    <row r="297" spans="3:39" ht="18" customHeight="1">
      <c r="C297" s="598">
        <v>277</v>
      </c>
      <c r="D297" s="598" t="s">
        <v>3687</v>
      </c>
      <c r="E297" s="598">
        <f t="shared" si="2"/>
        <v>260</v>
      </c>
      <c r="F297" s="616" t="s">
        <v>1810</v>
      </c>
      <c r="G297" s="616" t="s">
        <v>973</v>
      </c>
      <c r="H297" s="618" t="s">
        <v>3505</v>
      </c>
      <c r="I297" s="618" t="s">
        <v>183</v>
      </c>
      <c r="J297" s="618" t="s">
        <v>3505</v>
      </c>
      <c r="K297" s="618" t="s">
        <v>4397</v>
      </c>
      <c r="L297" s="618" t="s">
        <v>3702</v>
      </c>
      <c r="M297" s="619"/>
      <c r="N297" s="620"/>
      <c r="O297" s="620"/>
      <c r="P297" s="663" t="s">
        <v>1127</v>
      </c>
      <c r="Q297" s="621"/>
      <c r="R297" s="598"/>
      <c r="S297" s="598"/>
      <c r="T297" s="598"/>
      <c r="U297" s="598" t="s">
        <v>992</v>
      </c>
      <c r="V297" s="663" t="s">
        <v>244</v>
      </c>
      <c r="W297" s="779" t="s">
        <v>3688</v>
      </c>
      <c r="X297" s="598" t="s">
        <v>950</v>
      </c>
      <c r="Y297" s="624">
        <v>38176</v>
      </c>
      <c r="Z297" s="625">
        <f t="shared" ca="1" si="3"/>
        <v>21</v>
      </c>
      <c r="AA297" s="616" t="s">
        <v>3689</v>
      </c>
      <c r="AB297" s="598"/>
      <c r="AC297" s="598" t="s">
        <v>996</v>
      </c>
      <c r="AD297" s="598" t="s">
        <v>1018</v>
      </c>
      <c r="AE297" s="616" t="s">
        <v>973</v>
      </c>
      <c r="AF297" s="616" t="s">
        <v>973</v>
      </c>
      <c r="AG297" s="616" t="s">
        <v>3691</v>
      </c>
      <c r="AH297" s="598"/>
      <c r="AI297" s="598"/>
      <c r="AJ297" s="598" t="s">
        <v>1452</v>
      </c>
      <c r="AK297" s="598" t="s">
        <v>3510</v>
      </c>
      <c r="AL297" s="626"/>
      <c r="AM297" s="626"/>
    </row>
    <row r="298" spans="3:39" ht="18" customHeight="1">
      <c r="C298" s="598">
        <v>278</v>
      </c>
      <c r="D298" s="598" t="s">
        <v>4149</v>
      </c>
      <c r="E298" s="598">
        <f t="shared" si="2"/>
        <v>261</v>
      </c>
      <c r="F298" s="616" t="s">
        <v>3808</v>
      </c>
      <c r="G298" s="616" t="s">
        <v>973</v>
      </c>
      <c r="H298" s="618" t="s">
        <v>3505</v>
      </c>
      <c r="I298" s="618" t="s">
        <v>183</v>
      </c>
      <c r="J298" s="618" t="s">
        <v>3505</v>
      </c>
      <c r="K298" s="618" t="s">
        <v>4397</v>
      </c>
      <c r="L298" s="618" t="s">
        <v>3702</v>
      </c>
      <c r="M298" s="619"/>
      <c r="N298" s="620"/>
      <c r="O298" s="620"/>
      <c r="P298" s="663" t="s">
        <v>1127</v>
      </c>
      <c r="Q298" s="621" t="s">
        <v>319</v>
      </c>
      <c r="R298" s="598"/>
      <c r="S298" s="598"/>
      <c r="T298" s="598"/>
      <c r="U298" s="598" t="s">
        <v>992</v>
      </c>
      <c r="V298" s="663" t="s">
        <v>280</v>
      </c>
      <c r="W298" s="779" t="s">
        <v>4150</v>
      </c>
      <c r="X298" s="598" t="s">
        <v>950</v>
      </c>
      <c r="Y298" s="624">
        <v>38937</v>
      </c>
      <c r="Z298" s="625">
        <f t="shared" ca="1" si="3"/>
        <v>19</v>
      </c>
      <c r="AA298" s="616" t="s">
        <v>4151</v>
      </c>
      <c r="AB298" s="598"/>
      <c r="AC298" s="598" t="s">
        <v>996</v>
      </c>
      <c r="AD298" s="598" t="s">
        <v>1018</v>
      </c>
      <c r="AE298" s="616" t="s">
        <v>246</v>
      </c>
      <c r="AF298" s="616" t="s">
        <v>246</v>
      </c>
      <c r="AG298" s="616" t="s">
        <v>3815</v>
      </c>
      <c r="AH298" s="598"/>
      <c r="AI298" s="598"/>
      <c r="AJ298" s="700" t="s">
        <v>1446</v>
      </c>
      <c r="AK298" s="598"/>
      <c r="AL298" s="626"/>
      <c r="AM298" s="626"/>
    </row>
    <row r="299" spans="3:39" ht="18" customHeight="1">
      <c r="C299" s="598">
        <v>279</v>
      </c>
      <c r="D299" s="598" t="s">
        <v>4662</v>
      </c>
      <c r="E299" s="598">
        <f t="shared" si="2"/>
        <v>262</v>
      </c>
      <c r="F299" s="616" t="s">
        <v>1810</v>
      </c>
      <c r="G299" s="616" t="s">
        <v>973</v>
      </c>
      <c r="H299" s="618" t="s">
        <v>3505</v>
      </c>
      <c r="I299" s="618" t="s">
        <v>183</v>
      </c>
      <c r="J299" s="618" t="s">
        <v>3505</v>
      </c>
      <c r="K299" s="618" t="s">
        <v>4397</v>
      </c>
      <c r="L299" s="618" t="s">
        <v>3702</v>
      </c>
      <c r="M299" s="619"/>
      <c r="N299" s="620"/>
      <c r="O299" s="620"/>
      <c r="P299" s="673" t="s">
        <v>1127</v>
      </c>
      <c r="Q299" s="621"/>
      <c r="R299" s="598"/>
      <c r="S299" s="598"/>
      <c r="T299" s="598"/>
      <c r="U299" s="598" t="s">
        <v>1015</v>
      </c>
      <c r="V299" s="673" t="s">
        <v>4663</v>
      </c>
      <c r="W299" s="779" t="s">
        <v>4664</v>
      </c>
      <c r="X299" s="598" t="s">
        <v>950</v>
      </c>
      <c r="Y299" s="624">
        <v>33443</v>
      </c>
      <c r="Z299" s="625">
        <f t="shared" ca="1" si="3"/>
        <v>34</v>
      </c>
      <c r="AA299" s="616" t="s">
        <v>4665</v>
      </c>
      <c r="AB299" s="598"/>
      <c r="AC299" s="598" t="s">
        <v>996</v>
      </c>
      <c r="AD299" s="598" t="s">
        <v>1018</v>
      </c>
      <c r="AE299" s="616" t="s">
        <v>973</v>
      </c>
      <c r="AF299" s="616" t="s">
        <v>973</v>
      </c>
      <c r="AG299" s="616" t="s">
        <v>4666</v>
      </c>
      <c r="AH299" s="598"/>
      <c r="AI299" s="598" t="s">
        <v>4667</v>
      </c>
      <c r="AJ299" s="598" t="s">
        <v>1452</v>
      </c>
      <c r="AK299" s="598" t="s">
        <v>4607</v>
      </c>
      <c r="AL299" s="626"/>
      <c r="AM299" s="626"/>
    </row>
    <row r="300" spans="3:39" ht="18" customHeight="1">
      <c r="C300" s="598">
        <v>280</v>
      </c>
      <c r="D300" s="598" t="s">
        <v>3708</v>
      </c>
      <c r="E300" s="598">
        <f t="shared" si="2"/>
        <v>262</v>
      </c>
      <c r="F300" s="616"/>
      <c r="G300" s="616" t="s">
        <v>3713</v>
      </c>
      <c r="H300" s="618" t="s">
        <v>3505</v>
      </c>
      <c r="I300" s="618"/>
      <c r="J300" s="618" t="s">
        <v>1195</v>
      </c>
      <c r="K300" s="618"/>
      <c r="L300" s="618" t="s">
        <v>959</v>
      </c>
      <c r="M300" s="619"/>
      <c r="N300" s="620"/>
      <c r="O300" s="620"/>
      <c r="P300" s="667" t="s">
        <v>1044</v>
      </c>
      <c r="Q300" s="621"/>
      <c r="R300" s="598" t="s">
        <v>173</v>
      </c>
      <c r="S300" s="598" t="s">
        <v>514</v>
      </c>
      <c r="T300" s="598" t="s">
        <v>55</v>
      </c>
      <c r="U300" s="598"/>
      <c r="V300" s="667" t="s">
        <v>203</v>
      </c>
      <c r="W300" s="779" t="s">
        <v>3709</v>
      </c>
      <c r="X300" s="598" t="s">
        <v>950</v>
      </c>
      <c r="Y300" s="624">
        <v>20911</v>
      </c>
      <c r="Z300" s="625">
        <f t="shared" ca="1" si="3"/>
        <v>68</v>
      </c>
      <c r="AA300" s="616" t="s">
        <v>3710</v>
      </c>
      <c r="AB300" s="598"/>
      <c r="AC300" s="598" t="s">
        <v>966</v>
      </c>
      <c r="AD300" s="598" t="s">
        <v>953</v>
      </c>
      <c r="AE300" s="616" t="s">
        <v>973</v>
      </c>
      <c r="AF300" s="616" t="s">
        <v>973</v>
      </c>
      <c r="AG300" s="616" t="s">
        <v>3509</v>
      </c>
      <c r="AH300" s="598" t="s">
        <v>955</v>
      </c>
      <c r="AI300" s="598"/>
      <c r="AJ300" s="598"/>
      <c r="AK300" s="598"/>
      <c r="AL300" s="626"/>
      <c r="AM300" s="626"/>
    </row>
    <row r="301" spans="3:39" ht="18" customHeight="1">
      <c r="C301" s="598">
        <v>281</v>
      </c>
      <c r="D301" s="598" t="s">
        <v>3560</v>
      </c>
      <c r="E301" s="598">
        <f t="shared" si="2"/>
        <v>263</v>
      </c>
      <c r="F301" s="616" t="s">
        <v>4978</v>
      </c>
      <c r="G301" s="616" t="s">
        <v>3713</v>
      </c>
      <c r="H301" s="618" t="s">
        <v>3505</v>
      </c>
      <c r="I301" s="618" t="s">
        <v>203</v>
      </c>
      <c r="J301" s="618" t="s">
        <v>3708</v>
      </c>
      <c r="K301" s="618" t="s">
        <v>3708</v>
      </c>
      <c r="L301" s="618" t="s">
        <v>3560</v>
      </c>
      <c r="M301" s="619"/>
      <c r="N301" s="620"/>
      <c r="O301" s="620"/>
      <c r="P301" s="663" t="s">
        <v>1044</v>
      </c>
      <c r="Q301" s="621" t="s">
        <v>319</v>
      </c>
      <c r="R301" s="598" t="s">
        <v>69</v>
      </c>
      <c r="S301" s="598" t="s">
        <v>562</v>
      </c>
      <c r="T301" s="598"/>
      <c r="U301" s="598" t="s">
        <v>1015</v>
      </c>
      <c r="V301" s="663" t="s">
        <v>350</v>
      </c>
      <c r="W301" s="779" t="s">
        <v>3565</v>
      </c>
      <c r="X301" s="598" t="s">
        <v>950</v>
      </c>
      <c r="Y301" s="624">
        <v>22722</v>
      </c>
      <c r="Z301" s="625">
        <f t="shared" ca="1" si="3"/>
        <v>63</v>
      </c>
      <c r="AA301" s="616" t="s">
        <v>3566</v>
      </c>
      <c r="AB301" s="598"/>
      <c r="AC301" s="598" t="s">
        <v>996</v>
      </c>
      <c r="AD301" s="598" t="s">
        <v>1018</v>
      </c>
      <c r="AE301" s="616" t="s">
        <v>1078</v>
      </c>
      <c r="AF301" s="616" t="s">
        <v>1078</v>
      </c>
      <c r="AG301" s="616" t="s">
        <v>3568</v>
      </c>
      <c r="AH301" s="598"/>
      <c r="AI301" s="598"/>
      <c r="AJ301" s="598" t="s">
        <v>1318</v>
      </c>
      <c r="AK301" s="598"/>
      <c r="AL301" s="626"/>
      <c r="AM301" s="626"/>
    </row>
    <row r="302" spans="3:39" ht="18" customHeight="1">
      <c r="C302" s="598">
        <v>282</v>
      </c>
      <c r="D302" s="598" t="s">
        <v>3712</v>
      </c>
      <c r="E302" s="598">
        <f t="shared" si="2"/>
        <v>264</v>
      </c>
      <c r="F302" s="616" t="s">
        <v>1810</v>
      </c>
      <c r="G302" s="616" t="s">
        <v>3713</v>
      </c>
      <c r="H302" s="618" t="s">
        <v>3505</v>
      </c>
      <c r="I302" s="618" t="s">
        <v>203</v>
      </c>
      <c r="J302" s="618" t="s">
        <v>3708</v>
      </c>
      <c r="K302" s="618" t="s">
        <v>3708</v>
      </c>
      <c r="L302" s="618" t="s">
        <v>3560</v>
      </c>
      <c r="M302" s="619"/>
      <c r="N302" s="620"/>
      <c r="O302" s="620"/>
      <c r="P302" s="663" t="s">
        <v>1044</v>
      </c>
      <c r="Q302" s="621" t="s">
        <v>319</v>
      </c>
      <c r="R302" s="598"/>
      <c r="S302" s="598"/>
      <c r="T302" s="598"/>
      <c r="U302" s="598" t="s">
        <v>1015</v>
      </c>
      <c r="V302" s="663" t="s">
        <v>3716</v>
      </c>
      <c r="W302" s="779" t="s">
        <v>3717</v>
      </c>
      <c r="X302" s="598" t="s">
        <v>950</v>
      </c>
      <c r="Y302" s="624">
        <v>21722</v>
      </c>
      <c r="Z302" s="625">
        <f t="shared" ca="1" si="3"/>
        <v>66</v>
      </c>
      <c r="AA302" s="616" t="s">
        <v>3718</v>
      </c>
      <c r="AB302" s="598"/>
      <c r="AC302" s="598" t="s">
        <v>996</v>
      </c>
      <c r="AD302" s="598" t="s">
        <v>1018</v>
      </c>
      <c r="AE302" s="616" t="s">
        <v>1078</v>
      </c>
      <c r="AF302" s="616" t="s">
        <v>1078</v>
      </c>
      <c r="AG302" s="616" t="s">
        <v>3593</v>
      </c>
      <c r="AH302" s="598"/>
      <c r="AI302" s="598"/>
      <c r="AJ302" s="598" t="s">
        <v>1107</v>
      </c>
      <c r="AK302" s="598" t="s">
        <v>3510</v>
      </c>
      <c r="AL302" s="626"/>
      <c r="AM302" s="626"/>
    </row>
    <row r="303" spans="3:39" ht="18" customHeight="1">
      <c r="C303" s="598">
        <v>283</v>
      </c>
      <c r="D303" s="598" t="s">
        <v>3588</v>
      </c>
      <c r="E303" s="598">
        <f t="shared" si="2"/>
        <v>265</v>
      </c>
      <c r="F303" s="616" t="s">
        <v>1810</v>
      </c>
      <c r="G303" s="616" t="s">
        <v>3713</v>
      </c>
      <c r="H303" s="618" t="s">
        <v>3505</v>
      </c>
      <c r="I303" s="618" t="s">
        <v>203</v>
      </c>
      <c r="J303" s="618" t="s">
        <v>3708</v>
      </c>
      <c r="K303" s="618" t="s">
        <v>3708</v>
      </c>
      <c r="L303" s="618" t="s">
        <v>3560</v>
      </c>
      <c r="M303" s="619"/>
      <c r="N303" s="620"/>
      <c r="O303" s="620"/>
      <c r="P303" s="663" t="s">
        <v>1044</v>
      </c>
      <c r="Q303" s="621" t="s">
        <v>319</v>
      </c>
      <c r="R303" s="598"/>
      <c r="S303" s="598"/>
      <c r="T303" s="598"/>
      <c r="U303" s="598" t="s">
        <v>1015</v>
      </c>
      <c r="V303" s="663" t="s">
        <v>3589</v>
      </c>
      <c r="W303" s="779" t="s">
        <v>3590</v>
      </c>
      <c r="X303" s="598" t="s">
        <v>950</v>
      </c>
      <c r="Y303" s="624">
        <v>22447</v>
      </c>
      <c r="Z303" s="625">
        <f t="shared" ca="1" si="3"/>
        <v>64</v>
      </c>
      <c r="AA303" s="616" t="s">
        <v>3591</v>
      </c>
      <c r="AB303" s="598"/>
      <c r="AC303" s="598" t="s">
        <v>996</v>
      </c>
      <c r="AD303" s="598" t="s">
        <v>1018</v>
      </c>
      <c r="AE303" s="616" t="s">
        <v>1078</v>
      </c>
      <c r="AF303" s="616" t="s">
        <v>1078</v>
      </c>
      <c r="AG303" s="616" t="s">
        <v>3593</v>
      </c>
      <c r="AH303" s="598"/>
      <c r="AI303" s="598"/>
      <c r="AJ303" s="598" t="s">
        <v>1107</v>
      </c>
      <c r="AK303" s="598" t="s">
        <v>3510</v>
      </c>
      <c r="AL303" s="626"/>
      <c r="AM303" s="626"/>
    </row>
    <row r="304" spans="3:39" ht="18" customHeight="1">
      <c r="C304" s="598">
        <v>284</v>
      </c>
      <c r="D304" s="598" t="s">
        <v>3584</v>
      </c>
      <c r="E304" s="598">
        <f t="shared" si="2"/>
        <v>266</v>
      </c>
      <c r="F304" s="616" t="s">
        <v>1810</v>
      </c>
      <c r="G304" s="616" t="s">
        <v>3713</v>
      </c>
      <c r="H304" s="618" t="s">
        <v>3505</v>
      </c>
      <c r="I304" s="618" t="s">
        <v>203</v>
      </c>
      <c r="J304" s="618" t="s">
        <v>3708</v>
      </c>
      <c r="K304" s="618" t="s">
        <v>3708</v>
      </c>
      <c r="L304" s="618" t="s">
        <v>3560</v>
      </c>
      <c r="M304" s="619"/>
      <c r="N304" s="620"/>
      <c r="O304" s="620"/>
      <c r="P304" s="663" t="s">
        <v>1044</v>
      </c>
      <c r="Q304" s="621" t="s">
        <v>319</v>
      </c>
      <c r="R304" s="598"/>
      <c r="S304" s="598"/>
      <c r="T304" s="598"/>
      <c r="U304" s="598" t="s">
        <v>1015</v>
      </c>
      <c r="V304" s="663" t="s">
        <v>391</v>
      </c>
      <c r="W304" s="779" t="s">
        <v>3585</v>
      </c>
      <c r="X304" s="598" t="s">
        <v>950</v>
      </c>
      <c r="Y304" s="624">
        <v>28584</v>
      </c>
      <c r="Z304" s="625">
        <f t="shared" ca="1" si="3"/>
        <v>47</v>
      </c>
      <c r="AA304" s="616" t="s">
        <v>3586</v>
      </c>
      <c r="AB304" s="598"/>
      <c r="AC304" s="598" t="s">
        <v>996</v>
      </c>
      <c r="AD304" s="598" t="s">
        <v>1018</v>
      </c>
      <c r="AE304" s="616" t="s">
        <v>1078</v>
      </c>
      <c r="AF304" s="616" t="s">
        <v>1078</v>
      </c>
      <c r="AG304" s="616" t="s">
        <v>3578</v>
      </c>
      <c r="AH304" s="598"/>
      <c r="AI304" s="598"/>
      <c r="AJ304" s="598" t="s">
        <v>1107</v>
      </c>
      <c r="AK304" s="598" t="s">
        <v>3510</v>
      </c>
      <c r="AL304" s="626"/>
      <c r="AM304" s="626"/>
    </row>
    <row r="305" spans="3:39" ht="18" customHeight="1">
      <c r="C305" s="598">
        <v>285</v>
      </c>
      <c r="D305" s="598" t="s">
        <v>3594</v>
      </c>
      <c r="E305" s="598">
        <f t="shared" si="2"/>
        <v>267</v>
      </c>
      <c r="F305" s="616" t="s">
        <v>4978</v>
      </c>
      <c r="G305" s="616" t="s">
        <v>3713</v>
      </c>
      <c r="H305" s="618" t="s">
        <v>3505</v>
      </c>
      <c r="I305" s="618" t="s">
        <v>203</v>
      </c>
      <c r="J305" s="618" t="s">
        <v>3708</v>
      </c>
      <c r="K305" s="618" t="s">
        <v>3708</v>
      </c>
      <c r="L305" s="618" t="s">
        <v>3560</v>
      </c>
      <c r="M305" s="619"/>
      <c r="N305" s="620"/>
      <c r="O305" s="620"/>
      <c r="P305" s="663" t="s">
        <v>1044</v>
      </c>
      <c r="Q305" s="621" t="s">
        <v>319</v>
      </c>
      <c r="R305" s="598"/>
      <c r="S305" s="598"/>
      <c r="T305" s="598"/>
      <c r="U305" s="598" t="s">
        <v>1015</v>
      </c>
      <c r="V305" s="663" t="s">
        <v>416</v>
      </c>
      <c r="W305" s="779" t="s">
        <v>3595</v>
      </c>
      <c r="X305" s="598" t="s">
        <v>950</v>
      </c>
      <c r="Y305" s="624">
        <v>26312</v>
      </c>
      <c r="Z305" s="625">
        <f t="shared" ca="1" si="3"/>
        <v>54</v>
      </c>
      <c r="AA305" s="616" t="s">
        <v>3596</v>
      </c>
      <c r="AB305" s="598"/>
      <c r="AC305" s="598" t="s">
        <v>996</v>
      </c>
      <c r="AD305" s="598" t="s">
        <v>1018</v>
      </c>
      <c r="AE305" s="616" t="s">
        <v>1078</v>
      </c>
      <c r="AF305" s="616" t="s">
        <v>1078</v>
      </c>
      <c r="AG305" s="616" t="s">
        <v>3578</v>
      </c>
      <c r="AH305" s="598"/>
      <c r="AI305" s="598"/>
      <c r="AJ305" s="598" t="s">
        <v>1318</v>
      </c>
      <c r="AK305" s="598"/>
      <c r="AL305" s="626"/>
      <c r="AM305" s="626"/>
    </row>
    <row r="306" spans="3:39" ht="18" customHeight="1">
      <c r="C306" s="598">
        <v>286</v>
      </c>
      <c r="D306" s="598" t="s">
        <v>4668</v>
      </c>
      <c r="E306" s="598">
        <f t="shared" si="2"/>
        <v>268</v>
      </c>
      <c r="F306" s="616" t="s">
        <v>4978</v>
      </c>
      <c r="G306" s="616" t="s">
        <v>3713</v>
      </c>
      <c r="H306" s="618" t="s">
        <v>3505</v>
      </c>
      <c r="I306" s="618" t="s">
        <v>203</v>
      </c>
      <c r="J306" s="618" t="s">
        <v>3708</v>
      </c>
      <c r="K306" s="618" t="s">
        <v>3708</v>
      </c>
      <c r="L306" s="618" t="s">
        <v>3560</v>
      </c>
      <c r="M306" s="619"/>
      <c r="N306" s="620"/>
      <c r="O306" s="620"/>
      <c r="P306" s="673" t="s">
        <v>1044</v>
      </c>
      <c r="Q306" s="621" t="s">
        <v>319</v>
      </c>
      <c r="R306" s="598"/>
      <c r="S306" s="598"/>
      <c r="T306" s="598"/>
      <c r="U306" s="598" t="s">
        <v>1015</v>
      </c>
      <c r="V306" s="673" t="s">
        <v>405</v>
      </c>
      <c r="W306" s="779" t="s">
        <v>4669</v>
      </c>
      <c r="X306" s="598" t="s">
        <v>950</v>
      </c>
      <c r="Y306" s="624">
        <v>21826</v>
      </c>
      <c r="Z306" s="625">
        <f t="shared" ca="1" si="3"/>
        <v>66</v>
      </c>
      <c r="AA306" s="616" t="s">
        <v>4670</v>
      </c>
      <c r="AB306" s="598"/>
      <c r="AC306" s="598" t="s">
        <v>996</v>
      </c>
      <c r="AD306" s="598" t="s">
        <v>1018</v>
      </c>
      <c r="AE306" s="616" t="s">
        <v>1375</v>
      </c>
      <c r="AF306" s="616" t="s">
        <v>1375</v>
      </c>
      <c r="AG306" s="616" t="s">
        <v>4671</v>
      </c>
      <c r="AH306" s="598"/>
      <c r="AI306" s="598" t="s">
        <v>1019</v>
      </c>
      <c r="AJ306" s="598" t="s">
        <v>1318</v>
      </c>
      <c r="AK306" s="598"/>
      <c r="AL306" s="626"/>
      <c r="AM306" s="626"/>
    </row>
    <row r="307" spans="3:39" ht="18" customHeight="1">
      <c r="C307" s="598">
        <v>287</v>
      </c>
      <c r="D307" s="598" t="s">
        <v>4169</v>
      </c>
      <c r="E307" s="598">
        <f t="shared" si="2"/>
        <v>268</v>
      </c>
      <c r="F307" s="616"/>
      <c r="G307" s="616" t="s">
        <v>3713</v>
      </c>
      <c r="H307" s="618" t="s">
        <v>3505</v>
      </c>
      <c r="I307" s="618" t="s">
        <v>203</v>
      </c>
      <c r="J307" s="618" t="s">
        <v>3708</v>
      </c>
      <c r="K307" s="618" t="s">
        <v>4169</v>
      </c>
      <c r="L307" s="618" t="s">
        <v>3667</v>
      </c>
      <c r="M307" s="619"/>
      <c r="N307" s="620"/>
      <c r="O307" s="620"/>
      <c r="P307" s="667" t="s">
        <v>1074</v>
      </c>
      <c r="Q307" s="621"/>
      <c r="R307" s="598" t="s">
        <v>55</v>
      </c>
      <c r="S307" s="598" t="s">
        <v>178</v>
      </c>
      <c r="T307" s="598"/>
      <c r="U307" s="598"/>
      <c r="V307" s="667" t="s">
        <v>241</v>
      </c>
      <c r="W307" s="779" t="s">
        <v>4170</v>
      </c>
      <c r="X307" s="598" t="s">
        <v>950</v>
      </c>
      <c r="Y307" s="624">
        <v>25211</v>
      </c>
      <c r="Z307" s="625">
        <f t="shared" ca="1" si="3"/>
        <v>57</v>
      </c>
      <c r="AA307" s="616" t="s">
        <v>4171</v>
      </c>
      <c r="AB307" s="598"/>
      <c r="AC307" s="598" t="s">
        <v>966</v>
      </c>
      <c r="AD307" s="598" t="s">
        <v>953</v>
      </c>
      <c r="AE307" s="616" t="s">
        <v>973</v>
      </c>
      <c r="AF307" s="616" t="s">
        <v>973</v>
      </c>
      <c r="AG307" s="616" t="s">
        <v>3509</v>
      </c>
      <c r="AH307" s="598" t="s">
        <v>955</v>
      </c>
      <c r="AI307" s="598"/>
      <c r="AJ307" s="598"/>
      <c r="AK307" s="598"/>
      <c r="AL307" s="626"/>
      <c r="AM307" s="626"/>
    </row>
    <row r="308" spans="3:39" ht="18" customHeight="1">
      <c r="C308" s="598">
        <v>288</v>
      </c>
      <c r="D308" s="598" t="s">
        <v>3667</v>
      </c>
      <c r="E308" s="598">
        <f t="shared" si="2"/>
        <v>269</v>
      </c>
      <c r="F308" s="616" t="s">
        <v>1810</v>
      </c>
      <c r="G308" s="616" t="s">
        <v>3713</v>
      </c>
      <c r="H308" s="618" t="s">
        <v>3505</v>
      </c>
      <c r="I308" s="618" t="s">
        <v>203</v>
      </c>
      <c r="J308" s="618" t="s">
        <v>3708</v>
      </c>
      <c r="K308" s="618" t="s">
        <v>4169</v>
      </c>
      <c r="L308" s="618" t="s">
        <v>3667</v>
      </c>
      <c r="M308" s="619"/>
      <c r="N308" s="620"/>
      <c r="O308" s="620"/>
      <c r="P308" s="663" t="s">
        <v>1074</v>
      </c>
      <c r="Q308" s="621"/>
      <c r="R308" s="598" t="s">
        <v>69</v>
      </c>
      <c r="S308" s="598" t="s">
        <v>562</v>
      </c>
      <c r="T308" s="598"/>
      <c r="U308" s="598" t="s">
        <v>992</v>
      </c>
      <c r="V308" s="663" t="s">
        <v>3670</v>
      </c>
      <c r="W308" s="779" t="s">
        <v>3671</v>
      </c>
      <c r="X308" s="598" t="s">
        <v>950</v>
      </c>
      <c r="Y308" s="624">
        <v>34119</v>
      </c>
      <c r="Z308" s="625">
        <f t="shared" ca="1" si="3"/>
        <v>32</v>
      </c>
      <c r="AA308" s="616" t="s">
        <v>3672</v>
      </c>
      <c r="AB308" s="598"/>
      <c r="AC308" s="598" t="s">
        <v>996</v>
      </c>
      <c r="AD308" s="598" t="s">
        <v>1018</v>
      </c>
      <c r="AE308" s="616" t="s">
        <v>973</v>
      </c>
      <c r="AF308" s="616" t="s">
        <v>973</v>
      </c>
      <c r="AG308" s="616" t="s">
        <v>3519</v>
      </c>
      <c r="AH308" s="598"/>
      <c r="AI308" s="598"/>
      <c r="AJ308" s="598" t="s">
        <v>1114</v>
      </c>
      <c r="AK308" s="598" t="s">
        <v>3510</v>
      </c>
      <c r="AL308" s="626"/>
      <c r="AM308" s="626"/>
    </row>
    <row r="309" spans="3:39" ht="18" customHeight="1">
      <c r="C309" s="598">
        <v>289</v>
      </c>
      <c r="D309" s="598" t="s">
        <v>4672</v>
      </c>
      <c r="E309" s="598">
        <f t="shared" si="2"/>
        <v>270</v>
      </c>
      <c r="F309" s="616" t="s">
        <v>1810</v>
      </c>
      <c r="G309" s="616" t="s">
        <v>3713</v>
      </c>
      <c r="H309" s="618" t="s">
        <v>3505</v>
      </c>
      <c r="I309" s="618" t="s">
        <v>203</v>
      </c>
      <c r="J309" s="618" t="s">
        <v>3708</v>
      </c>
      <c r="K309" s="618" t="s">
        <v>4169</v>
      </c>
      <c r="L309" s="618" t="s">
        <v>3667</v>
      </c>
      <c r="M309" s="619"/>
      <c r="N309" s="620"/>
      <c r="O309" s="620"/>
      <c r="P309" s="663" t="s">
        <v>1074</v>
      </c>
      <c r="Q309" s="621"/>
      <c r="R309" s="598"/>
      <c r="S309" s="598"/>
      <c r="T309" s="598"/>
      <c r="U309" s="598" t="s">
        <v>1015</v>
      </c>
      <c r="V309" s="663" t="s">
        <v>4673</v>
      </c>
      <c r="W309" s="779" t="s">
        <v>4674</v>
      </c>
      <c r="X309" s="598" t="s">
        <v>950</v>
      </c>
      <c r="Y309" s="624">
        <v>33793</v>
      </c>
      <c r="Z309" s="625">
        <f t="shared" ca="1" si="3"/>
        <v>33</v>
      </c>
      <c r="AA309" s="616" t="s">
        <v>4675</v>
      </c>
      <c r="AB309" s="598"/>
      <c r="AC309" s="598" t="s">
        <v>996</v>
      </c>
      <c r="AD309" s="598" t="s">
        <v>1018</v>
      </c>
      <c r="AE309" s="616" t="s">
        <v>1078</v>
      </c>
      <c r="AF309" s="616" t="s">
        <v>1078</v>
      </c>
      <c r="AG309" s="616" t="s">
        <v>4676</v>
      </c>
      <c r="AH309" s="598"/>
      <c r="AI309" s="598"/>
      <c r="AJ309" s="598" t="s">
        <v>1114</v>
      </c>
      <c r="AK309" s="598" t="s">
        <v>3510</v>
      </c>
      <c r="AL309" s="626"/>
      <c r="AM309" s="626"/>
    </row>
    <row r="310" spans="3:39" ht="18" customHeight="1">
      <c r="C310" s="598">
        <v>290</v>
      </c>
      <c r="D310" s="598" t="s">
        <v>3662</v>
      </c>
      <c r="E310" s="598">
        <f t="shared" si="2"/>
        <v>271</v>
      </c>
      <c r="F310" s="616" t="s">
        <v>1810</v>
      </c>
      <c r="G310" s="616" t="s">
        <v>3713</v>
      </c>
      <c r="H310" s="618" t="s">
        <v>3505</v>
      </c>
      <c r="I310" s="618" t="s">
        <v>203</v>
      </c>
      <c r="J310" s="618" t="s">
        <v>3708</v>
      </c>
      <c r="K310" s="618" t="s">
        <v>4169</v>
      </c>
      <c r="L310" s="618" t="s">
        <v>3667</v>
      </c>
      <c r="M310" s="619"/>
      <c r="N310" s="620"/>
      <c r="O310" s="620"/>
      <c r="P310" s="663" t="s">
        <v>1074</v>
      </c>
      <c r="Q310" s="621"/>
      <c r="R310" s="598"/>
      <c r="S310" s="598"/>
      <c r="T310" s="598"/>
      <c r="U310" s="598" t="s">
        <v>1015</v>
      </c>
      <c r="V310" s="663" t="s">
        <v>3663</v>
      </c>
      <c r="W310" s="779" t="s">
        <v>3664</v>
      </c>
      <c r="X310" s="598" t="s">
        <v>950</v>
      </c>
      <c r="Y310" s="624">
        <v>34240</v>
      </c>
      <c r="Z310" s="625">
        <f t="shared" ca="1" si="3"/>
        <v>32</v>
      </c>
      <c r="AA310" s="616" t="s">
        <v>3665</v>
      </c>
      <c r="AB310" s="598"/>
      <c r="AC310" s="598" t="s">
        <v>996</v>
      </c>
      <c r="AD310" s="598" t="s">
        <v>1018</v>
      </c>
      <c r="AE310" s="616" t="s">
        <v>1078</v>
      </c>
      <c r="AF310" s="616" t="s">
        <v>1078</v>
      </c>
      <c r="AG310" s="616" t="s">
        <v>4676</v>
      </c>
      <c r="AH310" s="598"/>
      <c r="AI310" s="598"/>
      <c r="AJ310" s="598" t="s">
        <v>1114</v>
      </c>
      <c r="AK310" s="598" t="s">
        <v>3510</v>
      </c>
      <c r="AL310" s="626"/>
      <c r="AM310" s="626"/>
    </row>
    <row r="311" spans="3:39" ht="18" customHeight="1">
      <c r="C311" s="598">
        <v>291</v>
      </c>
      <c r="D311" s="598" t="s">
        <v>3668</v>
      </c>
      <c r="E311" s="598">
        <f t="shared" si="2"/>
        <v>272</v>
      </c>
      <c r="F311" s="616" t="s">
        <v>1810</v>
      </c>
      <c r="G311" s="616" t="s">
        <v>3713</v>
      </c>
      <c r="H311" s="618" t="s">
        <v>3505</v>
      </c>
      <c r="I311" s="618" t="s">
        <v>203</v>
      </c>
      <c r="J311" s="618" t="s">
        <v>3708</v>
      </c>
      <c r="K311" s="618" t="s">
        <v>4169</v>
      </c>
      <c r="L311" s="618" t="s">
        <v>3667</v>
      </c>
      <c r="M311" s="619"/>
      <c r="N311" s="620"/>
      <c r="O311" s="620"/>
      <c r="P311" s="663" t="s">
        <v>1074</v>
      </c>
      <c r="Q311" s="621"/>
      <c r="R311" s="598"/>
      <c r="S311" s="598"/>
      <c r="T311" s="598"/>
      <c r="U311" s="598" t="s">
        <v>992</v>
      </c>
      <c r="V311" s="663" t="s">
        <v>3674</v>
      </c>
      <c r="W311" s="779" t="s">
        <v>3675</v>
      </c>
      <c r="X311" s="598" t="s">
        <v>950</v>
      </c>
      <c r="Y311" s="624">
        <v>35234</v>
      </c>
      <c r="Z311" s="625">
        <f t="shared" ca="1" si="3"/>
        <v>29</v>
      </c>
      <c r="AA311" s="616" t="s">
        <v>3676</v>
      </c>
      <c r="AB311" s="598"/>
      <c r="AC311" s="598" t="s">
        <v>996</v>
      </c>
      <c r="AD311" s="598" t="s">
        <v>1018</v>
      </c>
      <c r="AE311" s="616" t="s">
        <v>973</v>
      </c>
      <c r="AF311" s="616" t="s">
        <v>973</v>
      </c>
      <c r="AG311" s="616" t="s">
        <v>3519</v>
      </c>
      <c r="AH311" s="598"/>
      <c r="AI311" s="598"/>
      <c r="AJ311" s="598" t="s">
        <v>1114</v>
      </c>
      <c r="AK311" s="598" t="s">
        <v>3510</v>
      </c>
      <c r="AL311" s="626"/>
      <c r="AM311" s="626"/>
    </row>
    <row r="312" spans="3:39" ht="18" customHeight="1">
      <c r="C312" s="598">
        <v>292</v>
      </c>
      <c r="D312" s="598" t="s">
        <v>3621</v>
      </c>
      <c r="E312" s="598">
        <f t="shared" si="2"/>
        <v>273</v>
      </c>
      <c r="F312" s="616" t="s">
        <v>1810</v>
      </c>
      <c r="G312" s="616" t="s">
        <v>3713</v>
      </c>
      <c r="H312" s="618" t="s">
        <v>3505</v>
      </c>
      <c r="I312" s="618" t="s">
        <v>203</v>
      </c>
      <c r="J312" s="618" t="s">
        <v>3708</v>
      </c>
      <c r="K312" s="618" t="s">
        <v>4169</v>
      </c>
      <c r="L312" s="618" t="s">
        <v>3667</v>
      </c>
      <c r="M312" s="619"/>
      <c r="N312" s="620"/>
      <c r="O312" s="620"/>
      <c r="P312" s="663" t="s">
        <v>1074</v>
      </c>
      <c r="Q312" s="621"/>
      <c r="R312" s="598"/>
      <c r="S312" s="598"/>
      <c r="T312" s="598"/>
      <c r="U312" s="598" t="s">
        <v>1015</v>
      </c>
      <c r="V312" s="663" t="s">
        <v>3622</v>
      </c>
      <c r="W312" s="779" t="s">
        <v>3623</v>
      </c>
      <c r="X312" s="598" t="s">
        <v>950</v>
      </c>
      <c r="Y312" s="624">
        <v>35316</v>
      </c>
      <c r="Z312" s="625">
        <f t="shared" ca="1" si="3"/>
        <v>29</v>
      </c>
      <c r="AA312" s="616" t="s">
        <v>3624</v>
      </c>
      <c r="AB312" s="598"/>
      <c r="AC312" s="598" t="s">
        <v>996</v>
      </c>
      <c r="AD312" s="598" t="s">
        <v>997</v>
      </c>
      <c r="AE312" s="616" t="s">
        <v>973</v>
      </c>
      <c r="AF312" s="616" t="s">
        <v>973</v>
      </c>
      <c r="AG312" s="616" t="s">
        <v>3626</v>
      </c>
      <c r="AH312" s="598"/>
      <c r="AI312" s="598"/>
      <c r="AJ312" s="598" t="s">
        <v>1011</v>
      </c>
      <c r="AK312" s="598" t="s">
        <v>3510</v>
      </c>
      <c r="AL312" s="626"/>
      <c r="AM312" s="626"/>
    </row>
    <row r="313" spans="3:39" ht="18" customHeight="1">
      <c r="C313" s="598">
        <v>293</v>
      </c>
      <c r="D313" s="598" t="s">
        <v>4677</v>
      </c>
      <c r="E313" s="598">
        <f t="shared" si="2"/>
        <v>274</v>
      </c>
      <c r="F313" s="616" t="s">
        <v>1810</v>
      </c>
      <c r="G313" s="616" t="s">
        <v>3713</v>
      </c>
      <c r="H313" s="618" t="s">
        <v>3505</v>
      </c>
      <c r="I313" s="618" t="s">
        <v>203</v>
      </c>
      <c r="J313" s="618" t="s">
        <v>3708</v>
      </c>
      <c r="K313" s="618" t="s">
        <v>4169</v>
      </c>
      <c r="L313" s="618" t="s">
        <v>3667</v>
      </c>
      <c r="M313" s="619"/>
      <c r="N313" s="620"/>
      <c r="O313" s="620"/>
      <c r="P313" s="673" t="s">
        <v>1074</v>
      </c>
      <c r="Q313" s="621"/>
      <c r="R313" s="598"/>
      <c r="S313" s="598"/>
      <c r="T313" s="598"/>
      <c r="U313" s="598" t="s">
        <v>992</v>
      </c>
      <c r="V313" s="673" t="s">
        <v>4678</v>
      </c>
      <c r="W313" s="779" t="s">
        <v>4679</v>
      </c>
      <c r="X313" s="598" t="s">
        <v>950</v>
      </c>
      <c r="Y313" s="624">
        <v>34953</v>
      </c>
      <c r="Z313" s="625">
        <f t="shared" ca="1" si="3"/>
        <v>30</v>
      </c>
      <c r="AA313" s="654" t="s">
        <v>4680</v>
      </c>
      <c r="AB313" s="598"/>
      <c r="AC313" s="598" t="s">
        <v>996</v>
      </c>
      <c r="AD313" s="598" t="s">
        <v>1018</v>
      </c>
      <c r="AE313" s="616" t="s">
        <v>973</v>
      </c>
      <c r="AF313" s="616" t="s">
        <v>973</v>
      </c>
      <c r="AG313" s="616" t="s">
        <v>3509</v>
      </c>
      <c r="AH313" s="598"/>
      <c r="AI313" s="598" t="s">
        <v>4681</v>
      </c>
      <c r="AJ313" s="598" t="s">
        <v>1349</v>
      </c>
      <c r="AK313" s="598" t="s">
        <v>4607</v>
      </c>
      <c r="AL313" s="626"/>
      <c r="AM313" s="626"/>
    </row>
    <row r="314" spans="3:39" ht="18" customHeight="1">
      <c r="C314" s="598">
        <v>294</v>
      </c>
      <c r="D314" s="598" t="s">
        <v>3559</v>
      </c>
      <c r="E314" s="598">
        <f t="shared" si="2"/>
        <v>274</v>
      </c>
      <c r="F314" s="616"/>
      <c r="G314" s="616" t="s">
        <v>3713</v>
      </c>
      <c r="H314" s="618" t="s">
        <v>3505</v>
      </c>
      <c r="I314" s="618" t="s">
        <v>203</v>
      </c>
      <c r="J314" s="618" t="s">
        <v>3708</v>
      </c>
      <c r="K314" s="618" t="s">
        <v>3559</v>
      </c>
      <c r="L314" s="618" t="s">
        <v>959</v>
      </c>
      <c r="M314" s="619"/>
      <c r="N314" s="620"/>
      <c r="O314" s="620"/>
      <c r="P314" s="667" t="s">
        <v>1115</v>
      </c>
      <c r="Q314" s="621"/>
      <c r="R314" s="598" t="s">
        <v>55</v>
      </c>
      <c r="S314" s="598" t="s">
        <v>178</v>
      </c>
      <c r="T314" s="598"/>
      <c r="U314" s="598"/>
      <c r="V314" s="667" t="s">
        <v>222</v>
      </c>
      <c r="W314" s="779" t="s">
        <v>3561</v>
      </c>
      <c r="X314" s="598" t="s">
        <v>950</v>
      </c>
      <c r="Y314" s="624">
        <v>21600</v>
      </c>
      <c r="Z314" s="625">
        <f t="shared" ca="1" si="3"/>
        <v>66</v>
      </c>
      <c r="AA314" s="616" t="s">
        <v>3562</v>
      </c>
      <c r="AB314" s="598"/>
      <c r="AC314" s="598" t="s">
        <v>966</v>
      </c>
      <c r="AD314" s="598" t="s">
        <v>953</v>
      </c>
      <c r="AE314" s="616" t="s">
        <v>973</v>
      </c>
      <c r="AF314" s="616" t="s">
        <v>973</v>
      </c>
      <c r="AG314" s="616" t="s">
        <v>3509</v>
      </c>
      <c r="AH314" s="598" t="s">
        <v>955</v>
      </c>
      <c r="AI314" s="598"/>
      <c r="AJ314" s="598"/>
      <c r="AK314" s="598"/>
      <c r="AL314" s="626"/>
      <c r="AM314" s="626"/>
    </row>
    <row r="315" spans="3:39" ht="18" customHeight="1">
      <c r="C315" s="598">
        <v>295</v>
      </c>
      <c r="D315" s="598" t="s">
        <v>3569</v>
      </c>
      <c r="E315" s="598">
        <f t="shared" si="2"/>
        <v>275</v>
      </c>
      <c r="F315" s="616" t="s">
        <v>1810</v>
      </c>
      <c r="G315" s="616" t="s">
        <v>3713</v>
      </c>
      <c r="H315" s="618" t="s">
        <v>3505</v>
      </c>
      <c r="I315" s="618" t="s">
        <v>203</v>
      </c>
      <c r="J315" s="618" t="s">
        <v>3708</v>
      </c>
      <c r="K315" s="618" t="s">
        <v>3559</v>
      </c>
      <c r="L315" s="618" t="s">
        <v>959</v>
      </c>
      <c r="M315" s="619"/>
      <c r="N315" s="620"/>
      <c r="O315" s="620"/>
      <c r="P315" s="663" t="s">
        <v>1115</v>
      </c>
      <c r="Q315" s="621"/>
      <c r="R315" s="598"/>
      <c r="S315" s="598"/>
      <c r="T315" s="598"/>
      <c r="U315" s="598" t="s">
        <v>1015</v>
      </c>
      <c r="V315" s="663" t="s">
        <v>352</v>
      </c>
      <c r="W315" s="779" t="s">
        <v>3570</v>
      </c>
      <c r="X315" s="598" t="s">
        <v>950</v>
      </c>
      <c r="Y315" s="624">
        <v>22712</v>
      </c>
      <c r="Z315" s="625">
        <f t="shared" ca="1" si="3"/>
        <v>63</v>
      </c>
      <c r="AA315" s="616" t="s">
        <v>3571</v>
      </c>
      <c r="AB315" s="598"/>
      <c r="AC315" s="598" t="s">
        <v>996</v>
      </c>
      <c r="AD315" s="598" t="s">
        <v>1018</v>
      </c>
      <c r="AE315" s="616" t="s">
        <v>1078</v>
      </c>
      <c r="AF315" s="616" t="s">
        <v>1078</v>
      </c>
      <c r="AG315" s="616" t="s">
        <v>3573</v>
      </c>
      <c r="AH315" s="598"/>
      <c r="AI315" s="598"/>
      <c r="AJ315" s="598" t="s">
        <v>1452</v>
      </c>
      <c r="AK315" s="598" t="s">
        <v>3510</v>
      </c>
      <c r="AL315" s="626"/>
      <c r="AM315" s="626"/>
    </row>
    <row r="316" spans="3:39" ht="18" customHeight="1">
      <c r="C316" s="598">
        <v>296</v>
      </c>
      <c r="D316" s="598" t="s">
        <v>3574</v>
      </c>
      <c r="E316" s="598">
        <f t="shared" si="2"/>
        <v>276</v>
      </c>
      <c r="F316" s="616" t="s">
        <v>1810</v>
      </c>
      <c r="G316" s="616" t="s">
        <v>3713</v>
      </c>
      <c r="H316" s="618" t="s">
        <v>3505</v>
      </c>
      <c r="I316" s="618" t="s">
        <v>203</v>
      </c>
      <c r="J316" s="618" t="s">
        <v>3708</v>
      </c>
      <c r="K316" s="618" t="s">
        <v>3559</v>
      </c>
      <c r="L316" s="618" t="s">
        <v>959</v>
      </c>
      <c r="M316" s="619"/>
      <c r="N316" s="620"/>
      <c r="O316" s="620"/>
      <c r="P316" s="663" t="s">
        <v>1115</v>
      </c>
      <c r="Q316" s="621"/>
      <c r="R316" s="598"/>
      <c r="S316" s="598"/>
      <c r="T316" s="598"/>
      <c r="U316" s="598" t="s">
        <v>1015</v>
      </c>
      <c r="V316" s="663" t="s">
        <v>366</v>
      </c>
      <c r="W316" s="779" t="s">
        <v>3575</v>
      </c>
      <c r="X316" s="598" t="s">
        <v>950</v>
      </c>
      <c r="Y316" s="624">
        <v>24504</v>
      </c>
      <c r="Z316" s="625">
        <f t="shared" ca="1" si="3"/>
        <v>58</v>
      </c>
      <c r="AA316" s="616" t="s">
        <v>3576</v>
      </c>
      <c r="AB316" s="598"/>
      <c r="AC316" s="598" t="s">
        <v>996</v>
      </c>
      <c r="AD316" s="598" t="s">
        <v>1018</v>
      </c>
      <c r="AE316" s="616" t="s">
        <v>1078</v>
      </c>
      <c r="AF316" s="616" t="s">
        <v>1078</v>
      </c>
      <c r="AG316" s="616" t="s">
        <v>3578</v>
      </c>
      <c r="AH316" s="598"/>
      <c r="AI316" s="598"/>
      <c r="AJ316" s="598" t="s">
        <v>1452</v>
      </c>
      <c r="AK316" s="598" t="s">
        <v>3510</v>
      </c>
      <c r="AL316" s="626"/>
      <c r="AM316" s="626"/>
    </row>
    <row r="317" spans="3:39" ht="18" customHeight="1">
      <c r="C317" s="598">
        <v>297</v>
      </c>
      <c r="D317" s="598" t="s">
        <v>3579</v>
      </c>
      <c r="E317" s="598">
        <f t="shared" si="2"/>
        <v>277</v>
      </c>
      <c r="F317" s="616" t="s">
        <v>1810</v>
      </c>
      <c r="G317" s="616" t="s">
        <v>3713</v>
      </c>
      <c r="H317" s="618" t="s">
        <v>3505</v>
      </c>
      <c r="I317" s="618" t="s">
        <v>203</v>
      </c>
      <c r="J317" s="618" t="s">
        <v>3708</v>
      </c>
      <c r="K317" s="618" t="s">
        <v>3559</v>
      </c>
      <c r="L317" s="618" t="s">
        <v>959</v>
      </c>
      <c r="M317" s="619"/>
      <c r="N317" s="620"/>
      <c r="O317" s="620"/>
      <c r="P317" s="663" t="s">
        <v>1115</v>
      </c>
      <c r="Q317" s="621"/>
      <c r="R317" s="598"/>
      <c r="S317" s="598"/>
      <c r="T317" s="598"/>
      <c r="U317" s="598" t="s">
        <v>1015</v>
      </c>
      <c r="V317" s="663" t="s">
        <v>380</v>
      </c>
      <c r="W317" s="779" t="s">
        <v>3580</v>
      </c>
      <c r="X317" s="598" t="s">
        <v>950</v>
      </c>
      <c r="Y317" s="624">
        <v>30050</v>
      </c>
      <c r="Z317" s="625">
        <f t="shared" ca="1" si="3"/>
        <v>43</v>
      </c>
      <c r="AA317" s="616" t="s">
        <v>3581</v>
      </c>
      <c r="AB317" s="598"/>
      <c r="AC317" s="598" t="s">
        <v>996</v>
      </c>
      <c r="AD317" s="598" t="s">
        <v>1018</v>
      </c>
      <c r="AE317" s="616" t="s">
        <v>1078</v>
      </c>
      <c r="AF317" s="616" t="s">
        <v>1078</v>
      </c>
      <c r="AG317" s="616" t="s">
        <v>3583</v>
      </c>
      <c r="AH317" s="598"/>
      <c r="AI317" s="598"/>
      <c r="AJ317" s="598" t="s">
        <v>1452</v>
      </c>
      <c r="AK317" s="598" t="s">
        <v>3510</v>
      </c>
      <c r="AL317" s="626"/>
      <c r="AM317" s="626"/>
    </row>
    <row r="318" spans="3:39" ht="18" customHeight="1">
      <c r="C318" s="598">
        <v>298</v>
      </c>
      <c r="D318" s="598" t="s">
        <v>4682</v>
      </c>
      <c r="E318" s="598">
        <f t="shared" si="2"/>
        <v>278</v>
      </c>
      <c r="F318" s="616" t="s">
        <v>1810</v>
      </c>
      <c r="G318" s="616" t="s">
        <v>3713</v>
      </c>
      <c r="H318" s="618" t="s">
        <v>3505</v>
      </c>
      <c r="I318" s="618" t="s">
        <v>203</v>
      </c>
      <c r="J318" s="618" t="s">
        <v>3708</v>
      </c>
      <c r="K318" s="618" t="s">
        <v>3559</v>
      </c>
      <c r="L318" s="618" t="s">
        <v>959</v>
      </c>
      <c r="M318" s="619"/>
      <c r="N318" s="620"/>
      <c r="O318" s="620"/>
      <c r="P318" s="673" t="s">
        <v>1115</v>
      </c>
      <c r="Q318" s="621"/>
      <c r="R318" s="598"/>
      <c r="S318" s="598"/>
      <c r="T318" s="598"/>
      <c r="U318" s="598" t="s">
        <v>1015</v>
      </c>
      <c r="V318" s="673" t="s">
        <v>393</v>
      </c>
      <c r="W318" s="779" t="s">
        <v>4683</v>
      </c>
      <c r="X318" s="598" t="s">
        <v>950</v>
      </c>
      <c r="Y318" s="624">
        <v>32103</v>
      </c>
      <c r="Z318" s="625">
        <f t="shared" ca="1" si="3"/>
        <v>38</v>
      </c>
      <c r="AA318" s="616" t="s">
        <v>4684</v>
      </c>
      <c r="AB318" s="598"/>
      <c r="AC318" s="598" t="s">
        <v>996</v>
      </c>
      <c r="AD318" s="598" t="s">
        <v>1018</v>
      </c>
      <c r="AE318" s="616" t="s">
        <v>1078</v>
      </c>
      <c r="AF318" s="616" t="s">
        <v>1078</v>
      </c>
      <c r="AG318" s="616" t="s">
        <v>4685</v>
      </c>
      <c r="AH318" s="598"/>
      <c r="AI318" s="598" t="s">
        <v>4686</v>
      </c>
      <c r="AJ318" s="598" t="s">
        <v>1452</v>
      </c>
      <c r="AK318" s="598" t="s">
        <v>4607</v>
      </c>
      <c r="AL318" s="626"/>
      <c r="AM318" s="626"/>
    </row>
    <row r="319" spans="3:39" ht="18" customHeight="1">
      <c r="C319" s="598">
        <v>299</v>
      </c>
      <c r="D319" s="598" t="s">
        <v>2623</v>
      </c>
      <c r="E319" s="598">
        <f t="shared" si="2"/>
        <v>279</v>
      </c>
      <c r="F319" s="616" t="s">
        <v>1798</v>
      </c>
      <c r="G319" s="616" t="s">
        <v>2624</v>
      </c>
      <c r="H319" s="618" t="s">
        <v>1225</v>
      </c>
      <c r="I319" s="618" t="s">
        <v>185</v>
      </c>
      <c r="J319" s="618" t="s">
        <v>2623</v>
      </c>
      <c r="K319" s="618" t="s">
        <v>2623</v>
      </c>
      <c r="L319" s="618" t="s">
        <v>959</v>
      </c>
      <c r="M319" s="619"/>
      <c r="N319" s="620"/>
      <c r="O319" s="620"/>
      <c r="P319" s="667" t="s">
        <v>1044</v>
      </c>
      <c r="Q319" s="621"/>
      <c r="R319" s="598" t="s">
        <v>55</v>
      </c>
      <c r="S319" s="598" t="s">
        <v>178</v>
      </c>
      <c r="T319" s="598"/>
      <c r="U319" s="598" t="s">
        <v>962</v>
      </c>
      <c r="V319" s="667" t="s">
        <v>185</v>
      </c>
      <c r="W319" s="779" t="s">
        <v>2627</v>
      </c>
      <c r="X319" s="598" t="s">
        <v>963</v>
      </c>
      <c r="Y319" s="624">
        <v>24646</v>
      </c>
      <c r="Z319" s="625">
        <f t="shared" ca="1" si="3"/>
        <v>58</v>
      </c>
      <c r="AA319" s="654" t="s">
        <v>2628</v>
      </c>
      <c r="AB319" s="598" t="s">
        <v>2629</v>
      </c>
      <c r="AC319" s="598" t="s">
        <v>966</v>
      </c>
      <c r="AD319" s="598" t="s">
        <v>953</v>
      </c>
      <c r="AE319" s="616" t="s">
        <v>1041</v>
      </c>
      <c r="AF319" s="616" t="s">
        <v>1041</v>
      </c>
      <c r="AG319" s="616" t="s">
        <v>2630</v>
      </c>
      <c r="AH319" s="598"/>
      <c r="AI319" s="598"/>
      <c r="AJ319" s="598" t="s">
        <v>1349</v>
      </c>
      <c r="AK319" s="598"/>
      <c r="AL319" s="626"/>
      <c r="AM319" s="626"/>
    </row>
    <row r="320" spans="3:39" ht="18" customHeight="1">
      <c r="C320" s="598">
        <v>300</v>
      </c>
      <c r="D320" s="598" t="s">
        <v>2673</v>
      </c>
      <c r="E320" s="598">
        <f t="shared" si="2"/>
        <v>280</v>
      </c>
      <c r="F320" s="616" t="s">
        <v>4978</v>
      </c>
      <c r="G320" s="616" t="s">
        <v>2624</v>
      </c>
      <c r="H320" s="618" t="s">
        <v>1225</v>
      </c>
      <c r="I320" s="618" t="s">
        <v>185</v>
      </c>
      <c r="J320" s="618" t="s">
        <v>2623</v>
      </c>
      <c r="K320" s="618" t="s">
        <v>2623</v>
      </c>
      <c r="L320" s="618" t="s">
        <v>959</v>
      </c>
      <c r="M320" s="619"/>
      <c r="N320" s="620"/>
      <c r="O320" s="620"/>
      <c r="P320" s="663" t="s">
        <v>1044</v>
      </c>
      <c r="Q320" s="621" t="s">
        <v>319</v>
      </c>
      <c r="R320" s="598" t="s">
        <v>69</v>
      </c>
      <c r="S320" s="598" t="s">
        <v>562</v>
      </c>
      <c r="T320" s="598" t="s">
        <v>2632</v>
      </c>
      <c r="U320" s="598" t="s">
        <v>962</v>
      </c>
      <c r="V320" s="663" t="s">
        <v>206</v>
      </c>
      <c r="W320" s="779" t="s">
        <v>2675</v>
      </c>
      <c r="X320" s="598" t="s">
        <v>963</v>
      </c>
      <c r="Y320" s="624">
        <v>24767</v>
      </c>
      <c r="Z320" s="625">
        <f t="shared" ca="1" si="3"/>
        <v>58</v>
      </c>
      <c r="AA320" s="616" t="s">
        <v>2676</v>
      </c>
      <c r="AB320" s="598"/>
      <c r="AC320" s="598" t="s">
        <v>996</v>
      </c>
      <c r="AD320" s="598" t="s">
        <v>997</v>
      </c>
      <c r="AE320" s="616" t="s">
        <v>1041</v>
      </c>
      <c r="AF320" s="721" t="s">
        <v>1041</v>
      </c>
      <c r="AG320" s="616" t="s">
        <v>2678</v>
      </c>
      <c r="AH320" s="598"/>
      <c r="AI320" s="598"/>
      <c r="AJ320" s="598" t="s">
        <v>1452</v>
      </c>
      <c r="AK320" s="598"/>
      <c r="AL320" s="626"/>
      <c r="AM320" s="626"/>
    </row>
    <row r="321" spans="3:39" ht="18" customHeight="1">
      <c r="C321" s="598">
        <v>301</v>
      </c>
      <c r="D321" s="598" t="s">
        <v>2631</v>
      </c>
      <c r="E321" s="598">
        <f t="shared" si="2"/>
        <v>281</v>
      </c>
      <c r="F321" s="616" t="s">
        <v>4978</v>
      </c>
      <c r="G321" s="616" t="s">
        <v>2624</v>
      </c>
      <c r="H321" s="618" t="s">
        <v>1225</v>
      </c>
      <c r="I321" s="618" t="s">
        <v>185</v>
      </c>
      <c r="J321" s="618" t="s">
        <v>2623</v>
      </c>
      <c r="K321" s="618" t="s">
        <v>2623</v>
      </c>
      <c r="L321" s="618" t="s">
        <v>959</v>
      </c>
      <c r="M321" s="619"/>
      <c r="N321" s="620"/>
      <c r="O321" s="620"/>
      <c r="P321" s="663" t="s">
        <v>1044</v>
      </c>
      <c r="Q321" s="621" t="s">
        <v>319</v>
      </c>
      <c r="R321" s="598"/>
      <c r="S321" s="598"/>
      <c r="T321" s="598" t="s">
        <v>2632</v>
      </c>
      <c r="U321" s="598" t="s">
        <v>962</v>
      </c>
      <c r="V321" s="663" t="s">
        <v>226</v>
      </c>
      <c r="W321" s="779" t="s">
        <v>2633</v>
      </c>
      <c r="X321" s="598" t="s">
        <v>963</v>
      </c>
      <c r="Y321" s="624">
        <v>28064</v>
      </c>
      <c r="Z321" s="625">
        <f t="shared" ca="1" si="3"/>
        <v>49</v>
      </c>
      <c r="AA321" s="616" t="s">
        <v>2634</v>
      </c>
      <c r="AB321" s="598"/>
      <c r="AC321" s="598" t="s">
        <v>996</v>
      </c>
      <c r="AD321" s="598" t="s">
        <v>997</v>
      </c>
      <c r="AE321" s="616" t="s">
        <v>1041</v>
      </c>
      <c r="AF321" s="721" t="s">
        <v>1041</v>
      </c>
      <c r="AG321" s="616" t="s">
        <v>2635</v>
      </c>
      <c r="AH321" s="598"/>
      <c r="AI321" s="598"/>
      <c r="AJ321" s="598" t="s">
        <v>1452</v>
      </c>
      <c r="AK321" s="598"/>
      <c r="AL321" s="626"/>
      <c r="AM321" s="626"/>
    </row>
    <row r="322" spans="3:39" ht="18" customHeight="1">
      <c r="C322" s="598">
        <v>302</v>
      </c>
      <c r="D322" s="598" t="s">
        <v>2693</v>
      </c>
      <c r="E322" s="598">
        <f t="shared" si="2"/>
        <v>282</v>
      </c>
      <c r="F322" s="616" t="s">
        <v>4978</v>
      </c>
      <c r="G322" s="616" t="s">
        <v>2624</v>
      </c>
      <c r="H322" s="618" t="s">
        <v>1225</v>
      </c>
      <c r="I322" s="618" t="s">
        <v>185</v>
      </c>
      <c r="J322" s="618" t="s">
        <v>2623</v>
      </c>
      <c r="K322" s="618" t="s">
        <v>2623</v>
      </c>
      <c r="L322" s="618" t="s">
        <v>959</v>
      </c>
      <c r="M322" s="619"/>
      <c r="N322" s="620"/>
      <c r="O322" s="620"/>
      <c r="P322" s="663" t="s">
        <v>1044</v>
      </c>
      <c r="Q322" s="621" t="s">
        <v>319</v>
      </c>
      <c r="R322" s="598"/>
      <c r="S322" s="598"/>
      <c r="T322" s="598"/>
      <c r="U322" s="598" t="s">
        <v>962</v>
      </c>
      <c r="V322" s="663" t="s">
        <v>245</v>
      </c>
      <c r="W322" s="779" t="s">
        <v>2694</v>
      </c>
      <c r="X322" s="598" t="s">
        <v>963</v>
      </c>
      <c r="Y322" s="624">
        <v>29343</v>
      </c>
      <c r="Z322" s="625">
        <f t="shared" ca="1" si="3"/>
        <v>45</v>
      </c>
      <c r="AA322" s="616" t="s">
        <v>2695</v>
      </c>
      <c r="AB322" s="598"/>
      <c r="AC322" s="598" t="s">
        <v>996</v>
      </c>
      <c r="AD322" s="598" t="s">
        <v>1018</v>
      </c>
      <c r="AE322" s="616" t="s">
        <v>729</v>
      </c>
      <c r="AF322" s="616" t="s">
        <v>1041</v>
      </c>
      <c r="AG322" s="616" t="s">
        <v>2697</v>
      </c>
      <c r="AH322" s="598" t="s">
        <v>1775</v>
      </c>
      <c r="AI322" s="598" t="s">
        <v>2698</v>
      </c>
      <c r="AJ322" s="598" t="s">
        <v>1452</v>
      </c>
      <c r="AK322" s="598"/>
      <c r="AL322" s="626"/>
      <c r="AM322" s="626"/>
    </row>
    <row r="323" spans="3:39" ht="18" customHeight="1">
      <c r="C323" s="598">
        <v>303</v>
      </c>
      <c r="D323" s="598" t="s">
        <v>2667</v>
      </c>
      <c r="E323" s="598">
        <f t="shared" si="2"/>
        <v>283</v>
      </c>
      <c r="F323" s="616" t="s">
        <v>4978</v>
      </c>
      <c r="G323" s="616" t="s">
        <v>2624</v>
      </c>
      <c r="H323" s="618" t="s">
        <v>1225</v>
      </c>
      <c r="I323" s="618" t="s">
        <v>185</v>
      </c>
      <c r="J323" s="618" t="s">
        <v>2623</v>
      </c>
      <c r="K323" s="618" t="s">
        <v>2623</v>
      </c>
      <c r="L323" s="618" t="s">
        <v>959</v>
      </c>
      <c r="M323" s="619"/>
      <c r="N323" s="620"/>
      <c r="O323" s="620"/>
      <c r="P323" s="663" t="s">
        <v>1044</v>
      </c>
      <c r="Q323" s="621" t="s">
        <v>319</v>
      </c>
      <c r="R323" s="598" t="s">
        <v>69</v>
      </c>
      <c r="S323" s="598" t="s">
        <v>562</v>
      </c>
      <c r="T323" s="598"/>
      <c r="U323" s="598" t="s">
        <v>962</v>
      </c>
      <c r="V323" s="663" t="s">
        <v>265</v>
      </c>
      <c r="W323" s="779" t="s">
        <v>2669</v>
      </c>
      <c r="X323" s="598" t="s">
        <v>963</v>
      </c>
      <c r="Y323" s="624">
        <v>27502</v>
      </c>
      <c r="Z323" s="625">
        <f t="shared" ca="1" si="3"/>
        <v>50</v>
      </c>
      <c r="AA323" s="616" t="s">
        <v>2670</v>
      </c>
      <c r="AB323" s="598"/>
      <c r="AC323" s="598" t="s">
        <v>996</v>
      </c>
      <c r="AD323" s="598" t="s">
        <v>1018</v>
      </c>
      <c r="AE323" s="616" t="s">
        <v>1041</v>
      </c>
      <c r="AF323" s="721" t="s">
        <v>1041</v>
      </c>
      <c r="AG323" s="616" t="s">
        <v>2672</v>
      </c>
      <c r="AH323" s="598"/>
      <c r="AI323" s="598"/>
      <c r="AJ323" s="598" t="s">
        <v>1318</v>
      </c>
      <c r="AK323" s="598"/>
      <c r="AL323" s="626"/>
      <c r="AM323" s="626"/>
    </row>
    <row r="324" spans="3:39" ht="18" customHeight="1">
      <c r="C324" s="598">
        <v>304</v>
      </c>
      <c r="D324" s="598" t="s">
        <v>2636</v>
      </c>
      <c r="E324" s="598">
        <f t="shared" si="2"/>
        <v>284</v>
      </c>
      <c r="F324" s="616" t="s">
        <v>4978</v>
      </c>
      <c r="G324" s="616" t="s">
        <v>2624</v>
      </c>
      <c r="H324" s="618" t="s">
        <v>1225</v>
      </c>
      <c r="I324" s="618" t="s">
        <v>185</v>
      </c>
      <c r="J324" s="618" t="s">
        <v>2623</v>
      </c>
      <c r="K324" s="618" t="s">
        <v>2623</v>
      </c>
      <c r="L324" s="618" t="s">
        <v>959</v>
      </c>
      <c r="M324" s="619"/>
      <c r="N324" s="620"/>
      <c r="O324" s="620"/>
      <c r="P324" s="663" t="s">
        <v>1044</v>
      </c>
      <c r="Q324" s="621" t="s">
        <v>319</v>
      </c>
      <c r="R324" s="598"/>
      <c r="S324" s="598"/>
      <c r="T324" s="598"/>
      <c r="U324" s="598" t="s">
        <v>962</v>
      </c>
      <c r="V324" s="663" t="s">
        <v>2637</v>
      </c>
      <c r="W324" s="779" t="s">
        <v>2638</v>
      </c>
      <c r="X324" s="598" t="s">
        <v>963</v>
      </c>
      <c r="Y324" s="624">
        <v>28563</v>
      </c>
      <c r="Z324" s="625">
        <f t="shared" ca="1" si="3"/>
        <v>47</v>
      </c>
      <c r="AA324" s="616" t="s">
        <v>2639</v>
      </c>
      <c r="AB324" s="598"/>
      <c r="AC324" s="598" t="s">
        <v>996</v>
      </c>
      <c r="AD324" s="598" t="s">
        <v>1018</v>
      </c>
      <c r="AE324" s="616" t="s">
        <v>2069</v>
      </c>
      <c r="AF324" s="616" t="s">
        <v>2069</v>
      </c>
      <c r="AG324" s="616" t="s">
        <v>2641</v>
      </c>
      <c r="AH324" s="598"/>
      <c r="AI324" s="598"/>
      <c r="AJ324" s="598" t="s">
        <v>1318</v>
      </c>
      <c r="AK324" s="598"/>
      <c r="AL324" s="626"/>
      <c r="AM324" s="626"/>
    </row>
    <row r="325" spans="3:39" ht="18" customHeight="1">
      <c r="C325" s="598">
        <v>305</v>
      </c>
      <c r="D325" s="598" t="s">
        <v>2642</v>
      </c>
      <c r="E325" s="598">
        <f t="shared" si="2"/>
        <v>285</v>
      </c>
      <c r="F325" s="616" t="s">
        <v>4978</v>
      </c>
      <c r="G325" s="616" t="s">
        <v>2624</v>
      </c>
      <c r="H325" s="618" t="s">
        <v>1225</v>
      </c>
      <c r="I325" s="618" t="s">
        <v>185</v>
      </c>
      <c r="J325" s="618" t="s">
        <v>2623</v>
      </c>
      <c r="K325" s="618" t="s">
        <v>2623</v>
      </c>
      <c r="L325" s="618" t="s">
        <v>959</v>
      </c>
      <c r="M325" s="619"/>
      <c r="N325" s="620"/>
      <c r="O325" s="620"/>
      <c r="P325" s="663" t="s">
        <v>1044</v>
      </c>
      <c r="Q325" s="621" t="s">
        <v>319</v>
      </c>
      <c r="R325" s="598"/>
      <c r="S325" s="598"/>
      <c r="T325" s="598"/>
      <c r="U325" s="598" t="s">
        <v>962</v>
      </c>
      <c r="V325" s="663" t="s">
        <v>292</v>
      </c>
      <c r="W325" s="779" t="s">
        <v>2643</v>
      </c>
      <c r="X325" s="598" t="s">
        <v>963</v>
      </c>
      <c r="Y325" s="624">
        <v>29749</v>
      </c>
      <c r="Z325" s="625">
        <f t="shared" ca="1" si="3"/>
        <v>44</v>
      </c>
      <c r="AA325" s="616" t="s">
        <v>2644</v>
      </c>
      <c r="AB325" s="598"/>
      <c r="AC325" s="598" t="s">
        <v>996</v>
      </c>
      <c r="AD325" s="598" t="s">
        <v>1018</v>
      </c>
      <c r="AE325" s="616" t="s">
        <v>1041</v>
      </c>
      <c r="AF325" s="721" t="s">
        <v>1041</v>
      </c>
      <c r="AG325" s="616" t="s">
        <v>2645</v>
      </c>
      <c r="AH325" s="598"/>
      <c r="AI325" s="598"/>
      <c r="AJ325" s="598" t="s">
        <v>1318</v>
      </c>
      <c r="AK325" s="598"/>
      <c r="AL325" s="626"/>
      <c r="AM325" s="626"/>
    </row>
    <row r="326" spans="3:39" ht="18" customHeight="1">
      <c r="C326" s="598">
        <v>306</v>
      </c>
      <c r="D326" s="598" t="s">
        <v>2679</v>
      </c>
      <c r="E326" s="598">
        <f t="shared" si="2"/>
        <v>286</v>
      </c>
      <c r="F326" s="616" t="s">
        <v>4978</v>
      </c>
      <c r="G326" s="616" t="s">
        <v>2624</v>
      </c>
      <c r="H326" s="618" t="s">
        <v>1225</v>
      </c>
      <c r="I326" s="618" t="s">
        <v>185</v>
      </c>
      <c r="J326" s="618" t="s">
        <v>2623</v>
      </c>
      <c r="K326" s="618" t="s">
        <v>2623</v>
      </c>
      <c r="L326" s="618" t="s">
        <v>959</v>
      </c>
      <c r="M326" s="619"/>
      <c r="N326" s="620"/>
      <c r="O326" s="620"/>
      <c r="P326" s="663" t="s">
        <v>1044</v>
      </c>
      <c r="Q326" s="621" t="s">
        <v>319</v>
      </c>
      <c r="R326" s="598"/>
      <c r="S326" s="598"/>
      <c r="T326" s="598"/>
      <c r="U326" s="598" t="s">
        <v>962</v>
      </c>
      <c r="V326" s="663" t="s">
        <v>301</v>
      </c>
      <c r="W326" s="779" t="s">
        <v>2680</v>
      </c>
      <c r="X326" s="598" t="s">
        <v>963</v>
      </c>
      <c r="Y326" s="624">
        <v>30427</v>
      </c>
      <c r="Z326" s="625">
        <f t="shared" ca="1" si="3"/>
        <v>42</v>
      </c>
      <c r="AA326" s="616" t="s">
        <v>2681</v>
      </c>
      <c r="AB326" s="598"/>
      <c r="AC326" s="598" t="s">
        <v>996</v>
      </c>
      <c r="AD326" s="598" t="s">
        <v>1018</v>
      </c>
      <c r="AE326" s="616" t="s">
        <v>1041</v>
      </c>
      <c r="AF326" s="721" t="s">
        <v>1041</v>
      </c>
      <c r="AG326" s="616" t="s">
        <v>2683</v>
      </c>
      <c r="AH326" s="598"/>
      <c r="AI326" s="598"/>
      <c r="AJ326" s="598" t="s">
        <v>1318</v>
      </c>
      <c r="AK326" s="598"/>
      <c r="AL326" s="626"/>
      <c r="AM326" s="626"/>
    </row>
    <row r="327" spans="3:39" ht="18" customHeight="1">
      <c r="C327" s="598">
        <v>307</v>
      </c>
      <c r="D327" s="598" t="s">
        <v>2646</v>
      </c>
      <c r="E327" s="598">
        <f t="shared" si="2"/>
        <v>287</v>
      </c>
      <c r="F327" s="616" t="s">
        <v>4978</v>
      </c>
      <c r="G327" s="616" t="s">
        <v>2624</v>
      </c>
      <c r="H327" s="618" t="s">
        <v>1225</v>
      </c>
      <c r="I327" s="618" t="s">
        <v>185</v>
      </c>
      <c r="J327" s="618" t="s">
        <v>2623</v>
      </c>
      <c r="K327" s="618" t="s">
        <v>2623</v>
      </c>
      <c r="L327" s="618" t="s">
        <v>959</v>
      </c>
      <c r="M327" s="619"/>
      <c r="N327" s="620"/>
      <c r="O327" s="620"/>
      <c r="P327" s="663" t="s">
        <v>1044</v>
      </c>
      <c r="Q327" s="621" t="s">
        <v>319</v>
      </c>
      <c r="R327" s="598"/>
      <c r="S327" s="598"/>
      <c r="T327" s="598"/>
      <c r="U327" s="598" t="s">
        <v>1090</v>
      </c>
      <c r="V327" s="663" t="s">
        <v>306</v>
      </c>
      <c r="W327" s="779" t="s">
        <v>2647</v>
      </c>
      <c r="X327" s="598" t="s">
        <v>963</v>
      </c>
      <c r="Y327" s="624">
        <v>18451</v>
      </c>
      <c r="Z327" s="625">
        <f t="shared" ca="1" si="3"/>
        <v>75</v>
      </c>
      <c r="AA327" s="616" t="s">
        <v>2648</v>
      </c>
      <c r="AB327" s="598"/>
      <c r="AC327" s="598" t="s">
        <v>996</v>
      </c>
      <c r="AD327" s="598" t="s">
        <v>1018</v>
      </c>
      <c r="AE327" s="616" t="s">
        <v>1041</v>
      </c>
      <c r="AF327" s="721" t="s">
        <v>1041</v>
      </c>
      <c r="AG327" s="616" t="s">
        <v>2649</v>
      </c>
      <c r="AH327" s="598"/>
      <c r="AI327" s="598"/>
      <c r="AJ327" s="634" t="s">
        <v>1359</v>
      </c>
      <c r="AK327" s="598"/>
      <c r="AL327" s="626"/>
      <c r="AM327" s="626"/>
    </row>
    <row r="328" spans="3:39" ht="18" customHeight="1">
      <c r="C328" s="598">
        <v>308</v>
      </c>
      <c r="D328" s="598" t="s">
        <v>2650</v>
      </c>
      <c r="E328" s="598">
        <f t="shared" si="2"/>
        <v>288</v>
      </c>
      <c r="F328" s="616" t="s">
        <v>4978</v>
      </c>
      <c r="G328" s="616" t="s">
        <v>2624</v>
      </c>
      <c r="H328" s="618" t="s">
        <v>1225</v>
      </c>
      <c r="I328" s="618" t="s">
        <v>185</v>
      </c>
      <c r="J328" s="618" t="s">
        <v>2623</v>
      </c>
      <c r="K328" s="618" t="s">
        <v>2623</v>
      </c>
      <c r="L328" s="618" t="s">
        <v>959</v>
      </c>
      <c r="M328" s="619"/>
      <c r="N328" s="620"/>
      <c r="O328" s="620"/>
      <c r="P328" s="663" t="s">
        <v>1044</v>
      </c>
      <c r="Q328" s="621" t="s">
        <v>319</v>
      </c>
      <c r="R328" s="598"/>
      <c r="S328" s="598"/>
      <c r="T328" s="598"/>
      <c r="U328" s="598" t="s">
        <v>962</v>
      </c>
      <c r="V328" s="663" t="s">
        <v>311</v>
      </c>
      <c r="W328" s="779" t="s">
        <v>2651</v>
      </c>
      <c r="X328" s="598" t="s">
        <v>963</v>
      </c>
      <c r="Y328" s="624">
        <v>25791</v>
      </c>
      <c r="Z328" s="625">
        <f t="shared" ca="1" si="3"/>
        <v>55</v>
      </c>
      <c r="AA328" s="616" t="s">
        <v>2652</v>
      </c>
      <c r="AB328" s="598"/>
      <c r="AC328" s="598" t="s">
        <v>996</v>
      </c>
      <c r="AD328" s="598" t="s">
        <v>997</v>
      </c>
      <c r="AE328" s="616" t="s">
        <v>1041</v>
      </c>
      <c r="AF328" s="721" t="s">
        <v>1041</v>
      </c>
      <c r="AG328" s="616" t="s">
        <v>2654</v>
      </c>
      <c r="AH328" s="598"/>
      <c r="AI328" s="598"/>
      <c r="AJ328" s="634" t="s">
        <v>1359</v>
      </c>
      <c r="AK328" s="598"/>
      <c r="AL328" s="626"/>
      <c r="AM328" s="626"/>
    </row>
    <row r="329" spans="3:39" ht="18" customHeight="1">
      <c r="C329" s="598">
        <v>310</v>
      </c>
      <c r="D329" s="598" t="s">
        <v>2699</v>
      </c>
      <c r="E329" s="598">
        <f t="shared" si="2"/>
        <v>289</v>
      </c>
      <c r="F329" s="616" t="s">
        <v>1798</v>
      </c>
      <c r="G329" s="616" t="s">
        <v>2624</v>
      </c>
      <c r="H329" s="618" t="s">
        <v>1225</v>
      </c>
      <c r="I329" s="618" t="s">
        <v>185</v>
      </c>
      <c r="J329" s="618" t="s">
        <v>2623</v>
      </c>
      <c r="K329" s="618" t="s">
        <v>2699</v>
      </c>
      <c r="L329" s="618" t="s">
        <v>2700</v>
      </c>
      <c r="M329" s="619"/>
      <c r="N329" s="620"/>
      <c r="O329" s="620"/>
      <c r="P329" s="667" t="s">
        <v>1074</v>
      </c>
      <c r="Q329" s="621"/>
      <c r="R329" s="598" t="s">
        <v>55</v>
      </c>
      <c r="S329" s="598" t="s">
        <v>178</v>
      </c>
      <c r="T329" s="598"/>
      <c r="U329" s="598" t="s">
        <v>962</v>
      </c>
      <c r="V329" s="667" t="s">
        <v>2701</v>
      </c>
      <c r="W329" s="779" t="s">
        <v>2702</v>
      </c>
      <c r="X329" s="598" t="s">
        <v>963</v>
      </c>
      <c r="Y329" s="624">
        <v>26171</v>
      </c>
      <c r="Z329" s="625">
        <f t="shared" ca="1" si="3"/>
        <v>54</v>
      </c>
      <c r="AA329" s="616" t="s">
        <v>2703</v>
      </c>
      <c r="AB329" s="598" t="s">
        <v>2704</v>
      </c>
      <c r="AC329" s="598" t="s">
        <v>966</v>
      </c>
      <c r="AD329" s="598" t="s">
        <v>953</v>
      </c>
      <c r="AE329" s="616" t="s">
        <v>1041</v>
      </c>
      <c r="AF329" s="616" t="s">
        <v>1041</v>
      </c>
      <c r="AG329" s="616" t="s">
        <v>2665</v>
      </c>
      <c r="AH329" s="598"/>
      <c r="AI329" s="598"/>
      <c r="AJ329" s="598"/>
      <c r="AK329" s="598"/>
      <c r="AL329" s="626"/>
      <c r="AM329" s="626"/>
    </row>
    <row r="330" spans="3:39" ht="18" customHeight="1">
      <c r="C330" s="598">
        <v>311</v>
      </c>
      <c r="D330" s="598" t="s">
        <v>2700</v>
      </c>
      <c r="E330" s="598">
        <f t="shared" si="2"/>
        <v>290</v>
      </c>
      <c r="F330" s="616" t="s">
        <v>1798</v>
      </c>
      <c r="G330" s="616" t="s">
        <v>2624</v>
      </c>
      <c r="H330" s="618" t="s">
        <v>1225</v>
      </c>
      <c r="I330" s="618" t="s">
        <v>185</v>
      </c>
      <c r="J330" s="618" t="s">
        <v>2623</v>
      </c>
      <c r="K330" s="618" t="s">
        <v>2699</v>
      </c>
      <c r="L330" s="618" t="s">
        <v>2700</v>
      </c>
      <c r="M330" s="619"/>
      <c r="N330" s="620"/>
      <c r="O330" s="620"/>
      <c r="P330" s="663" t="s">
        <v>1074</v>
      </c>
      <c r="Q330" s="621"/>
      <c r="R330" s="598" t="s">
        <v>69</v>
      </c>
      <c r="S330" s="598" t="s">
        <v>562</v>
      </c>
      <c r="T330" s="598"/>
      <c r="U330" s="598" t="s">
        <v>962</v>
      </c>
      <c r="V330" s="663" t="s">
        <v>2705</v>
      </c>
      <c r="W330" s="779" t="s">
        <v>2706</v>
      </c>
      <c r="X330" s="598" t="s">
        <v>963</v>
      </c>
      <c r="Y330" s="624">
        <v>27634</v>
      </c>
      <c r="Z330" s="625">
        <f t="shared" ca="1" si="3"/>
        <v>50</v>
      </c>
      <c r="AA330" s="616" t="s">
        <v>2707</v>
      </c>
      <c r="AB330" s="598"/>
      <c r="AC330" s="598" t="s">
        <v>966</v>
      </c>
      <c r="AD330" s="598" t="s">
        <v>953</v>
      </c>
      <c r="AE330" s="616" t="s">
        <v>1041</v>
      </c>
      <c r="AF330" s="616" t="s">
        <v>1041</v>
      </c>
      <c r="AG330" s="616" t="s">
        <v>2672</v>
      </c>
      <c r="AH330" s="598"/>
      <c r="AI330" s="598"/>
      <c r="AJ330" s="598" t="s">
        <v>1125</v>
      </c>
      <c r="AK330" s="598"/>
      <c r="AL330" s="626"/>
      <c r="AM330" s="626"/>
    </row>
    <row r="331" spans="3:39" ht="18" customHeight="1">
      <c r="C331" s="598">
        <v>312</v>
      </c>
      <c r="D331" s="598" t="s">
        <v>2709</v>
      </c>
      <c r="E331" s="598">
        <f t="shared" si="2"/>
        <v>291</v>
      </c>
      <c r="F331" s="616" t="s">
        <v>1798</v>
      </c>
      <c r="G331" s="616" t="s">
        <v>2624</v>
      </c>
      <c r="H331" s="618" t="s">
        <v>1225</v>
      </c>
      <c r="I331" s="618" t="s">
        <v>185</v>
      </c>
      <c r="J331" s="618" t="s">
        <v>2623</v>
      </c>
      <c r="K331" s="618" t="s">
        <v>2699</v>
      </c>
      <c r="L331" s="618" t="s">
        <v>2700</v>
      </c>
      <c r="M331" s="619"/>
      <c r="N331" s="620"/>
      <c r="O331" s="620"/>
      <c r="P331" s="663" t="s">
        <v>1074</v>
      </c>
      <c r="Q331" s="621"/>
      <c r="R331" s="598"/>
      <c r="S331" s="598"/>
      <c r="T331" s="598"/>
      <c r="U331" s="598" t="s">
        <v>962</v>
      </c>
      <c r="V331" s="663" t="s">
        <v>302</v>
      </c>
      <c r="W331" s="779" t="s">
        <v>2710</v>
      </c>
      <c r="X331" s="598" t="s">
        <v>963</v>
      </c>
      <c r="Y331" s="624">
        <v>26832</v>
      </c>
      <c r="Z331" s="625">
        <f t="shared" ca="1" si="3"/>
        <v>52</v>
      </c>
      <c r="AA331" s="616" t="s">
        <v>2711</v>
      </c>
      <c r="AB331" s="598"/>
      <c r="AC331" s="598" t="s">
        <v>996</v>
      </c>
      <c r="AD331" s="598" t="s">
        <v>997</v>
      </c>
      <c r="AE331" s="616" t="s">
        <v>1041</v>
      </c>
      <c r="AF331" s="616" t="s">
        <v>1041</v>
      </c>
      <c r="AG331" s="616" t="s">
        <v>2713</v>
      </c>
      <c r="AH331" s="598"/>
      <c r="AI331" s="598"/>
      <c r="AJ331" s="598" t="s">
        <v>1025</v>
      </c>
      <c r="AK331" s="598"/>
      <c r="AL331" s="626"/>
      <c r="AM331" s="626"/>
    </row>
    <row r="332" spans="3:39" ht="18" customHeight="1">
      <c r="C332" s="598">
        <v>313</v>
      </c>
      <c r="D332" s="598" t="s">
        <v>3846</v>
      </c>
      <c r="E332" s="598">
        <f t="shared" si="2"/>
        <v>292</v>
      </c>
      <c r="F332" s="616" t="s">
        <v>4978</v>
      </c>
      <c r="G332" s="616" t="s">
        <v>2624</v>
      </c>
      <c r="H332" s="618" t="s">
        <v>1225</v>
      </c>
      <c r="I332" s="618" t="s">
        <v>185</v>
      </c>
      <c r="J332" s="618" t="s">
        <v>2623</v>
      </c>
      <c r="K332" s="618" t="s">
        <v>2699</v>
      </c>
      <c r="L332" s="618" t="s">
        <v>2700</v>
      </c>
      <c r="M332" s="619"/>
      <c r="N332" s="620"/>
      <c r="O332" s="620"/>
      <c r="P332" s="663" t="s">
        <v>1074</v>
      </c>
      <c r="Q332" s="621"/>
      <c r="R332" s="598"/>
      <c r="S332" s="598"/>
      <c r="T332" s="598"/>
      <c r="U332" s="598" t="s">
        <v>962</v>
      </c>
      <c r="V332" s="663" t="s">
        <v>3847</v>
      </c>
      <c r="W332" s="779" t="s">
        <v>3848</v>
      </c>
      <c r="X332" s="598" t="s">
        <v>963</v>
      </c>
      <c r="Y332" s="624">
        <v>23664</v>
      </c>
      <c r="Z332" s="625">
        <f t="shared" ca="1" si="3"/>
        <v>61</v>
      </c>
      <c r="AA332" s="616" t="s">
        <v>3849</v>
      </c>
      <c r="AB332" s="598"/>
      <c r="AC332" s="598" t="s">
        <v>966</v>
      </c>
      <c r="AD332" s="598" t="s">
        <v>953</v>
      </c>
      <c r="AE332" s="616" t="s">
        <v>246</v>
      </c>
      <c r="AF332" s="616" t="s">
        <v>246</v>
      </c>
      <c r="AG332" s="616" t="s">
        <v>3815</v>
      </c>
      <c r="AH332" s="598"/>
      <c r="AI332" s="598"/>
      <c r="AJ332" s="598" t="s">
        <v>1125</v>
      </c>
      <c r="AK332" s="598"/>
      <c r="AL332" s="626"/>
      <c r="AM332" s="626"/>
    </row>
    <row r="333" spans="3:39" ht="18" customHeight="1">
      <c r="C333" s="598">
        <v>314</v>
      </c>
      <c r="D333" s="598" t="s">
        <v>1797</v>
      </c>
      <c r="E333" s="598">
        <f t="shared" si="2"/>
        <v>293</v>
      </c>
      <c r="F333" s="616" t="s">
        <v>1798</v>
      </c>
      <c r="G333" s="616" t="s">
        <v>2624</v>
      </c>
      <c r="H333" s="618" t="s">
        <v>1225</v>
      </c>
      <c r="I333" s="618" t="s">
        <v>185</v>
      </c>
      <c r="J333" s="618" t="s">
        <v>2623</v>
      </c>
      <c r="K333" s="618" t="s">
        <v>2699</v>
      </c>
      <c r="L333" s="618" t="s">
        <v>2700</v>
      </c>
      <c r="M333" s="619"/>
      <c r="N333" s="620"/>
      <c r="O333" s="620"/>
      <c r="P333" s="663" t="s">
        <v>1074</v>
      </c>
      <c r="Q333" s="621"/>
      <c r="R333" s="598"/>
      <c r="S333" s="598"/>
      <c r="T333" s="598"/>
      <c r="U333" s="598" t="s">
        <v>962</v>
      </c>
      <c r="V333" s="663" t="s">
        <v>1799</v>
      </c>
      <c r="W333" s="779" t="s">
        <v>1800</v>
      </c>
      <c r="X333" s="598" t="s">
        <v>963</v>
      </c>
      <c r="Y333" s="624">
        <v>31932</v>
      </c>
      <c r="Z333" s="625">
        <f t="shared" ca="1" si="3"/>
        <v>38</v>
      </c>
      <c r="AA333" s="616" t="s">
        <v>1801</v>
      </c>
      <c r="AB333" s="598"/>
      <c r="AC333" s="598" t="s">
        <v>966</v>
      </c>
      <c r="AD333" s="598" t="s">
        <v>953</v>
      </c>
      <c r="AE333" s="616" t="s">
        <v>1494</v>
      </c>
      <c r="AF333" s="616" t="s">
        <v>1494</v>
      </c>
      <c r="AG333" s="616" t="s">
        <v>1803</v>
      </c>
      <c r="AH333" s="598"/>
      <c r="AI333" s="598"/>
      <c r="AJ333" s="598" t="s">
        <v>1125</v>
      </c>
      <c r="AK333" s="598"/>
      <c r="AL333" s="626"/>
      <c r="AM333" s="626"/>
    </row>
    <row r="334" spans="3:39" ht="18" customHeight="1">
      <c r="C334" s="598">
        <v>315</v>
      </c>
      <c r="D334" s="598" t="s">
        <v>2893</v>
      </c>
      <c r="E334" s="598">
        <f t="shared" si="2"/>
        <v>294</v>
      </c>
      <c r="F334" s="616" t="s">
        <v>1798</v>
      </c>
      <c r="G334" s="616" t="s">
        <v>2624</v>
      </c>
      <c r="H334" s="618" t="s">
        <v>1225</v>
      </c>
      <c r="I334" s="618" t="s">
        <v>185</v>
      </c>
      <c r="J334" s="618" t="s">
        <v>2623</v>
      </c>
      <c r="K334" s="618" t="s">
        <v>2699</v>
      </c>
      <c r="L334" s="618" t="s">
        <v>2700</v>
      </c>
      <c r="M334" s="619"/>
      <c r="N334" s="620"/>
      <c r="O334" s="620"/>
      <c r="P334" s="663" t="s">
        <v>1074</v>
      </c>
      <c r="Q334" s="621"/>
      <c r="R334" s="598"/>
      <c r="S334" s="598"/>
      <c r="T334" s="598"/>
      <c r="U334" s="598" t="s">
        <v>1015</v>
      </c>
      <c r="V334" s="663" t="s">
        <v>2894</v>
      </c>
      <c r="W334" s="779" t="s">
        <v>2895</v>
      </c>
      <c r="X334" s="598" t="s">
        <v>950</v>
      </c>
      <c r="Y334" s="624">
        <v>27553</v>
      </c>
      <c r="Z334" s="625">
        <f t="shared" ca="1" si="3"/>
        <v>50</v>
      </c>
      <c r="AA334" s="616" t="s">
        <v>2896</v>
      </c>
      <c r="AB334" s="598"/>
      <c r="AC334" s="598" t="s">
        <v>996</v>
      </c>
      <c r="AD334" s="598" t="s">
        <v>997</v>
      </c>
      <c r="AE334" s="616" t="s">
        <v>1041</v>
      </c>
      <c r="AF334" s="616" t="s">
        <v>1041</v>
      </c>
      <c r="AG334" s="616" t="s">
        <v>2898</v>
      </c>
      <c r="AH334" s="598"/>
      <c r="AI334" s="598"/>
      <c r="AJ334" s="598" t="s">
        <v>1125</v>
      </c>
      <c r="AK334" s="598"/>
      <c r="AL334" s="626"/>
      <c r="AM334" s="626"/>
    </row>
    <row r="335" spans="3:39" ht="18" customHeight="1">
      <c r="C335" s="598">
        <v>316</v>
      </c>
      <c r="D335" s="598" t="s">
        <v>2813</v>
      </c>
      <c r="E335" s="598">
        <f t="shared" si="2"/>
        <v>295</v>
      </c>
      <c r="F335" s="616" t="s">
        <v>1798</v>
      </c>
      <c r="G335" s="616" t="s">
        <v>2624</v>
      </c>
      <c r="H335" s="618" t="s">
        <v>1225</v>
      </c>
      <c r="I335" s="618" t="s">
        <v>185</v>
      </c>
      <c r="J335" s="618" t="s">
        <v>2623</v>
      </c>
      <c r="K335" s="618" t="s">
        <v>2699</v>
      </c>
      <c r="L335" s="618" t="s">
        <v>2700</v>
      </c>
      <c r="M335" s="619"/>
      <c r="N335" s="620"/>
      <c r="O335" s="620"/>
      <c r="P335" s="663" t="s">
        <v>1074</v>
      </c>
      <c r="Q335" s="621"/>
      <c r="R335" s="598"/>
      <c r="S335" s="598"/>
      <c r="T335" s="598"/>
      <c r="U335" s="598" t="s">
        <v>1015</v>
      </c>
      <c r="V335" s="663" t="s">
        <v>2814</v>
      </c>
      <c r="W335" s="779" t="s">
        <v>2815</v>
      </c>
      <c r="X335" s="598" t="s">
        <v>950</v>
      </c>
      <c r="Y335" s="624">
        <v>30200</v>
      </c>
      <c r="Z335" s="625">
        <f t="shared" ca="1" si="3"/>
        <v>43</v>
      </c>
      <c r="AA335" s="616" t="s">
        <v>2816</v>
      </c>
      <c r="AB335" s="598"/>
      <c r="AC335" s="598" t="s">
        <v>996</v>
      </c>
      <c r="AD335" s="598" t="s">
        <v>997</v>
      </c>
      <c r="AE335" s="616" t="s">
        <v>1041</v>
      </c>
      <c r="AF335" s="616" t="s">
        <v>1041</v>
      </c>
      <c r="AG335" s="616" t="s">
        <v>2672</v>
      </c>
      <c r="AH335" s="598"/>
      <c r="AI335" s="598"/>
      <c r="AJ335" s="598" t="s">
        <v>1125</v>
      </c>
      <c r="AK335" s="598"/>
      <c r="AL335" s="626"/>
      <c r="AM335" s="626"/>
    </row>
    <row r="336" spans="3:39" ht="18" customHeight="1">
      <c r="C336" s="598">
        <v>317</v>
      </c>
      <c r="D336" s="598" t="s">
        <v>2714</v>
      </c>
      <c r="E336" s="598">
        <f t="shared" si="2"/>
        <v>296</v>
      </c>
      <c r="F336" s="616" t="s">
        <v>4978</v>
      </c>
      <c r="G336" s="616" t="s">
        <v>2624</v>
      </c>
      <c r="H336" s="618" t="s">
        <v>1225</v>
      </c>
      <c r="I336" s="618" t="s">
        <v>185</v>
      </c>
      <c r="J336" s="618" t="s">
        <v>2623</v>
      </c>
      <c r="K336" s="618" t="s">
        <v>2699</v>
      </c>
      <c r="L336" s="618" t="s">
        <v>2700</v>
      </c>
      <c r="M336" s="619"/>
      <c r="N336" s="620"/>
      <c r="O336" s="620"/>
      <c r="P336" s="663" t="s">
        <v>1074</v>
      </c>
      <c r="Q336" s="621" t="s">
        <v>319</v>
      </c>
      <c r="R336" s="598"/>
      <c r="S336" s="598"/>
      <c r="T336" s="598"/>
      <c r="U336" s="598" t="s">
        <v>962</v>
      </c>
      <c r="V336" s="663" t="s">
        <v>2715</v>
      </c>
      <c r="W336" s="779" t="s">
        <v>2716</v>
      </c>
      <c r="X336" s="598" t="s">
        <v>963</v>
      </c>
      <c r="Y336" s="624">
        <v>30794</v>
      </c>
      <c r="Z336" s="625">
        <f t="shared" ca="1" si="3"/>
        <v>41</v>
      </c>
      <c r="AA336" s="616" t="s">
        <v>2717</v>
      </c>
      <c r="AB336" s="598"/>
      <c r="AC336" s="598" t="s">
        <v>996</v>
      </c>
      <c r="AD336" s="598" t="s">
        <v>997</v>
      </c>
      <c r="AE336" s="616" t="s">
        <v>1041</v>
      </c>
      <c r="AF336" s="721" t="s">
        <v>1041</v>
      </c>
      <c r="AG336" s="616" t="s">
        <v>2672</v>
      </c>
      <c r="AH336" s="598"/>
      <c r="AI336" s="598"/>
      <c r="AJ336" s="598" t="s">
        <v>1107</v>
      </c>
      <c r="AK336" s="598"/>
      <c r="AL336" s="626"/>
      <c r="AM336" s="626"/>
    </row>
    <row r="337" spans="1:39" ht="18" customHeight="1">
      <c r="C337" s="598">
        <v>318</v>
      </c>
      <c r="D337" s="598" t="s">
        <v>2719</v>
      </c>
      <c r="E337" s="598">
        <f t="shared" si="2"/>
        <v>297</v>
      </c>
      <c r="F337" s="616" t="s">
        <v>4978</v>
      </c>
      <c r="G337" s="616" t="s">
        <v>2624</v>
      </c>
      <c r="H337" s="618" t="s">
        <v>1225</v>
      </c>
      <c r="I337" s="618" t="s">
        <v>185</v>
      </c>
      <c r="J337" s="618" t="s">
        <v>2623</v>
      </c>
      <c r="K337" s="618" t="s">
        <v>2699</v>
      </c>
      <c r="L337" s="618" t="s">
        <v>2700</v>
      </c>
      <c r="M337" s="619"/>
      <c r="N337" s="620"/>
      <c r="O337" s="620"/>
      <c r="P337" s="673" t="s">
        <v>1074</v>
      </c>
      <c r="Q337" s="621" t="s">
        <v>319</v>
      </c>
      <c r="R337" s="598"/>
      <c r="S337" s="598"/>
      <c r="T337" s="598"/>
      <c r="U337" s="598" t="s">
        <v>962</v>
      </c>
      <c r="V337" s="673" t="s">
        <v>307</v>
      </c>
      <c r="W337" s="779" t="s">
        <v>2720</v>
      </c>
      <c r="X337" s="598" t="s">
        <v>963</v>
      </c>
      <c r="Y337" s="624">
        <v>32505</v>
      </c>
      <c r="Z337" s="625">
        <f t="shared" ca="1" si="3"/>
        <v>37</v>
      </c>
      <c r="AA337" s="616" t="s">
        <v>2721</v>
      </c>
      <c r="AB337" s="598"/>
      <c r="AC337" s="598" t="s">
        <v>996</v>
      </c>
      <c r="AD337" s="598" t="s">
        <v>1018</v>
      </c>
      <c r="AE337" s="616" t="s">
        <v>1041</v>
      </c>
      <c r="AF337" s="616" t="s">
        <v>1041</v>
      </c>
      <c r="AG337" s="616" t="s">
        <v>2672</v>
      </c>
      <c r="AH337" s="598"/>
      <c r="AI337" s="598"/>
      <c r="AJ337" s="647" t="s">
        <v>1513</v>
      </c>
      <c r="AK337" s="598"/>
      <c r="AL337" s="626"/>
      <c r="AM337" s="626"/>
    </row>
    <row r="338" spans="1:39" ht="18" customHeight="1">
      <c r="C338" s="598">
        <v>319</v>
      </c>
      <c r="D338" s="598" t="s">
        <v>2745</v>
      </c>
      <c r="E338" s="598">
        <f t="shared" si="2"/>
        <v>298</v>
      </c>
      <c r="F338" s="616" t="s">
        <v>1798</v>
      </c>
      <c r="G338" s="616" t="s">
        <v>4687</v>
      </c>
      <c r="H338" s="618" t="s">
        <v>1225</v>
      </c>
      <c r="I338" s="618" t="s">
        <v>2747</v>
      </c>
      <c r="J338" s="618" t="s">
        <v>2745</v>
      </c>
      <c r="K338" s="618" t="s">
        <v>2745</v>
      </c>
      <c r="L338" s="618"/>
      <c r="M338" s="619"/>
      <c r="N338" s="620"/>
      <c r="O338" s="620"/>
      <c r="P338" s="667" t="s">
        <v>2625</v>
      </c>
      <c r="Q338" s="621"/>
      <c r="R338" s="598" t="s">
        <v>173</v>
      </c>
      <c r="S338" s="598" t="s">
        <v>514</v>
      </c>
      <c r="T338" s="598" t="s">
        <v>55</v>
      </c>
      <c r="U338" s="598" t="s">
        <v>1015</v>
      </c>
      <c r="V338" s="667" t="s">
        <v>2747</v>
      </c>
      <c r="W338" s="779" t="s">
        <v>2749</v>
      </c>
      <c r="X338" s="598" t="s">
        <v>950</v>
      </c>
      <c r="Y338" s="624">
        <v>25905</v>
      </c>
      <c r="Z338" s="625">
        <f t="shared" ca="1" si="3"/>
        <v>55</v>
      </c>
      <c r="AA338" s="616" t="s">
        <v>2750</v>
      </c>
      <c r="AB338" s="598" t="s">
        <v>2751</v>
      </c>
      <c r="AC338" s="598" t="s">
        <v>966</v>
      </c>
      <c r="AD338" s="598" t="s">
        <v>953</v>
      </c>
      <c r="AE338" s="616" t="s">
        <v>1041</v>
      </c>
      <c r="AF338" s="616" t="s">
        <v>1041</v>
      </c>
      <c r="AG338" s="616" t="s">
        <v>2630</v>
      </c>
      <c r="AH338" s="598"/>
      <c r="AI338" s="598"/>
      <c r="AJ338" s="598" t="s">
        <v>1440</v>
      </c>
      <c r="AK338" s="598"/>
      <c r="AL338" s="626"/>
      <c r="AM338" s="626"/>
    </row>
    <row r="339" spans="1:39" ht="18" customHeight="1">
      <c r="C339" s="598">
        <v>320</v>
      </c>
      <c r="D339" s="598" t="s">
        <v>2785</v>
      </c>
      <c r="E339" s="598">
        <f t="shared" si="2"/>
        <v>299</v>
      </c>
      <c r="F339" s="616" t="s">
        <v>1798</v>
      </c>
      <c r="G339" s="616" t="s">
        <v>4687</v>
      </c>
      <c r="H339" s="618" t="s">
        <v>1225</v>
      </c>
      <c r="I339" s="618" t="s">
        <v>2747</v>
      </c>
      <c r="J339" s="618" t="s">
        <v>2745</v>
      </c>
      <c r="K339" s="618" t="s">
        <v>2745</v>
      </c>
      <c r="L339" s="618"/>
      <c r="M339" s="619"/>
      <c r="N339" s="620"/>
      <c r="O339" s="620"/>
      <c r="P339" s="663" t="s">
        <v>2625</v>
      </c>
      <c r="Q339" s="621"/>
      <c r="R339" s="598"/>
      <c r="S339" s="598"/>
      <c r="T339" s="598"/>
      <c r="U339" s="598" t="s">
        <v>1015</v>
      </c>
      <c r="V339" s="663" t="s">
        <v>227</v>
      </c>
      <c r="W339" s="779" t="s">
        <v>2786</v>
      </c>
      <c r="X339" s="598" t="s">
        <v>950</v>
      </c>
      <c r="Y339" s="624">
        <v>23437</v>
      </c>
      <c r="Z339" s="625">
        <f t="shared" ca="1" si="3"/>
        <v>61</v>
      </c>
      <c r="AA339" s="616" t="s">
        <v>2787</v>
      </c>
      <c r="AB339" s="598"/>
      <c r="AC339" s="598" t="s">
        <v>966</v>
      </c>
      <c r="AD339" s="598" t="s">
        <v>953</v>
      </c>
      <c r="AE339" s="616" t="s">
        <v>1041</v>
      </c>
      <c r="AF339" s="616" t="s">
        <v>1041</v>
      </c>
      <c r="AG339" s="616" t="s">
        <v>2789</v>
      </c>
      <c r="AH339" s="598"/>
      <c r="AI339" s="598"/>
      <c r="AJ339" s="598"/>
      <c r="AK339" s="598"/>
      <c r="AL339" s="626"/>
      <c r="AM339" s="626"/>
    </row>
    <row r="340" spans="1:39" ht="18" customHeight="1">
      <c r="C340" s="598">
        <v>321</v>
      </c>
      <c r="D340" s="598" t="s">
        <v>2775</v>
      </c>
      <c r="E340" s="598">
        <f t="shared" si="2"/>
        <v>300</v>
      </c>
      <c r="F340" s="616" t="s">
        <v>1798</v>
      </c>
      <c r="G340" s="616" t="s">
        <v>4687</v>
      </c>
      <c r="H340" s="618" t="s">
        <v>1225</v>
      </c>
      <c r="I340" s="618" t="s">
        <v>2747</v>
      </c>
      <c r="J340" s="618" t="s">
        <v>2745</v>
      </c>
      <c r="K340" s="618" t="s">
        <v>2745</v>
      </c>
      <c r="L340" s="618"/>
      <c r="M340" s="619"/>
      <c r="N340" s="620"/>
      <c r="O340" s="620"/>
      <c r="P340" s="663" t="s">
        <v>2625</v>
      </c>
      <c r="Q340" s="621"/>
      <c r="R340" s="598" t="s">
        <v>55</v>
      </c>
      <c r="S340" s="598" t="s">
        <v>178</v>
      </c>
      <c r="T340" s="598"/>
      <c r="U340" s="598" t="s">
        <v>1015</v>
      </c>
      <c r="V340" s="663" t="s">
        <v>207</v>
      </c>
      <c r="W340" s="779" t="s">
        <v>2776</v>
      </c>
      <c r="X340" s="598" t="s">
        <v>950</v>
      </c>
      <c r="Y340" s="624">
        <v>28739</v>
      </c>
      <c r="Z340" s="625">
        <f t="shared" ca="1" si="3"/>
        <v>47</v>
      </c>
      <c r="AA340" s="616"/>
      <c r="AB340" s="598" t="s">
        <v>2778</v>
      </c>
      <c r="AC340" s="598" t="s">
        <v>966</v>
      </c>
      <c r="AD340" s="598" t="s">
        <v>953</v>
      </c>
      <c r="AE340" s="616" t="s">
        <v>2737</v>
      </c>
      <c r="AF340" s="616" t="s">
        <v>2737</v>
      </c>
      <c r="AG340" s="616" t="s">
        <v>2779</v>
      </c>
      <c r="AH340" s="598"/>
      <c r="AI340" s="598"/>
      <c r="AJ340" s="598" t="s">
        <v>1440</v>
      </c>
      <c r="AK340" s="598"/>
      <c r="AL340" s="626"/>
      <c r="AM340" s="626"/>
    </row>
    <row r="341" spans="1:39" ht="18" customHeight="1">
      <c r="C341" s="598">
        <v>322</v>
      </c>
      <c r="D341" s="598" t="s">
        <v>2758</v>
      </c>
      <c r="E341" s="598">
        <f t="shared" si="2"/>
        <v>301</v>
      </c>
      <c r="F341" s="616" t="s">
        <v>4978</v>
      </c>
      <c r="G341" s="616" t="s">
        <v>4687</v>
      </c>
      <c r="H341" s="618" t="s">
        <v>1225</v>
      </c>
      <c r="I341" s="618" t="s">
        <v>2747</v>
      </c>
      <c r="J341" s="618" t="s">
        <v>2745</v>
      </c>
      <c r="K341" s="618" t="s">
        <v>2745</v>
      </c>
      <c r="L341" s="618"/>
      <c r="M341" s="619"/>
      <c r="N341" s="620"/>
      <c r="O341" s="620"/>
      <c r="P341" s="663" t="s">
        <v>2625</v>
      </c>
      <c r="Q341" s="621"/>
      <c r="R341" s="598"/>
      <c r="S341" s="598"/>
      <c r="T341" s="598"/>
      <c r="U341" s="598" t="s">
        <v>1090</v>
      </c>
      <c r="V341" s="663" t="s">
        <v>247</v>
      </c>
      <c r="W341" s="779" t="s">
        <v>2759</v>
      </c>
      <c r="X341" s="598" t="s">
        <v>950</v>
      </c>
      <c r="Y341" s="624">
        <v>15634</v>
      </c>
      <c r="Z341" s="625">
        <f t="shared" ca="1" si="3"/>
        <v>83</v>
      </c>
      <c r="AA341" s="616" t="s">
        <v>2760</v>
      </c>
      <c r="AB341" s="598"/>
      <c r="AC341" s="598" t="s">
        <v>996</v>
      </c>
      <c r="AD341" s="598" t="s">
        <v>1018</v>
      </c>
      <c r="AE341" s="616" t="s">
        <v>1041</v>
      </c>
      <c r="AF341" s="721" t="s">
        <v>1041</v>
      </c>
      <c r="AG341" s="616"/>
      <c r="AH341" s="598"/>
      <c r="AI341" s="598"/>
      <c r="AJ341" s="700" t="s">
        <v>1612</v>
      </c>
      <c r="AK341" s="598"/>
      <c r="AL341" s="626"/>
      <c r="AM341" s="626"/>
    </row>
    <row r="342" spans="1:39" ht="18" customHeight="1">
      <c r="C342" s="598">
        <v>323</v>
      </c>
      <c r="D342" s="598" t="s">
        <v>2799</v>
      </c>
      <c r="E342" s="598">
        <f t="shared" si="2"/>
        <v>302</v>
      </c>
      <c r="F342" s="616" t="s">
        <v>4978</v>
      </c>
      <c r="G342" s="616" t="s">
        <v>4687</v>
      </c>
      <c r="H342" s="618" t="s">
        <v>1225</v>
      </c>
      <c r="I342" s="618" t="s">
        <v>2747</v>
      </c>
      <c r="J342" s="618" t="s">
        <v>2745</v>
      </c>
      <c r="K342" s="618" t="s">
        <v>2745</v>
      </c>
      <c r="L342" s="618"/>
      <c r="M342" s="619"/>
      <c r="N342" s="620"/>
      <c r="O342" s="620"/>
      <c r="P342" s="663" t="s">
        <v>2625</v>
      </c>
      <c r="Q342" s="621"/>
      <c r="R342" s="598"/>
      <c r="S342" s="598"/>
      <c r="T342" s="598"/>
      <c r="U342" s="598" t="s">
        <v>1090</v>
      </c>
      <c r="V342" s="663" t="s">
        <v>266</v>
      </c>
      <c r="W342" s="779" t="s">
        <v>2800</v>
      </c>
      <c r="X342" s="598" t="s">
        <v>950</v>
      </c>
      <c r="Y342" s="624">
        <v>18124</v>
      </c>
      <c r="Z342" s="625">
        <f t="shared" ca="1" si="3"/>
        <v>76</v>
      </c>
      <c r="AA342" s="616" t="s">
        <v>2801</v>
      </c>
      <c r="AB342" s="598"/>
      <c r="AC342" s="598" t="s">
        <v>996</v>
      </c>
      <c r="AD342" s="598" t="s">
        <v>1018</v>
      </c>
      <c r="AE342" s="616" t="s">
        <v>1041</v>
      </c>
      <c r="AF342" s="721" t="s">
        <v>1041</v>
      </c>
      <c r="AG342" s="616"/>
      <c r="AH342" s="598"/>
      <c r="AI342" s="598"/>
      <c r="AJ342" s="700" t="s">
        <v>1612</v>
      </c>
      <c r="AK342" s="598"/>
      <c r="AL342" s="626"/>
      <c r="AM342" s="626"/>
    </row>
    <row r="343" spans="1:39" ht="18" customHeight="1">
      <c r="C343" s="598">
        <v>324</v>
      </c>
      <c r="D343" s="598" t="s">
        <v>2762</v>
      </c>
      <c r="E343" s="598">
        <f t="shared" si="2"/>
        <v>303</v>
      </c>
      <c r="F343" s="616" t="s">
        <v>4978</v>
      </c>
      <c r="G343" s="616" t="s">
        <v>4687</v>
      </c>
      <c r="H343" s="618" t="s">
        <v>1225</v>
      </c>
      <c r="I343" s="618" t="s">
        <v>2747</v>
      </c>
      <c r="J343" s="618" t="s">
        <v>2745</v>
      </c>
      <c r="K343" s="618" t="s">
        <v>2745</v>
      </c>
      <c r="L343" s="618"/>
      <c r="M343" s="619"/>
      <c r="N343" s="620"/>
      <c r="O343" s="620"/>
      <c r="P343" s="663" t="s">
        <v>2625</v>
      </c>
      <c r="Q343" s="621"/>
      <c r="R343" s="598"/>
      <c r="S343" s="598"/>
      <c r="T343" s="598"/>
      <c r="U343" s="598" t="s">
        <v>1015</v>
      </c>
      <c r="V343" s="663" t="s">
        <v>283</v>
      </c>
      <c r="W343" s="779" t="s">
        <v>2763</v>
      </c>
      <c r="X343" s="598" t="s">
        <v>950</v>
      </c>
      <c r="Y343" s="624">
        <v>25188</v>
      </c>
      <c r="Z343" s="625">
        <f t="shared" ca="1" si="3"/>
        <v>57</v>
      </c>
      <c r="AA343" s="616" t="s">
        <v>2764</v>
      </c>
      <c r="AB343" s="598"/>
      <c r="AC343" s="598" t="s">
        <v>996</v>
      </c>
      <c r="AD343" s="598" t="s">
        <v>1018</v>
      </c>
      <c r="AE343" s="616" t="s">
        <v>1041</v>
      </c>
      <c r="AF343" s="721" t="s">
        <v>1041</v>
      </c>
      <c r="AG343" s="616"/>
      <c r="AH343" s="598"/>
      <c r="AI343" s="598"/>
      <c r="AJ343" s="700" t="s">
        <v>1612</v>
      </c>
      <c r="AK343" s="598"/>
      <c r="AL343" s="626"/>
      <c r="AM343" s="626"/>
    </row>
    <row r="344" spans="1:39" ht="18" customHeight="1">
      <c r="C344" s="598">
        <v>325</v>
      </c>
      <c r="D344" s="598" t="s">
        <v>2765</v>
      </c>
      <c r="E344" s="598">
        <f t="shared" si="2"/>
        <v>304</v>
      </c>
      <c r="F344" s="616" t="s">
        <v>4978</v>
      </c>
      <c r="G344" s="616" t="s">
        <v>4687</v>
      </c>
      <c r="H344" s="618" t="s">
        <v>1225</v>
      </c>
      <c r="I344" s="618" t="s">
        <v>2747</v>
      </c>
      <c r="J344" s="618" t="s">
        <v>2745</v>
      </c>
      <c r="K344" s="618" t="s">
        <v>2745</v>
      </c>
      <c r="L344" s="618"/>
      <c r="M344" s="619"/>
      <c r="N344" s="620"/>
      <c r="O344" s="620"/>
      <c r="P344" s="663" t="s">
        <v>2625</v>
      </c>
      <c r="Q344" s="621"/>
      <c r="R344" s="598" t="s">
        <v>69</v>
      </c>
      <c r="S344" s="598" t="s">
        <v>562</v>
      </c>
      <c r="T344" s="598"/>
      <c r="U344" s="598" t="s">
        <v>1015</v>
      </c>
      <c r="V344" s="663" t="s">
        <v>294</v>
      </c>
      <c r="W344" s="779" t="s">
        <v>2766</v>
      </c>
      <c r="X344" s="598" t="s">
        <v>950</v>
      </c>
      <c r="Y344" s="624">
        <v>26792</v>
      </c>
      <c r="Z344" s="625">
        <f t="shared" ca="1" si="3"/>
        <v>52</v>
      </c>
      <c r="AA344" s="616" t="s">
        <v>2767</v>
      </c>
      <c r="AB344" s="598"/>
      <c r="AC344" s="598" t="s">
        <v>996</v>
      </c>
      <c r="AD344" s="598" t="s">
        <v>1018</v>
      </c>
      <c r="AE344" s="616" t="s">
        <v>1041</v>
      </c>
      <c r="AF344" s="721" t="s">
        <v>1041</v>
      </c>
      <c r="AG344" s="616"/>
      <c r="AH344" s="598"/>
      <c r="AI344" s="598"/>
      <c r="AJ344" s="700" t="s">
        <v>1612</v>
      </c>
      <c r="AK344" s="598"/>
      <c r="AL344" s="626"/>
      <c r="AM344" s="626"/>
    </row>
    <row r="345" spans="1:39" ht="18" customHeight="1">
      <c r="C345" s="598">
        <v>326</v>
      </c>
      <c r="D345" s="598" t="s">
        <v>2780</v>
      </c>
      <c r="E345" s="598">
        <f t="shared" si="2"/>
        <v>305</v>
      </c>
      <c r="F345" s="616" t="s">
        <v>4978</v>
      </c>
      <c r="G345" s="616" t="s">
        <v>4687</v>
      </c>
      <c r="H345" s="618" t="s">
        <v>1225</v>
      </c>
      <c r="I345" s="618" t="s">
        <v>2747</v>
      </c>
      <c r="J345" s="618" t="s">
        <v>2745</v>
      </c>
      <c r="K345" s="618" t="s">
        <v>2745</v>
      </c>
      <c r="L345" s="618"/>
      <c r="M345" s="619"/>
      <c r="N345" s="620"/>
      <c r="O345" s="620"/>
      <c r="P345" s="663" t="s">
        <v>2625</v>
      </c>
      <c r="Q345" s="621"/>
      <c r="R345" s="598"/>
      <c r="S345" s="598"/>
      <c r="T345" s="598"/>
      <c r="U345" s="598" t="s">
        <v>1015</v>
      </c>
      <c r="V345" s="723" t="s">
        <v>303</v>
      </c>
      <c r="W345" s="779" t="s">
        <v>2781</v>
      </c>
      <c r="X345" s="598" t="s">
        <v>950</v>
      </c>
      <c r="Y345" s="624">
        <v>22076</v>
      </c>
      <c r="Z345" s="625">
        <f t="shared" ca="1" si="3"/>
        <v>65</v>
      </c>
      <c r="AA345" s="616" t="s">
        <v>2782</v>
      </c>
      <c r="AB345" s="598"/>
      <c r="AC345" s="598" t="s">
        <v>996</v>
      </c>
      <c r="AD345" s="598" t="s">
        <v>1018</v>
      </c>
      <c r="AE345" s="616" t="s">
        <v>1041</v>
      </c>
      <c r="AF345" s="721" t="s">
        <v>1041</v>
      </c>
      <c r="AG345" s="616"/>
      <c r="AH345" s="598"/>
      <c r="AI345" s="598"/>
      <c r="AJ345" s="700" t="s">
        <v>1612</v>
      </c>
      <c r="AK345" s="598"/>
      <c r="AL345" s="626"/>
      <c r="AM345" s="626"/>
    </row>
    <row r="346" spans="1:39" ht="18" customHeight="1">
      <c r="A346" s="174"/>
      <c r="B346" s="174"/>
      <c r="C346" s="598">
        <v>360</v>
      </c>
      <c r="D346" s="598" t="s">
        <v>4688</v>
      </c>
      <c r="E346" s="598">
        <f>SUBTOTAL(103,$U$21:U346)</f>
        <v>306</v>
      </c>
      <c r="F346" s="724" t="s">
        <v>1798</v>
      </c>
      <c r="G346" s="616" t="s">
        <v>4687</v>
      </c>
      <c r="H346" s="618" t="s">
        <v>1225</v>
      </c>
      <c r="I346" s="618" t="s">
        <v>2747</v>
      </c>
      <c r="J346" s="618" t="s">
        <v>2745</v>
      </c>
      <c r="K346" s="618" t="s">
        <v>2745</v>
      </c>
      <c r="L346" s="618"/>
      <c r="M346" s="627"/>
      <c r="N346" s="636"/>
      <c r="O346" s="636"/>
      <c r="P346" s="663" t="s">
        <v>2625</v>
      </c>
      <c r="Q346" s="637"/>
      <c r="R346" s="627"/>
      <c r="S346" s="627"/>
      <c r="T346" s="627"/>
      <c r="U346" s="671" t="s">
        <v>992</v>
      </c>
      <c r="V346" s="725" t="s">
        <v>308</v>
      </c>
      <c r="W346" s="780" t="s">
        <v>4689</v>
      </c>
      <c r="X346" s="598" t="s">
        <v>950</v>
      </c>
      <c r="Y346" s="624">
        <v>34440</v>
      </c>
      <c r="Z346" s="625">
        <f t="shared" ca="1" si="3"/>
        <v>31</v>
      </c>
      <c r="AA346" s="598" t="s">
        <v>4690</v>
      </c>
      <c r="AB346" s="598" t="s">
        <v>4691</v>
      </c>
      <c r="AC346" s="598" t="s">
        <v>1006</v>
      </c>
      <c r="AD346" s="598" t="s">
        <v>953</v>
      </c>
      <c r="AE346" s="598" t="s">
        <v>1041</v>
      </c>
      <c r="AF346" s="598" t="s">
        <v>1041</v>
      </c>
      <c r="AG346" s="598" t="s">
        <v>2665</v>
      </c>
      <c r="AH346" s="627"/>
      <c r="AI346" s="627"/>
      <c r="AJ346" s="627"/>
      <c r="AK346" s="627"/>
      <c r="AL346" s="627"/>
      <c r="AM346" s="627"/>
    </row>
    <row r="347" spans="1:39" ht="18" customHeight="1">
      <c r="C347" s="598">
        <v>327</v>
      </c>
      <c r="D347" s="598" t="s">
        <v>2745</v>
      </c>
      <c r="E347" s="598">
        <f t="shared" ref="E347:E601" si="4">SUBTOTAL(103,$U$21:U347)</f>
        <v>306</v>
      </c>
      <c r="F347" s="616"/>
      <c r="G347" s="616" t="s">
        <v>4687</v>
      </c>
      <c r="H347" s="618" t="s">
        <v>1225</v>
      </c>
      <c r="I347" s="618" t="s">
        <v>2747</v>
      </c>
      <c r="J347" s="618" t="s">
        <v>2745</v>
      </c>
      <c r="K347" s="618" t="s">
        <v>2745</v>
      </c>
      <c r="L347" s="618" t="s">
        <v>2804</v>
      </c>
      <c r="M347" s="619"/>
      <c r="N347" s="620"/>
      <c r="O347" s="620"/>
      <c r="P347" s="667" t="s">
        <v>2668</v>
      </c>
      <c r="Q347" s="621"/>
      <c r="R347" s="598" t="s">
        <v>173</v>
      </c>
      <c r="S347" s="598" t="s">
        <v>514</v>
      </c>
      <c r="T347" s="598" t="s">
        <v>55</v>
      </c>
      <c r="U347" s="598"/>
      <c r="V347" s="667" t="s">
        <v>2747</v>
      </c>
      <c r="W347" s="779" t="s">
        <v>2749</v>
      </c>
      <c r="X347" s="598" t="s">
        <v>950</v>
      </c>
      <c r="Y347" s="624">
        <v>25905</v>
      </c>
      <c r="Z347" s="625">
        <f t="shared" ca="1" si="3"/>
        <v>55</v>
      </c>
      <c r="AA347" s="616" t="s">
        <v>2750</v>
      </c>
      <c r="AB347" s="598"/>
      <c r="AC347" s="598" t="s">
        <v>966</v>
      </c>
      <c r="AD347" s="598" t="s">
        <v>953</v>
      </c>
      <c r="AE347" s="616"/>
      <c r="AF347" s="616"/>
      <c r="AG347" s="616"/>
      <c r="AH347" s="598" t="s">
        <v>955</v>
      </c>
      <c r="AI347" s="598"/>
      <c r="AJ347" s="598"/>
      <c r="AK347" s="598"/>
      <c r="AL347" s="626"/>
      <c r="AM347" s="626"/>
    </row>
    <row r="348" spans="1:39" ht="18" customHeight="1">
      <c r="C348" s="598">
        <v>328</v>
      </c>
      <c r="D348" s="598" t="s">
        <v>2804</v>
      </c>
      <c r="E348" s="598">
        <f t="shared" si="4"/>
        <v>307</v>
      </c>
      <c r="F348" s="616" t="s">
        <v>1798</v>
      </c>
      <c r="G348" s="616" t="s">
        <v>4687</v>
      </c>
      <c r="H348" s="618" t="s">
        <v>1225</v>
      </c>
      <c r="I348" s="618" t="s">
        <v>2747</v>
      </c>
      <c r="J348" s="618" t="s">
        <v>2745</v>
      </c>
      <c r="K348" s="618" t="s">
        <v>2745</v>
      </c>
      <c r="L348" s="618" t="s">
        <v>2804</v>
      </c>
      <c r="M348" s="619"/>
      <c r="N348" s="620"/>
      <c r="O348" s="620"/>
      <c r="P348" s="663" t="s">
        <v>2668</v>
      </c>
      <c r="Q348" s="621"/>
      <c r="R348" s="598" t="s">
        <v>69</v>
      </c>
      <c r="S348" s="598" t="s">
        <v>562</v>
      </c>
      <c r="T348" s="598"/>
      <c r="U348" s="598" t="s">
        <v>1015</v>
      </c>
      <c r="V348" s="663" t="s">
        <v>187</v>
      </c>
      <c r="W348" s="779" t="s">
        <v>2805</v>
      </c>
      <c r="X348" s="598" t="s">
        <v>950</v>
      </c>
      <c r="Y348" s="624">
        <v>27506</v>
      </c>
      <c r="Z348" s="625">
        <f t="shared" ca="1" si="3"/>
        <v>50</v>
      </c>
      <c r="AA348" s="616" t="s">
        <v>2806</v>
      </c>
      <c r="AB348" s="598"/>
      <c r="AC348" s="598" t="s">
        <v>966</v>
      </c>
      <c r="AD348" s="598" t="s">
        <v>953</v>
      </c>
      <c r="AE348" s="616" t="s">
        <v>1041</v>
      </c>
      <c r="AF348" s="616" t="s">
        <v>2069</v>
      </c>
      <c r="AG348" s="616" t="s">
        <v>2808</v>
      </c>
      <c r="AH348" s="598"/>
      <c r="AI348" s="598"/>
      <c r="AJ348" s="598" t="s">
        <v>1025</v>
      </c>
      <c r="AK348" s="598"/>
      <c r="AL348" s="626"/>
      <c r="AM348" s="626"/>
    </row>
    <row r="349" spans="1:39" ht="18" customHeight="1">
      <c r="C349" s="598">
        <v>329</v>
      </c>
      <c r="D349" s="598" t="s">
        <v>2809</v>
      </c>
      <c r="E349" s="598">
        <f t="shared" si="4"/>
        <v>308</v>
      </c>
      <c r="F349" s="616" t="s">
        <v>1798</v>
      </c>
      <c r="G349" s="616" t="s">
        <v>4687</v>
      </c>
      <c r="H349" s="618" t="s">
        <v>1225</v>
      </c>
      <c r="I349" s="618" t="s">
        <v>2747</v>
      </c>
      <c r="J349" s="618" t="s">
        <v>2745</v>
      </c>
      <c r="K349" s="618" t="s">
        <v>2745</v>
      </c>
      <c r="L349" s="618" t="s">
        <v>2804</v>
      </c>
      <c r="M349" s="619"/>
      <c r="N349" s="620"/>
      <c r="O349" s="620"/>
      <c r="P349" s="663" t="s">
        <v>2668</v>
      </c>
      <c r="Q349" s="621"/>
      <c r="R349" s="598"/>
      <c r="S349" s="598"/>
      <c r="T349" s="598"/>
      <c r="U349" s="598" t="s">
        <v>1015</v>
      </c>
      <c r="V349" s="663" t="s">
        <v>208</v>
      </c>
      <c r="W349" s="779" t="s">
        <v>2810</v>
      </c>
      <c r="X349" s="598" t="s">
        <v>950</v>
      </c>
      <c r="Y349" s="624">
        <v>21782</v>
      </c>
      <c r="Z349" s="625">
        <f t="shared" ca="1" si="3"/>
        <v>66</v>
      </c>
      <c r="AA349" s="616"/>
      <c r="AB349" s="598"/>
      <c r="AC349" s="598" t="s">
        <v>996</v>
      </c>
      <c r="AD349" s="598" t="s">
        <v>997</v>
      </c>
      <c r="AE349" s="616" t="s">
        <v>2069</v>
      </c>
      <c r="AF349" s="616" t="s">
        <v>2069</v>
      </c>
      <c r="AG349" s="616" t="s">
        <v>2641</v>
      </c>
      <c r="AH349" s="598"/>
      <c r="AI349" s="598"/>
      <c r="AJ349" s="598" t="s">
        <v>1025</v>
      </c>
      <c r="AK349" s="598"/>
      <c r="AL349" s="626"/>
      <c r="AM349" s="626"/>
    </row>
    <row r="350" spans="1:39" ht="18" customHeight="1">
      <c r="C350" s="598">
        <v>330</v>
      </c>
      <c r="D350" s="598" t="s">
        <v>2818</v>
      </c>
      <c r="E350" s="598">
        <f t="shared" si="4"/>
        <v>309</v>
      </c>
      <c r="F350" s="616" t="s">
        <v>1798</v>
      </c>
      <c r="G350" s="616" t="s">
        <v>4687</v>
      </c>
      <c r="H350" s="618" t="s">
        <v>1225</v>
      </c>
      <c r="I350" s="618" t="s">
        <v>2747</v>
      </c>
      <c r="J350" s="618" t="s">
        <v>2745</v>
      </c>
      <c r="K350" s="618" t="s">
        <v>2745</v>
      </c>
      <c r="L350" s="618" t="s">
        <v>2804</v>
      </c>
      <c r="M350" s="619"/>
      <c r="N350" s="620"/>
      <c r="O350" s="620"/>
      <c r="P350" s="663" t="s">
        <v>2668</v>
      </c>
      <c r="Q350" s="621"/>
      <c r="R350" s="598"/>
      <c r="S350" s="598"/>
      <c r="T350" s="598"/>
      <c r="U350" s="598" t="s">
        <v>1015</v>
      </c>
      <c r="V350" s="663" t="s">
        <v>228</v>
      </c>
      <c r="W350" s="779" t="s">
        <v>2819</v>
      </c>
      <c r="X350" s="598" t="s">
        <v>950</v>
      </c>
      <c r="Y350" s="624">
        <v>22092</v>
      </c>
      <c r="Z350" s="625">
        <f t="shared" ca="1" si="3"/>
        <v>65</v>
      </c>
      <c r="AA350" s="616"/>
      <c r="AB350" s="598"/>
      <c r="AC350" s="598" t="s">
        <v>996</v>
      </c>
      <c r="AD350" s="598" t="s">
        <v>1018</v>
      </c>
      <c r="AE350" s="616" t="s">
        <v>1041</v>
      </c>
      <c r="AF350" s="616" t="s">
        <v>1041</v>
      </c>
      <c r="AG350" s="616" t="s">
        <v>2822</v>
      </c>
      <c r="AH350" s="598"/>
      <c r="AI350" s="598"/>
      <c r="AJ350" s="598" t="s">
        <v>1114</v>
      </c>
      <c r="AK350" s="598"/>
      <c r="AL350" s="626"/>
      <c r="AM350" s="626"/>
    </row>
    <row r="351" spans="1:39" ht="18" customHeight="1">
      <c r="C351" s="598">
        <v>331</v>
      </c>
      <c r="D351" s="598" t="s">
        <v>4692</v>
      </c>
      <c r="E351" s="598">
        <f t="shared" si="4"/>
        <v>310</v>
      </c>
      <c r="F351" s="616" t="s">
        <v>1798</v>
      </c>
      <c r="G351" s="616" t="s">
        <v>4687</v>
      </c>
      <c r="H351" s="618" t="s">
        <v>1225</v>
      </c>
      <c r="I351" s="618" t="s">
        <v>2747</v>
      </c>
      <c r="J351" s="618" t="s">
        <v>2745</v>
      </c>
      <c r="K351" s="618" t="s">
        <v>2745</v>
      </c>
      <c r="L351" s="618" t="s">
        <v>2804</v>
      </c>
      <c r="M351" s="619"/>
      <c r="N351" s="620"/>
      <c r="O351" s="620"/>
      <c r="P351" s="663" t="s">
        <v>2668</v>
      </c>
      <c r="Q351" s="621"/>
      <c r="R351" s="598"/>
      <c r="S351" s="598"/>
      <c r="T351" s="598"/>
      <c r="U351" s="598" t="s">
        <v>1015</v>
      </c>
      <c r="V351" s="663" t="s">
        <v>4693</v>
      </c>
      <c r="W351" s="779" t="s">
        <v>4694</v>
      </c>
      <c r="X351" s="598" t="s">
        <v>950</v>
      </c>
      <c r="Y351" s="624">
        <v>34222</v>
      </c>
      <c r="Z351" s="625">
        <f t="shared" ca="1" si="3"/>
        <v>32</v>
      </c>
      <c r="AA351" s="616"/>
      <c r="AB351" s="598"/>
      <c r="AC351" s="598" t="s">
        <v>996</v>
      </c>
      <c r="AD351" s="598" t="s">
        <v>997</v>
      </c>
      <c r="AE351" s="616" t="s">
        <v>1041</v>
      </c>
      <c r="AF351" s="616" t="s">
        <v>1041</v>
      </c>
      <c r="AG351" s="616" t="s">
        <v>2672</v>
      </c>
      <c r="AH351" s="598"/>
      <c r="AI351" s="598" t="s">
        <v>2837</v>
      </c>
      <c r="AJ351" s="598" t="s">
        <v>1440</v>
      </c>
      <c r="AK351" s="598"/>
      <c r="AL351" s="626"/>
      <c r="AM351" s="626"/>
    </row>
    <row r="352" spans="1:39" ht="18" customHeight="1">
      <c r="C352" s="598">
        <v>332</v>
      </c>
      <c r="D352" s="598" t="s">
        <v>2832</v>
      </c>
      <c r="E352" s="598">
        <f t="shared" si="4"/>
        <v>311</v>
      </c>
      <c r="F352" s="616" t="s">
        <v>1798</v>
      </c>
      <c r="G352" s="616" t="s">
        <v>4687</v>
      </c>
      <c r="H352" s="618" t="s">
        <v>1225</v>
      </c>
      <c r="I352" s="618" t="s">
        <v>2747</v>
      </c>
      <c r="J352" s="618" t="s">
        <v>2745</v>
      </c>
      <c r="K352" s="618" t="s">
        <v>2745</v>
      </c>
      <c r="L352" s="618" t="s">
        <v>2804</v>
      </c>
      <c r="M352" s="619"/>
      <c r="N352" s="620"/>
      <c r="O352" s="620"/>
      <c r="P352" s="663" t="s">
        <v>2668</v>
      </c>
      <c r="Q352" s="621"/>
      <c r="R352" s="598"/>
      <c r="S352" s="598"/>
      <c r="T352" s="598"/>
      <c r="U352" s="598" t="s">
        <v>1015</v>
      </c>
      <c r="V352" s="663" t="s">
        <v>2833</v>
      </c>
      <c r="W352" s="779" t="s">
        <v>2834</v>
      </c>
      <c r="X352" s="598" t="s">
        <v>950</v>
      </c>
      <c r="Y352" s="624">
        <v>30979</v>
      </c>
      <c r="Z352" s="625">
        <f t="shared" ca="1" si="3"/>
        <v>41</v>
      </c>
      <c r="AA352" s="616" t="s">
        <v>2835</v>
      </c>
      <c r="AB352" s="598"/>
      <c r="AC352" s="598" t="s">
        <v>996</v>
      </c>
      <c r="AD352" s="598" t="s">
        <v>1018</v>
      </c>
      <c r="AE352" s="616" t="s">
        <v>1041</v>
      </c>
      <c r="AF352" s="616" t="s">
        <v>1041</v>
      </c>
      <c r="AG352" s="616" t="s">
        <v>2713</v>
      </c>
      <c r="AH352" s="598"/>
      <c r="AI352" s="598" t="s">
        <v>2837</v>
      </c>
      <c r="AJ352" s="598" t="s">
        <v>1349</v>
      </c>
      <c r="AK352" s="598"/>
      <c r="AL352" s="626"/>
      <c r="AM352" s="626"/>
    </row>
    <row r="353" spans="3:39" ht="18" customHeight="1">
      <c r="C353" s="598">
        <v>333</v>
      </c>
      <c r="D353" s="598" t="s">
        <v>2843</v>
      </c>
      <c r="E353" s="598">
        <f t="shared" si="4"/>
        <v>312</v>
      </c>
      <c r="F353" s="616" t="s">
        <v>1798</v>
      </c>
      <c r="G353" s="616" t="s">
        <v>4687</v>
      </c>
      <c r="H353" s="618" t="s">
        <v>1225</v>
      </c>
      <c r="I353" s="618" t="s">
        <v>2747</v>
      </c>
      <c r="J353" s="618" t="s">
        <v>2745</v>
      </c>
      <c r="K353" s="618" t="s">
        <v>2745</v>
      </c>
      <c r="L353" s="618" t="s">
        <v>2843</v>
      </c>
      <c r="M353" s="619"/>
      <c r="N353" s="620"/>
      <c r="O353" s="620"/>
      <c r="P353" s="663" t="s">
        <v>2668</v>
      </c>
      <c r="Q353" s="621"/>
      <c r="R353" s="598" t="s">
        <v>69</v>
      </c>
      <c r="S353" s="598" t="s">
        <v>562</v>
      </c>
      <c r="T353" s="598" t="s">
        <v>69</v>
      </c>
      <c r="U353" s="598" t="s">
        <v>992</v>
      </c>
      <c r="V353" s="663" t="s">
        <v>188</v>
      </c>
      <c r="W353" s="779" t="s">
        <v>2844</v>
      </c>
      <c r="X353" s="598" t="s">
        <v>950</v>
      </c>
      <c r="Y353" s="624">
        <v>32694</v>
      </c>
      <c r="Z353" s="625">
        <f t="shared" ca="1" si="3"/>
        <v>36</v>
      </c>
      <c r="AA353" s="616" t="s">
        <v>2845</v>
      </c>
      <c r="AB353" s="598"/>
      <c r="AC353" s="598" t="s">
        <v>996</v>
      </c>
      <c r="AD353" s="598" t="s">
        <v>997</v>
      </c>
      <c r="AE353" s="616" t="s">
        <v>1041</v>
      </c>
      <c r="AF353" s="616" t="s">
        <v>1909</v>
      </c>
      <c r="AG353" s="616" t="s">
        <v>2847</v>
      </c>
      <c r="AH353" s="598"/>
      <c r="AI353" s="598"/>
      <c r="AJ353" s="598" t="s">
        <v>1025</v>
      </c>
      <c r="AK353" s="598"/>
      <c r="AL353" s="626"/>
      <c r="AM353" s="626"/>
    </row>
    <row r="354" spans="3:39" ht="18" customHeight="1">
      <c r="C354" s="598">
        <v>334</v>
      </c>
      <c r="D354" s="598" t="s">
        <v>2848</v>
      </c>
      <c r="E354" s="598">
        <f t="shared" si="4"/>
        <v>313</v>
      </c>
      <c r="F354" s="616" t="s">
        <v>1798</v>
      </c>
      <c r="G354" s="616" t="s">
        <v>4687</v>
      </c>
      <c r="H354" s="618" t="s">
        <v>1225</v>
      </c>
      <c r="I354" s="618" t="s">
        <v>2747</v>
      </c>
      <c r="J354" s="618" t="s">
        <v>2745</v>
      </c>
      <c r="K354" s="618" t="s">
        <v>2745</v>
      </c>
      <c r="L354" s="618" t="s">
        <v>2843</v>
      </c>
      <c r="M354" s="619"/>
      <c r="N354" s="620"/>
      <c r="O354" s="620"/>
      <c r="P354" s="663" t="s">
        <v>2668</v>
      </c>
      <c r="Q354" s="621"/>
      <c r="R354" s="598"/>
      <c r="S354" s="598"/>
      <c r="T354" s="598"/>
      <c r="U354" s="598" t="s">
        <v>1090</v>
      </c>
      <c r="V354" s="663" t="s">
        <v>2849</v>
      </c>
      <c r="W354" s="779" t="s">
        <v>2850</v>
      </c>
      <c r="X354" s="598" t="s">
        <v>950</v>
      </c>
      <c r="Y354" s="624">
        <v>19460</v>
      </c>
      <c r="Z354" s="625">
        <f t="shared" ca="1" si="3"/>
        <v>72</v>
      </c>
      <c r="AA354" s="616"/>
      <c r="AB354" s="598"/>
      <c r="AC354" s="598" t="s">
        <v>996</v>
      </c>
      <c r="AD354" s="598" t="s">
        <v>953</v>
      </c>
      <c r="AE354" s="616" t="s">
        <v>1041</v>
      </c>
      <c r="AF354" s="616" t="s">
        <v>1041</v>
      </c>
      <c r="AG354" s="616" t="s">
        <v>2852</v>
      </c>
      <c r="AH354" s="598"/>
      <c r="AI354" s="598"/>
      <c r="AJ354" s="598" t="s">
        <v>1440</v>
      </c>
      <c r="AK354" s="598"/>
      <c r="AL354" s="626"/>
      <c r="AM354" s="626"/>
    </row>
    <row r="355" spans="3:39" ht="18" customHeight="1">
      <c r="C355" s="598">
        <v>335</v>
      </c>
      <c r="D355" s="598" t="s">
        <v>2853</v>
      </c>
      <c r="E355" s="598">
        <f t="shared" si="4"/>
        <v>314</v>
      </c>
      <c r="F355" s="616" t="s">
        <v>1798</v>
      </c>
      <c r="G355" s="616" t="s">
        <v>4687</v>
      </c>
      <c r="H355" s="618" t="s">
        <v>1225</v>
      </c>
      <c r="I355" s="618" t="s">
        <v>2747</v>
      </c>
      <c r="J355" s="618" t="s">
        <v>2745</v>
      </c>
      <c r="K355" s="618" t="s">
        <v>2745</v>
      </c>
      <c r="L355" s="618" t="s">
        <v>2843</v>
      </c>
      <c r="M355" s="619"/>
      <c r="N355" s="620"/>
      <c r="O355" s="620"/>
      <c r="P355" s="663" t="s">
        <v>2668</v>
      </c>
      <c r="Q355" s="621"/>
      <c r="R355" s="598"/>
      <c r="S355" s="598"/>
      <c r="T355" s="598"/>
      <c r="U355" s="598" t="s">
        <v>1090</v>
      </c>
      <c r="V355" s="663" t="s">
        <v>229</v>
      </c>
      <c r="W355" s="779" t="s">
        <v>2854</v>
      </c>
      <c r="X355" s="598" t="s">
        <v>950</v>
      </c>
      <c r="Y355" s="624">
        <v>17662</v>
      </c>
      <c r="Z355" s="625">
        <f t="shared" ca="1" si="3"/>
        <v>77</v>
      </c>
      <c r="AA355" s="616" t="s">
        <v>2855</v>
      </c>
      <c r="AB355" s="598"/>
      <c r="AC355" s="598" t="s">
        <v>966</v>
      </c>
      <c r="AD355" s="598" t="s">
        <v>953</v>
      </c>
      <c r="AE355" s="616" t="s">
        <v>1041</v>
      </c>
      <c r="AF355" s="616" t="s">
        <v>1041</v>
      </c>
      <c r="AG355" s="616" t="s">
        <v>2857</v>
      </c>
      <c r="AH355" s="598"/>
      <c r="AI355" s="598"/>
      <c r="AJ355" s="598" t="s">
        <v>1025</v>
      </c>
      <c r="AK355" s="598"/>
      <c r="AL355" s="626"/>
      <c r="AM355" s="626"/>
    </row>
    <row r="356" spans="3:39" ht="18" customHeight="1">
      <c r="C356" s="598">
        <v>336</v>
      </c>
      <c r="D356" s="598" t="s">
        <v>2864</v>
      </c>
      <c r="E356" s="598">
        <f t="shared" si="4"/>
        <v>315</v>
      </c>
      <c r="F356" s="616" t="s">
        <v>1798</v>
      </c>
      <c r="G356" s="616" t="s">
        <v>4687</v>
      </c>
      <c r="H356" s="618" t="s">
        <v>1225</v>
      </c>
      <c r="I356" s="618" t="s">
        <v>2747</v>
      </c>
      <c r="J356" s="618" t="s">
        <v>2745</v>
      </c>
      <c r="K356" s="618" t="s">
        <v>2745</v>
      </c>
      <c r="L356" s="618" t="s">
        <v>2843</v>
      </c>
      <c r="M356" s="619"/>
      <c r="N356" s="620"/>
      <c r="O356" s="620"/>
      <c r="P356" s="663" t="s">
        <v>2668</v>
      </c>
      <c r="Q356" s="621"/>
      <c r="R356" s="598"/>
      <c r="S356" s="598"/>
      <c r="T356" s="598"/>
      <c r="U356" s="598" t="s">
        <v>1015</v>
      </c>
      <c r="V356" s="663" t="s">
        <v>250</v>
      </c>
      <c r="W356" s="779" t="s">
        <v>2865</v>
      </c>
      <c r="X356" s="598" t="s">
        <v>950</v>
      </c>
      <c r="Y356" s="624">
        <v>29101</v>
      </c>
      <c r="Z356" s="625">
        <f t="shared" ca="1" si="3"/>
        <v>46</v>
      </c>
      <c r="AA356" s="616"/>
      <c r="AB356" s="598"/>
      <c r="AC356" s="598" t="s">
        <v>966</v>
      </c>
      <c r="AD356" s="598" t="s">
        <v>953</v>
      </c>
      <c r="AE356" s="616" t="s">
        <v>1041</v>
      </c>
      <c r="AF356" s="616" t="s">
        <v>2147</v>
      </c>
      <c r="AG356" s="616" t="s">
        <v>2868</v>
      </c>
      <c r="AH356" s="598"/>
      <c r="AI356" s="598"/>
      <c r="AJ356" s="598" t="s">
        <v>1025</v>
      </c>
      <c r="AK356" s="598"/>
      <c r="AL356" s="626"/>
      <c r="AM356" s="626"/>
    </row>
    <row r="357" spans="3:39" ht="18" customHeight="1">
      <c r="C357" s="598">
        <v>337</v>
      </c>
      <c r="D357" s="598" t="s">
        <v>2879</v>
      </c>
      <c r="E357" s="598">
        <f t="shared" si="4"/>
        <v>316</v>
      </c>
      <c r="F357" s="616" t="s">
        <v>1798</v>
      </c>
      <c r="G357" s="616" t="s">
        <v>4687</v>
      </c>
      <c r="H357" s="618" t="s">
        <v>1225</v>
      </c>
      <c r="I357" s="618" t="s">
        <v>2747</v>
      </c>
      <c r="J357" s="618" t="s">
        <v>2745</v>
      </c>
      <c r="K357" s="618" t="s">
        <v>2745</v>
      </c>
      <c r="L357" s="618" t="s">
        <v>2843</v>
      </c>
      <c r="M357" s="619"/>
      <c r="N357" s="620"/>
      <c r="O357" s="620"/>
      <c r="P357" s="673" t="s">
        <v>2668</v>
      </c>
      <c r="Q357" s="621"/>
      <c r="R357" s="598"/>
      <c r="S357" s="598"/>
      <c r="T357" s="598"/>
      <c r="U357" s="598" t="s">
        <v>1015</v>
      </c>
      <c r="V357" s="673" t="s">
        <v>2880</v>
      </c>
      <c r="W357" s="779" t="s">
        <v>2881</v>
      </c>
      <c r="X357" s="598" t="s">
        <v>950</v>
      </c>
      <c r="Y357" s="624">
        <v>30956</v>
      </c>
      <c r="Z357" s="625">
        <f t="shared" ca="1" si="3"/>
        <v>41</v>
      </c>
      <c r="AA357" s="616" t="s">
        <v>2882</v>
      </c>
      <c r="AB357" s="598"/>
      <c r="AC357" s="598" t="s">
        <v>996</v>
      </c>
      <c r="AD357" s="598" t="s">
        <v>997</v>
      </c>
      <c r="AE357" s="616" t="s">
        <v>1041</v>
      </c>
      <c r="AF357" s="616" t="s">
        <v>1041</v>
      </c>
      <c r="AG357" s="616" t="s">
        <v>2884</v>
      </c>
      <c r="AH357" s="598"/>
      <c r="AI357" s="598"/>
      <c r="AJ357" s="598" t="s">
        <v>1125</v>
      </c>
      <c r="AK357" s="598"/>
      <c r="AL357" s="626"/>
      <c r="AM357" s="626"/>
    </row>
    <row r="358" spans="3:39" ht="18" customHeight="1">
      <c r="C358" s="598">
        <v>338</v>
      </c>
      <c r="D358" s="598" t="s">
        <v>2885</v>
      </c>
      <c r="E358" s="598">
        <f t="shared" si="4"/>
        <v>317</v>
      </c>
      <c r="F358" s="616" t="s">
        <v>1798</v>
      </c>
      <c r="G358" s="616" t="s">
        <v>4687</v>
      </c>
      <c r="H358" s="618" t="s">
        <v>1225</v>
      </c>
      <c r="I358" s="618" t="s">
        <v>2747</v>
      </c>
      <c r="J358" s="618" t="s">
        <v>2745</v>
      </c>
      <c r="K358" s="618" t="s">
        <v>2885</v>
      </c>
      <c r="L358" s="618" t="s">
        <v>2886</v>
      </c>
      <c r="M358" s="619"/>
      <c r="N358" s="620"/>
      <c r="O358" s="620"/>
      <c r="P358" s="667" t="s">
        <v>1074</v>
      </c>
      <c r="Q358" s="621"/>
      <c r="R358" s="598" t="s">
        <v>55</v>
      </c>
      <c r="S358" s="598" t="s">
        <v>178</v>
      </c>
      <c r="T358" s="598"/>
      <c r="U358" s="598" t="s">
        <v>1015</v>
      </c>
      <c r="V358" s="667" t="s">
        <v>189</v>
      </c>
      <c r="W358" s="779" t="s">
        <v>2887</v>
      </c>
      <c r="X358" s="598" t="s">
        <v>950</v>
      </c>
      <c r="Y358" s="624">
        <v>23890</v>
      </c>
      <c r="Z358" s="625">
        <f t="shared" ca="1" si="3"/>
        <v>60</v>
      </c>
      <c r="AA358" s="616"/>
      <c r="AB358" s="598" t="s">
        <v>2889</v>
      </c>
      <c r="AC358" s="598" t="s">
        <v>966</v>
      </c>
      <c r="AD358" s="598" t="s">
        <v>953</v>
      </c>
      <c r="AE358" s="616" t="s">
        <v>729</v>
      </c>
      <c r="AF358" s="616" t="s">
        <v>1041</v>
      </c>
      <c r="AG358" s="616" t="s">
        <v>2713</v>
      </c>
      <c r="AH358" s="598"/>
      <c r="AI358" s="598"/>
      <c r="AJ358" s="598" t="s">
        <v>1440</v>
      </c>
      <c r="AK358" s="598"/>
      <c r="AL358" s="626"/>
      <c r="AM358" s="626"/>
    </row>
    <row r="359" spans="3:39" ht="18" customHeight="1">
      <c r="C359" s="598">
        <v>339</v>
      </c>
      <c r="D359" s="598" t="s">
        <v>2886</v>
      </c>
      <c r="E359" s="598">
        <f t="shared" si="4"/>
        <v>318</v>
      </c>
      <c r="F359" s="616" t="s">
        <v>4978</v>
      </c>
      <c r="G359" s="616" t="s">
        <v>4687</v>
      </c>
      <c r="H359" s="618" t="s">
        <v>1225</v>
      </c>
      <c r="I359" s="618" t="s">
        <v>2747</v>
      </c>
      <c r="J359" s="618" t="s">
        <v>2745</v>
      </c>
      <c r="K359" s="618" t="s">
        <v>2885</v>
      </c>
      <c r="L359" s="618" t="s">
        <v>2886</v>
      </c>
      <c r="M359" s="619"/>
      <c r="N359" s="620"/>
      <c r="O359" s="620"/>
      <c r="P359" s="663" t="s">
        <v>1074</v>
      </c>
      <c r="Q359" s="621" t="s">
        <v>319</v>
      </c>
      <c r="R359" s="598" t="s">
        <v>69</v>
      </c>
      <c r="S359" s="598" t="s">
        <v>562</v>
      </c>
      <c r="T359" s="598"/>
      <c r="U359" s="598" t="s">
        <v>1015</v>
      </c>
      <c r="V359" s="663" t="s">
        <v>209</v>
      </c>
      <c r="W359" s="779" t="s">
        <v>2890</v>
      </c>
      <c r="X359" s="598" t="s">
        <v>950</v>
      </c>
      <c r="Y359" s="624">
        <v>21150</v>
      </c>
      <c r="Z359" s="625">
        <f t="shared" ca="1" si="3"/>
        <v>68</v>
      </c>
      <c r="AA359" s="616" t="s">
        <v>2891</v>
      </c>
      <c r="AB359" s="598"/>
      <c r="AC359" s="598" t="s">
        <v>996</v>
      </c>
      <c r="AD359" s="598" t="s">
        <v>997</v>
      </c>
      <c r="AE359" s="616" t="s">
        <v>1041</v>
      </c>
      <c r="AF359" s="721" t="s">
        <v>1041</v>
      </c>
      <c r="AG359" s="616" t="s">
        <v>1382</v>
      </c>
      <c r="AH359" s="598"/>
      <c r="AI359" s="598"/>
      <c r="AJ359" s="598" t="s">
        <v>1452</v>
      </c>
      <c r="AK359" s="598"/>
      <c r="AL359" s="626"/>
      <c r="AM359" s="626"/>
    </row>
    <row r="360" spans="3:39" ht="18" customHeight="1">
      <c r="C360" s="598">
        <v>340</v>
      </c>
      <c r="D360" s="598" t="s">
        <v>2899</v>
      </c>
      <c r="E360" s="598">
        <f t="shared" si="4"/>
        <v>319</v>
      </c>
      <c r="F360" s="616" t="s">
        <v>4978</v>
      </c>
      <c r="G360" s="616" t="s">
        <v>4687</v>
      </c>
      <c r="H360" s="618" t="s">
        <v>1225</v>
      </c>
      <c r="I360" s="618" t="s">
        <v>2747</v>
      </c>
      <c r="J360" s="618" t="s">
        <v>2745</v>
      </c>
      <c r="K360" s="618" t="s">
        <v>2885</v>
      </c>
      <c r="L360" s="618" t="s">
        <v>2886</v>
      </c>
      <c r="M360" s="619"/>
      <c r="N360" s="620"/>
      <c r="O360" s="620"/>
      <c r="P360" s="663" t="s">
        <v>1074</v>
      </c>
      <c r="Q360" s="621" t="s">
        <v>319</v>
      </c>
      <c r="R360" s="598"/>
      <c r="S360" s="598"/>
      <c r="T360" s="598"/>
      <c r="U360" s="598" t="s">
        <v>1015</v>
      </c>
      <c r="V360" s="663" t="s">
        <v>230</v>
      </c>
      <c r="W360" s="779" t="s">
        <v>2900</v>
      </c>
      <c r="X360" s="598" t="s">
        <v>950</v>
      </c>
      <c r="Y360" s="624">
        <v>21259</v>
      </c>
      <c r="Z360" s="625">
        <f t="shared" ca="1" si="3"/>
        <v>67</v>
      </c>
      <c r="AA360" s="616" t="s">
        <v>2901</v>
      </c>
      <c r="AB360" s="598"/>
      <c r="AC360" s="598" t="s">
        <v>996</v>
      </c>
      <c r="AD360" s="598" t="s">
        <v>997</v>
      </c>
      <c r="AE360" s="616" t="s">
        <v>1041</v>
      </c>
      <c r="AF360" s="721" t="s">
        <v>1041</v>
      </c>
      <c r="AG360" s="616" t="s">
        <v>2903</v>
      </c>
      <c r="AH360" s="598"/>
      <c r="AI360" s="598"/>
      <c r="AJ360" s="598" t="s">
        <v>1452</v>
      </c>
      <c r="AK360" s="598"/>
      <c r="AL360" s="626"/>
      <c r="AM360" s="626"/>
    </row>
    <row r="361" spans="3:39" ht="18" customHeight="1">
      <c r="C361" s="598">
        <v>341</v>
      </c>
      <c r="D361" s="598" t="s">
        <v>2904</v>
      </c>
      <c r="E361" s="598">
        <f t="shared" si="4"/>
        <v>320</v>
      </c>
      <c r="F361" s="616" t="s">
        <v>4978</v>
      </c>
      <c r="G361" s="616" t="s">
        <v>4687</v>
      </c>
      <c r="H361" s="618" t="s">
        <v>1225</v>
      </c>
      <c r="I361" s="618" t="s">
        <v>2747</v>
      </c>
      <c r="J361" s="618" t="s">
        <v>2745</v>
      </c>
      <c r="K361" s="618" t="s">
        <v>2885</v>
      </c>
      <c r="L361" s="618" t="s">
        <v>2886</v>
      </c>
      <c r="M361" s="619"/>
      <c r="N361" s="620"/>
      <c r="O361" s="620"/>
      <c r="P361" s="663" t="s">
        <v>1074</v>
      </c>
      <c r="Q361" s="621" t="s">
        <v>319</v>
      </c>
      <c r="R361" s="598"/>
      <c r="S361" s="598"/>
      <c r="T361" s="598"/>
      <c r="U361" s="598" t="s">
        <v>1015</v>
      </c>
      <c r="V361" s="663" t="s">
        <v>251</v>
      </c>
      <c r="W361" s="779" t="s">
        <v>2905</v>
      </c>
      <c r="X361" s="598" t="s">
        <v>950</v>
      </c>
      <c r="Y361" s="624">
        <v>21707</v>
      </c>
      <c r="Z361" s="625">
        <f t="shared" ca="1" si="3"/>
        <v>66</v>
      </c>
      <c r="AA361" s="616" t="s">
        <v>2906</v>
      </c>
      <c r="AB361" s="598"/>
      <c r="AC361" s="598" t="s">
        <v>996</v>
      </c>
      <c r="AD361" s="598" t="s">
        <v>997</v>
      </c>
      <c r="AE361" s="616" t="s">
        <v>1041</v>
      </c>
      <c r="AF361" s="640" t="s">
        <v>729</v>
      </c>
      <c r="AG361" s="616" t="s">
        <v>2908</v>
      </c>
      <c r="AH361" s="598"/>
      <c r="AI361" s="598"/>
      <c r="AJ361" s="598" t="s">
        <v>1452</v>
      </c>
      <c r="AK361" s="598"/>
      <c r="AL361" s="626"/>
      <c r="AM361" s="626"/>
    </row>
    <row r="362" spans="3:39" ht="18" customHeight="1">
      <c r="C362" s="598">
        <v>342</v>
      </c>
      <c r="D362" s="598" t="s">
        <v>4698</v>
      </c>
      <c r="E362" s="598">
        <f t="shared" si="4"/>
        <v>321</v>
      </c>
      <c r="F362" s="616" t="s">
        <v>4978</v>
      </c>
      <c r="G362" s="616" t="s">
        <v>4687</v>
      </c>
      <c r="H362" s="618" t="s">
        <v>1225</v>
      </c>
      <c r="I362" s="618" t="s">
        <v>2747</v>
      </c>
      <c r="J362" s="618" t="s">
        <v>2745</v>
      </c>
      <c r="K362" s="618" t="s">
        <v>2885</v>
      </c>
      <c r="L362" s="618" t="s">
        <v>2886</v>
      </c>
      <c r="M362" s="619"/>
      <c r="N362" s="620"/>
      <c r="O362" s="620"/>
      <c r="P362" s="663" t="s">
        <v>1074</v>
      </c>
      <c r="Q362" s="621" t="s">
        <v>319</v>
      </c>
      <c r="R362" s="598"/>
      <c r="S362" s="598"/>
      <c r="T362" s="598"/>
      <c r="U362" s="598" t="s">
        <v>1015</v>
      </c>
      <c r="V362" s="663" t="s">
        <v>268</v>
      </c>
      <c r="W362" s="779" t="s">
        <v>4699</v>
      </c>
      <c r="X362" s="598" t="s">
        <v>950</v>
      </c>
      <c r="Y362" s="624">
        <v>26474</v>
      </c>
      <c r="Z362" s="625">
        <f t="shared" ca="1" si="3"/>
        <v>53</v>
      </c>
      <c r="AA362" s="616" t="s">
        <v>4700</v>
      </c>
      <c r="AB362" s="598"/>
      <c r="AC362" s="598" t="s">
        <v>996</v>
      </c>
      <c r="AD362" s="598" t="s">
        <v>1018</v>
      </c>
      <c r="AE362" s="616" t="s">
        <v>1041</v>
      </c>
      <c r="AF362" s="721" t="s">
        <v>1041</v>
      </c>
      <c r="AG362" s="616" t="s">
        <v>4701</v>
      </c>
      <c r="AH362" s="598"/>
      <c r="AI362" s="598" t="s">
        <v>4702</v>
      </c>
      <c r="AJ362" s="598" t="s">
        <v>1452</v>
      </c>
      <c r="AK362" s="598"/>
      <c r="AL362" s="626"/>
      <c r="AM362" s="626"/>
    </row>
    <row r="363" spans="3:39" ht="18" customHeight="1">
      <c r="C363" s="598">
        <v>343</v>
      </c>
      <c r="D363" s="598" t="s">
        <v>4703</v>
      </c>
      <c r="E363" s="598">
        <f t="shared" si="4"/>
        <v>322</v>
      </c>
      <c r="F363" s="616" t="s">
        <v>4978</v>
      </c>
      <c r="G363" s="616" t="s">
        <v>4687</v>
      </c>
      <c r="H363" s="618" t="s">
        <v>1225</v>
      </c>
      <c r="I363" s="618" t="s">
        <v>2747</v>
      </c>
      <c r="J363" s="618" t="s">
        <v>2745</v>
      </c>
      <c r="K363" s="618" t="s">
        <v>2885</v>
      </c>
      <c r="L363" s="618" t="s">
        <v>2886</v>
      </c>
      <c r="M363" s="619"/>
      <c r="N363" s="620"/>
      <c r="O363" s="620"/>
      <c r="P363" s="663" t="s">
        <v>1074</v>
      </c>
      <c r="Q363" s="621" t="s">
        <v>319</v>
      </c>
      <c r="R363" s="598"/>
      <c r="S363" s="598"/>
      <c r="T363" s="598"/>
      <c r="U363" s="598" t="s">
        <v>1015</v>
      </c>
      <c r="V363" s="663" t="s">
        <v>284</v>
      </c>
      <c r="W363" s="779" t="s">
        <v>4704</v>
      </c>
      <c r="X363" s="598" t="s">
        <v>950</v>
      </c>
      <c r="Y363" s="624">
        <v>30766</v>
      </c>
      <c r="Z363" s="625">
        <f t="shared" ca="1" si="3"/>
        <v>41</v>
      </c>
      <c r="AA363" s="616" t="s">
        <v>4705</v>
      </c>
      <c r="AB363" s="598"/>
      <c r="AC363" s="598" t="s">
        <v>996</v>
      </c>
      <c r="AD363" s="598" t="s">
        <v>1018</v>
      </c>
      <c r="AE363" s="616" t="s">
        <v>1041</v>
      </c>
      <c r="AF363" s="721" t="s">
        <v>1041</v>
      </c>
      <c r="AG363" s="616" t="s">
        <v>4706</v>
      </c>
      <c r="AH363" s="598"/>
      <c r="AI363" s="598"/>
      <c r="AJ363" s="598" t="s">
        <v>1452</v>
      </c>
      <c r="AK363" s="598"/>
      <c r="AL363" s="626"/>
      <c r="AM363" s="626"/>
    </row>
    <row r="364" spans="3:39" ht="18" customHeight="1">
      <c r="C364" s="598">
        <v>344</v>
      </c>
      <c r="D364" s="598" t="s">
        <v>2909</v>
      </c>
      <c r="E364" s="598">
        <f t="shared" si="4"/>
        <v>323</v>
      </c>
      <c r="F364" s="616" t="s">
        <v>4978</v>
      </c>
      <c r="G364" s="616" t="s">
        <v>4687</v>
      </c>
      <c r="H364" s="618" t="s">
        <v>1225</v>
      </c>
      <c r="I364" s="618" t="s">
        <v>2747</v>
      </c>
      <c r="J364" s="618" t="s">
        <v>2745</v>
      </c>
      <c r="K364" s="618" t="s">
        <v>2885</v>
      </c>
      <c r="L364" s="618" t="s">
        <v>2886</v>
      </c>
      <c r="M364" s="619"/>
      <c r="N364" s="620"/>
      <c r="O364" s="620"/>
      <c r="P364" s="673" t="s">
        <v>1074</v>
      </c>
      <c r="Q364" s="621" t="s">
        <v>319</v>
      </c>
      <c r="R364" s="598"/>
      <c r="S364" s="598"/>
      <c r="T364" s="598"/>
      <c r="U364" s="598" t="s">
        <v>1015</v>
      </c>
      <c r="V364" s="673" t="s">
        <v>295</v>
      </c>
      <c r="W364" s="779" t="s">
        <v>2910</v>
      </c>
      <c r="X364" s="598" t="s">
        <v>950</v>
      </c>
      <c r="Y364" s="624">
        <v>31673</v>
      </c>
      <c r="Z364" s="625">
        <f t="shared" ca="1" si="3"/>
        <v>39</v>
      </c>
      <c r="AA364" s="616" t="s">
        <v>2911</v>
      </c>
      <c r="AB364" s="598"/>
      <c r="AC364" s="598" t="s">
        <v>996</v>
      </c>
      <c r="AD364" s="598" t="s">
        <v>997</v>
      </c>
      <c r="AE364" s="616" t="s">
        <v>1041</v>
      </c>
      <c r="AF364" s="721" t="s">
        <v>1041</v>
      </c>
      <c r="AG364" s="616" t="s">
        <v>2683</v>
      </c>
      <c r="AH364" s="598"/>
      <c r="AI364" s="598"/>
      <c r="AJ364" s="598" t="s">
        <v>1452</v>
      </c>
      <c r="AK364" s="598"/>
      <c r="AL364" s="626"/>
      <c r="AM364" s="626"/>
    </row>
    <row r="365" spans="3:39" ht="18" customHeight="1">
      <c r="C365" s="598">
        <v>345</v>
      </c>
      <c r="D365" s="598" t="s">
        <v>2926</v>
      </c>
      <c r="E365" s="598">
        <f t="shared" si="4"/>
        <v>324</v>
      </c>
      <c r="F365" s="616" t="s">
        <v>4978</v>
      </c>
      <c r="G365" s="616" t="s">
        <v>4687</v>
      </c>
      <c r="H365" s="618" t="s">
        <v>1225</v>
      </c>
      <c r="I365" s="618" t="s">
        <v>2747</v>
      </c>
      <c r="J365" s="618" t="s">
        <v>2745</v>
      </c>
      <c r="K365" s="618" t="s">
        <v>2926</v>
      </c>
      <c r="L365" s="618" t="s">
        <v>3647</v>
      </c>
      <c r="M365" s="619"/>
      <c r="N365" s="620"/>
      <c r="O365" s="620"/>
      <c r="P365" s="663" t="s">
        <v>1115</v>
      </c>
      <c r="Q365" s="621"/>
      <c r="R365" s="598" t="s">
        <v>55</v>
      </c>
      <c r="S365" s="598" t="s">
        <v>178</v>
      </c>
      <c r="T365" s="598"/>
      <c r="U365" s="598" t="s">
        <v>1015</v>
      </c>
      <c r="V365" s="663" t="s">
        <v>190</v>
      </c>
      <c r="W365" s="779" t="s">
        <v>2928</v>
      </c>
      <c r="X365" s="598" t="s">
        <v>950</v>
      </c>
      <c r="Y365" s="624">
        <v>25699</v>
      </c>
      <c r="Z365" s="625">
        <f t="shared" ca="1" si="3"/>
        <v>55</v>
      </c>
      <c r="AA365" s="616" t="s">
        <v>2929</v>
      </c>
      <c r="AB365" s="598" t="s">
        <v>2930</v>
      </c>
      <c r="AC365" s="598" t="s">
        <v>966</v>
      </c>
      <c r="AD365" s="598" t="s">
        <v>953</v>
      </c>
      <c r="AE365" s="616" t="s">
        <v>1041</v>
      </c>
      <c r="AF365" s="721" t="s">
        <v>1041</v>
      </c>
      <c r="AG365" s="616" t="s">
        <v>2784</v>
      </c>
      <c r="AH365" s="598"/>
      <c r="AI365" s="598"/>
      <c r="AJ365" s="598" t="s">
        <v>1125</v>
      </c>
      <c r="AK365" s="598"/>
      <c r="AL365" s="626"/>
      <c r="AM365" s="626"/>
    </row>
    <row r="366" spans="3:39" ht="18" customHeight="1">
      <c r="C366" s="598">
        <v>346</v>
      </c>
      <c r="D366" s="598" t="s">
        <v>3647</v>
      </c>
      <c r="E366" s="598">
        <f t="shared" si="4"/>
        <v>325</v>
      </c>
      <c r="F366" s="616" t="s">
        <v>4978</v>
      </c>
      <c r="G366" s="616" t="s">
        <v>4687</v>
      </c>
      <c r="H366" s="618" t="s">
        <v>1225</v>
      </c>
      <c r="I366" s="618" t="s">
        <v>2747</v>
      </c>
      <c r="J366" s="618" t="s">
        <v>2745</v>
      </c>
      <c r="K366" s="618" t="s">
        <v>2926</v>
      </c>
      <c r="L366" s="618" t="s">
        <v>3647</v>
      </c>
      <c r="M366" s="619"/>
      <c r="N366" s="620"/>
      <c r="O366" s="620"/>
      <c r="P366" s="663" t="s">
        <v>1115</v>
      </c>
      <c r="Q366" s="621" t="s">
        <v>319</v>
      </c>
      <c r="R366" s="598" t="s">
        <v>69</v>
      </c>
      <c r="S366" s="598" t="s">
        <v>562</v>
      </c>
      <c r="T366" s="598"/>
      <c r="U366" s="598" t="s">
        <v>1090</v>
      </c>
      <c r="V366" s="663" t="s">
        <v>210</v>
      </c>
      <c r="W366" s="779" t="s">
        <v>3648</v>
      </c>
      <c r="X366" s="598" t="s">
        <v>950</v>
      </c>
      <c r="Y366" s="624">
        <v>19481</v>
      </c>
      <c r="Z366" s="625">
        <f t="shared" ca="1" si="3"/>
        <v>72</v>
      </c>
      <c r="AA366" s="616" t="s">
        <v>3649</v>
      </c>
      <c r="AB366" s="598"/>
      <c r="AC366" s="598" t="s">
        <v>996</v>
      </c>
      <c r="AD366" s="598" t="s">
        <v>1018</v>
      </c>
      <c r="AE366" s="616" t="s">
        <v>1078</v>
      </c>
      <c r="AF366" s="616" t="s">
        <v>3651</v>
      </c>
      <c r="AG366" s="616" t="s">
        <v>3652</v>
      </c>
      <c r="AH366" s="598"/>
      <c r="AI366" s="598"/>
      <c r="AJ366" s="598" t="s">
        <v>1318</v>
      </c>
      <c r="AK366" s="598"/>
      <c r="AL366" s="626"/>
      <c r="AM366" s="626"/>
    </row>
    <row r="367" spans="3:39" ht="18" customHeight="1">
      <c r="C367" s="598">
        <v>347</v>
      </c>
      <c r="D367" s="598" t="s">
        <v>2936</v>
      </c>
      <c r="E367" s="598">
        <f t="shared" si="4"/>
        <v>326</v>
      </c>
      <c r="F367" s="616" t="s">
        <v>4978</v>
      </c>
      <c r="G367" s="616" t="s">
        <v>4687</v>
      </c>
      <c r="H367" s="618" t="s">
        <v>1225</v>
      </c>
      <c r="I367" s="618" t="s">
        <v>2747</v>
      </c>
      <c r="J367" s="618" t="s">
        <v>2745</v>
      </c>
      <c r="K367" s="618" t="s">
        <v>2926</v>
      </c>
      <c r="L367" s="618" t="s">
        <v>3647</v>
      </c>
      <c r="M367" s="619"/>
      <c r="N367" s="620"/>
      <c r="O367" s="620"/>
      <c r="P367" s="663" t="s">
        <v>1115</v>
      </c>
      <c r="Q367" s="621" t="s">
        <v>319</v>
      </c>
      <c r="R367" s="598"/>
      <c r="S367" s="598"/>
      <c r="T367" s="598"/>
      <c r="U367" s="598" t="s">
        <v>1090</v>
      </c>
      <c r="V367" s="663" t="s">
        <v>231</v>
      </c>
      <c r="W367" s="779" t="s">
        <v>2937</v>
      </c>
      <c r="X367" s="598" t="s">
        <v>950</v>
      </c>
      <c r="Y367" s="624">
        <v>19809</v>
      </c>
      <c r="Z367" s="625">
        <f t="shared" ca="1" si="3"/>
        <v>71</v>
      </c>
      <c r="AA367" s="616" t="s">
        <v>2938</v>
      </c>
      <c r="AB367" s="598"/>
      <c r="AC367" s="598" t="s">
        <v>996</v>
      </c>
      <c r="AD367" s="598" t="s">
        <v>1018</v>
      </c>
      <c r="AE367" s="616" t="s">
        <v>1041</v>
      </c>
      <c r="AF367" s="721" t="s">
        <v>1041</v>
      </c>
      <c r="AG367" s="616" t="s">
        <v>1382</v>
      </c>
      <c r="AH367" s="598"/>
      <c r="AI367" s="598"/>
      <c r="AJ367" s="598" t="s">
        <v>1318</v>
      </c>
      <c r="AK367" s="598"/>
      <c r="AL367" s="626"/>
      <c r="AM367" s="626"/>
    </row>
    <row r="368" spans="3:39" ht="18" customHeight="1">
      <c r="C368" s="598">
        <v>348</v>
      </c>
      <c r="D368" s="598" t="s">
        <v>2927</v>
      </c>
      <c r="E368" s="598">
        <f t="shared" si="4"/>
        <v>327</v>
      </c>
      <c r="F368" s="616" t="s">
        <v>4978</v>
      </c>
      <c r="G368" s="616" t="s">
        <v>4687</v>
      </c>
      <c r="H368" s="618" t="s">
        <v>1225</v>
      </c>
      <c r="I368" s="618" t="s">
        <v>2747</v>
      </c>
      <c r="J368" s="618" t="s">
        <v>2745</v>
      </c>
      <c r="K368" s="618" t="s">
        <v>2926</v>
      </c>
      <c r="L368" s="618" t="s">
        <v>3647</v>
      </c>
      <c r="M368" s="619"/>
      <c r="N368" s="620"/>
      <c r="O368" s="620"/>
      <c r="P368" s="663" t="s">
        <v>1115</v>
      </c>
      <c r="Q368" s="621" t="s">
        <v>319</v>
      </c>
      <c r="R368" s="598" t="s">
        <v>69</v>
      </c>
      <c r="S368" s="598" t="s">
        <v>562</v>
      </c>
      <c r="T368" s="598"/>
      <c r="U368" s="598" t="s">
        <v>1015</v>
      </c>
      <c r="V368" s="663" t="s">
        <v>252</v>
      </c>
      <c r="W368" s="779" t="s">
        <v>5054</v>
      </c>
      <c r="X368" s="598" t="s">
        <v>950</v>
      </c>
      <c r="Y368" s="624">
        <v>23880</v>
      </c>
      <c r="Z368" s="625">
        <f t="shared" ca="1" si="3"/>
        <v>60</v>
      </c>
      <c r="AA368" s="616" t="s">
        <v>2932</v>
      </c>
      <c r="AB368" s="598"/>
      <c r="AC368" s="598" t="s">
        <v>996</v>
      </c>
      <c r="AD368" s="598" t="s">
        <v>1018</v>
      </c>
      <c r="AE368" s="616" t="s">
        <v>1041</v>
      </c>
      <c r="AF368" s="616" t="s">
        <v>2934</v>
      </c>
      <c r="AG368" s="616" t="s">
        <v>2935</v>
      </c>
      <c r="AH368" s="598"/>
      <c r="AI368" s="598"/>
      <c r="AJ368" s="598" t="s">
        <v>1318</v>
      </c>
      <c r="AK368" s="598"/>
      <c r="AL368" s="626"/>
      <c r="AM368" s="626"/>
    </row>
    <row r="369" spans="3:39" ht="18" customHeight="1">
      <c r="C369" s="598">
        <v>349</v>
      </c>
      <c r="D369" s="598" t="s">
        <v>2946</v>
      </c>
      <c r="E369" s="598">
        <f t="shared" si="4"/>
        <v>328</v>
      </c>
      <c r="F369" s="616" t="s">
        <v>4978</v>
      </c>
      <c r="G369" s="616" t="s">
        <v>4687</v>
      </c>
      <c r="H369" s="618" t="s">
        <v>1225</v>
      </c>
      <c r="I369" s="618" t="s">
        <v>2747</v>
      </c>
      <c r="J369" s="618" t="s">
        <v>2745</v>
      </c>
      <c r="K369" s="618" t="s">
        <v>2926</v>
      </c>
      <c r="L369" s="618" t="s">
        <v>3647</v>
      </c>
      <c r="M369" s="619"/>
      <c r="N369" s="620"/>
      <c r="O369" s="620"/>
      <c r="P369" s="673" t="s">
        <v>1115</v>
      </c>
      <c r="Q369" s="621" t="s">
        <v>319</v>
      </c>
      <c r="R369" s="598"/>
      <c r="S369" s="598"/>
      <c r="T369" s="598"/>
      <c r="U369" s="598" t="s">
        <v>1015</v>
      </c>
      <c r="V369" s="673" t="s">
        <v>269</v>
      </c>
      <c r="W369" s="779" t="s">
        <v>2947</v>
      </c>
      <c r="X369" s="598" t="s">
        <v>950</v>
      </c>
      <c r="Y369" s="624">
        <v>26431</v>
      </c>
      <c r="Z369" s="625">
        <f t="shared" ca="1" si="3"/>
        <v>53</v>
      </c>
      <c r="AA369" s="616" t="s">
        <v>2948</v>
      </c>
      <c r="AB369" s="598"/>
      <c r="AC369" s="598" t="s">
        <v>996</v>
      </c>
      <c r="AD369" s="598" t="s">
        <v>1018</v>
      </c>
      <c r="AE369" s="616" t="s">
        <v>1041</v>
      </c>
      <c r="AF369" s="721" t="s">
        <v>1041</v>
      </c>
      <c r="AG369" s="616" t="s">
        <v>2683</v>
      </c>
      <c r="AH369" s="598"/>
      <c r="AI369" s="598"/>
      <c r="AJ369" s="598" t="s">
        <v>1318</v>
      </c>
      <c r="AK369" s="598"/>
      <c r="AL369" s="626"/>
      <c r="AM369" s="626"/>
    </row>
    <row r="370" spans="3:39" ht="18" customHeight="1">
      <c r="C370" s="598">
        <v>350</v>
      </c>
      <c r="D370" s="598" t="s">
        <v>1303</v>
      </c>
      <c r="E370" s="598">
        <f t="shared" si="4"/>
        <v>328</v>
      </c>
      <c r="F370" s="616"/>
      <c r="G370" s="616" t="s">
        <v>4687</v>
      </c>
      <c r="H370" s="618" t="s">
        <v>1225</v>
      </c>
      <c r="I370" s="618" t="s">
        <v>2747</v>
      </c>
      <c r="J370" s="618" t="s">
        <v>1195</v>
      </c>
      <c r="K370" s="618" t="s">
        <v>1303</v>
      </c>
      <c r="L370" s="618" t="s">
        <v>959</v>
      </c>
      <c r="M370" s="619"/>
      <c r="N370" s="620"/>
      <c r="O370" s="620"/>
      <c r="P370" s="667" t="s">
        <v>1127</v>
      </c>
      <c r="Q370" s="621"/>
      <c r="R370" s="598" t="s">
        <v>55</v>
      </c>
      <c r="S370" s="598" t="s">
        <v>55</v>
      </c>
      <c r="T370" s="598"/>
      <c r="U370" s="598"/>
      <c r="V370" s="667" t="s">
        <v>176</v>
      </c>
      <c r="W370" s="779" t="s">
        <v>1305</v>
      </c>
      <c r="X370" s="598" t="s">
        <v>950</v>
      </c>
      <c r="Y370" s="624">
        <v>21384</v>
      </c>
      <c r="Z370" s="625">
        <f t="shared" ca="1" si="3"/>
        <v>67</v>
      </c>
      <c r="AA370" s="616" t="s">
        <v>1306</v>
      </c>
      <c r="AB370" s="598"/>
      <c r="AC370" s="598" t="s">
        <v>996</v>
      </c>
      <c r="AD370" s="598" t="s">
        <v>953</v>
      </c>
      <c r="AE370" s="616" t="s">
        <v>729</v>
      </c>
      <c r="AF370" s="616" t="s">
        <v>1239</v>
      </c>
      <c r="AG370" s="616" t="s">
        <v>1258</v>
      </c>
      <c r="AH370" s="598" t="s">
        <v>955</v>
      </c>
      <c r="AI370" s="598"/>
      <c r="AJ370" s="598"/>
      <c r="AK370" s="598"/>
      <c r="AL370" s="626"/>
      <c r="AM370" s="626"/>
    </row>
    <row r="371" spans="3:39" ht="18" customHeight="1">
      <c r="C371" s="598">
        <v>351</v>
      </c>
      <c r="D371" s="598" t="s">
        <v>2992</v>
      </c>
      <c r="E371" s="598">
        <f t="shared" si="4"/>
        <v>329</v>
      </c>
      <c r="F371" s="616" t="s">
        <v>4978</v>
      </c>
      <c r="G371" s="616" t="s">
        <v>4687</v>
      </c>
      <c r="H371" s="618" t="s">
        <v>1225</v>
      </c>
      <c r="I371" s="618" t="s">
        <v>2747</v>
      </c>
      <c r="J371" s="618" t="s">
        <v>1195</v>
      </c>
      <c r="K371" s="618" t="s">
        <v>1303</v>
      </c>
      <c r="L371" s="618" t="s">
        <v>959</v>
      </c>
      <c r="M371" s="619"/>
      <c r="N371" s="620"/>
      <c r="O371" s="620"/>
      <c r="P371" s="663" t="s">
        <v>1127</v>
      </c>
      <c r="Q371" s="621" t="s">
        <v>319</v>
      </c>
      <c r="R371" s="598"/>
      <c r="S371" s="598"/>
      <c r="T371" s="598"/>
      <c r="U371" s="598" t="s">
        <v>1015</v>
      </c>
      <c r="V371" s="663" t="s">
        <v>211</v>
      </c>
      <c r="W371" s="779" t="s">
        <v>2993</v>
      </c>
      <c r="X371" s="598" t="s">
        <v>950</v>
      </c>
      <c r="Y371" s="624">
        <v>21961</v>
      </c>
      <c r="Z371" s="625">
        <f t="shared" ca="1" si="3"/>
        <v>65</v>
      </c>
      <c r="AA371" s="616" t="s">
        <v>2994</v>
      </c>
      <c r="AB371" s="598"/>
      <c r="AC371" s="598" t="s">
        <v>996</v>
      </c>
      <c r="AD371" s="598" t="s">
        <v>1018</v>
      </c>
      <c r="AE371" s="616" t="s">
        <v>1041</v>
      </c>
      <c r="AF371" s="721" t="s">
        <v>1041</v>
      </c>
      <c r="AG371" s="616" t="s">
        <v>1473</v>
      </c>
      <c r="AH371" s="598"/>
      <c r="AI371" s="598"/>
      <c r="AJ371" s="634" t="s">
        <v>1359</v>
      </c>
      <c r="AK371" s="598"/>
      <c r="AL371" s="626"/>
      <c r="AM371" s="626"/>
    </row>
    <row r="372" spans="3:39" ht="18" customHeight="1">
      <c r="C372" s="598">
        <v>352</v>
      </c>
      <c r="D372" s="598" t="s">
        <v>3013</v>
      </c>
      <c r="E372" s="598">
        <f t="shared" si="4"/>
        <v>330</v>
      </c>
      <c r="F372" s="616" t="s">
        <v>4978</v>
      </c>
      <c r="G372" s="616" t="s">
        <v>4687</v>
      </c>
      <c r="H372" s="618" t="s">
        <v>1225</v>
      </c>
      <c r="I372" s="618" t="s">
        <v>2747</v>
      </c>
      <c r="J372" s="618" t="s">
        <v>1195</v>
      </c>
      <c r="K372" s="618" t="s">
        <v>1303</v>
      </c>
      <c r="L372" s="618" t="s">
        <v>959</v>
      </c>
      <c r="M372" s="619"/>
      <c r="N372" s="620"/>
      <c r="O372" s="620"/>
      <c r="P372" s="663" t="s">
        <v>1127</v>
      </c>
      <c r="Q372" s="621" t="s">
        <v>319</v>
      </c>
      <c r="R372" s="598"/>
      <c r="S372" s="598"/>
      <c r="T372" s="598"/>
      <c r="U372" s="598" t="s">
        <v>1015</v>
      </c>
      <c r="V372" s="663" t="s">
        <v>232</v>
      </c>
      <c r="W372" s="779" t="s">
        <v>3014</v>
      </c>
      <c r="X372" s="598" t="s">
        <v>950</v>
      </c>
      <c r="Y372" s="624">
        <v>22297</v>
      </c>
      <c r="Z372" s="625">
        <f t="shared" ca="1" si="3"/>
        <v>65</v>
      </c>
      <c r="AA372" s="616" t="s">
        <v>3015</v>
      </c>
      <c r="AB372" s="598"/>
      <c r="AC372" s="598" t="s">
        <v>996</v>
      </c>
      <c r="AD372" s="598" t="s">
        <v>1018</v>
      </c>
      <c r="AE372" s="616" t="s">
        <v>1041</v>
      </c>
      <c r="AF372" s="721" t="s">
        <v>1041</v>
      </c>
      <c r="AG372" s="616" t="s">
        <v>3017</v>
      </c>
      <c r="AH372" s="598"/>
      <c r="AI372" s="598"/>
      <c r="AJ372" s="634" t="s">
        <v>1359</v>
      </c>
      <c r="AK372" s="598"/>
      <c r="AL372" s="626"/>
      <c r="AM372" s="626"/>
    </row>
    <row r="373" spans="3:39" ht="18" customHeight="1">
      <c r="C373" s="598">
        <v>353</v>
      </c>
      <c r="D373" s="598" t="s">
        <v>3002</v>
      </c>
      <c r="E373" s="598">
        <f t="shared" si="4"/>
        <v>331</v>
      </c>
      <c r="F373" s="616" t="s">
        <v>4978</v>
      </c>
      <c r="G373" s="616" t="s">
        <v>4687</v>
      </c>
      <c r="H373" s="618" t="s">
        <v>1225</v>
      </c>
      <c r="I373" s="618" t="s">
        <v>2747</v>
      </c>
      <c r="J373" s="618" t="s">
        <v>1195</v>
      </c>
      <c r="K373" s="618" t="s">
        <v>1303</v>
      </c>
      <c r="L373" s="618" t="s">
        <v>959</v>
      </c>
      <c r="M373" s="619"/>
      <c r="N373" s="620"/>
      <c r="O373" s="620"/>
      <c r="P373" s="663" t="s">
        <v>1127</v>
      </c>
      <c r="Q373" s="621" t="s">
        <v>319</v>
      </c>
      <c r="R373" s="598" t="s">
        <v>69</v>
      </c>
      <c r="S373" s="598" t="s">
        <v>562</v>
      </c>
      <c r="T373" s="598"/>
      <c r="U373" s="598" t="s">
        <v>1015</v>
      </c>
      <c r="V373" s="663" t="s">
        <v>253</v>
      </c>
      <c r="W373" s="779" t="s">
        <v>3006</v>
      </c>
      <c r="X373" s="598" t="s">
        <v>950</v>
      </c>
      <c r="Y373" s="624">
        <v>25424</v>
      </c>
      <c r="Z373" s="625">
        <f t="shared" ca="1" si="3"/>
        <v>56</v>
      </c>
      <c r="AA373" s="616" t="s">
        <v>3007</v>
      </c>
      <c r="AB373" s="598"/>
      <c r="AC373" s="598" t="s">
        <v>996</v>
      </c>
      <c r="AD373" s="598" t="s">
        <v>1018</v>
      </c>
      <c r="AE373" s="616" t="s">
        <v>1041</v>
      </c>
      <c r="AF373" s="721" t="s">
        <v>1041</v>
      </c>
      <c r="AG373" s="616" t="s">
        <v>1473</v>
      </c>
      <c r="AH373" s="598"/>
      <c r="AI373" s="598"/>
      <c r="AJ373" s="634" t="s">
        <v>1359</v>
      </c>
      <c r="AK373" s="598"/>
      <c r="AL373" s="626"/>
      <c r="AM373" s="626"/>
    </row>
    <row r="374" spans="3:39" ht="18" customHeight="1">
      <c r="C374" s="598">
        <v>354</v>
      </c>
      <c r="D374" s="598" t="s">
        <v>3018</v>
      </c>
      <c r="E374" s="598">
        <f t="shared" si="4"/>
        <v>332</v>
      </c>
      <c r="F374" s="616" t="s">
        <v>4978</v>
      </c>
      <c r="G374" s="616" t="s">
        <v>4687</v>
      </c>
      <c r="H374" s="618" t="s">
        <v>1225</v>
      </c>
      <c r="I374" s="618" t="s">
        <v>2747</v>
      </c>
      <c r="J374" s="618" t="s">
        <v>1195</v>
      </c>
      <c r="K374" s="618" t="s">
        <v>1303</v>
      </c>
      <c r="L374" s="618" t="s">
        <v>959</v>
      </c>
      <c r="M374" s="619"/>
      <c r="N374" s="620"/>
      <c r="O374" s="620"/>
      <c r="P374" s="663" t="s">
        <v>1127</v>
      </c>
      <c r="Q374" s="621" t="s">
        <v>319</v>
      </c>
      <c r="R374" s="598"/>
      <c r="S374" s="598"/>
      <c r="T374" s="598"/>
      <c r="U374" s="598" t="s">
        <v>1015</v>
      </c>
      <c r="V374" s="663" t="s">
        <v>270</v>
      </c>
      <c r="W374" s="779" t="s">
        <v>3019</v>
      </c>
      <c r="X374" s="598" t="s">
        <v>950</v>
      </c>
      <c r="Y374" s="624">
        <v>25568</v>
      </c>
      <c r="Z374" s="625">
        <f t="shared" ca="1" si="3"/>
        <v>56</v>
      </c>
      <c r="AA374" s="616" t="s">
        <v>3020</v>
      </c>
      <c r="AB374" s="598"/>
      <c r="AC374" s="598" t="s">
        <v>996</v>
      </c>
      <c r="AD374" s="598" t="s">
        <v>1018</v>
      </c>
      <c r="AE374" s="616" t="s">
        <v>1041</v>
      </c>
      <c r="AF374" s="721" t="s">
        <v>1041</v>
      </c>
      <c r="AG374" s="616" t="s">
        <v>2654</v>
      </c>
      <c r="AH374" s="598"/>
      <c r="AI374" s="598"/>
      <c r="AJ374" s="634" t="s">
        <v>1359</v>
      </c>
      <c r="AK374" s="598"/>
      <c r="AL374" s="626"/>
      <c r="AM374" s="626"/>
    </row>
    <row r="375" spans="3:39" ht="18" customHeight="1">
      <c r="C375" s="598">
        <v>355</v>
      </c>
      <c r="D375" s="598" t="s">
        <v>3009</v>
      </c>
      <c r="E375" s="598">
        <f t="shared" si="4"/>
        <v>333</v>
      </c>
      <c r="F375" s="616" t="s">
        <v>4978</v>
      </c>
      <c r="G375" s="616" t="s">
        <v>4687</v>
      </c>
      <c r="H375" s="618" t="s">
        <v>1225</v>
      </c>
      <c r="I375" s="618" t="s">
        <v>2747</v>
      </c>
      <c r="J375" s="618" t="s">
        <v>1195</v>
      </c>
      <c r="K375" s="618" t="s">
        <v>1303</v>
      </c>
      <c r="L375" s="618" t="s">
        <v>959</v>
      </c>
      <c r="M375" s="619"/>
      <c r="N375" s="620"/>
      <c r="O375" s="620"/>
      <c r="P375" s="663" t="s">
        <v>1127</v>
      </c>
      <c r="Q375" s="621" t="s">
        <v>319</v>
      </c>
      <c r="R375" s="598"/>
      <c r="S375" s="598"/>
      <c r="T375" s="598"/>
      <c r="U375" s="598" t="s">
        <v>1015</v>
      </c>
      <c r="V375" s="663" t="s">
        <v>285</v>
      </c>
      <c r="W375" s="779" t="s">
        <v>3010</v>
      </c>
      <c r="X375" s="598" t="s">
        <v>950</v>
      </c>
      <c r="Y375" s="624">
        <v>25925</v>
      </c>
      <c r="Z375" s="625">
        <f t="shared" ca="1" si="3"/>
        <v>55</v>
      </c>
      <c r="AA375" s="616" t="s">
        <v>3011</v>
      </c>
      <c r="AB375" s="598"/>
      <c r="AC375" s="598" t="s">
        <v>996</v>
      </c>
      <c r="AD375" s="598" t="s">
        <v>1018</v>
      </c>
      <c r="AE375" s="616" t="s">
        <v>1041</v>
      </c>
      <c r="AF375" s="721" t="s">
        <v>1041</v>
      </c>
      <c r="AG375" s="616" t="s">
        <v>2654</v>
      </c>
      <c r="AH375" s="598"/>
      <c r="AI375" s="598"/>
      <c r="AJ375" s="634" t="s">
        <v>1359</v>
      </c>
      <c r="AK375" s="598"/>
      <c r="AL375" s="626"/>
      <c r="AM375" s="626"/>
    </row>
    <row r="376" spans="3:39" ht="18" customHeight="1">
      <c r="C376" s="598">
        <v>356</v>
      </c>
      <c r="D376" s="598" t="s">
        <v>3001</v>
      </c>
      <c r="E376" s="598">
        <f t="shared" si="4"/>
        <v>334</v>
      </c>
      <c r="F376" s="616" t="s">
        <v>4978</v>
      </c>
      <c r="G376" s="616" t="s">
        <v>4687</v>
      </c>
      <c r="H376" s="618" t="s">
        <v>1225</v>
      </c>
      <c r="I376" s="618" t="s">
        <v>2747</v>
      </c>
      <c r="J376" s="618" t="s">
        <v>1195</v>
      </c>
      <c r="K376" s="618" t="s">
        <v>1303</v>
      </c>
      <c r="L376" s="618" t="s">
        <v>959</v>
      </c>
      <c r="M376" s="619"/>
      <c r="N376" s="620"/>
      <c r="O376" s="620"/>
      <c r="P376" s="663" t="s">
        <v>1127</v>
      </c>
      <c r="Q376" s="621" t="s">
        <v>319</v>
      </c>
      <c r="R376" s="598" t="s">
        <v>69</v>
      </c>
      <c r="S376" s="598" t="s">
        <v>562</v>
      </c>
      <c r="T376" s="598"/>
      <c r="U376" s="598" t="s">
        <v>1015</v>
      </c>
      <c r="V376" s="663" t="s">
        <v>296</v>
      </c>
      <c r="W376" s="779" t="s">
        <v>3003</v>
      </c>
      <c r="X376" s="598" t="s">
        <v>950</v>
      </c>
      <c r="Y376" s="624">
        <v>25965</v>
      </c>
      <c r="Z376" s="625">
        <f t="shared" ca="1" si="3"/>
        <v>54</v>
      </c>
      <c r="AA376" s="616" t="s">
        <v>3004</v>
      </c>
      <c r="AB376" s="598"/>
      <c r="AC376" s="598" t="s">
        <v>996</v>
      </c>
      <c r="AD376" s="598" t="s">
        <v>1018</v>
      </c>
      <c r="AE376" s="616" t="s">
        <v>1041</v>
      </c>
      <c r="AF376" s="721" t="s">
        <v>1041</v>
      </c>
      <c r="AG376" s="616" t="s">
        <v>2645</v>
      </c>
      <c r="AH376" s="598"/>
      <c r="AI376" s="598"/>
      <c r="AJ376" s="634" t="s">
        <v>1359</v>
      </c>
      <c r="AK376" s="598"/>
      <c r="AL376" s="626"/>
      <c r="AM376" s="626"/>
    </row>
    <row r="377" spans="3:39" ht="18" customHeight="1">
      <c r="C377" s="598">
        <v>357</v>
      </c>
      <c r="D377" s="598" t="s">
        <v>4707</v>
      </c>
      <c r="E377" s="598">
        <f t="shared" si="4"/>
        <v>335</v>
      </c>
      <c r="F377" s="616" t="s">
        <v>4978</v>
      </c>
      <c r="G377" s="616" t="s">
        <v>4687</v>
      </c>
      <c r="H377" s="618" t="s">
        <v>1225</v>
      </c>
      <c r="I377" s="618" t="s">
        <v>2747</v>
      </c>
      <c r="J377" s="618" t="s">
        <v>1195</v>
      </c>
      <c r="K377" s="618" t="s">
        <v>1303</v>
      </c>
      <c r="L377" s="618" t="s">
        <v>959</v>
      </c>
      <c r="M377" s="619"/>
      <c r="N377" s="620"/>
      <c r="O377" s="620"/>
      <c r="P377" s="663" t="s">
        <v>1127</v>
      </c>
      <c r="Q377" s="621" t="s">
        <v>319</v>
      </c>
      <c r="R377" s="598"/>
      <c r="S377" s="598"/>
      <c r="T377" s="598"/>
      <c r="U377" s="598" t="s">
        <v>1015</v>
      </c>
      <c r="V377" s="663" t="s">
        <v>4708</v>
      </c>
      <c r="W377" s="779" t="s">
        <v>4709</v>
      </c>
      <c r="X377" s="598" t="s">
        <v>950</v>
      </c>
      <c r="Y377" s="624">
        <v>26507</v>
      </c>
      <c r="Z377" s="625">
        <f t="shared" ca="1" si="3"/>
        <v>53</v>
      </c>
      <c r="AA377" s="616" t="s">
        <v>4710</v>
      </c>
      <c r="AB377" s="598"/>
      <c r="AC377" s="598" t="s">
        <v>996</v>
      </c>
      <c r="AD377" s="598" t="s">
        <v>1018</v>
      </c>
      <c r="AE377" s="616" t="s">
        <v>2069</v>
      </c>
      <c r="AF377" s="616" t="s">
        <v>2069</v>
      </c>
      <c r="AG377" s="616" t="s">
        <v>4711</v>
      </c>
      <c r="AH377" s="598"/>
      <c r="AI377" s="598" t="s">
        <v>5055</v>
      </c>
      <c r="AJ377" s="634" t="s">
        <v>1359</v>
      </c>
      <c r="AK377" s="598" t="s">
        <v>1020</v>
      </c>
      <c r="AL377" s="626"/>
      <c r="AM377" s="626"/>
    </row>
    <row r="378" spans="3:39" ht="18" customHeight="1">
      <c r="C378" s="598">
        <v>358</v>
      </c>
      <c r="D378" s="598" t="s">
        <v>3022</v>
      </c>
      <c r="E378" s="598">
        <f t="shared" si="4"/>
        <v>336</v>
      </c>
      <c r="F378" s="616" t="s">
        <v>4978</v>
      </c>
      <c r="G378" s="616" t="s">
        <v>4687</v>
      </c>
      <c r="H378" s="618" t="s">
        <v>1225</v>
      </c>
      <c r="I378" s="618" t="s">
        <v>2747</v>
      </c>
      <c r="J378" s="618" t="s">
        <v>1195</v>
      </c>
      <c r="K378" s="618" t="s">
        <v>1303</v>
      </c>
      <c r="L378" s="618" t="s">
        <v>959</v>
      </c>
      <c r="M378" s="619"/>
      <c r="N378" s="620"/>
      <c r="O378" s="620"/>
      <c r="P378" s="663" t="s">
        <v>1127</v>
      </c>
      <c r="Q378" s="621" t="s">
        <v>319</v>
      </c>
      <c r="R378" s="598"/>
      <c r="S378" s="598"/>
      <c r="T378" s="598"/>
      <c r="U378" s="598" t="s">
        <v>1015</v>
      </c>
      <c r="V378" s="663" t="s">
        <v>309</v>
      </c>
      <c r="W378" s="779" t="s">
        <v>3023</v>
      </c>
      <c r="X378" s="598" t="s">
        <v>950</v>
      </c>
      <c r="Y378" s="624">
        <v>29212</v>
      </c>
      <c r="Z378" s="625">
        <f t="shared" ca="1" si="3"/>
        <v>46</v>
      </c>
      <c r="AA378" s="616" t="s">
        <v>3024</v>
      </c>
      <c r="AB378" s="598"/>
      <c r="AC378" s="598" t="s">
        <v>996</v>
      </c>
      <c r="AD378" s="598" t="s">
        <v>997</v>
      </c>
      <c r="AE378" s="616" t="s">
        <v>1041</v>
      </c>
      <c r="AF378" s="616" t="s">
        <v>3026</v>
      </c>
      <c r="AG378" s="616" t="s">
        <v>3027</v>
      </c>
      <c r="AH378" s="598"/>
      <c r="AI378" s="598"/>
      <c r="AJ378" s="634" t="s">
        <v>1359</v>
      </c>
      <c r="AK378" s="598"/>
      <c r="AL378" s="626"/>
      <c r="AM378" s="626"/>
    </row>
    <row r="379" spans="3:39" ht="18" customHeight="1">
      <c r="C379" s="598">
        <v>359</v>
      </c>
      <c r="D379" s="598" t="s">
        <v>2748</v>
      </c>
      <c r="E379" s="598">
        <f t="shared" si="4"/>
        <v>337</v>
      </c>
      <c r="F379" s="616" t="s">
        <v>4978</v>
      </c>
      <c r="G379" s="616" t="s">
        <v>4687</v>
      </c>
      <c r="H379" s="618" t="s">
        <v>1225</v>
      </c>
      <c r="I379" s="618" t="s">
        <v>2747</v>
      </c>
      <c r="J379" s="618" t="s">
        <v>1195</v>
      </c>
      <c r="K379" s="618" t="s">
        <v>1303</v>
      </c>
      <c r="L379" s="618" t="s">
        <v>959</v>
      </c>
      <c r="M379" s="619"/>
      <c r="N379" s="620"/>
      <c r="O379" s="620"/>
      <c r="P379" s="673" t="s">
        <v>1127</v>
      </c>
      <c r="Q379" s="621" t="s">
        <v>319</v>
      </c>
      <c r="R379" s="598"/>
      <c r="S379" s="598"/>
      <c r="T379" s="598"/>
      <c r="U379" s="598" t="s">
        <v>1015</v>
      </c>
      <c r="V379" s="673" t="s">
        <v>313</v>
      </c>
      <c r="W379" s="779" t="s">
        <v>2752</v>
      </c>
      <c r="X379" s="598" t="s">
        <v>950</v>
      </c>
      <c r="Y379" s="624">
        <v>31483</v>
      </c>
      <c r="Z379" s="625">
        <f t="shared" ca="1" si="3"/>
        <v>39</v>
      </c>
      <c r="AA379" s="616" t="s">
        <v>2753</v>
      </c>
      <c r="AB379" s="598"/>
      <c r="AC379" s="598" t="s">
        <v>996</v>
      </c>
      <c r="AD379" s="598" t="s">
        <v>997</v>
      </c>
      <c r="AE379" s="616" t="s">
        <v>1041</v>
      </c>
      <c r="AF379" s="721" t="s">
        <v>1041</v>
      </c>
      <c r="AG379" s="616" t="s">
        <v>2649</v>
      </c>
      <c r="AH379" s="598"/>
      <c r="AI379" s="598"/>
      <c r="AJ379" s="634" t="s">
        <v>1359</v>
      </c>
      <c r="AK379" s="598"/>
      <c r="AL379" s="626"/>
      <c r="AM379" s="626"/>
    </row>
    <row r="380" spans="3:39" ht="18" customHeight="1">
      <c r="C380" s="598">
        <v>81</v>
      </c>
      <c r="D380" s="598" t="s">
        <v>1225</v>
      </c>
      <c r="E380" s="598">
        <f t="shared" si="4"/>
        <v>337</v>
      </c>
      <c r="F380" s="616"/>
      <c r="G380" s="616" t="s">
        <v>1226</v>
      </c>
      <c r="H380" s="618" t="s">
        <v>1225</v>
      </c>
      <c r="I380" s="618" t="s">
        <v>114</v>
      </c>
      <c r="J380" s="618" t="s">
        <v>1225</v>
      </c>
      <c r="K380" s="618" t="s">
        <v>4688</v>
      </c>
      <c r="L380" s="618" t="s">
        <v>959</v>
      </c>
      <c r="M380" s="619" t="s">
        <v>959</v>
      </c>
      <c r="N380" s="620"/>
      <c r="O380" s="620"/>
      <c r="P380" s="667" t="s">
        <v>1044</v>
      </c>
      <c r="Q380" s="621"/>
      <c r="R380" s="598" t="s">
        <v>173</v>
      </c>
      <c r="S380" s="598" t="s">
        <v>1228</v>
      </c>
      <c r="T380" s="598" t="s">
        <v>55</v>
      </c>
      <c r="U380" s="598"/>
      <c r="V380" s="667" t="s">
        <v>114</v>
      </c>
      <c r="W380" s="779" t="s">
        <v>1229</v>
      </c>
      <c r="X380" s="598" t="s">
        <v>950</v>
      </c>
      <c r="Y380" s="616"/>
      <c r="Z380" s="616"/>
      <c r="AA380" s="616"/>
      <c r="AB380" s="598"/>
      <c r="AC380" s="598"/>
      <c r="AD380" s="598"/>
      <c r="AE380" s="598"/>
      <c r="AF380" s="598"/>
      <c r="AG380" s="598"/>
      <c r="AH380" s="598" t="s">
        <v>955</v>
      </c>
      <c r="AI380" s="598"/>
      <c r="AJ380" s="598"/>
      <c r="AK380" s="598"/>
      <c r="AL380" s="626"/>
      <c r="AM380" s="626"/>
    </row>
    <row r="381" spans="3:39" ht="18" customHeight="1">
      <c r="C381" s="598">
        <v>365</v>
      </c>
      <c r="D381" s="598" t="s">
        <v>3092</v>
      </c>
      <c r="E381" s="598">
        <f t="shared" si="4"/>
        <v>338</v>
      </c>
      <c r="F381" s="616" t="s">
        <v>1798</v>
      </c>
      <c r="G381" s="616" t="s">
        <v>1226</v>
      </c>
      <c r="H381" s="618" t="s">
        <v>1225</v>
      </c>
      <c r="I381" s="618" t="s">
        <v>114</v>
      </c>
      <c r="J381" s="618" t="s">
        <v>1225</v>
      </c>
      <c r="K381" s="618" t="s">
        <v>4688</v>
      </c>
      <c r="L381" s="618" t="s">
        <v>959</v>
      </c>
      <c r="M381" s="619"/>
      <c r="N381" s="620"/>
      <c r="O381" s="620"/>
      <c r="P381" s="663" t="s">
        <v>1044</v>
      </c>
      <c r="Q381" s="621"/>
      <c r="R381" s="598"/>
      <c r="S381" s="598"/>
      <c r="T381" s="598"/>
      <c r="U381" s="598" t="s">
        <v>992</v>
      </c>
      <c r="V381" s="663" t="s">
        <v>3093</v>
      </c>
      <c r="W381" s="779" t="s">
        <v>3094</v>
      </c>
      <c r="X381" s="598" t="s">
        <v>950</v>
      </c>
      <c r="Y381" s="624">
        <v>35049</v>
      </c>
      <c r="Z381" s="625">
        <f t="shared" ref="Z381:Z635" ca="1" si="5">DATEDIF(Y381,TODAY(),"Y")</f>
        <v>30</v>
      </c>
      <c r="AA381" s="616"/>
      <c r="AB381" s="598"/>
      <c r="AC381" s="598" t="s">
        <v>996</v>
      </c>
      <c r="AD381" s="598" t="s">
        <v>953</v>
      </c>
      <c r="AE381" s="616" t="s">
        <v>1041</v>
      </c>
      <c r="AF381" s="616" t="s">
        <v>1041</v>
      </c>
      <c r="AG381" s="616" t="s">
        <v>2665</v>
      </c>
      <c r="AH381" s="598"/>
      <c r="AI381" s="598" t="s">
        <v>2837</v>
      </c>
      <c r="AJ381" s="598"/>
      <c r="AK381" s="598"/>
      <c r="AL381" s="626"/>
      <c r="AM381" s="626"/>
    </row>
    <row r="382" spans="3:39" ht="18" customHeight="1">
      <c r="C382" s="598">
        <v>366</v>
      </c>
      <c r="D382" s="598" t="s">
        <v>2920</v>
      </c>
      <c r="E382" s="598">
        <f t="shared" si="4"/>
        <v>339</v>
      </c>
      <c r="F382" s="616" t="s">
        <v>1798</v>
      </c>
      <c r="G382" s="616" t="s">
        <v>1226</v>
      </c>
      <c r="H382" s="618" t="s">
        <v>1225</v>
      </c>
      <c r="I382" s="618" t="s">
        <v>114</v>
      </c>
      <c r="J382" s="618" t="s">
        <v>1225</v>
      </c>
      <c r="K382" s="618" t="s">
        <v>4688</v>
      </c>
      <c r="L382" s="618" t="s">
        <v>959</v>
      </c>
      <c r="M382" s="619"/>
      <c r="N382" s="620"/>
      <c r="O382" s="620"/>
      <c r="P382" s="663" t="s">
        <v>1044</v>
      </c>
      <c r="Q382" s="621"/>
      <c r="R382" s="598"/>
      <c r="S382" s="598"/>
      <c r="T382" s="598"/>
      <c r="U382" s="598" t="s">
        <v>1015</v>
      </c>
      <c r="V382" s="663" t="s">
        <v>2921</v>
      </c>
      <c r="W382" s="779" t="s">
        <v>2922</v>
      </c>
      <c r="X382" s="598" t="s">
        <v>950</v>
      </c>
      <c r="Y382" s="624">
        <v>29815</v>
      </c>
      <c r="Z382" s="625">
        <f t="shared" ca="1" si="5"/>
        <v>44</v>
      </c>
      <c r="AA382" s="616"/>
      <c r="AB382" s="598"/>
      <c r="AC382" s="598" t="s">
        <v>996</v>
      </c>
      <c r="AD382" s="598" t="s">
        <v>953</v>
      </c>
      <c r="AE382" s="616" t="s">
        <v>1041</v>
      </c>
      <c r="AF382" s="616" t="s">
        <v>1041</v>
      </c>
      <c r="AG382" s="616" t="s">
        <v>2924</v>
      </c>
      <c r="AH382" s="598"/>
      <c r="AI382" s="598" t="s">
        <v>2925</v>
      </c>
      <c r="AJ382" s="598"/>
      <c r="AK382" s="598"/>
      <c r="AL382" s="626"/>
      <c r="AM382" s="626"/>
    </row>
    <row r="383" spans="3:39" ht="18" customHeight="1">
      <c r="C383" s="598">
        <v>368</v>
      </c>
      <c r="D383" s="598" t="s">
        <v>3095</v>
      </c>
      <c r="E383" s="598">
        <f t="shared" si="4"/>
        <v>340</v>
      </c>
      <c r="F383" s="616" t="s">
        <v>1798</v>
      </c>
      <c r="G383" s="616" t="s">
        <v>1226</v>
      </c>
      <c r="H383" s="618" t="s">
        <v>1225</v>
      </c>
      <c r="I383" s="618" t="s">
        <v>114</v>
      </c>
      <c r="J383" s="618" t="s">
        <v>1225</v>
      </c>
      <c r="K383" s="618" t="s">
        <v>4688</v>
      </c>
      <c r="L383" s="618" t="s">
        <v>959</v>
      </c>
      <c r="M383" s="619"/>
      <c r="N383" s="620"/>
      <c r="O383" s="620"/>
      <c r="P383" s="673" t="s">
        <v>1044</v>
      </c>
      <c r="Q383" s="621"/>
      <c r="R383" s="598"/>
      <c r="S383" s="598"/>
      <c r="T383" s="598"/>
      <c r="U383" s="598" t="s">
        <v>992</v>
      </c>
      <c r="V383" s="673" t="s">
        <v>3096</v>
      </c>
      <c r="W383" s="779" t="s">
        <v>3097</v>
      </c>
      <c r="X383" s="598" t="s">
        <v>950</v>
      </c>
      <c r="Y383" s="624">
        <v>38225</v>
      </c>
      <c r="Z383" s="625">
        <f t="shared" ca="1" si="5"/>
        <v>21</v>
      </c>
      <c r="AA383" s="616" t="s">
        <v>3098</v>
      </c>
      <c r="AB383" s="598"/>
      <c r="AC383" s="598" t="s">
        <v>996</v>
      </c>
      <c r="AD383" s="598" t="s">
        <v>1018</v>
      </c>
      <c r="AE383" s="616" t="s">
        <v>1041</v>
      </c>
      <c r="AF383" s="616" t="s">
        <v>1041</v>
      </c>
      <c r="AG383" s="616" t="s">
        <v>3099</v>
      </c>
      <c r="AH383" s="598"/>
      <c r="AI383" s="663"/>
      <c r="AJ383" s="598" t="s">
        <v>1125</v>
      </c>
      <c r="AK383" s="598"/>
      <c r="AL383" s="626"/>
      <c r="AM383" s="626"/>
    </row>
    <row r="384" spans="3:39" ht="18" customHeight="1">
      <c r="C384" s="598">
        <v>369</v>
      </c>
      <c r="D384" s="598" t="s">
        <v>3028</v>
      </c>
      <c r="E384" s="598">
        <f t="shared" si="4"/>
        <v>341</v>
      </c>
      <c r="F384" s="616" t="s">
        <v>1798</v>
      </c>
      <c r="G384" s="616" t="s">
        <v>1226</v>
      </c>
      <c r="H384" s="618" t="s">
        <v>1225</v>
      </c>
      <c r="I384" s="618" t="s">
        <v>114</v>
      </c>
      <c r="J384" s="618" t="s">
        <v>1225</v>
      </c>
      <c r="K384" s="618" t="s">
        <v>3028</v>
      </c>
      <c r="L384" s="618" t="s">
        <v>3074</v>
      </c>
      <c r="M384" s="619" t="s">
        <v>3029</v>
      </c>
      <c r="N384" s="620"/>
      <c r="O384" s="620"/>
      <c r="P384" s="667" t="s">
        <v>1074</v>
      </c>
      <c r="Q384" s="621"/>
      <c r="R384" s="598" t="s">
        <v>55</v>
      </c>
      <c r="S384" s="598" t="s">
        <v>178</v>
      </c>
      <c r="T384" s="598"/>
      <c r="U384" s="598" t="s">
        <v>992</v>
      </c>
      <c r="V384" s="667" t="s">
        <v>340</v>
      </c>
      <c r="W384" s="779" t="s">
        <v>3030</v>
      </c>
      <c r="X384" s="598" t="s">
        <v>963</v>
      </c>
      <c r="Y384" s="624">
        <v>37769</v>
      </c>
      <c r="Z384" s="625">
        <f t="shared" ca="1" si="5"/>
        <v>22</v>
      </c>
      <c r="AA384" s="616" t="s">
        <v>3031</v>
      </c>
      <c r="AB384" s="598" t="s">
        <v>3032</v>
      </c>
      <c r="AC384" s="598" t="s">
        <v>996</v>
      </c>
      <c r="AD384" s="598" t="s">
        <v>953</v>
      </c>
      <c r="AE384" s="616" t="s">
        <v>1041</v>
      </c>
      <c r="AF384" s="616" t="s">
        <v>1041</v>
      </c>
      <c r="AG384" s="616" t="s">
        <v>1473</v>
      </c>
      <c r="AH384" s="598"/>
      <c r="AI384" s="598"/>
      <c r="AJ384" s="598" t="s">
        <v>1440</v>
      </c>
      <c r="AK384" s="598"/>
      <c r="AL384" s="626"/>
      <c r="AM384" s="626"/>
    </row>
    <row r="385" spans="3:39" ht="18" customHeight="1">
      <c r="C385" s="598">
        <v>370</v>
      </c>
      <c r="D385" s="598" t="s">
        <v>3074</v>
      </c>
      <c r="E385" s="598">
        <f t="shared" si="4"/>
        <v>342</v>
      </c>
      <c r="F385" s="616" t="s">
        <v>1798</v>
      </c>
      <c r="G385" s="616" t="s">
        <v>1226</v>
      </c>
      <c r="H385" s="618" t="s">
        <v>1225</v>
      </c>
      <c r="I385" s="618" t="s">
        <v>114</v>
      </c>
      <c r="J385" s="618" t="s">
        <v>1225</v>
      </c>
      <c r="K385" s="618" t="s">
        <v>3028</v>
      </c>
      <c r="L385" s="618" t="s">
        <v>3074</v>
      </c>
      <c r="M385" s="619" t="s">
        <v>3029</v>
      </c>
      <c r="N385" s="620"/>
      <c r="O385" s="620"/>
      <c r="P385" s="663" t="s">
        <v>1074</v>
      </c>
      <c r="Q385" s="621"/>
      <c r="R385" s="598" t="s">
        <v>69</v>
      </c>
      <c r="S385" s="598" t="s">
        <v>562</v>
      </c>
      <c r="T385" s="598"/>
      <c r="U385" s="598" t="s">
        <v>992</v>
      </c>
      <c r="V385" s="663" t="s">
        <v>354</v>
      </c>
      <c r="W385" s="779" t="s">
        <v>3075</v>
      </c>
      <c r="X385" s="598" t="s">
        <v>950</v>
      </c>
      <c r="Y385" s="624">
        <v>37727</v>
      </c>
      <c r="Z385" s="625">
        <f t="shared" ca="1" si="5"/>
        <v>22</v>
      </c>
      <c r="AA385" s="616" t="s">
        <v>3076</v>
      </c>
      <c r="AB385" s="598"/>
      <c r="AC385" s="598" t="s">
        <v>1006</v>
      </c>
      <c r="AD385" s="598" t="s">
        <v>953</v>
      </c>
      <c r="AE385" s="616" t="s">
        <v>1041</v>
      </c>
      <c r="AF385" s="616" t="s">
        <v>1041</v>
      </c>
      <c r="AG385" s="616" t="s">
        <v>2645</v>
      </c>
      <c r="AH385" s="598"/>
      <c r="AI385" s="598"/>
      <c r="AJ385" s="598" t="s">
        <v>1025</v>
      </c>
      <c r="AK385" s="598"/>
      <c r="AL385" s="626"/>
      <c r="AM385" s="626"/>
    </row>
    <row r="386" spans="3:39" ht="18" customHeight="1">
      <c r="C386" s="598">
        <v>371</v>
      </c>
      <c r="D386" s="598" t="s">
        <v>3029</v>
      </c>
      <c r="E386" s="598">
        <f t="shared" si="4"/>
        <v>343</v>
      </c>
      <c r="F386" s="616" t="s">
        <v>1798</v>
      </c>
      <c r="G386" s="616" t="s">
        <v>1226</v>
      </c>
      <c r="H386" s="618" t="s">
        <v>1225</v>
      </c>
      <c r="I386" s="618" t="s">
        <v>114</v>
      </c>
      <c r="J386" s="618" t="s">
        <v>1225</v>
      </c>
      <c r="K386" s="618" t="s">
        <v>3028</v>
      </c>
      <c r="L386" s="618" t="s">
        <v>3074</v>
      </c>
      <c r="M386" s="619" t="s">
        <v>3029</v>
      </c>
      <c r="N386" s="620"/>
      <c r="O386" s="620"/>
      <c r="P386" s="663" t="s">
        <v>1074</v>
      </c>
      <c r="Q386" s="621"/>
      <c r="R386" s="598" t="s">
        <v>69</v>
      </c>
      <c r="S386" s="598" t="s">
        <v>562</v>
      </c>
      <c r="T386" s="598"/>
      <c r="U386" s="598" t="s">
        <v>992</v>
      </c>
      <c r="V386" s="663" t="s">
        <v>3033</v>
      </c>
      <c r="W386" s="779" t="s">
        <v>3034</v>
      </c>
      <c r="X386" s="598" t="s">
        <v>963</v>
      </c>
      <c r="Y386" s="624">
        <v>38733</v>
      </c>
      <c r="Z386" s="625">
        <f t="shared" ca="1" si="5"/>
        <v>20</v>
      </c>
      <c r="AA386" s="616" t="s">
        <v>3035</v>
      </c>
      <c r="AB386" s="598"/>
      <c r="AC386" s="598" t="s">
        <v>996</v>
      </c>
      <c r="AD386" s="598" t="s">
        <v>953</v>
      </c>
      <c r="AE386" s="616" t="s">
        <v>1041</v>
      </c>
      <c r="AF386" s="616" t="s">
        <v>1250</v>
      </c>
      <c r="AG386" s="616"/>
      <c r="AH386" s="598"/>
      <c r="AI386" s="598"/>
      <c r="AJ386" s="598" t="s">
        <v>1125</v>
      </c>
      <c r="AK386" s="598"/>
      <c r="AL386" s="626"/>
      <c r="AM386" s="626"/>
    </row>
    <row r="387" spans="3:39" ht="18" customHeight="1">
      <c r="C387" s="598">
        <v>372</v>
      </c>
      <c r="D387" s="598" t="s">
        <v>3078</v>
      </c>
      <c r="E387" s="598">
        <f t="shared" si="4"/>
        <v>344</v>
      </c>
      <c r="F387" s="616" t="s">
        <v>1798</v>
      </c>
      <c r="G387" s="616" t="s">
        <v>1226</v>
      </c>
      <c r="H387" s="618" t="s">
        <v>1225</v>
      </c>
      <c r="I387" s="618" t="s">
        <v>114</v>
      </c>
      <c r="J387" s="618" t="s">
        <v>1225</v>
      </c>
      <c r="K387" s="618" t="s">
        <v>3028</v>
      </c>
      <c r="L387" s="618" t="s">
        <v>3074</v>
      </c>
      <c r="M387" s="619" t="s">
        <v>3029</v>
      </c>
      <c r="N387" s="620"/>
      <c r="O387" s="620"/>
      <c r="P387" s="663" t="s">
        <v>1074</v>
      </c>
      <c r="Q387" s="621"/>
      <c r="R387" s="598"/>
      <c r="S387" s="598"/>
      <c r="T387" s="598"/>
      <c r="U387" s="598" t="s">
        <v>992</v>
      </c>
      <c r="V387" s="663" t="s">
        <v>406</v>
      </c>
      <c r="W387" s="779" t="s">
        <v>3079</v>
      </c>
      <c r="X387" s="598" t="s">
        <v>950</v>
      </c>
      <c r="Y387" s="624">
        <v>37305</v>
      </c>
      <c r="Z387" s="625">
        <f t="shared" ca="1" si="5"/>
        <v>23</v>
      </c>
      <c r="AA387" s="616" t="s">
        <v>3080</v>
      </c>
      <c r="AB387" s="598"/>
      <c r="AC387" s="598" t="s">
        <v>1006</v>
      </c>
      <c r="AD387" s="598" t="s">
        <v>953</v>
      </c>
      <c r="AE387" s="616" t="s">
        <v>1041</v>
      </c>
      <c r="AF387" s="616" t="s">
        <v>2325</v>
      </c>
      <c r="AG387" s="616" t="s">
        <v>2945</v>
      </c>
      <c r="AH387" s="598"/>
      <c r="AI387" s="598"/>
      <c r="AJ387" s="598" t="s">
        <v>1025</v>
      </c>
      <c r="AK387" s="598"/>
      <c r="AL387" s="626"/>
      <c r="AM387" s="626"/>
    </row>
    <row r="388" spans="3:39" ht="18" customHeight="1">
      <c r="C388" s="598">
        <v>373</v>
      </c>
      <c r="D388" s="598" t="s">
        <v>3082</v>
      </c>
      <c r="E388" s="598">
        <f t="shared" si="4"/>
        <v>345</v>
      </c>
      <c r="F388" s="616" t="s">
        <v>1798</v>
      </c>
      <c r="G388" s="616" t="s">
        <v>1226</v>
      </c>
      <c r="H388" s="618" t="s">
        <v>1225</v>
      </c>
      <c r="I388" s="618" t="s">
        <v>114</v>
      </c>
      <c r="J388" s="618" t="s">
        <v>1225</v>
      </c>
      <c r="K388" s="618" t="s">
        <v>3028</v>
      </c>
      <c r="L388" s="618" t="s">
        <v>3074</v>
      </c>
      <c r="M388" s="619" t="s">
        <v>3029</v>
      </c>
      <c r="N388" s="620"/>
      <c r="O388" s="620"/>
      <c r="P388" s="663" t="s">
        <v>1074</v>
      </c>
      <c r="Q388" s="621"/>
      <c r="R388" s="598"/>
      <c r="S388" s="598"/>
      <c r="T388" s="598"/>
      <c r="U388" s="598" t="s">
        <v>992</v>
      </c>
      <c r="V388" s="663" t="s">
        <v>418</v>
      </c>
      <c r="W388" s="779" t="s">
        <v>3083</v>
      </c>
      <c r="X388" s="598" t="s">
        <v>950</v>
      </c>
      <c r="Y388" s="624">
        <v>37780</v>
      </c>
      <c r="Z388" s="625">
        <f t="shared" ca="1" si="5"/>
        <v>22</v>
      </c>
      <c r="AA388" s="616" t="s">
        <v>3084</v>
      </c>
      <c r="AB388" s="598"/>
      <c r="AC388" s="598" t="s">
        <v>996</v>
      </c>
      <c r="AD388" s="598" t="s">
        <v>953</v>
      </c>
      <c r="AE388" s="616" t="s">
        <v>1041</v>
      </c>
      <c r="AF388" s="616" t="s">
        <v>1041</v>
      </c>
      <c r="AG388" s="616" t="s">
        <v>3086</v>
      </c>
      <c r="AH388" s="598"/>
      <c r="AI388" s="598"/>
      <c r="AJ388" s="598" t="s">
        <v>1025</v>
      </c>
      <c r="AK388" s="598"/>
      <c r="AL388" s="626"/>
      <c r="AM388" s="626"/>
    </row>
    <row r="389" spans="3:39" ht="18" customHeight="1">
      <c r="C389" s="598">
        <v>374</v>
      </c>
      <c r="D389" s="598" t="s">
        <v>3062</v>
      </c>
      <c r="E389" s="598">
        <f t="shared" si="4"/>
        <v>346</v>
      </c>
      <c r="F389" s="616" t="s">
        <v>1798</v>
      </c>
      <c r="G389" s="616" t="s">
        <v>1226</v>
      </c>
      <c r="H389" s="618" t="s">
        <v>1225</v>
      </c>
      <c r="I389" s="618" t="s">
        <v>114</v>
      </c>
      <c r="J389" s="618" t="s">
        <v>1225</v>
      </c>
      <c r="K389" s="618" t="s">
        <v>3028</v>
      </c>
      <c r="L389" s="618" t="s">
        <v>3074</v>
      </c>
      <c r="M389" s="619" t="s">
        <v>3029</v>
      </c>
      <c r="N389" s="620"/>
      <c r="O389" s="620"/>
      <c r="P389" s="663" t="s">
        <v>1074</v>
      </c>
      <c r="Q389" s="621"/>
      <c r="R389" s="598"/>
      <c r="S389" s="598"/>
      <c r="T389" s="598"/>
      <c r="U389" s="598" t="s">
        <v>1705</v>
      </c>
      <c r="V389" s="663" t="s">
        <v>3063</v>
      </c>
      <c r="W389" s="779" t="s">
        <v>3064</v>
      </c>
      <c r="X389" s="598" t="s">
        <v>963</v>
      </c>
      <c r="Y389" s="624">
        <v>39172</v>
      </c>
      <c r="Z389" s="625">
        <f t="shared" ca="1" si="5"/>
        <v>18</v>
      </c>
      <c r="AA389" s="616" t="s">
        <v>3065</v>
      </c>
      <c r="AB389" s="598"/>
      <c r="AC389" s="598" t="s">
        <v>996</v>
      </c>
      <c r="AD389" s="598" t="s">
        <v>997</v>
      </c>
      <c r="AE389" s="616" t="s">
        <v>1041</v>
      </c>
      <c r="AF389" s="616" t="s">
        <v>1041</v>
      </c>
      <c r="AG389" s="616" t="s">
        <v>3067</v>
      </c>
      <c r="AH389" s="598"/>
      <c r="AI389" s="598"/>
      <c r="AJ389" s="598" t="s">
        <v>1125</v>
      </c>
      <c r="AK389" s="598"/>
      <c r="AL389" s="626"/>
      <c r="AM389" s="626"/>
    </row>
    <row r="390" spans="3:39" ht="18" customHeight="1">
      <c r="C390" s="598">
        <v>375</v>
      </c>
      <c r="D390" s="598" t="s">
        <v>3051</v>
      </c>
      <c r="E390" s="598">
        <f t="shared" si="4"/>
        <v>347</v>
      </c>
      <c r="F390" s="616" t="s">
        <v>4978</v>
      </c>
      <c r="G390" s="616" t="s">
        <v>1226</v>
      </c>
      <c r="H390" s="618" t="s">
        <v>1225</v>
      </c>
      <c r="I390" s="618" t="s">
        <v>114</v>
      </c>
      <c r="J390" s="618" t="s">
        <v>1225</v>
      </c>
      <c r="K390" s="618" t="s">
        <v>3028</v>
      </c>
      <c r="L390" s="618" t="s">
        <v>3074</v>
      </c>
      <c r="M390" s="619" t="s">
        <v>3029</v>
      </c>
      <c r="N390" s="620"/>
      <c r="O390" s="620"/>
      <c r="P390" s="663" t="s">
        <v>1074</v>
      </c>
      <c r="Q390" s="621" t="s">
        <v>319</v>
      </c>
      <c r="R390" s="598"/>
      <c r="S390" s="598"/>
      <c r="T390" s="598"/>
      <c r="U390" s="598" t="s">
        <v>992</v>
      </c>
      <c r="V390" s="663" t="s">
        <v>434</v>
      </c>
      <c r="W390" s="779" t="s">
        <v>3052</v>
      </c>
      <c r="X390" s="598" t="s">
        <v>963</v>
      </c>
      <c r="Y390" s="624">
        <v>38008</v>
      </c>
      <c r="Z390" s="625">
        <f t="shared" ca="1" si="5"/>
        <v>22</v>
      </c>
      <c r="AA390" s="616" t="s">
        <v>3053</v>
      </c>
      <c r="AB390" s="598"/>
      <c r="AC390" s="598" t="s">
        <v>996</v>
      </c>
      <c r="AD390" s="598" t="s">
        <v>1018</v>
      </c>
      <c r="AE390" s="616" t="s">
        <v>1041</v>
      </c>
      <c r="AF390" s="721" t="s">
        <v>1041</v>
      </c>
      <c r="AG390" s="616" t="s">
        <v>2803</v>
      </c>
      <c r="AH390" s="598"/>
      <c r="AI390" s="598"/>
      <c r="AJ390" s="700" t="s">
        <v>1612</v>
      </c>
      <c r="AK390" s="598"/>
      <c r="AL390" s="626"/>
      <c r="AM390" s="626"/>
    </row>
    <row r="391" spans="3:39" ht="18" customHeight="1">
      <c r="C391" s="598">
        <v>376</v>
      </c>
      <c r="D391" s="598" t="s">
        <v>3055</v>
      </c>
      <c r="E391" s="598">
        <f t="shared" si="4"/>
        <v>348</v>
      </c>
      <c r="F391" s="616" t="s">
        <v>4978</v>
      </c>
      <c r="G391" s="616" t="s">
        <v>1226</v>
      </c>
      <c r="H391" s="618" t="s">
        <v>1225</v>
      </c>
      <c r="I391" s="618" t="s">
        <v>114</v>
      </c>
      <c r="J391" s="618" t="s">
        <v>1225</v>
      </c>
      <c r="K391" s="618" t="s">
        <v>3028</v>
      </c>
      <c r="L391" s="618" t="s">
        <v>3074</v>
      </c>
      <c r="M391" s="619" t="s">
        <v>3029</v>
      </c>
      <c r="N391" s="620"/>
      <c r="O391" s="620"/>
      <c r="P391" s="663" t="s">
        <v>1074</v>
      </c>
      <c r="Q391" s="621" t="s">
        <v>319</v>
      </c>
      <c r="R391" s="598"/>
      <c r="S391" s="598"/>
      <c r="T391" s="598"/>
      <c r="U391" s="598" t="s">
        <v>992</v>
      </c>
      <c r="V391" s="663" t="s">
        <v>442</v>
      </c>
      <c r="W391" s="779" t="s">
        <v>3056</v>
      </c>
      <c r="X391" s="598" t="s">
        <v>963</v>
      </c>
      <c r="Y391" s="624">
        <v>37580</v>
      </c>
      <c r="Z391" s="625">
        <f t="shared" ca="1" si="5"/>
        <v>23</v>
      </c>
      <c r="AA391" s="616" t="s">
        <v>3057</v>
      </c>
      <c r="AB391" s="598"/>
      <c r="AC391" s="598" t="s">
        <v>996</v>
      </c>
      <c r="AD391" s="598" t="s">
        <v>1018</v>
      </c>
      <c r="AE391" s="616" t="s">
        <v>1041</v>
      </c>
      <c r="AF391" s="721" t="s">
        <v>1041</v>
      </c>
      <c r="AG391" s="616" t="s">
        <v>2803</v>
      </c>
      <c r="AH391" s="598"/>
      <c r="AI391" s="598"/>
      <c r="AJ391" s="700" t="s">
        <v>1612</v>
      </c>
      <c r="AK391" s="598"/>
      <c r="AL391" s="626"/>
      <c r="AM391" s="626"/>
    </row>
    <row r="392" spans="3:39" ht="18" customHeight="1">
      <c r="C392" s="598">
        <v>377</v>
      </c>
      <c r="D392" s="598" t="s">
        <v>3059</v>
      </c>
      <c r="E392" s="598">
        <f t="shared" si="4"/>
        <v>349</v>
      </c>
      <c r="F392" s="616" t="s">
        <v>4978</v>
      </c>
      <c r="G392" s="616" t="s">
        <v>1226</v>
      </c>
      <c r="H392" s="618" t="s">
        <v>1225</v>
      </c>
      <c r="I392" s="618" t="s">
        <v>114</v>
      </c>
      <c r="J392" s="618" t="s">
        <v>1225</v>
      </c>
      <c r="K392" s="618" t="s">
        <v>3028</v>
      </c>
      <c r="L392" s="618" t="s">
        <v>3074</v>
      </c>
      <c r="M392" s="619" t="s">
        <v>3029</v>
      </c>
      <c r="N392" s="620"/>
      <c r="O392" s="620"/>
      <c r="P392" s="663" t="s">
        <v>1074</v>
      </c>
      <c r="Q392" s="621" t="s">
        <v>319</v>
      </c>
      <c r="R392" s="598"/>
      <c r="S392" s="598"/>
      <c r="T392" s="598"/>
      <c r="U392" s="598" t="s">
        <v>992</v>
      </c>
      <c r="V392" s="663" t="s">
        <v>446</v>
      </c>
      <c r="W392" s="779" t="s">
        <v>3060</v>
      </c>
      <c r="X392" s="598" t="s">
        <v>963</v>
      </c>
      <c r="Y392" s="624">
        <v>37196</v>
      </c>
      <c r="Z392" s="625">
        <f t="shared" ca="1" si="5"/>
        <v>24</v>
      </c>
      <c r="AA392" s="616" t="s">
        <v>3061</v>
      </c>
      <c r="AB392" s="598"/>
      <c r="AC392" s="598" t="s">
        <v>996</v>
      </c>
      <c r="AD392" s="598" t="s">
        <v>1018</v>
      </c>
      <c r="AE392" s="616" t="s">
        <v>1041</v>
      </c>
      <c r="AF392" s="721" t="s">
        <v>1041</v>
      </c>
      <c r="AG392" s="616" t="s">
        <v>2803</v>
      </c>
      <c r="AH392" s="598"/>
      <c r="AI392" s="598"/>
      <c r="AJ392" s="700" t="s">
        <v>1612</v>
      </c>
      <c r="AK392" s="598"/>
      <c r="AL392" s="626"/>
      <c r="AM392" s="626"/>
    </row>
    <row r="393" spans="3:39" ht="18" customHeight="1">
      <c r="C393" s="598">
        <v>378</v>
      </c>
      <c r="D393" s="598" t="s">
        <v>4712</v>
      </c>
      <c r="E393" s="598">
        <f t="shared" si="4"/>
        <v>350</v>
      </c>
      <c r="F393" s="616" t="s">
        <v>1351</v>
      </c>
      <c r="G393" s="616" t="s">
        <v>1226</v>
      </c>
      <c r="H393" s="618" t="s">
        <v>1225</v>
      </c>
      <c r="I393" s="618" t="s">
        <v>114</v>
      </c>
      <c r="J393" s="618" t="s">
        <v>1225</v>
      </c>
      <c r="K393" s="618" t="s">
        <v>3028</v>
      </c>
      <c r="L393" s="618" t="s">
        <v>3074</v>
      </c>
      <c r="M393" s="619" t="s">
        <v>3029</v>
      </c>
      <c r="N393" s="620"/>
      <c r="O393" s="620"/>
      <c r="P393" s="663" t="s">
        <v>1074</v>
      </c>
      <c r="Q393" s="621" t="s">
        <v>319</v>
      </c>
      <c r="R393" s="598"/>
      <c r="S393" s="598"/>
      <c r="T393" s="598"/>
      <c r="U393" s="598" t="s">
        <v>1705</v>
      </c>
      <c r="V393" s="663" t="s">
        <v>448</v>
      </c>
      <c r="W393" s="779" t="s">
        <v>4713</v>
      </c>
      <c r="X393" s="598" t="s">
        <v>963</v>
      </c>
      <c r="Y393" s="624">
        <v>39093</v>
      </c>
      <c r="Z393" s="625">
        <f t="shared" ca="1" si="5"/>
        <v>19</v>
      </c>
      <c r="AA393" s="616" t="s">
        <v>4714</v>
      </c>
      <c r="AB393" s="598"/>
      <c r="AC393" s="598" t="s">
        <v>996</v>
      </c>
      <c r="AD393" s="598" t="s">
        <v>1018</v>
      </c>
      <c r="AE393" s="616" t="s">
        <v>729</v>
      </c>
      <c r="AF393" s="616" t="s">
        <v>729</v>
      </c>
      <c r="AG393" s="616" t="s">
        <v>1774</v>
      </c>
      <c r="AH393" s="598"/>
      <c r="AI393" s="598"/>
      <c r="AJ393" s="598" t="s">
        <v>1318</v>
      </c>
      <c r="AK393" s="598"/>
      <c r="AL393" s="626"/>
      <c r="AM393" s="626"/>
    </row>
    <row r="394" spans="3:39" ht="18" customHeight="1">
      <c r="C394" s="598">
        <v>379</v>
      </c>
      <c r="D394" s="598" t="s">
        <v>3697</v>
      </c>
      <c r="E394" s="598">
        <f t="shared" si="4"/>
        <v>351</v>
      </c>
      <c r="F394" s="616" t="s">
        <v>1351</v>
      </c>
      <c r="G394" s="616" t="s">
        <v>1226</v>
      </c>
      <c r="H394" s="618" t="s">
        <v>1225</v>
      </c>
      <c r="I394" s="618" t="s">
        <v>114</v>
      </c>
      <c r="J394" s="618" t="s">
        <v>1225</v>
      </c>
      <c r="K394" s="618" t="s">
        <v>3028</v>
      </c>
      <c r="L394" s="618" t="s">
        <v>3074</v>
      </c>
      <c r="M394" s="619" t="s">
        <v>3029</v>
      </c>
      <c r="N394" s="620"/>
      <c r="O394" s="620"/>
      <c r="P394" s="663" t="s">
        <v>1074</v>
      </c>
      <c r="Q394" s="621" t="s">
        <v>319</v>
      </c>
      <c r="R394" s="598"/>
      <c r="S394" s="598"/>
      <c r="T394" s="598"/>
      <c r="U394" s="598" t="s">
        <v>1705</v>
      </c>
      <c r="V394" s="663" t="s">
        <v>450</v>
      </c>
      <c r="W394" s="779" t="s">
        <v>3698</v>
      </c>
      <c r="X394" s="598" t="s">
        <v>963</v>
      </c>
      <c r="Y394" s="624">
        <v>40221</v>
      </c>
      <c r="Z394" s="625">
        <f t="shared" ca="1" si="5"/>
        <v>15</v>
      </c>
      <c r="AA394" s="616" t="s">
        <v>3699</v>
      </c>
      <c r="AB394" s="598"/>
      <c r="AC394" s="598" t="s">
        <v>996</v>
      </c>
      <c r="AD394" s="598" t="s">
        <v>1018</v>
      </c>
      <c r="AE394" s="616" t="s">
        <v>973</v>
      </c>
      <c r="AF394" s="616" t="s">
        <v>973</v>
      </c>
      <c r="AG394" s="616" t="s">
        <v>3509</v>
      </c>
      <c r="AH394" s="598"/>
      <c r="AI394" s="598"/>
      <c r="AJ394" s="598" t="s">
        <v>1318</v>
      </c>
      <c r="AK394" s="598"/>
      <c r="AL394" s="626"/>
      <c r="AM394" s="626"/>
    </row>
    <row r="395" spans="3:39" ht="18" customHeight="1">
      <c r="C395" s="598">
        <v>380</v>
      </c>
      <c r="D395" s="598" t="s">
        <v>4716</v>
      </c>
      <c r="E395" s="598">
        <f t="shared" si="4"/>
        <v>352</v>
      </c>
      <c r="F395" s="616" t="s">
        <v>1798</v>
      </c>
      <c r="G395" s="616" t="s">
        <v>1226</v>
      </c>
      <c r="H395" s="618" t="s">
        <v>1225</v>
      </c>
      <c r="I395" s="618" t="s">
        <v>114</v>
      </c>
      <c r="J395" s="618" t="s">
        <v>1225</v>
      </c>
      <c r="K395" s="618" t="s">
        <v>3028</v>
      </c>
      <c r="L395" s="618" t="s">
        <v>3074</v>
      </c>
      <c r="M395" s="619" t="s">
        <v>3029</v>
      </c>
      <c r="N395" s="620"/>
      <c r="O395" s="620"/>
      <c r="P395" s="663" t="s">
        <v>1074</v>
      </c>
      <c r="Q395" s="621"/>
      <c r="R395" s="598"/>
      <c r="S395" s="598"/>
      <c r="T395" s="598"/>
      <c r="U395" s="598" t="s">
        <v>992</v>
      </c>
      <c r="V395" s="663" t="s">
        <v>452</v>
      </c>
      <c r="W395" s="779" t="s">
        <v>4717</v>
      </c>
      <c r="X395" s="598" t="s">
        <v>963</v>
      </c>
      <c r="Y395" s="624">
        <v>36480</v>
      </c>
      <c r="Z395" s="625">
        <f t="shared" ca="1" si="5"/>
        <v>26</v>
      </c>
      <c r="AA395" s="616" t="s">
        <v>4718</v>
      </c>
      <c r="AB395" s="598"/>
      <c r="AC395" s="598" t="s">
        <v>996</v>
      </c>
      <c r="AD395" s="598" t="s">
        <v>997</v>
      </c>
      <c r="AE395" s="616" t="s">
        <v>1041</v>
      </c>
      <c r="AF395" s="616" t="s">
        <v>1791</v>
      </c>
      <c r="AG395" s="616" t="s">
        <v>4720</v>
      </c>
      <c r="AH395" s="598"/>
      <c r="AI395" s="598"/>
      <c r="AJ395" s="598" t="s">
        <v>1025</v>
      </c>
      <c r="AK395" s="598"/>
      <c r="AL395" s="626"/>
      <c r="AM395" s="626"/>
    </row>
    <row r="396" spans="3:39" ht="18" customHeight="1">
      <c r="C396" s="598">
        <v>367</v>
      </c>
      <c r="D396" s="598" t="s">
        <v>2661</v>
      </c>
      <c r="E396" s="598">
        <f t="shared" si="4"/>
        <v>353</v>
      </c>
      <c r="F396" s="616" t="s">
        <v>1798</v>
      </c>
      <c r="G396" s="616" t="s">
        <v>1226</v>
      </c>
      <c r="H396" s="618" t="s">
        <v>1225</v>
      </c>
      <c r="I396" s="618" t="s">
        <v>114</v>
      </c>
      <c r="J396" s="618" t="s">
        <v>1225</v>
      </c>
      <c r="K396" s="618" t="s">
        <v>3028</v>
      </c>
      <c r="L396" s="618" t="s">
        <v>3074</v>
      </c>
      <c r="M396" s="619" t="s">
        <v>3029</v>
      </c>
      <c r="N396" s="620"/>
      <c r="O396" s="620"/>
      <c r="P396" s="663" t="s">
        <v>1074</v>
      </c>
      <c r="Q396" s="621"/>
      <c r="R396" s="598"/>
      <c r="S396" s="598"/>
      <c r="T396" s="598"/>
      <c r="U396" s="598" t="s">
        <v>992</v>
      </c>
      <c r="V396" s="663" t="s">
        <v>2662</v>
      </c>
      <c r="W396" s="779" t="s">
        <v>2663</v>
      </c>
      <c r="X396" s="598" t="s">
        <v>963</v>
      </c>
      <c r="Y396" s="624">
        <v>35416</v>
      </c>
      <c r="Z396" s="625">
        <f t="shared" ca="1" si="5"/>
        <v>29</v>
      </c>
      <c r="AA396" s="616"/>
      <c r="AB396" s="598"/>
      <c r="AC396" s="598" t="s">
        <v>996</v>
      </c>
      <c r="AD396" s="598" t="s">
        <v>997</v>
      </c>
      <c r="AE396" s="616" t="s">
        <v>1041</v>
      </c>
      <c r="AF396" s="616" t="s">
        <v>1041</v>
      </c>
      <c r="AG396" s="616" t="s">
        <v>2665</v>
      </c>
      <c r="AH396" s="598" t="s">
        <v>1775</v>
      </c>
      <c r="AI396" s="598" t="s">
        <v>2666</v>
      </c>
      <c r="AJ396" s="598"/>
      <c r="AK396" s="598"/>
      <c r="AL396" s="626"/>
      <c r="AM396" s="626"/>
    </row>
    <row r="397" spans="3:39" ht="18" customHeight="1">
      <c r="C397" s="598">
        <v>381</v>
      </c>
      <c r="D397" s="598" t="s">
        <v>4721</v>
      </c>
      <c r="E397" s="598">
        <f t="shared" si="4"/>
        <v>354</v>
      </c>
      <c r="F397" s="616" t="s">
        <v>1798</v>
      </c>
      <c r="G397" s="616" t="s">
        <v>1226</v>
      </c>
      <c r="H397" s="618" t="s">
        <v>1225</v>
      </c>
      <c r="I397" s="618" t="s">
        <v>114</v>
      </c>
      <c r="J397" s="618" t="s">
        <v>1225</v>
      </c>
      <c r="K397" s="618" t="s">
        <v>3028</v>
      </c>
      <c r="L397" s="618" t="s">
        <v>3074</v>
      </c>
      <c r="M397" s="619" t="s">
        <v>3029</v>
      </c>
      <c r="N397" s="620"/>
      <c r="O397" s="620"/>
      <c r="P397" s="663" t="s">
        <v>1074</v>
      </c>
      <c r="Q397" s="621"/>
      <c r="R397" s="598"/>
      <c r="S397" s="598"/>
      <c r="T397" s="598"/>
      <c r="U397" s="598" t="s">
        <v>992</v>
      </c>
      <c r="V397" s="663" t="s">
        <v>4722</v>
      </c>
      <c r="W397" s="779" t="s">
        <v>4723</v>
      </c>
      <c r="X397" s="598" t="s">
        <v>963</v>
      </c>
      <c r="Y397" s="624">
        <v>31601</v>
      </c>
      <c r="Z397" s="625">
        <f t="shared" ca="1" si="5"/>
        <v>39</v>
      </c>
      <c r="AA397" s="616" t="s">
        <v>4724</v>
      </c>
      <c r="AB397" s="598"/>
      <c r="AC397" s="598" t="s">
        <v>996</v>
      </c>
      <c r="AD397" s="598" t="s">
        <v>1018</v>
      </c>
      <c r="AE397" s="616" t="s">
        <v>1041</v>
      </c>
      <c r="AF397" s="616" t="s">
        <v>1041</v>
      </c>
      <c r="AG397" s="616" t="s">
        <v>2654</v>
      </c>
      <c r="AH397" s="598"/>
      <c r="AI397" s="598" t="s">
        <v>4725</v>
      </c>
      <c r="AJ397" s="598" t="s">
        <v>1025</v>
      </c>
      <c r="AK397" s="598"/>
      <c r="AL397" s="626"/>
      <c r="AM397" s="626"/>
    </row>
    <row r="398" spans="3:39" ht="18" customHeight="1">
      <c r="C398" s="598">
        <v>382</v>
      </c>
      <c r="D398" s="598" t="s">
        <v>4726</v>
      </c>
      <c r="E398" s="598">
        <f t="shared" si="4"/>
        <v>355</v>
      </c>
      <c r="F398" s="616" t="s">
        <v>1798</v>
      </c>
      <c r="G398" s="616" t="s">
        <v>1226</v>
      </c>
      <c r="H398" s="618" t="s">
        <v>1225</v>
      </c>
      <c r="I398" s="618" t="s">
        <v>114</v>
      </c>
      <c r="J398" s="618" t="s">
        <v>1225</v>
      </c>
      <c r="K398" s="618" t="s">
        <v>3028</v>
      </c>
      <c r="L398" s="618" t="s">
        <v>3074</v>
      </c>
      <c r="M398" s="619" t="s">
        <v>3029</v>
      </c>
      <c r="N398" s="620"/>
      <c r="O398" s="620"/>
      <c r="P398" s="663" t="s">
        <v>1074</v>
      </c>
      <c r="Q398" s="621"/>
      <c r="R398" s="598"/>
      <c r="S398" s="598"/>
      <c r="T398" s="598"/>
      <c r="U398" s="598" t="s">
        <v>992</v>
      </c>
      <c r="V398" s="663" t="s">
        <v>4727</v>
      </c>
      <c r="W398" s="779" t="s">
        <v>4728</v>
      </c>
      <c r="X398" s="598" t="s">
        <v>950</v>
      </c>
      <c r="Y398" s="624">
        <v>37074</v>
      </c>
      <c r="Z398" s="625">
        <f t="shared" ca="1" si="5"/>
        <v>24</v>
      </c>
      <c r="AA398" s="616" t="s">
        <v>4729</v>
      </c>
      <c r="AB398" s="598"/>
      <c r="AC398" s="598" t="s">
        <v>996</v>
      </c>
      <c r="AD398" s="598" t="s">
        <v>1018</v>
      </c>
      <c r="AE398" s="616" t="s">
        <v>1494</v>
      </c>
      <c r="AF398" s="616" t="s">
        <v>1494</v>
      </c>
      <c r="AG398" s="616" t="s">
        <v>1495</v>
      </c>
      <c r="AH398" s="598"/>
      <c r="AI398" s="598" t="s">
        <v>4731</v>
      </c>
      <c r="AJ398" s="598" t="s">
        <v>1025</v>
      </c>
      <c r="AK398" s="598"/>
      <c r="AL398" s="626"/>
      <c r="AM398" s="626"/>
    </row>
    <row r="399" spans="3:39" ht="18" customHeight="1">
      <c r="C399" s="598">
        <v>383</v>
      </c>
      <c r="D399" s="598" t="s">
        <v>4732</v>
      </c>
      <c r="E399" s="598">
        <f t="shared" si="4"/>
        <v>356</v>
      </c>
      <c r="F399" s="616" t="s">
        <v>1810</v>
      </c>
      <c r="G399" s="616" t="s">
        <v>1226</v>
      </c>
      <c r="H399" s="618" t="s">
        <v>1225</v>
      </c>
      <c r="I399" s="618" t="s">
        <v>114</v>
      </c>
      <c r="J399" s="618" t="s">
        <v>1225</v>
      </c>
      <c r="K399" s="618" t="s">
        <v>3028</v>
      </c>
      <c r="L399" s="618" t="s">
        <v>3074</v>
      </c>
      <c r="M399" s="619" t="s">
        <v>3029</v>
      </c>
      <c r="N399" s="620"/>
      <c r="O399" s="620"/>
      <c r="P399" s="663" t="s">
        <v>1074</v>
      </c>
      <c r="Q399" s="621"/>
      <c r="R399" s="598"/>
      <c r="S399" s="598"/>
      <c r="T399" s="598"/>
      <c r="U399" s="598" t="s">
        <v>992</v>
      </c>
      <c r="V399" s="663" t="s">
        <v>4733</v>
      </c>
      <c r="W399" s="779" t="s">
        <v>4734</v>
      </c>
      <c r="X399" s="598" t="s">
        <v>963</v>
      </c>
      <c r="Y399" s="624">
        <v>37324</v>
      </c>
      <c r="Z399" s="625">
        <f t="shared" ca="1" si="5"/>
        <v>23</v>
      </c>
      <c r="AA399" s="616" t="s">
        <v>4735</v>
      </c>
      <c r="AB399" s="598"/>
      <c r="AC399" s="598" t="s">
        <v>996</v>
      </c>
      <c r="AD399" s="598" t="s">
        <v>1018</v>
      </c>
      <c r="AE399" s="616" t="s">
        <v>1868</v>
      </c>
      <c r="AF399" s="616" t="s">
        <v>1868</v>
      </c>
      <c r="AG399" s="616" t="s">
        <v>4736</v>
      </c>
      <c r="AH399" s="598"/>
      <c r="AI399" s="598" t="s">
        <v>2837</v>
      </c>
      <c r="AJ399" s="598" t="s">
        <v>1025</v>
      </c>
      <c r="AK399" s="598" t="s">
        <v>4607</v>
      </c>
      <c r="AL399" s="626"/>
      <c r="AM399" s="626"/>
    </row>
    <row r="400" spans="3:39" ht="18" customHeight="1">
      <c r="C400" s="598">
        <v>384</v>
      </c>
      <c r="D400" s="598" t="s">
        <v>4738</v>
      </c>
      <c r="E400" s="598">
        <f t="shared" si="4"/>
        <v>357</v>
      </c>
      <c r="F400" s="616" t="s">
        <v>1810</v>
      </c>
      <c r="G400" s="616" t="s">
        <v>1226</v>
      </c>
      <c r="H400" s="618" t="s">
        <v>1225</v>
      </c>
      <c r="I400" s="618" t="s">
        <v>114</v>
      </c>
      <c r="J400" s="618" t="s">
        <v>1225</v>
      </c>
      <c r="K400" s="618" t="s">
        <v>3028</v>
      </c>
      <c r="L400" s="618" t="s">
        <v>3074</v>
      </c>
      <c r="M400" s="619" t="s">
        <v>3029</v>
      </c>
      <c r="N400" s="620"/>
      <c r="O400" s="620"/>
      <c r="P400" s="663" t="s">
        <v>1074</v>
      </c>
      <c r="Q400" s="621"/>
      <c r="R400" s="598"/>
      <c r="S400" s="598"/>
      <c r="T400" s="598"/>
      <c r="U400" s="598" t="s">
        <v>992</v>
      </c>
      <c r="V400" s="663" t="s">
        <v>4739</v>
      </c>
      <c r="W400" s="779" t="s">
        <v>4740</v>
      </c>
      <c r="X400" s="598" t="s">
        <v>950</v>
      </c>
      <c r="Y400" s="624">
        <v>37492</v>
      </c>
      <c r="Z400" s="625">
        <f t="shared" ca="1" si="5"/>
        <v>23</v>
      </c>
      <c r="AA400" s="616" t="s">
        <v>4741</v>
      </c>
      <c r="AB400" s="598"/>
      <c r="AC400" s="598" t="s">
        <v>996</v>
      </c>
      <c r="AD400" s="598" t="s">
        <v>1018</v>
      </c>
      <c r="AE400" s="616" t="s">
        <v>1868</v>
      </c>
      <c r="AF400" s="616" t="s">
        <v>1868</v>
      </c>
      <c r="AG400" s="616" t="s">
        <v>4736</v>
      </c>
      <c r="AH400" s="598"/>
      <c r="AI400" s="598" t="s">
        <v>2837</v>
      </c>
      <c r="AJ400" s="598" t="s">
        <v>1025</v>
      </c>
      <c r="AK400" s="598" t="s">
        <v>4607</v>
      </c>
      <c r="AL400" s="626"/>
      <c r="AM400" s="626"/>
    </row>
    <row r="401" spans="3:39" ht="18" customHeight="1">
      <c r="C401" s="598">
        <v>385</v>
      </c>
      <c r="D401" s="598" t="s">
        <v>4742</v>
      </c>
      <c r="E401" s="598">
        <f t="shared" si="4"/>
        <v>358</v>
      </c>
      <c r="F401" s="616" t="s">
        <v>1810</v>
      </c>
      <c r="G401" s="616" t="s">
        <v>1226</v>
      </c>
      <c r="H401" s="618" t="s">
        <v>1225</v>
      </c>
      <c r="I401" s="618" t="s">
        <v>114</v>
      </c>
      <c r="J401" s="618" t="s">
        <v>1225</v>
      </c>
      <c r="K401" s="618" t="s">
        <v>3028</v>
      </c>
      <c r="L401" s="618" t="s">
        <v>3074</v>
      </c>
      <c r="M401" s="619" t="s">
        <v>3029</v>
      </c>
      <c r="N401" s="620"/>
      <c r="O401" s="620"/>
      <c r="P401" s="673" t="s">
        <v>1074</v>
      </c>
      <c r="Q401" s="621"/>
      <c r="R401" s="598"/>
      <c r="S401" s="598"/>
      <c r="T401" s="598"/>
      <c r="U401" s="598" t="s">
        <v>992</v>
      </c>
      <c r="V401" s="673" t="s">
        <v>4743</v>
      </c>
      <c r="W401" s="779" t="s">
        <v>4744</v>
      </c>
      <c r="X401" s="598" t="s">
        <v>963</v>
      </c>
      <c r="Y401" s="624">
        <v>37852</v>
      </c>
      <c r="Z401" s="625">
        <f t="shared" ca="1" si="5"/>
        <v>22</v>
      </c>
      <c r="AA401" s="616" t="s">
        <v>4745</v>
      </c>
      <c r="AB401" s="598"/>
      <c r="AC401" s="598" t="s">
        <v>996</v>
      </c>
      <c r="AD401" s="598" t="s">
        <v>1018</v>
      </c>
      <c r="AE401" s="616" t="s">
        <v>1868</v>
      </c>
      <c r="AF401" s="616" t="s">
        <v>1868</v>
      </c>
      <c r="AG401" s="616" t="s">
        <v>4736</v>
      </c>
      <c r="AH401" s="598"/>
      <c r="AI401" s="598" t="s">
        <v>2837</v>
      </c>
      <c r="AJ401" s="598" t="s">
        <v>1025</v>
      </c>
      <c r="AK401" s="680" t="s">
        <v>4505</v>
      </c>
      <c r="AL401" s="626"/>
      <c r="AM401" s="626"/>
    </row>
    <row r="402" spans="3:39" ht="18" customHeight="1">
      <c r="C402" s="598">
        <v>386</v>
      </c>
      <c r="D402" s="598" t="s">
        <v>3132</v>
      </c>
      <c r="E402" s="598">
        <f t="shared" si="4"/>
        <v>359</v>
      </c>
      <c r="F402" s="616" t="s">
        <v>1798</v>
      </c>
      <c r="G402" s="616" t="s">
        <v>1226</v>
      </c>
      <c r="H402" s="618" t="s">
        <v>1225</v>
      </c>
      <c r="I402" s="618" t="s">
        <v>114</v>
      </c>
      <c r="J402" s="618" t="s">
        <v>1225</v>
      </c>
      <c r="K402" s="618" t="s">
        <v>3132</v>
      </c>
      <c r="L402" s="618" t="s">
        <v>3110</v>
      </c>
      <c r="M402" s="619" t="s">
        <v>3133</v>
      </c>
      <c r="N402" s="620"/>
      <c r="O402" s="620"/>
      <c r="P402" s="667" t="s">
        <v>1115</v>
      </c>
      <c r="Q402" s="621"/>
      <c r="R402" s="598" t="s">
        <v>55</v>
      </c>
      <c r="S402" s="598" t="s">
        <v>178</v>
      </c>
      <c r="T402" s="598"/>
      <c r="U402" s="598" t="s">
        <v>992</v>
      </c>
      <c r="V402" s="667" t="s">
        <v>3134</v>
      </c>
      <c r="W402" s="779" t="s">
        <v>3135</v>
      </c>
      <c r="X402" s="598" t="s">
        <v>950</v>
      </c>
      <c r="Y402" s="624">
        <v>37703</v>
      </c>
      <c r="Z402" s="625">
        <f t="shared" ca="1" si="5"/>
        <v>22</v>
      </c>
      <c r="AA402" s="616" t="s">
        <v>3136</v>
      </c>
      <c r="AB402" s="598" t="s">
        <v>3137</v>
      </c>
      <c r="AC402" s="598" t="s">
        <v>996</v>
      </c>
      <c r="AD402" s="598" t="s">
        <v>997</v>
      </c>
      <c r="AE402" s="616" t="s">
        <v>1041</v>
      </c>
      <c r="AF402" s="616" t="s">
        <v>1250</v>
      </c>
      <c r="AG402" s="616" t="s">
        <v>3138</v>
      </c>
      <c r="AH402" s="598"/>
      <c r="AI402" s="598"/>
      <c r="AJ402" s="598" t="s">
        <v>1125</v>
      </c>
      <c r="AK402" s="598"/>
      <c r="AL402" s="626"/>
      <c r="AM402" s="626"/>
    </row>
    <row r="403" spans="3:39" ht="18" customHeight="1">
      <c r="C403" s="598">
        <v>387</v>
      </c>
      <c r="D403" s="598" t="s">
        <v>3110</v>
      </c>
      <c r="E403" s="598">
        <f t="shared" si="4"/>
        <v>360</v>
      </c>
      <c r="F403" s="616" t="s">
        <v>1798</v>
      </c>
      <c r="G403" s="616" t="s">
        <v>1226</v>
      </c>
      <c r="H403" s="618" t="s">
        <v>1225</v>
      </c>
      <c r="I403" s="618" t="s">
        <v>114</v>
      </c>
      <c r="J403" s="618" t="s">
        <v>1225</v>
      </c>
      <c r="K403" s="618" t="s">
        <v>3132</v>
      </c>
      <c r="L403" s="618" t="s">
        <v>3110</v>
      </c>
      <c r="M403" s="619" t="s">
        <v>3133</v>
      </c>
      <c r="N403" s="620"/>
      <c r="O403" s="620"/>
      <c r="P403" s="663" t="s">
        <v>1115</v>
      </c>
      <c r="Q403" s="621"/>
      <c r="R403" s="598" t="s">
        <v>69</v>
      </c>
      <c r="S403" s="598" t="s">
        <v>562</v>
      </c>
      <c r="T403" s="598"/>
      <c r="U403" s="598" t="s">
        <v>1705</v>
      </c>
      <c r="V403" s="663" t="s">
        <v>3111</v>
      </c>
      <c r="W403" s="779" t="s">
        <v>3112</v>
      </c>
      <c r="X403" s="598" t="s">
        <v>950</v>
      </c>
      <c r="Y403" s="624">
        <v>39645</v>
      </c>
      <c r="Z403" s="625">
        <f t="shared" ca="1" si="5"/>
        <v>17</v>
      </c>
      <c r="AA403" s="616" t="s">
        <v>3113</v>
      </c>
      <c r="AB403" s="598"/>
      <c r="AC403" s="598" t="s">
        <v>996</v>
      </c>
      <c r="AD403" s="598" t="s">
        <v>953</v>
      </c>
      <c r="AE403" s="616" t="s">
        <v>1041</v>
      </c>
      <c r="AF403" s="616" t="s">
        <v>3115</v>
      </c>
      <c r="AG403" s="616"/>
      <c r="AH403" s="598"/>
      <c r="AI403" s="598"/>
      <c r="AJ403" s="598" t="s">
        <v>1125</v>
      </c>
      <c r="AK403" s="598"/>
      <c r="AL403" s="626"/>
      <c r="AM403" s="626"/>
    </row>
    <row r="404" spans="3:39" ht="18" customHeight="1">
      <c r="C404" s="598">
        <v>388</v>
      </c>
      <c r="D404" s="598" t="s">
        <v>3133</v>
      </c>
      <c r="E404" s="598">
        <f t="shared" si="4"/>
        <v>361</v>
      </c>
      <c r="F404" s="616" t="s">
        <v>4978</v>
      </c>
      <c r="G404" s="616" t="s">
        <v>1226</v>
      </c>
      <c r="H404" s="618" t="s">
        <v>1225</v>
      </c>
      <c r="I404" s="618" t="s">
        <v>114</v>
      </c>
      <c r="J404" s="618" t="s">
        <v>1225</v>
      </c>
      <c r="K404" s="618" t="s">
        <v>3132</v>
      </c>
      <c r="L404" s="618" t="s">
        <v>3110</v>
      </c>
      <c r="M404" s="619" t="s">
        <v>3133</v>
      </c>
      <c r="N404" s="620"/>
      <c r="O404" s="620"/>
      <c r="P404" s="663" t="s">
        <v>1115</v>
      </c>
      <c r="Q404" s="621" t="s">
        <v>319</v>
      </c>
      <c r="R404" s="598" t="s">
        <v>69</v>
      </c>
      <c r="S404" s="598" t="s">
        <v>562</v>
      </c>
      <c r="T404" s="598"/>
      <c r="U404" s="598" t="s">
        <v>992</v>
      </c>
      <c r="V404" s="663" t="s">
        <v>368</v>
      </c>
      <c r="W404" s="779" t="s">
        <v>3139</v>
      </c>
      <c r="X404" s="598" t="s">
        <v>950</v>
      </c>
      <c r="Y404" s="624">
        <v>37883</v>
      </c>
      <c r="Z404" s="625">
        <f t="shared" ca="1" si="5"/>
        <v>22</v>
      </c>
      <c r="AA404" s="616" t="s">
        <v>3140</v>
      </c>
      <c r="AB404" s="598"/>
      <c r="AC404" s="598" t="s">
        <v>996</v>
      </c>
      <c r="AD404" s="598" t="s">
        <v>997</v>
      </c>
      <c r="AE404" s="616" t="s">
        <v>729</v>
      </c>
      <c r="AF404" s="640" t="s">
        <v>729</v>
      </c>
      <c r="AG404" s="616" t="s">
        <v>2683</v>
      </c>
      <c r="AH404" s="598"/>
      <c r="AI404" s="598"/>
      <c r="AJ404" s="598" t="s">
        <v>1318</v>
      </c>
      <c r="AK404" s="598"/>
      <c r="AL404" s="626"/>
      <c r="AM404" s="626"/>
    </row>
    <row r="405" spans="3:39" ht="18" customHeight="1">
      <c r="C405" s="598">
        <v>363</v>
      </c>
      <c r="D405" s="598" t="s">
        <v>2209</v>
      </c>
      <c r="E405" s="598">
        <f t="shared" si="4"/>
        <v>362</v>
      </c>
      <c r="F405" s="616" t="s">
        <v>1798</v>
      </c>
      <c r="G405" s="616" t="s">
        <v>1226</v>
      </c>
      <c r="H405" s="618" t="s">
        <v>1225</v>
      </c>
      <c r="I405" s="618" t="s">
        <v>114</v>
      </c>
      <c r="J405" s="618" t="s">
        <v>1225</v>
      </c>
      <c r="K405" s="618" t="s">
        <v>3132</v>
      </c>
      <c r="L405" s="618" t="s">
        <v>3110</v>
      </c>
      <c r="M405" s="619" t="s">
        <v>3133</v>
      </c>
      <c r="N405" s="620"/>
      <c r="O405" s="620"/>
      <c r="P405" s="663" t="s">
        <v>1115</v>
      </c>
      <c r="Q405" s="621"/>
      <c r="R405" s="598"/>
      <c r="S405" s="598"/>
      <c r="T405" s="598"/>
      <c r="U405" s="598" t="s">
        <v>992</v>
      </c>
      <c r="V405" s="663" t="s">
        <v>3147</v>
      </c>
      <c r="W405" s="779" t="s">
        <v>3148</v>
      </c>
      <c r="X405" s="598" t="s">
        <v>950</v>
      </c>
      <c r="Y405" s="624">
        <v>36932</v>
      </c>
      <c r="Z405" s="625">
        <f t="shared" ca="1" si="5"/>
        <v>24</v>
      </c>
      <c r="AA405" s="616"/>
      <c r="AB405" s="598"/>
      <c r="AC405" s="598" t="s">
        <v>996</v>
      </c>
      <c r="AD405" s="598" t="s">
        <v>997</v>
      </c>
      <c r="AE405" s="616" t="s">
        <v>1041</v>
      </c>
      <c r="AF405" s="616" t="s">
        <v>3150</v>
      </c>
      <c r="AG405" s="616" t="s">
        <v>3151</v>
      </c>
      <c r="AH405" s="598"/>
      <c r="AI405" s="598"/>
      <c r="AJ405" s="598" t="s">
        <v>1011</v>
      </c>
      <c r="AK405" s="598"/>
      <c r="AL405" s="626"/>
      <c r="AM405" s="626"/>
    </row>
    <row r="406" spans="3:39" ht="18" customHeight="1">
      <c r="C406" s="598">
        <v>364</v>
      </c>
      <c r="D406" s="598" t="s">
        <v>3156</v>
      </c>
      <c r="E406" s="598">
        <f t="shared" si="4"/>
        <v>363</v>
      </c>
      <c r="F406" s="616" t="s">
        <v>1798</v>
      </c>
      <c r="G406" s="616" t="s">
        <v>1226</v>
      </c>
      <c r="H406" s="618" t="s">
        <v>1225</v>
      </c>
      <c r="I406" s="618" t="s">
        <v>114</v>
      </c>
      <c r="J406" s="618" t="s">
        <v>1225</v>
      </c>
      <c r="K406" s="618" t="s">
        <v>3132</v>
      </c>
      <c r="L406" s="618" t="s">
        <v>3110</v>
      </c>
      <c r="M406" s="619" t="s">
        <v>3133</v>
      </c>
      <c r="N406" s="620"/>
      <c r="O406" s="620"/>
      <c r="P406" s="663" t="s">
        <v>1115</v>
      </c>
      <c r="Q406" s="621"/>
      <c r="R406" s="598"/>
      <c r="S406" s="598"/>
      <c r="T406" s="598"/>
      <c r="U406" s="598" t="s">
        <v>992</v>
      </c>
      <c r="V406" s="663" t="s">
        <v>3157</v>
      </c>
      <c r="W406" s="779" t="s">
        <v>3158</v>
      </c>
      <c r="X406" s="598" t="s">
        <v>950</v>
      </c>
      <c r="Y406" s="624">
        <v>36693</v>
      </c>
      <c r="Z406" s="625">
        <f t="shared" ca="1" si="5"/>
        <v>25</v>
      </c>
      <c r="AA406" s="616" t="s">
        <v>3159</v>
      </c>
      <c r="AB406" s="598"/>
      <c r="AC406" s="598" t="s">
        <v>996</v>
      </c>
      <c r="AD406" s="598" t="s">
        <v>1018</v>
      </c>
      <c r="AE406" s="616" t="s">
        <v>1041</v>
      </c>
      <c r="AF406" s="616" t="s">
        <v>1250</v>
      </c>
      <c r="AG406" s="616" t="s">
        <v>3161</v>
      </c>
      <c r="AH406" s="598"/>
      <c r="AI406" s="598"/>
      <c r="AJ406" s="598" t="s">
        <v>1125</v>
      </c>
      <c r="AK406" s="598"/>
      <c r="AL406" s="626"/>
      <c r="AM406" s="626"/>
    </row>
    <row r="407" spans="3:39" ht="18" customHeight="1">
      <c r="C407" s="598">
        <v>390</v>
      </c>
      <c r="D407" s="598" t="s">
        <v>3142</v>
      </c>
      <c r="E407" s="598">
        <f t="shared" si="4"/>
        <v>364</v>
      </c>
      <c r="F407" s="616" t="s">
        <v>1798</v>
      </c>
      <c r="G407" s="616" t="s">
        <v>1226</v>
      </c>
      <c r="H407" s="618" t="s">
        <v>1225</v>
      </c>
      <c r="I407" s="618" t="s">
        <v>114</v>
      </c>
      <c r="J407" s="618" t="s">
        <v>1225</v>
      </c>
      <c r="K407" s="618" t="s">
        <v>3132</v>
      </c>
      <c r="L407" s="618" t="s">
        <v>3110</v>
      </c>
      <c r="M407" s="619" t="s">
        <v>3133</v>
      </c>
      <c r="N407" s="620"/>
      <c r="O407" s="620"/>
      <c r="P407" s="663" t="s">
        <v>1115</v>
      </c>
      <c r="Q407" s="621"/>
      <c r="R407" s="598"/>
      <c r="S407" s="598"/>
      <c r="T407" s="598"/>
      <c r="U407" s="598" t="s">
        <v>992</v>
      </c>
      <c r="V407" s="663" t="s">
        <v>3143</v>
      </c>
      <c r="W407" s="779" t="s">
        <v>3144</v>
      </c>
      <c r="X407" s="598" t="s">
        <v>950</v>
      </c>
      <c r="Y407" s="624">
        <v>37525</v>
      </c>
      <c r="Z407" s="625">
        <f t="shared" ca="1" si="5"/>
        <v>23</v>
      </c>
      <c r="AA407" s="616" t="s">
        <v>3145</v>
      </c>
      <c r="AB407" s="598"/>
      <c r="AC407" s="598" t="s">
        <v>996</v>
      </c>
      <c r="AD407" s="598" t="s">
        <v>997</v>
      </c>
      <c r="AE407" s="616" t="s">
        <v>1041</v>
      </c>
      <c r="AF407" s="616" t="s">
        <v>1041</v>
      </c>
      <c r="AG407" s="616" t="s">
        <v>2672</v>
      </c>
      <c r="AH407" s="598"/>
      <c r="AI407" s="598"/>
      <c r="AJ407" s="598" t="s">
        <v>1125</v>
      </c>
      <c r="AK407" s="598"/>
      <c r="AL407" s="626"/>
      <c r="AM407" s="626"/>
    </row>
    <row r="408" spans="3:39" ht="18" customHeight="1">
      <c r="C408" s="598">
        <v>391</v>
      </c>
      <c r="D408" s="598" t="s">
        <v>3087</v>
      </c>
      <c r="E408" s="598">
        <f t="shared" si="4"/>
        <v>365</v>
      </c>
      <c r="F408" s="616" t="s">
        <v>1798</v>
      </c>
      <c r="G408" s="616" t="s">
        <v>1226</v>
      </c>
      <c r="H408" s="618" t="s">
        <v>1225</v>
      </c>
      <c r="I408" s="618" t="s">
        <v>114</v>
      </c>
      <c r="J408" s="618" t="s">
        <v>1225</v>
      </c>
      <c r="K408" s="618" t="s">
        <v>3132</v>
      </c>
      <c r="L408" s="618" t="s">
        <v>3110</v>
      </c>
      <c r="M408" s="619" t="s">
        <v>3133</v>
      </c>
      <c r="N408" s="620"/>
      <c r="O408" s="620"/>
      <c r="P408" s="663" t="s">
        <v>1115</v>
      </c>
      <c r="Q408" s="621"/>
      <c r="R408" s="598"/>
      <c r="S408" s="598"/>
      <c r="T408" s="598"/>
      <c r="U408" s="598" t="s">
        <v>992</v>
      </c>
      <c r="V408" s="663" t="s">
        <v>3088</v>
      </c>
      <c r="W408" s="779" t="s">
        <v>3089</v>
      </c>
      <c r="X408" s="598" t="s">
        <v>950</v>
      </c>
      <c r="Y408" s="624">
        <v>37583</v>
      </c>
      <c r="Z408" s="625">
        <f t="shared" ca="1" si="5"/>
        <v>23</v>
      </c>
      <c r="AA408" s="616" t="s">
        <v>3090</v>
      </c>
      <c r="AB408" s="598"/>
      <c r="AC408" s="598" t="s">
        <v>996</v>
      </c>
      <c r="AD408" s="598" t="s">
        <v>997</v>
      </c>
      <c r="AE408" s="616" t="s">
        <v>1041</v>
      </c>
      <c r="AF408" s="616" t="s">
        <v>1041</v>
      </c>
      <c r="AG408" s="616" t="s">
        <v>2672</v>
      </c>
      <c r="AH408" s="598"/>
      <c r="AI408" s="598"/>
      <c r="AJ408" s="598" t="s">
        <v>1125</v>
      </c>
      <c r="AK408" s="598"/>
      <c r="AL408" s="626"/>
      <c r="AM408" s="626"/>
    </row>
    <row r="409" spans="3:39" ht="18" customHeight="1">
      <c r="C409" s="598">
        <v>392</v>
      </c>
      <c r="D409" s="598" t="s">
        <v>3162</v>
      </c>
      <c r="E409" s="598">
        <f t="shared" si="4"/>
        <v>366</v>
      </c>
      <c r="F409" s="616" t="s">
        <v>1798</v>
      </c>
      <c r="G409" s="616" t="s">
        <v>1226</v>
      </c>
      <c r="H409" s="618" t="s">
        <v>1225</v>
      </c>
      <c r="I409" s="618" t="s">
        <v>114</v>
      </c>
      <c r="J409" s="618" t="s">
        <v>1225</v>
      </c>
      <c r="K409" s="618" t="s">
        <v>3132</v>
      </c>
      <c r="L409" s="618" t="s">
        <v>3110</v>
      </c>
      <c r="M409" s="619" t="s">
        <v>3133</v>
      </c>
      <c r="N409" s="620"/>
      <c r="O409" s="620"/>
      <c r="P409" s="663" t="s">
        <v>1115</v>
      </c>
      <c r="Q409" s="621"/>
      <c r="R409" s="598"/>
      <c r="S409" s="598"/>
      <c r="T409" s="598"/>
      <c r="U409" s="598" t="s">
        <v>992</v>
      </c>
      <c r="V409" s="663" t="s">
        <v>3163</v>
      </c>
      <c r="W409" s="779" t="s">
        <v>3164</v>
      </c>
      <c r="X409" s="598" t="s">
        <v>950</v>
      </c>
      <c r="Y409" s="624">
        <v>38675</v>
      </c>
      <c r="Z409" s="625">
        <f t="shared" ca="1" si="5"/>
        <v>20</v>
      </c>
      <c r="AA409" s="616" t="s">
        <v>3165</v>
      </c>
      <c r="AB409" s="598"/>
      <c r="AC409" s="598" t="s">
        <v>996</v>
      </c>
      <c r="AD409" s="598" t="s">
        <v>1018</v>
      </c>
      <c r="AE409" s="616" t="s">
        <v>1041</v>
      </c>
      <c r="AF409" s="616" t="s">
        <v>1041</v>
      </c>
      <c r="AG409" s="616" t="s">
        <v>2784</v>
      </c>
      <c r="AH409" s="598"/>
      <c r="AI409" s="598"/>
      <c r="AJ409" s="598" t="s">
        <v>1125</v>
      </c>
      <c r="AK409" s="598"/>
      <c r="AL409" s="626"/>
      <c r="AM409" s="626"/>
    </row>
    <row r="410" spans="3:39" ht="18" customHeight="1">
      <c r="C410" s="598">
        <v>393</v>
      </c>
      <c r="D410" s="598" t="s">
        <v>4746</v>
      </c>
      <c r="E410" s="598">
        <f t="shared" si="4"/>
        <v>367</v>
      </c>
      <c r="F410" s="616" t="s">
        <v>1798</v>
      </c>
      <c r="G410" s="616" t="s">
        <v>1226</v>
      </c>
      <c r="H410" s="618" t="s">
        <v>1225</v>
      </c>
      <c r="I410" s="618" t="s">
        <v>114</v>
      </c>
      <c r="J410" s="618" t="s">
        <v>1225</v>
      </c>
      <c r="K410" s="618" t="s">
        <v>3132</v>
      </c>
      <c r="L410" s="618" t="s">
        <v>3110</v>
      </c>
      <c r="M410" s="619" t="s">
        <v>3133</v>
      </c>
      <c r="N410" s="620"/>
      <c r="O410" s="620"/>
      <c r="P410" s="663" t="s">
        <v>1115</v>
      </c>
      <c r="Q410" s="621"/>
      <c r="R410" s="598"/>
      <c r="S410" s="598"/>
      <c r="T410" s="598"/>
      <c r="U410" s="598" t="s">
        <v>992</v>
      </c>
      <c r="V410" s="663" t="s">
        <v>4747</v>
      </c>
      <c r="W410" s="779" t="s">
        <v>4748</v>
      </c>
      <c r="X410" s="598" t="s">
        <v>950</v>
      </c>
      <c r="Y410" s="624">
        <v>37348</v>
      </c>
      <c r="Z410" s="625">
        <f t="shared" ca="1" si="5"/>
        <v>23</v>
      </c>
      <c r="AA410" s="616" t="s">
        <v>4749</v>
      </c>
      <c r="AB410" s="598"/>
      <c r="AC410" s="598" t="s">
        <v>996</v>
      </c>
      <c r="AD410" s="598" t="s">
        <v>1018</v>
      </c>
      <c r="AE410" s="616" t="s">
        <v>1041</v>
      </c>
      <c r="AF410" s="616" t="s">
        <v>1041</v>
      </c>
      <c r="AG410" s="616" t="s">
        <v>2687</v>
      </c>
      <c r="AH410" s="598"/>
      <c r="AI410" s="598"/>
      <c r="AJ410" s="598" t="s">
        <v>1125</v>
      </c>
      <c r="AK410" s="598"/>
      <c r="AL410" s="626"/>
      <c r="AM410" s="626"/>
    </row>
    <row r="411" spans="3:39" ht="18" customHeight="1">
      <c r="C411" s="598">
        <v>394</v>
      </c>
      <c r="D411" s="598" t="s">
        <v>3152</v>
      </c>
      <c r="E411" s="598">
        <f t="shared" si="4"/>
        <v>368</v>
      </c>
      <c r="F411" s="616" t="s">
        <v>4978</v>
      </c>
      <c r="G411" s="616" t="s">
        <v>1226</v>
      </c>
      <c r="H411" s="618" t="s">
        <v>1225</v>
      </c>
      <c r="I411" s="618" t="s">
        <v>114</v>
      </c>
      <c r="J411" s="618" t="s">
        <v>1225</v>
      </c>
      <c r="K411" s="618" t="s">
        <v>3132</v>
      </c>
      <c r="L411" s="618" t="s">
        <v>3110</v>
      </c>
      <c r="M411" s="619" t="s">
        <v>3133</v>
      </c>
      <c r="N411" s="620"/>
      <c r="O411" s="620"/>
      <c r="P411" s="663" t="s">
        <v>1115</v>
      </c>
      <c r="Q411" s="621" t="s">
        <v>319</v>
      </c>
      <c r="R411" s="598"/>
      <c r="S411" s="598"/>
      <c r="T411" s="598"/>
      <c r="U411" s="598" t="s">
        <v>992</v>
      </c>
      <c r="V411" s="663" t="s">
        <v>435</v>
      </c>
      <c r="W411" s="779" t="s">
        <v>3153</v>
      </c>
      <c r="X411" s="598" t="s">
        <v>950</v>
      </c>
      <c r="Y411" s="624">
        <v>37194</v>
      </c>
      <c r="Z411" s="625">
        <f t="shared" ca="1" si="5"/>
        <v>24</v>
      </c>
      <c r="AA411" s="616" t="s">
        <v>3154</v>
      </c>
      <c r="AB411" s="598"/>
      <c r="AC411" s="598" t="s">
        <v>996</v>
      </c>
      <c r="AD411" s="598" t="s">
        <v>997</v>
      </c>
      <c r="AE411" s="616" t="s">
        <v>1041</v>
      </c>
      <c r="AF411" s="721" t="s">
        <v>1041</v>
      </c>
      <c r="AG411" s="616" t="s">
        <v>3099</v>
      </c>
      <c r="AH411" s="598"/>
      <c r="AI411" s="598"/>
      <c r="AJ411" s="598" t="s">
        <v>1318</v>
      </c>
      <c r="AK411" s="598"/>
      <c r="AL411" s="626"/>
      <c r="AM411" s="626"/>
    </row>
    <row r="412" spans="3:39" ht="18" customHeight="1">
      <c r="C412" s="598">
        <v>395</v>
      </c>
      <c r="D412" s="598" t="s">
        <v>3117</v>
      </c>
      <c r="E412" s="598">
        <f t="shared" si="4"/>
        <v>369</v>
      </c>
      <c r="F412" s="616" t="s">
        <v>1351</v>
      </c>
      <c r="G412" s="616" t="s">
        <v>1226</v>
      </c>
      <c r="H412" s="618" t="s">
        <v>1225</v>
      </c>
      <c r="I412" s="618" t="s">
        <v>114</v>
      </c>
      <c r="J412" s="618" t="s">
        <v>1225</v>
      </c>
      <c r="K412" s="618" t="s">
        <v>3132</v>
      </c>
      <c r="L412" s="618" t="s">
        <v>3110</v>
      </c>
      <c r="M412" s="619" t="s">
        <v>3133</v>
      </c>
      <c r="N412" s="620"/>
      <c r="O412" s="620"/>
      <c r="P412" s="663" t="s">
        <v>1115</v>
      </c>
      <c r="Q412" s="621" t="s">
        <v>319</v>
      </c>
      <c r="R412" s="598"/>
      <c r="S412" s="598"/>
      <c r="T412" s="598"/>
      <c r="U412" s="598" t="s">
        <v>1705</v>
      </c>
      <c r="V412" s="663" t="s">
        <v>443</v>
      </c>
      <c r="W412" s="779" t="s">
        <v>3118</v>
      </c>
      <c r="X412" s="598" t="s">
        <v>950</v>
      </c>
      <c r="Y412" s="624">
        <v>39601</v>
      </c>
      <c r="Z412" s="625">
        <f t="shared" ca="1" si="5"/>
        <v>17</v>
      </c>
      <c r="AA412" s="616" t="s">
        <v>3119</v>
      </c>
      <c r="AB412" s="598"/>
      <c r="AC412" s="598" t="s">
        <v>996</v>
      </c>
      <c r="AD412" s="598" t="s">
        <v>1018</v>
      </c>
      <c r="AE412" s="616" t="s">
        <v>1041</v>
      </c>
      <c r="AF412" s="616" t="s">
        <v>1041</v>
      </c>
      <c r="AG412" s="616" t="s">
        <v>3121</v>
      </c>
      <c r="AH412" s="598"/>
      <c r="AI412" s="598"/>
      <c r="AJ412" s="598" t="s">
        <v>1318</v>
      </c>
      <c r="AK412" s="598"/>
      <c r="AL412" s="626"/>
      <c r="AM412" s="626"/>
    </row>
    <row r="413" spans="3:39" ht="18" customHeight="1">
      <c r="C413" s="598">
        <v>389</v>
      </c>
      <c r="D413" s="598" t="s">
        <v>3167</v>
      </c>
      <c r="E413" s="598">
        <f t="shared" si="4"/>
        <v>370</v>
      </c>
      <c r="F413" s="616" t="s">
        <v>1798</v>
      </c>
      <c r="G413" s="616" t="s">
        <v>1226</v>
      </c>
      <c r="H413" s="618" t="s">
        <v>1225</v>
      </c>
      <c r="I413" s="618" t="s">
        <v>114</v>
      </c>
      <c r="J413" s="618" t="s">
        <v>1225</v>
      </c>
      <c r="K413" s="618" t="s">
        <v>3132</v>
      </c>
      <c r="L413" s="618" t="s">
        <v>3110</v>
      </c>
      <c r="M413" s="619" t="s">
        <v>3133</v>
      </c>
      <c r="N413" s="620"/>
      <c r="O413" s="620"/>
      <c r="P413" s="663" t="s">
        <v>1115</v>
      </c>
      <c r="Q413" s="621"/>
      <c r="R413" s="598"/>
      <c r="S413" s="598"/>
      <c r="T413" s="598"/>
      <c r="U413" s="598" t="s">
        <v>992</v>
      </c>
      <c r="V413" s="663" t="s">
        <v>3168</v>
      </c>
      <c r="W413" s="779" t="s">
        <v>3169</v>
      </c>
      <c r="X413" s="598" t="s">
        <v>950</v>
      </c>
      <c r="Y413" s="624">
        <v>37308</v>
      </c>
      <c r="Z413" s="625">
        <f t="shared" ca="1" si="5"/>
        <v>23</v>
      </c>
      <c r="AA413" s="616" t="s">
        <v>3170</v>
      </c>
      <c r="AB413" s="598"/>
      <c r="AC413" s="598" t="s">
        <v>996</v>
      </c>
      <c r="AD413" s="598" t="s">
        <v>1018</v>
      </c>
      <c r="AE413" s="616" t="s">
        <v>1041</v>
      </c>
      <c r="AF413" s="616" t="s">
        <v>1791</v>
      </c>
      <c r="AG413" s="616" t="s">
        <v>3172</v>
      </c>
      <c r="AH413" s="598"/>
      <c r="AI413" s="598" t="s">
        <v>5056</v>
      </c>
      <c r="AJ413" s="598" t="s">
        <v>1125</v>
      </c>
      <c r="AK413" s="598" t="s">
        <v>1020</v>
      </c>
      <c r="AL413" s="626"/>
      <c r="AM413" s="626"/>
    </row>
    <row r="414" spans="3:39" ht="18" customHeight="1">
      <c r="C414" s="598">
        <v>396</v>
      </c>
      <c r="D414" s="598" t="s">
        <v>3174</v>
      </c>
      <c r="E414" s="598">
        <f t="shared" si="4"/>
        <v>371</v>
      </c>
      <c r="F414" s="616" t="s">
        <v>1798</v>
      </c>
      <c r="G414" s="616" t="s">
        <v>1226</v>
      </c>
      <c r="H414" s="618" t="s">
        <v>1225</v>
      </c>
      <c r="I414" s="618" t="s">
        <v>114</v>
      </c>
      <c r="J414" s="618" t="s">
        <v>1225</v>
      </c>
      <c r="K414" s="618" t="s">
        <v>3132</v>
      </c>
      <c r="L414" s="618" t="s">
        <v>3110</v>
      </c>
      <c r="M414" s="619" t="s">
        <v>3133</v>
      </c>
      <c r="N414" s="620"/>
      <c r="O414" s="620"/>
      <c r="P414" s="663" t="s">
        <v>1115</v>
      </c>
      <c r="Q414" s="621"/>
      <c r="R414" s="598"/>
      <c r="S414" s="598"/>
      <c r="T414" s="598"/>
      <c r="U414" s="598" t="s">
        <v>992</v>
      </c>
      <c r="V414" s="663" t="s">
        <v>3175</v>
      </c>
      <c r="W414" s="779" t="s">
        <v>3176</v>
      </c>
      <c r="X414" s="598" t="s">
        <v>950</v>
      </c>
      <c r="Y414" s="624">
        <v>37265</v>
      </c>
      <c r="Z414" s="625">
        <f t="shared" ca="1" si="5"/>
        <v>24</v>
      </c>
      <c r="AA414" s="616" t="s">
        <v>3177</v>
      </c>
      <c r="AB414" s="598"/>
      <c r="AC414" s="598" t="s">
        <v>996</v>
      </c>
      <c r="AD414" s="598" t="s">
        <v>1018</v>
      </c>
      <c r="AE414" s="616" t="s">
        <v>1041</v>
      </c>
      <c r="AF414" s="616" t="s">
        <v>3179</v>
      </c>
      <c r="AG414" s="616" t="s">
        <v>3179</v>
      </c>
      <c r="AH414" s="598"/>
      <c r="AI414" s="598" t="s">
        <v>2837</v>
      </c>
      <c r="AJ414" s="598" t="s">
        <v>1125</v>
      </c>
      <c r="AK414" s="598"/>
      <c r="AL414" s="626"/>
      <c r="AM414" s="626"/>
    </row>
    <row r="415" spans="3:39" ht="18" customHeight="1">
      <c r="C415" s="598">
        <v>397</v>
      </c>
      <c r="D415" s="598" t="s">
        <v>4751</v>
      </c>
      <c r="E415" s="598">
        <f t="shared" si="4"/>
        <v>372</v>
      </c>
      <c r="F415" s="616" t="s">
        <v>1798</v>
      </c>
      <c r="G415" s="616" t="s">
        <v>1226</v>
      </c>
      <c r="H415" s="618" t="s">
        <v>1225</v>
      </c>
      <c r="I415" s="618" t="s">
        <v>114</v>
      </c>
      <c r="J415" s="618" t="s">
        <v>1225</v>
      </c>
      <c r="K415" s="618" t="s">
        <v>3132</v>
      </c>
      <c r="L415" s="618" t="s">
        <v>3110</v>
      </c>
      <c r="M415" s="619" t="s">
        <v>3133</v>
      </c>
      <c r="N415" s="620"/>
      <c r="O415" s="620"/>
      <c r="P415" s="663" t="s">
        <v>1115</v>
      </c>
      <c r="Q415" s="621"/>
      <c r="R415" s="598"/>
      <c r="S415" s="598"/>
      <c r="T415" s="598"/>
      <c r="U415" s="598" t="s">
        <v>992</v>
      </c>
      <c r="V415" s="663" t="s">
        <v>4752</v>
      </c>
      <c r="W415" s="779" t="s">
        <v>4753</v>
      </c>
      <c r="X415" s="598" t="s">
        <v>950</v>
      </c>
      <c r="Y415" s="624">
        <v>38907</v>
      </c>
      <c r="Z415" s="625">
        <f t="shared" ca="1" si="5"/>
        <v>19</v>
      </c>
      <c r="AA415" s="616" t="s">
        <v>4754</v>
      </c>
      <c r="AB415" s="598"/>
      <c r="AC415" s="598" t="s">
        <v>996</v>
      </c>
      <c r="AD415" s="598" t="s">
        <v>1018</v>
      </c>
      <c r="AE415" s="616" t="s">
        <v>1041</v>
      </c>
      <c r="AF415" s="616" t="s">
        <v>1041</v>
      </c>
      <c r="AG415" s="616" t="s">
        <v>4756</v>
      </c>
      <c r="AH415" s="598"/>
      <c r="AI415" s="598" t="s">
        <v>4642</v>
      </c>
      <c r="AJ415" s="598" t="s">
        <v>1125</v>
      </c>
      <c r="AK415" s="598"/>
      <c r="AL415" s="626"/>
      <c r="AM415" s="626"/>
    </row>
    <row r="416" spans="3:39" ht="18" customHeight="1">
      <c r="C416" s="598">
        <v>398</v>
      </c>
      <c r="D416" s="598" t="s">
        <v>4757</v>
      </c>
      <c r="E416" s="598">
        <f t="shared" si="4"/>
        <v>373</v>
      </c>
      <c r="F416" s="616" t="s">
        <v>1798</v>
      </c>
      <c r="G416" s="616" t="s">
        <v>1226</v>
      </c>
      <c r="H416" s="618" t="s">
        <v>1225</v>
      </c>
      <c r="I416" s="618" t="s">
        <v>114</v>
      </c>
      <c r="J416" s="618" t="s">
        <v>1225</v>
      </c>
      <c r="K416" s="618" t="s">
        <v>3132</v>
      </c>
      <c r="L416" s="618" t="s">
        <v>3110</v>
      </c>
      <c r="M416" s="619" t="s">
        <v>3133</v>
      </c>
      <c r="N416" s="620"/>
      <c r="O416" s="620"/>
      <c r="P416" s="663" t="s">
        <v>1115</v>
      </c>
      <c r="Q416" s="621"/>
      <c r="R416" s="598"/>
      <c r="S416" s="598"/>
      <c r="T416" s="598"/>
      <c r="U416" s="598" t="s">
        <v>992</v>
      </c>
      <c r="V416" s="663" t="s">
        <v>451</v>
      </c>
      <c r="W416" s="779" t="s">
        <v>4758</v>
      </c>
      <c r="X416" s="598" t="s">
        <v>950</v>
      </c>
      <c r="Y416" s="624" t="s">
        <v>4759</v>
      </c>
      <c r="Z416" s="625">
        <f t="shared" ca="1" si="5"/>
        <v>24</v>
      </c>
      <c r="AA416" s="616" t="s">
        <v>4760</v>
      </c>
      <c r="AB416" s="598"/>
      <c r="AC416" s="598" t="s">
        <v>996</v>
      </c>
      <c r="AD416" s="598" t="s">
        <v>1018</v>
      </c>
      <c r="AE416" s="616" t="s">
        <v>1494</v>
      </c>
      <c r="AF416" s="616" t="s">
        <v>1494</v>
      </c>
      <c r="AG416" s="616" t="s">
        <v>1892</v>
      </c>
      <c r="AH416" s="598"/>
      <c r="AI416" s="598" t="s">
        <v>4731</v>
      </c>
      <c r="AJ416" s="598" t="s">
        <v>1114</v>
      </c>
      <c r="AK416" s="598"/>
      <c r="AL416" s="626"/>
      <c r="AM416" s="626"/>
    </row>
    <row r="417" spans="3:39" ht="18" customHeight="1">
      <c r="C417" s="598">
        <v>399</v>
      </c>
      <c r="D417" s="598" t="s">
        <v>4762</v>
      </c>
      <c r="E417" s="598">
        <f t="shared" si="4"/>
        <v>374</v>
      </c>
      <c r="F417" s="616" t="s">
        <v>1798</v>
      </c>
      <c r="G417" s="616" t="s">
        <v>1226</v>
      </c>
      <c r="H417" s="618" t="s">
        <v>1225</v>
      </c>
      <c r="I417" s="618" t="s">
        <v>114</v>
      </c>
      <c r="J417" s="618" t="s">
        <v>1225</v>
      </c>
      <c r="K417" s="618" t="s">
        <v>3132</v>
      </c>
      <c r="L417" s="618" t="s">
        <v>3110</v>
      </c>
      <c r="M417" s="619" t="s">
        <v>3133</v>
      </c>
      <c r="N417" s="620"/>
      <c r="O417" s="620"/>
      <c r="P417" s="673" t="s">
        <v>1115</v>
      </c>
      <c r="Q417" s="621"/>
      <c r="R417" s="598"/>
      <c r="S417" s="598"/>
      <c r="T417" s="598"/>
      <c r="U417" s="598" t="s">
        <v>1015</v>
      </c>
      <c r="V417" s="673" t="s">
        <v>4763</v>
      </c>
      <c r="W417" s="779" t="s">
        <v>4764</v>
      </c>
      <c r="X417" s="598" t="s">
        <v>950</v>
      </c>
      <c r="Y417" s="624">
        <v>37308</v>
      </c>
      <c r="Z417" s="625">
        <f t="shared" ca="1" si="5"/>
        <v>23</v>
      </c>
      <c r="AA417" s="616" t="s">
        <v>3170</v>
      </c>
      <c r="AB417" s="598"/>
      <c r="AC417" s="598" t="s">
        <v>996</v>
      </c>
      <c r="AD417" s="598" t="s">
        <v>1018</v>
      </c>
      <c r="AE417" s="616" t="s">
        <v>1041</v>
      </c>
      <c r="AF417" s="616" t="s">
        <v>1791</v>
      </c>
      <c r="AG417" s="616" t="s">
        <v>3172</v>
      </c>
      <c r="AH417" s="598"/>
      <c r="AI417" s="598" t="s">
        <v>4229</v>
      </c>
      <c r="AJ417" s="598" t="s">
        <v>1125</v>
      </c>
      <c r="AK417" s="680" t="s">
        <v>4505</v>
      </c>
      <c r="AL417" s="626"/>
      <c r="AM417" s="626"/>
    </row>
    <row r="418" spans="3:39" ht="18" customHeight="1">
      <c r="C418" s="598">
        <v>400</v>
      </c>
      <c r="D418" s="598" t="s">
        <v>3181</v>
      </c>
      <c r="E418" s="598">
        <f t="shared" si="4"/>
        <v>375</v>
      </c>
      <c r="F418" s="616" t="s">
        <v>4978</v>
      </c>
      <c r="G418" s="616" t="s">
        <v>1226</v>
      </c>
      <c r="H418" s="618" t="s">
        <v>1225</v>
      </c>
      <c r="I418" s="618" t="s">
        <v>114</v>
      </c>
      <c r="J418" s="618" t="s">
        <v>1225</v>
      </c>
      <c r="K418" s="618" t="s">
        <v>3181</v>
      </c>
      <c r="L418" s="618" t="s">
        <v>3182</v>
      </c>
      <c r="M418" s="619"/>
      <c r="N418" s="620"/>
      <c r="O418" s="620"/>
      <c r="P418" s="667" t="s">
        <v>1127</v>
      </c>
      <c r="Q418" s="621"/>
      <c r="R418" s="598" t="s">
        <v>173</v>
      </c>
      <c r="S418" s="598" t="s">
        <v>514</v>
      </c>
      <c r="T418" s="598"/>
      <c r="U418" s="598" t="s">
        <v>1015</v>
      </c>
      <c r="V418" s="667" t="s">
        <v>341</v>
      </c>
      <c r="W418" s="779" t="s">
        <v>3183</v>
      </c>
      <c r="X418" s="598" t="s">
        <v>950</v>
      </c>
      <c r="Y418" s="624">
        <v>36536</v>
      </c>
      <c r="Z418" s="625">
        <f t="shared" ca="1" si="5"/>
        <v>26</v>
      </c>
      <c r="AA418" s="616" t="s">
        <v>3184</v>
      </c>
      <c r="AB418" s="598" t="s">
        <v>3185</v>
      </c>
      <c r="AC418" s="598" t="s">
        <v>996</v>
      </c>
      <c r="AD418" s="598" t="s">
        <v>1018</v>
      </c>
      <c r="AE418" s="616" t="s">
        <v>1041</v>
      </c>
      <c r="AF418" s="616" t="s">
        <v>2985</v>
      </c>
      <c r="AG418" s="616" t="s">
        <v>2986</v>
      </c>
      <c r="AH418" s="598"/>
      <c r="AI418" s="598"/>
      <c r="AJ418" s="598" t="s">
        <v>1011</v>
      </c>
      <c r="AK418" s="598"/>
      <c r="AL418" s="626"/>
      <c r="AM418" s="626"/>
    </row>
    <row r="419" spans="3:39" ht="18" customHeight="1">
      <c r="C419" s="598">
        <v>401</v>
      </c>
      <c r="D419" s="598" t="s">
        <v>3182</v>
      </c>
      <c r="E419" s="598">
        <f t="shared" si="4"/>
        <v>376</v>
      </c>
      <c r="F419" s="616" t="s">
        <v>4978</v>
      </c>
      <c r="G419" s="616" t="s">
        <v>1226</v>
      </c>
      <c r="H419" s="618" t="s">
        <v>1225</v>
      </c>
      <c r="I419" s="618" t="s">
        <v>114</v>
      </c>
      <c r="J419" s="618" t="s">
        <v>1225</v>
      </c>
      <c r="K419" s="618" t="s">
        <v>3181</v>
      </c>
      <c r="L419" s="618" t="s">
        <v>3182</v>
      </c>
      <c r="M419" s="619"/>
      <c r="N419" s="620"/>
      <c r="O419" s="620"/>
      <c r="P419" s="663" t="s">
        <v>1127</v>
      </c>
      <c r="Q419" s="621"/>
      <c r="R419" s="598" t="s">
        <v>69</v>
      </c>
      <c r="S419" s="598" t="s">
        <v>562</v>
      </c>
      <c r="T419" s="598"/>
      <c r="U419" s="598" t="s">
        <v>1015</v>
      </c>
      <c r="V419" s="663" t="s">
        <v>355</v>
      </c>
      <c r="W419" s="779" t="s">
        <v>3186</v>
      </c>
      <c r="X419" s="598" t="s">
        <v>950</v>
      </c>
      <c r="Y419" s="624">
        <v>35989</v>
      </c>
      <c r="Z419" s="625">
        <f t="shared" ca="1" si="5"/>
        <v>27</v>
      </c>
      <c r="AA419" s="616" t="s">
        <v>3187</v>
      </c>
      <c r="AB419" s="598"/>
      <c r="AC419" s="598" t="s">
        <v>996</v>
      </c>
      <c r="AD419" s="598" t="s">
        <v>997</v>
      </c>
      <c r="AE419" s="616" t="s">
        <v>1041</v>
      </c>
      <c r="AF419" s="721" t="s">
        <v>1041</v>
      </c>
      <c r="AG419" s="616" t="s">
        <v>2784</v>
      </c>
      <c r="AH419" s="598"/>
      <c r="AI419" s="598"/>
      <c r="AJ419" s="598" t="s">
        <v>1114</v>
      </c>
      <c r="AK419" s="598"/>
      <c r="AL419" s="626"/>
      <c r="AM419" s="626"/>
    </row>
    <row r="420" spans="3:39" ht="18" customHeight="1">
      <c r="C420" s="598">
        <v>402</v>
      </c>
      <c r="D420" s="598" t="s">
        <v>3189</v>
      </c>
      <c r="E420" s="598">
        <f t="shared" si="4"/>
        <v>377</v>
      </c>
      <c r="F420" s="616" t="s">
        <v>4978</v>
      </c>
      <c r="G420" s="616" t="s">
        <v>1226</v>
      </c>
      <c r="H420" s="618" t="s">
        <v>1225</v>
      </c>
      <c r="I420" s="618" t="s">
        <v>114</v>
      </c>
      <c r="J420" s="618" t="s">
        <v>1225</v>
      </c>
      <c r="K420" s="618" t="s">
        <v>3181</v>
      </c>
      <c r="L420" s="618" t="s">
        <v>3182</v>
      </c>
      <c r="M420" s="619"/>
      <c r="N420" s="620"/>
      <c r="O420" s="620"/>
      <c r="P420" s="663" t="s">
        <v>1127</v>
      </c>
      <c r="Q420" s="621"/>
      <c r="R420" s="598"/>
      <c r="S420" s="598"/>
      <c r="T420" s="598"/>
      <c r="U420" s="598" t="s">
        <v>1015</v>
      </c>
      <c r="V420" s="663" t="s">
        <v>3190</v>
      </c>
      <c r="W420" s="779" t="s">
        <v>3191</v>
      </c>
      <c r="X420" s="598" t="s">
        <v>950</v>
      </c>
      <c r="Y420" s="624">
        <v>31694</v>
      </c>
      <c r="Z420" s="625">
        <f t="shared" ca="1" si="5"/>
        <v>39</v>
      </c>
      <c r="AA420" s="616" t="s">
        <v>3192</v>
      </c>
      <c r="AB420" s="598"/>
      <c r="AC420" s="598" t="s">
        <v>996</v>
      </c>
      <c r="AD420" s="598" t="s">
        <v>997</v>
      </c>
      <c r="AE420" s="616" t="s">
        <v>1041</v>
      </c>
      <c r="AF420" s="616" t="s">
        <v>3194</v>
      </c>
      <c r="AG420" s="616"/>
      <c r="AH420" s="598"/>
      <c r="AI420" s="598"/>
      <c r="AJ420" s="598" t="s">
        <v>1114</v>
      </c>
      <c r="AK420" s="598"/>
      <c r="AL420" s="626"/>
      <c r="AM420" s="626"/>
    </row>
    <row r="421" spans="3:39" ht="18" customHeight="1">
      <c r="C421" s="598">
        <v>403</v>
      </c>
      <c r="D421" s="598" t="s">
        <v>3196</v>
      </c>
      <c r="E421" s="598">
        <f t="shared" si="4"/>
        <v>378</v>
      </c>
      <c r="F421" s="616" t="s">
        <v>4978</v>
      </c>
      <c r="G421" s="616" t="s">
        <v>1226</v>
      </c>
      <c r="H421" s="618" t="s">
        <v>1225</v>
      </c>
      <c r="I421" s="618" t="s">
        <v>114</v>
      </c>
      <c r="J421" s="618" t="s">
        <v>1225</v>
      </c>
      <c r="K421" s="618" t="s">
        <v>3181</v>
      </c>
      <c r="L421" s="618" t="s">
        <v>3182</v>
      </c>
      <c r="M421" s="619"/>
      <c r="N421" s="620"/>
      <c r="O421" s="620"/>
      <c r="P421" s="663" t="s">
        <v>1127</v>
      </c>
      <c r="Q421" s="621"/>
      <c r="R421" s="598"/>
      <c r="S421" s="598"/>
      <c r="T421" s="598"/>
      <c r="U421" s="598" t="s">
        <v>1015</v>
      </c>
      <c r="V421" s="663" t="s">
        <v>382</v>
      </c>
      <c r="W421" s="779" t="s">
        <v>3197</v>
      </c>
      <c r="X421" s="598" t="s">
        <v>950</v>
      </c>
      <c r="Y421" s="624">
        <v>33359</v>
      </c>
      <c r="Z421" s="625">
        <f t="shared" ca="1" si="5"/>
        <v>34</v>
      </c>
      <c r="AA421" s="616" t="s">
        <v>3198</v>
      </c>
      <c r="AB421" s="598"/>
      <c r="AC421" s="598" t="s">
        <v>996</v>
      </c>
      <c r="AD421" s="598" t="s">
        <v>1018</v>
      </c>
      <c r="AE421" s="616" t="s">
        <v>1041</v>
      </c>
      <c r="AF421" s="721" t="s">
        <v>1041</v>
      </c>
      <c r="AG421" s="616" t="s">
        <v>2784</v>
      </c>
      <c r="AH421" s="598"/>
      <c r="AI421" s="598"/>
      <c r="AJ421" s="598" t="s">
        <v>1114</v>
      </c>
      <c r="AK421" s="598"/>
      <c r="AL421" s="626"/>
      <c r="AM421" s="626"/>
    </row>
    <row r="422" spans="3:39" ht="18" customHeight="1">
      <c r="C422" s="598">
        <v>404</v>
      </c>
      <c r="D422" s="598" t="s">
        <v>3199</v>
      </c>
      <c r="E422" s="598">
        <f t="shared" si="4"/>
        <v>379</v>
      </c>
      <c r="F422" s="616" t="s">
        <v>4978</v>
      </c>
      <c r="G422" s="616" t="s">
        <v>1226</v>
      </c>
      <c r="H422" s="618" t="s">
        <v>1225</v>
      </c>
      <c r="I422" s="618" t="s">
        <v>114</v>
      </c>
      <c r="J422" s="618" t="s">
        <v>1225</v>
      </c>
      <c r="K422" s="618" t="s">
        <v>3181</v>
      </c>
      <c r="L422" s="618" t="s">
        <v>3182</v>
      </c>
      <c r="M422" s="619"/>
      <c r="N422" s="620"/>
      <c r="O422" s="620"/>
      <c r="P422" s="663" t="s">
        <v>1127</v>
      </c>
      <c r="Q422" s="621"/>
      <c r="R422" s="598"/>
      <c r="S422" s="598"/>
      <c r="T422" s="598"/>
      <c r="U422" s="598" t="s">
        <v>1015</v>
      </c>
      <c r="V422" s="663" t="s">
        <v>395</v>
      </c>
      <c r="W422" s="779" t="s">
        <v>3200</v>
      </c>
      <c r="X422" s="598" t="s">
        <v>950</v>
      </c>
      <c r="Y422" s="624">
        <v>34616</v>
      </c>
      <c r="Z422" s="625">
        <f t="shared" ca="1" si="5"/>
        <v>31</v>
      </c>
      <c r="AA422" s="616" t="s">
        <v>3201</v>
      </c>
      <c r="AB422" s="598"/>
      <c r="AC422" s="598" t="s">
        <v>996</v>
      </c>
      <c r="AD422" s="598" t="s">
        <v>997</v>
      </c>
      <c r="AE422" s="616" t="s">
        <v>1041</v>
      </c>
      <c r="AF422" s="721" t="s">
        <v>1041</v>
      </c>
      <c r="AG422" s="616" t="s">
        <v>2784</v>
      </c>
      <c r="AH422" s="598"/>
      <c r="AI422" s="598"/>
      <c r="AJ422" s="598" t="s">
        <v>1114</v>
      </c>
      <c r="AK422" s="598"/>
      <c r="AL422" s="626"/>
      <c r="AM422" s="626"/>
    </row>
    <row r="423" spans="3:39" ht="18" customHeight="1">
      <c r="C423" s="598">
        <v>405</v>
      </c>
      <c r="D423" s="598" t="s">
        <v>3203</v>
      </c>
      <c r="E423" s="598">
        <f t="shared" si="4"/>
        <v>380</v>
      </c>
      <c r="F423" s="616" t="s">
        <v>4978</v>
      </c>
      <c r="G423" s="616" t="s">
        <v>1226</v>
      </c>
      <c r="H423" s="618" t="s">
        <v>1225</v>
      </c>
      <c r="I423" s="618" t="s">
        <v>114</v>
      </c>
      <c r="J423" s="618" t="s">
        <v>1225</v>
      </c>
      <c r="K423" s="618" t="s">
        <v>3181</v>
      </c>
      <c r="L423" s="618" t="s">
        <v>3182</v>
      </c>
      <c r="M423" s="619"/>
      <c r="N423" s="620"/>
      <c r="O423" s="620"/>
      <c r="P423" s="663" t="s">
        <v>1127</v>
      </c>
      <c r="Q423" s="621"/>
      <c r="R423" s="598"/>
      <c r="S423" s="598"/>
      <c r="T423" s="598"/>
      <c r="U423" s="598" t="s">
        <v>992</v>
      </c>
      <c r="V423" s="663" t="s">
        <v>407</v>
      </c>
      <c r="W423" s="779" t="s">
        <v>3204</v>
      </c>
      <c r="X423" s="598" t="s">
        <v>950</v>
      </c>
      <c r="Y423" s="624">
        <v>35621</v>
      </c>
      <c r="Z423" s="625">
        <f t="shared" ca="1" si="5"/>
        <v>28</v>
      </c>
      <c r="AA423" s="616" t="s">
        <v>3205</v>
      </c>
      <c r="AB423" s="598"/>
      <c r="AC423" s="598" t="s">
        <v>996</v>
      </c>
      <c r="AD423" s="598" t="s">
        <v>997</v>
      </c>
      <c r="AE423" s="616" t="s">
        <v>1041</v>
      </c>
      <c r="AF423" s="616" t="s">
        <v>3207</v>
      </c>
      <c r="AG423" s="616"/>
      <c r="AH423" s="598"/>
      <c r="AI423" s="598"/>
      <c r="AJ423" s="598" t="s">
        <v>1114</v>
      </c>
      <c r="AK423" s="598"/>
      <c r="AL423" s="626"/>
      <c r="AM423" s="626"/>
    </row>
    <row r="424" spans="3:39" ht="18" customHeight="1">
      <c r="C424" s="598">
        <v>406</v>
      </c>
      <c r="D424" s="598" t="s">
        <v>3209</v>
      </c>
      <c r="E424" s="598">
        <f t="shared" si="4"/>
        <v>381</v>
      </c>
      <c r="F424" s="616" t="s">
        <v>4978</v>
      </c>
      <c r="G424" s="616" t="s">
        <v>1226</v>
      </c>
      <c r="H424" s="618" t="s">
        <v>1225</v>
      </c>
      <c r="I424" s="618" t="s">
        <v>114</v>
      </c>
      <c r="J424" s="618" t="s">
        <v>1225</v>
      </c>
      <c r="K424" s="618" t="s">
        <v>3181</v>
      </c>
      <c r="L424" s="618" t="s">
        <v>3182</v>
      </c>
      <c r="M424" s="619"/>
      <c r="N424" s="620"/>
      <c r="O424" s="620"/>
      <c r="P424" s="663" t="s">
        <v>1127</v>
      </c>
      <c r="Q424" s="621"/>
      <c r="R424" s="598"/>
      <c r="S424" s="598"/>
      <c r="T424" s="598"/>
      <c r="U424" s="598" t="s">
        <v>992</v>
      </c>
      <c r="V424" s="663" t="s">
        <v>419</v>
      </c>
      <c r="W424" s="779" t="s">
        <v>3210</v>
      </c>
      <c r="X424" s="598" t="s">
        <v>950</v>
      </c>
      <c r="Y424" s="624" t="s">
        <v>3211</v>
      </c>
      <c r="Z424" s="625">
        <f t="shared" ca="1" si="5"/>
        <v>24</v>
      </c>
      <c r="AA424" s="616" t="s">
        <v>3212</v>
      </c>
      <c r="AB424" s="598"/>
      <c r="AC424" s="598" t="s">
        <v>996</v>
      </c>
      <c r="AD424" s="598" t="s">
        <v>997</v>
      </c>
      <c r="AE424" s="616" t="s">
        <v>1041</v>
      </c>
      <c r="AF424" s="721" t="s">
        <v>1041</v>
      </c>
      <c r="AG424" s="616" t="s">
        <v>3214</v>
      </c>
      <c r="AH424" s="598"/>
      <c r="AI424" s="598"/>
      <c r="AJ424" s="598" t="s">
        <v>1114</v>
      </c>
      <c r="AK424" s="598"/>
      <c r="AL424" s="626"/>
      <c r="AM424" s="626"/>
    </row>
    <row r="425" spans="3:39" ht="18" customHeight="1">
      <c r="C425" s="598">
        <v>407</v>
      </c>
      <c r="D425" s="598" t="s">
        <v>3215</v>
      </c>
      <c r="E425" s="598">
        <f t="shared" si="4"/>
        <v>382</v>
      </c>
      <c r="F425" s="616" t="s">
        <v>1351</v>
      </c>
      <c r="G425" s="616" t="s">
        <v>1226</v>
      </c>
      <c r="H425" s="618" t="s">
        <v>1225</v>
      </c>
      <c r="I425" s="618" t="s">
        <v>114</v>
      </c>
      <c r="J425" s="618" t="s">
        <v>1225</v>
      </c>
      <c r="K425" s="618" t="s">
        <v>3181</v>
      </c>
      <c r="L425" s="618" t="s">
        <v>3182</v>
      </c>
      <c r="M425" s="619"/>
      <c r="N425" s="620"/>
      <c r="O425" s="620"/>
      <c r="P425" s="663" t="s">
        <v>1127</v>
      </c>
      <c r="Q425" s="621"/>
      <c r="R425" s="598"/>
      <c r="S425" s="598"/>
      <c r="T425" s="598"/>
      <c r="U425" s="598" t="s">
        <v>992</v>
      </c>
      <c r="V425" s="663" t="s">
        <v>428</v>
      </c>
      <c r="W425" s="779" t="s">
        <v>3216</v>
      </c>
      <c r="X425" s="598" t="s">
        <v>950</v>
      </c>
      <c r="Y425" s="624" t="s">
        <v>3217</v>
      </c>
      <c r="Z425" s="625">
        <f t="shared" ca="1" si="5"/>
        <v>19</v>
      </c>
      <c r="AA425" s="616" t="s">
        <v>3218</v>
      </c>
      <c r="AB425" s="598"/>
      <c r="AC425" s="598" t="s">
        <v>996</v>
      </c>
      <c r="AD425" s="598" t="s">
        <v>1018</v>
      </c>
      <c r="AE425" s="616" t="s">
        <v>1041</v>
      </c>
      <c r="AF425" s="616" t="s">
        <v>1041</v>
      </c>
      <c r="AG425" s="616" t="s">
        <v>3220</v>
      </c>
      <c r="AH425" s="598"/>
      <c r="AI425" s="598"/>
      <c r="AJ425" s="598" t="s">
        <v>1114</v>
      </c>
      <c r="AK425" s="598"/>
      <c r="AL425" s="626"/>
      <c r="AM425" s="626"/>
    </row>
    <row r="426" spans="3:39" ht="18" customHeight="1">
      <c r="C426" s="598">
        <v>408</v>
      </c>
      <c r="D426" s="598" t="s">
        <v>3221</v>
      </c>
      <c r="E426" s="598">
        <f t="shared" si="4"/>
        <v>383</v>
      </c>
      <c r="F426" s="616" t="s">
        <v>4978</v>
      </c>
      <c r="G426" s="616" t="s">
        <v>1226</v>
      </c>
      <c r="H426" s="618" t="s">
        <v>1225</v>
      </c>
      <c r="I426" s="618" t="s">
        <v>114</v>
      </c>
      <c r="J426" s="618" t="s">
        <v>1225</v>
      </c>
      <c r="K426" s="618" t="s">
        <v>3181</v>
      </c>
      <c r="L426" s="618" t="s">
        <v>3182</v>
      </c>
      <c r="M426" s="619"/>
      <c r="N426" s="620"/>
      <c r="O426" s="620"/>
      <c r="P426" s="673" t="s">
        <v>1127</v>
      </c>
      <c r="Q426" s="621" t="s">
        <v>319</v>
      </c>
      <c r="R426" s="598"/>
      <c r="S426" s="598"/>
      <c r="T426" s="598"/>
      <c r="U426" s="598" t="s">
        <v>1015</v>
      </c>
      <c r="V426" s="664" t="s">
        <v>3222</v>
      </c>
      <c r="W426" s="779" t="s">
        <v>3223</v>
      </c>
      <c r="X426" s="598" t="s">
        <v>950</v>
      </c>
      <c r="Y426" s="624">
        <v>35825</v>
      </c>
      <c r="Z426" s="625">
        <f t="shared" ca="1" si="5"/>
        <v>28</v>
      </c>
      <c r="AA426" s="616" t="s">
        <v>3224</v>
      </c>
      <c r="AB426" s="598"/>
      <c r="AC426" s="598" t="s">
        <v>996</v>
      </c>
      <c r="AD426" s="598" t="s">
        <v>1018</v>
      </c>
      <c r="AE426" s="616" t="s">
        <v>1041</v>
      </c>
      <c r="AF426" s="721" t="s">
        <v>1041</v>
      </c>
      <c r="AG426" s="616" t="s">
        <v>1473</v>
      </c>
      <c r="AH426" s="598"/>
      <c r="AI426" s="598"/>
      <c r="AJ426" s="598" t="s">
        <v>1107</v>
      </c>
      <c r="AK426" s="598"/>
      <c r="AL426" s="626"/>
      <c r="AM426" s="626"/>
    </row>
    <row r="427" spans="3:39" ht="18" customHeight="1">
      <c r="C427" s="598">
        <v>409</v>
      </c>
      <c r="D427" s="598" t="s">
        <v>3225</v>
      </c>
      <c r="E427" s="598">
        <f t="shared" si="4"/>
        <v>384</v>
      </c>
      <c r="F427" s="616" t="s">
        <v>1798</v>
      </c>
      <c r="G427" s="616" t="s">
        <v>1226</v>
      </c>
      <c r="H427" s="618" t="s">
        <v>1225</v>
      </c>
      <c r="I427" s="618" t="s">
        <v>114</v>
      </c>
      <c r="J427" s="618" t="s">
        <v>1225</v>
      </c>
      <c r="K427" s="618" t="s">
        <v>3225</v>
      </c>
      <c r="L427" s="618" t="s">
        <v>3226</v>
      </c>
      <c r="M427" s="619"/>
      <c r="N427" s="620"/>
      <c r="O427" s="620"/>
      <c r="P427" s="667" t="s">
        <v>4765</v>
      </c>
      <c r="Q427" s="621"/>
      <c r="R427" s="598" t="s">
        <v>55</v>
      </c>
      <c r="S427" s="598" t="s">
        <v>178</v>
      </c>
      <c r="T427" s="598"/>
      <c r="U427" s="623" t="s">
        <v>992</v>
      </c>
      <c r="V427" s="667" t="s">
        <v>343</v>
      </c>
      <c r="W427" s="781" t="s">
        <v>3229</v>
      </c>
      <c r="X427" s="598" t="s">
        <v>950</v>
      </c>
      <c r="Y427" s="624">
        <v>32520</v>
      </c>
      <c r="Z427" s="625">
        <f t="shared" ca="1" si="5"/>
        <v>37</v>
      </c>
      <c r="AA427" s="616"/>
      <c r="AB427" s="598" t="s">
        <v>3231</v>
      </c>
      <c r="AC427" s="598" t="s">
        <v>1006</v>
      </c>
      <c r="AD427" s="598" t="s">
        <v>953</v>
      </c>
      <c r="AE427" s="616" t="s">
        <v>1041</v>
      </c>
      <c r="AF427" s="616" t="s">
        <v>3194</v>
      </c>
      <c r="AG427" s="616" t="s">
        <v>3232</v>
      </c>
      <c r="AH427" s="598"/>
      <c r="AI427" s="598"/>
      <c r="AJ427" s="598" t="s">
        <v>1349</v>
      </c>
      <c r="AK427" s="598"/>
      <c r="AL427" s="626"/>
      <c r="AM427" s="626"/>
    </row>
    <row r="428" spans="3:39" ht="18" customHeight="1">
      <c r="C428" s="598">
        <v>410</v>
      </c>
      <c r="D428" s="598" t="s">
        <v>3226</v>
      </c>
      <c r="E428" s="598">
        <f t="shared" si="4"/>
        <v>385</v>
      </c>
      <c r="F428" s="616" t="s">
        <v>4978</v>
      </c>
      <c r="G428" s="616" t="s">
        <v>1226</v>
      </c>
      <c r="H428" s="618" t="s">
        <v>1225</v>
      </c>
      <c r="I428" s="618" t="s">
        <v>114</v>
      </c>
      <c r="J428" s="618" t="s">
        <v>1225</v>
      </c>
      <c r="K428" s="618" t="s">
        <v>3225</v>
      </c>
      <c r="L428" s="618" t="s">
        <v>3226</v>
      </c>
      <c r="M428" s="619"/>
      <c r="N428" s="620"/>
      <c r="O428" s="620"/>
      <c r="P428" s="663" t="s">
        <v>4765</v>
      </c>
      <c r="Q428" s="621"/>
      <c r="R428" s="598" t="s">
        <v>69</v>
      </c>
      <c r="S428" s="598" t="s">
        <v>562</v>
      </c>
      <c r="T428" s="598"/>
      <c r="U428" s="623" t="s">
        <v>1015</v>
      </c>
      <c r="V428" s="663" t="s">
        <v>356</v>
      </c>
      <c r="W428" s="781" t="s">
        <v>3233</v>
      </c>
      <c r="X428" s="598" t="s">
        <v>950</v>
      </c>
      <c r="Y428" s="624">
        <v>35366</v>
      </c>
      <c r="Z428" s="625">
        <f t="shared" ca="1" si="5"/>
        <v>29</v>
      </c>
      <c r="AA428" s="616" t="s">
        <v>3234</v>
      </c>
      <c r="AB428" s="598"/>
      <c r="AC428" s="598" t="s">
        <v>996</v>
      </c>
      <c r="AD428" s="598" t="s">
        <v>997</v>
      </c>
      <c r="AE428" s="616" t="s">
        <v>1041</v>
      </c>
      <c r="AF428" s="721" t="s">
        <v>1041</v>
      </c>
      <c r="AG428" s="616" t="s">
        <v>3236</v>
      </c>
      <c r="AH428" s="598"/>
      <c r="AI428" s="598"/>
      <c r="AJ428" s="598" t="s">
        <v>1452</v>
      </c>
      <c r="AK428" s="598"/>
      <c r="AL428" s="626"/>
      <c r="AM428" s="626"/>
    </row>
    <row r="429" spans="3:39" ht="18" customHeight="1">
      <c r="C429" s="598">
        <v>411</v>
      </c>
      <c r="D429" s="598" t="s">
        <v>3227</v>
      </c>
      <c r="E429" s="598">
        <f t="shared" si="4"/>
        <v>386</v>
      </c>
      <c r="F429" s="616" t="s">
        <v>1351</v>
      </c>
      <c r="G429" s="616" t="s">
        <v>1226</v>
      </c>
      <c r="H429" s="618" t="s">
        <v>1225</v>
      </c>
      <c r="I429" s="618" t="s">
        <v>114</v>
      </c>
      <c r="J429" s="618" t="s">
        <v>1225</v>
      </c>
      <c r="K429" s="618" t="s">
        <v>3225</v>
      </c>
      <c r="L429" s="618" t="s">
        <v>3226</v>
      </c>
      <c r="M429" s="619"/>
      <c r="N429" s="620"/>
      <c r="O429" s="620"/>
      <c r="P429" s="663" t="s">
        <v>4765</v>
      </c>
      <c r="Q429" s="621"/>
      <c r="R429" s="598"/>
      <c r="S429" s="598"/>
      <c r="T429" s="598"/>
      <c r="U429" s="623" t="s">
        <v>992</v>
      </c>
      <c r="V429" s="668" t="s">
        <v>437</v>
      </c>
      <c r="W429" s="781" t="s">
        <v>3237</v>
      </c>
      <c r="X429" s="598" t="s">
        <v>950</v>
      </c>
      <c r="Y429" s="624">
        <v>38451</v>
      </c>
      <c r="Z429" s="625">
        <f t="shared" ca="1" si="5"/>
        <v>20</v>
      </c>
      <c r="AA429" s="616" t="s">
        <v>3238</v>
      </c>
      <c r="AB429" s="598"/>
      <c r="AC429" s="598" t="s">
        <v>996</v>
      </c>
      <c r="AD429" s="598" t="s">
        <v>997</v>
      </c>
      <c r="AE429" s="616" t="s">
        <v>1041</v>
      </c>
      <c r="AF429" s="616" t="s">
        <v>1250</v>
      </c>
      <c r="AG429" s="616" t="s">
        <v>3240</v>
      </c>
      <c r="AH429" s="598"/>
      <c r="AI429" s="598"/>
      <c r="AJ429" s="598" t="s">
        <v>1452</v>
      </c>
      <c r="AK429" s="598"/>
      <c r="AL429" s="626"/>
      <c r="AM429" s="626"/>
    </row>
    <row r="430" spans="3:39" ht="18" customHeight="1">
      <c r="C430" s="598">
        <v>412</v>
      </c>
      <c r="D430" s="598" t="s">
        <v>3241</v>
      </c>
      <c r="E430" s="598">
        <f t="shared" si="4"/>
        <v>387</v>
      </c>
      <c r="F430" s="616" t="s">
        <v>4978</v>
      </c>
      <c r="G430" s="616" t="s">
        <v>1226</v>
      </c>
      <c r="H430" s="618" t="s">
        <v>1225</v>
      </c>
      <c r="I430" s="618" t="s">
        <v>114</v>
      </c>
      <c r="J430" s="618" t="s">
        <v>1225</v>
      </c>
      <c r="K430" s="618" t="s">
        <v>3225</v>
      </c>
      <c r="L430" s="618" t="s">
        <v>3226</v>
      </c>
      <c r="M430" s="619"/>
      <c r="N430" s="620"/>
      <c r="O430" s="620"/>
      <c r="P430" s="663" t="s">
        <v>4765</v>
      </c>
      <c r="Q430" s="621"/>
      <c r="R430" s="598"/>
      <c r="S430" s="598"/>
      <c r="T430" s="598"/>
      <c r="U430" s="623" t="s">
        <v>1015</v>
      </c>
      <c r="V430" s="669" t="s">
        <v>370</v>
      </c>
      <c r="W430" s="781" t="s">
        <v>3242</v>
      </c>
      <c r="X430" s="598" t="s">
        <v>950</v>
      </c>
      <c r="Y430" s="624">
        <v>33267</v>
      </c>
      <c r="Z430" s="625">
        <f t="shared" ca="1" si="5"/>
        <v>35</v>
      </c>
      <c r="AA430" s="616" t="s">
        <v>3243</v>
      </c>
      <c r="AB430" s="598"/>
      <c r="AC430" s="598" t="s">
        <v>996</v>
      </c>
      <c r="AD430" s="598" t="s">
        <v>997</v>
      </c>
      <c r="AE430" s="616" t="s">
        <v>1041</v>
      </c>
      <c r="AF430" s="721" t="s">
        <v>1041</v>
      </c>
      <c r="AG430" s="616" t="s">
        <v>3245</v>
      </c>
      <c r="AH430" s="598"/>
      <c r="AI430" s="598"/>
      <c r="AJ430" s="598" t="s">
        <v>1452</v>
      </c>
      <c r="AK430" s="598"/>
      <c r="AL430" s="626"/>
      <c r="AM430" s="626"/>
    </row>
    <row r="431" spans="3:39" ht="18" customHeight="1">
      <c r="C431" s="598">
        <v>413</v>
      </c>
      <c r="D431" s="598" t="s">
        <v>3246</v>
      </c>
      <c r="E431" s="598">
        <f t="shared" si="4"/>
        <v>388</v>
      </c>
      <c r="F431" s="616" t="s">
        <v>4978</v>
      </c>
      <c r="G431" s="616" t="s">
        <v>1226</v>
      </c>
      <c r="H431" s="618" t="s">
        <v>1225</v>
      </c>
      <c r="I431" s="618" t="s">
        <v>114</v>
      </c>
      <c r="J431" s="618" t="s">
        <v>1225</v>
      </c>
      <c r="K431" s="618" t="s">
        <v>3225</v>
      </c>
      <c r="L431" s="618" t="s">
        <v>3226</v>
      </c>
      <c r="M431" s="619"/>
      <c r="N431" s="620"/>
      <c r="O431" s="620"/>
      <c r="P431" s="663" t="s">
        <v>4765</v>
      </c>
      <c r="Q431" s="621"/>
      <c r="R431" s="598"/>
      <c r="S431" s="598"/>
      <c r="T431" s="598"/>
      <c r="U431" s="623" t="s">
        <v>1015</v>
      </c>
      <c r="V431" s="663" t="s">
        <v>383</v>
      </c>
      <c r="W431" s="781" t="s">
        <v>3247</v>
      </c>
      <c r="X431" s="598" t="s">
        <v>950</v>
      </c>
      <c r="Y431" s="624">
        <v>33415</v>
      </c>
      <c r="Z431" s="625">
        <f t="shared" ca="1" si="5"/>
        <v>34</v>
      </c>
      <c r="AA431" s="616" t="s">
        <v>3248</v>
      </c>
      <c r="AB431" s="598"/>
      <c r="AC431" s="598" t="s">
        <v>996</v>
      </c>
      <c r="AD431" s="598" t="s">
        <v>997</v>
      </c>
      <c r="AE431" s="616" t="s">
        <v>1041</v>
      </c>
      <c r="AF431" s="721" t="s">
        <v>1041</v>
      </c>
      <c r="AG431" s="616" t="s">
        <v>3250</v>
      </c>
      <c r="AH431" s="598"/>
      <c r="AI431" s="598"/>
      <c r="AJ431" s="598" t="s">
        <v>1452</v>
      </c>
      <c r="AK431" s="598"/>
      <c r="AL431" s="626"/>
      <c r="AM431" s="626"/>
    </row>
    <row r="432" spans="3:39" ht="18" customHeight="1">
      <c r="C432" s="598">
        <v>414</v>
      </c>
      <c r="D432" s="598" t="s">
        <v>3252</v>
      </c>
      <c r="E432" s="598">
        <f t="shared" si="4"/>
        <v>389</v>
      </c>
      <c r="F432" s="616" t="s">
        <v>4978</v>
      </c>
      <c r="G432" s="616" t="s">
        <v>1226</v>
      </c>
      <c r="H432" s="618" t="s">
        <v>1225</v>
      </c>
      <c r="I432" s="618" t="s">
        <v>114</v>
      </c>
      <c r="J432" s="618" t="s">
        <v>1225</v>
      </c>
      <c r="K432" s="618" t="s">
        <v>3225</v>
      </c>
      <c r="L432" s="618" t="s">
        <v>3226</v>
      </c>
      <c r="M432" s="619"/>
      <c r="N432" s="620"/>
      <c r="O432" s="620"/>
      <c r="P432" s="663" t="s">
        <v>4765</v>
      </c>
      <c r="Q432" s="621"/>
      <c r="R432" s="598"/>
      <c r="S432" s="598"/>
      <c r="T432" s="598"/>
      <c r="U432" s="623" t="s">
        <v>1015</v>
      </c>
      <c r="V432" s="663" t="s">
        <v>396</v>
      </c>
      <c r="W432" s="781" t="s">
        <v>3253</v>
      </c>
      <c r="X432" s="598" t="s">
        <v>950</v>
      </c>
      <c r="Y432" s="624">
        <v>35523</v>
      </c>
      <c r="Z432" s="625">
        <f t="shared" ca="1" si="5"/>
        <v>28</v>
      </c>
      <c r="AA432" s="616" t="s">
        <v>3254</v>
      </c>
      <c r="AB432" s="598"/>
      <c r="AC432" s="598" t="s">
        <v>996</v>
      </c>
      <c r="AD432" s="598" t="s">
        <v>997</v>
      </c>
      <c r="AE432" s="616" t="s">
        <v>1041</v>
      </c>
      <c r="AF432" s="616" t="s">
        <v>3256</v>
      </c>
      <c r="AG432" s="616" t="s">
        <v>3257</v>
      </c>
      <c r="AH432" s="598"/>
      <c r="AI432" s="598"/>
      <c r="AJ432" s="598" t="s">
        <v>1452</v>
      </c>
      <c r="AK432" s="598"/>
      <c r="AL432" s="626"/>
      <c r="AM432" s="626"/>
    </row>
    <row r="433" spans="3:39" ht="18" customHeight="1">
      <c r="C433" s="598">
        <v>415</v>
      </c>
      <c r="D433" s="598" t="s">
        <v>3258</v>
      </c>
      <c r="E433" s="598">
        <f t="shared" si="4"/>
        <v>390</v>
      </c>
      <c r="F433" s="616" t="s">
        <v>4978</v>
      </c>
      <c r="G433" s="616" t="s">
        <v>1226</v>
      </c>
      <c r="H433" s="618" t="s">
        <v>1225</v>
      </c>
      <c r="I433" s="618" t="s">
        <v>114</v>
      </c>
      <c r="J433" s="618" t="s">
        <v>1225</v>
      </c>
      <c r="K433" s="618" t="s">
        <v>3225</v>
      </c>
      <c r="L433" s="618" t="s">
        <v>3226</v>
      </c>
      <c r="M433" s="619"/>
      <c r="N433" s="620"/>
      <c r="O433" s="620"/>
      <c r="P433" s="663" t="s">
        <v>4765</v>
      </c>
      <c r="Q433" s="621"/>
      <c r="R433" s="598"/>
      <c r="S433" s="598"/>
      <c r="T433" s="598"/>
      <c r="U433" s="623" t="s">
        <v>1015</v>
      </c>
      <c r="V433" s="663" t="s">
        <v>408</v>
      </c>
      <c r="W433" s="781" t="s">
        <v>3259</v>
      </c>
      <c r="X433" s="598" t="s">
        <v>950</v>
      </c>
      <c r="Y433" s="624">
        <v>35944</v>
      </c>
      <c r="Z433" s="625">
        <f t="shared" ca="1" si="5"/>
        <v>27</v>
      </c>
      <c r="AA433" s="616" t="s">
        <v>3260</v>
      </c>
      <c r="AB433" s="598"/>
      <c r="AC433" s="598" t="s">
        <v>996</v>
      </c>
      <c r="AD433" s="598" t="s">
        <v>1018</v>
      </c>
      <c r="AE433" s="616" t="s">
        <v>1041</v>
      </c>
      <c r="AF433" s="616" t="s">
        <v>1250</v>
      </c>
      <c r="AG433" s="616" t="s">
        <v>3262</v>
      </c>
      <c r="AH433" s="598"/>
      <c r="AI433" s="598"/>
      <c r="AJ433" s="598" t="s">
        <v>1452</v>
      </c>
      <c r="AK433" s="598"/>
      <c r="AL433" s="626"/>
      <c r="AM433" s="626"/>
    </row>
    <row r="434" spans="3:39" ht="18" customHeight="1">
      <c r="C434" s="598">
        <v>416</v>
      </c>
      <c r="D434" s="598" t="s">
        <v>3263</v>
      </c>
      <c r="E434" s="598">
        <f t="shared" si="4"/>
        <v>391</v>
      </c>
      <c r="F434" s="616" t="s">
        <v>4978</v>
      </c>
      <c r="G434" s="616" t="s">
        <v>1226</v>
      </c>
      <c r="H434" s="618" t="s">
        <v>1225</v>
      </c>
      <c r="I434" s="618" t="s">
        <v>114</v>
      </c>
      <c r="J434" s="618" t="s">
        <v>1225</v>
      </c>
      <c r="K434" s="618" t="s">
        <v>3225</v>
      </c>
      <c r="L434" s="618" t="s">
        <v>3226</v>
      </c>
      <c r="M434" s="619"/>
      <c r="N434" s="620"/>
      <c r="O434" s="620"/>
      <c r="P434" s="663" t="s">
        <v>4765</v>
      </c>
      <c r="Q434" s="621"/>
      <c r="R434" s="598"/>
      <c r="S434" s="598"/>
      <c r="T434" s="598"/>
      <c r="U434" s="623" t="s">
        <v>1015</v>
      </c>
      <c r="V434" s="663" t="s">
        <v>420</v>
      </c>
      <c r="W434" s="781" t="s">
        <v>3265</v>
      </c>
      <c r="X434" s="598" t="s">
        <v>950</v>
      </c>
      <c r="Y434" s="624">
        <v>36800</v>
      </c>
      <c r="Z434" s="625">
        <f t="shared" ca="1" si="5"/>
        <v>25</v>
      </c>
      <c r="AA434" s="616" t="s">
        <v>3266</v>
      </c>
      <c r="AB434" s="598"/>
      <c r="AC434" s="598" t="s">
        <v>996</v>
      </c>
      <c r="AD434" s="598" t="s">
        <v>997</v>
      </c>
      <c r="AE434" s="616" t="s">
        <v>1041</v>
      </c>
      <c r="AF434" s="616" t="s">
        <v>1791</v>
      </c>
      <c r="AG434" s="616" t="s">
        <v>3268</v>
      </c>
      <c r="AH434" s="598"/>
      <c r="AI434" s="598"/>
      <c r="AJ434" s="598" t="s">
        <v>1452</v>
      </c>
      <c r="AK434" s="598"/>
      <c r="AL434" s="626"/>
      <c r="AM434" s="626"/>
    </row>
    <row r="435" spans="3:39" ht="18" customHeight="1">
      <c r="C435" s="598">
        <v>417</v>
      </c>
      <c r="D435" s="598" t="s">
        <v>3269</v>
      </c>
      <c r="E435" s="598">
        <f t="shared" si="4"/>
        <v>392</v>
      </c>
      <c r="F435" s="616" t="s">
        <v>4978</v>
      </c>
      <c r="G435" s="616" t="s">
        <v>1226</v>
      </c>
      <c r="H435" s="618" t="s">
        <v>1225</v>
      </c>
      <c r="I435" s="618" t="s">
        <v>114</v>
      </c>
      <c r="J435" s="618" t="s">
        <v>1225</v>
      </c>
      <c r="K435" s="618" t="s">
        <v>3225</v>
      </c>
      <c r="L435" s="618" t="s">
        <v>3226</v>
      </c>
      <c r="M435" s="619"/>
      <c r="N435" s="620"/>
      <c r="O435" s="620"/>
      <c r="P435" s="663" t="s">
        <v>4765</v>
      </c>
      <c r="Q435" s="621"/>
      <c r="R435" s="598"/>
      <c r="S435" s="598"/>
      <c r="T435" s="598"/>
      <c r="U435" s="623" t="s">
        <v>992</v>
      </c>
      <c r="V435" s="673" t="s">
        <v>429</v>
      </c>
      <c r="W435" s="781" t="s">
        <v>3270</v>
      </c>
      <c r="X435" s="598" t="s">
        <v>950</v>
      </c>
      <c r="Y435" s="624">
        <v>37404</v>
      </c>
      <c r="Z435" s="625">
        <f t="shared" ca="1" si="5"/>
        <v>23</v>
      </c>
      <c r="AA435" s="616" t="s">
        <v>3271</v>
      </c>
      <c r="AB435" s="598"/>
      <c r="AC435" s="598" t="s">
        <v>996</v>
      </c>
      <c r="AD435" s="598" t="s">
        <v>997</v>
      </c>
      <c r="AE435" s="616" t="s">
        <v>1041</v>
      </c>
      <c r="AF435" s="616" t="s">
        <v>1250</v>
      </c>
      <c r="AG435" s="616" t="s">
        <v>3273</v>
      </c>
      <c r="AH435" s="598"/>
      <c r="AI435" s="598"/>
      <c r="AJ435" s="598" t="s">
        <v>1452</v>
      </c>
      <c r="AK435" s="598"/>
      <c r="AL435" s="626"/>
      <c r="AM435" s="626"/>
    </row>
    <row r="436" spans="3:39" ht="18" customHeight="1">
      <c r="C436" s="598">
        <v>418</v>
      </c>
      <c r="D436" s="598" t="s">
        <v>3225</v>
      </c>
      <c r="E436" s="598">
        <f t="shared" si="4"/>
        <v>392</v>
      </c>
      <c r="F436" s="616"/>
      <c r="G436" s="616" t="s">
        <v>1226</v>
      </c>
      <c r="H436" s="618" t="s">
        <v>1225</v>
      </c>
      <c r="I436" s="618" t="s">
        <v>114</v>
      </c>
      <c r="J436" s="618" t="s">
        <v>1225</v>
      </c>
      <c r="K436" s="618" t="s">
        <v>3225</v>
      </c>
      <c r="L436" s="618" t="s">
        <v>3274</v>
      </c>
      <c r="M436" s="619"/>
      <c r="N436" s="620"/>
      <c r="O436" s="620"/>
      <c r="P436" s="667" t="s">
        <v>4767</v>
      </c>
      <c r="Q436" s="621"/>
      <c r="R436" s="598" t="s">
        <v>55</v>
      </c>
      <c r="S436" s="598" t="s">
        <v>178</v>
      </c>
      <c r="T436" s="598"/>
      <c r="U436" s="598"/>
      <c r="V436" s="669" t="s">
        <v>343</v>
      </c>
      <c r="W436" s="779" t="s">
        <v>3229</v>
      </c>
      <c r="X436" s="598" t="s">
        <v>950</v>
      </c>
      <c r="Y436" s="624">
        <v>32520</v>
      </c>
      <c r="Z436" s="625">
        <f t="shared" ca="1" si="5"/>
        <v>37</v>
      </c>
      <c r="AA436" s="616"/>
      <c r="AB436" s="598"/>
      <c r="AC436" s="598" t="s">
        <v>1006</v>
      </c>
      <c r="AD436" s="598" t="s">
        <v>953</v>
      </c>
      <c r="AE436" s="616" t="s">
        <v>1041</v>
      </c>
      <c r="AF436" s="616" t="s">
        <v>3194</v>
      </c>
      <c r="AG436" s="616" t="s">
        <v>3232</v>
      </c>
      <c r="AH436" s="598" t="s">
        <v>955</v>
      </c>
      <c r="AI436" s="598"/>
      <c r="AJ436" s="598"/>
      <c r="AK436" s="598"/>
      <c r="AL436" s="626"/>
      <c r="AM436" s="626"/>
    </row>
    <row r="437" spans="3:39" ht="18" customHeight="1">
      <c r="C437" s="598">
        <v>419</v>
      </c>
      <c r="D437" s="598" t="s">
        <v>3274</v>
      </c>
      <c r="E437" s="598">
        <f t="shared" si="4"/>
        <v>393</v>
      </c>
      <c r="F437" s="616" t="s">
        <v>4978</v>
      </c>
      <c r="G437" s="616" t="s">
        <v>1226</v>
      </c>
      <c r="H437" s="618" t="s">
        <v>1225</v>
      </c>
      <c r="I437" s="618" t="s">
        <v>114</v>
      </c>
      <c r="J437" s="618" t="s">
        <v>1225</v>
      </c>
      <c r="K437" s="618" t="s">
        <v>3225</v>
      </c>
      <c r="L437" s="618" t="s">
        <v>3274</v>
      </c>
      <c r="M437" s="619"/>
      <c r="N437" s="620"/>
      <c r="O437" s="620"/>
      <c r="P437" s="663" t="s">
        <v>4767</v>
      </c>
      <c r="Q437" s="621" t="s">
        <v>319</v>
      </c>
      <c r="R437" s="598" t="s">
        <v>69</v>
      </c>
      <c r="S437" s="598" t="s">
        <v>562</v>
      </c>
      <c r="T437" s="598"/>
      <c r="U437" s="598" t="s">
        <v>1015</v>
      </c>
      <c r="V437" s="663" t="s">
        <v>357</v>
      </c>
      <c r="W437" s="779" t="s">
        <v>3276</v>
      </c>
      <c r="X437" s="598" t="s">
        <v>950</v>
      </c>
      <c r="Y437" s="624">
        <v>33996</v>
      </c>
      <c r="Z437" s="625">
        <f t="shared" ca="1" si="5"/>
        <v>33</v>
      </c>
      <c r="AA437" s="616" t="s">
        <v>3277</v>
      </c>
      <c r="AB437" s="598"/>
      <c r="AC437" s="598" t="s">
        <v>996</v>
      </c>
      <c r="AD437" s="598" t="s">
        <v>997</v>
      </c>
      <c r="AE437" s="616" t="s">
        <v>1041</v>
      </c>
      <c r="AF437" s="721" t="s">
        <v>1041</v>
      </c>
      <c r="AG437" s="616" t="s">
        <v>3279</v>
      </c>
      <c r="AH437" s="598"/>
      <c r="AI437" s="598"/>
      <c r="AJ437" s="598" t="s">
        <v>1318</v>
      </c>
      <c r="AK437" s="598"/>
      <c r="AL437" s="626"/>
      <c r="AM437" s="626"/>
    </row>
    <row r="438" spans="3:39" ht="18" customHeight="1">
      <c r="C438" s="598">
        <v>361</v>
      </c>
      <c r="D438" s="598" t="s">
        <v>3298</v>
      </c>
      <c r="E438" s="598">
        <f t="shared" si="4"/>
        <v>394</v>
      </c>
      <c r="F438" s="616" t="s">
        <v>1798</v>
      </c>
      <c r="G438" s="616" t="s">
        <v>1226</v>
      </c>
      <c r="H438" s="618" t="s">
        <v>1225</v>
      </c>
      <c r="I438" s="618" t="s">
        <v>114</v>
      </c>
      <c r="J438" s="618" t="s">
        <v>1225</v>
      </c>
      <c r="K438" s="618" t="s">
        <v>3225</v>
      </c>
      <c r="L438" s="618" t="s">
        <v>3274</v>
      </c>
      <c r="M438" s="619"/>
      <c r="N438" s="620"/>
      <c r="O438" s="620"/>
      <c r="P438" s="663" t="s">
        <v>4767</v>
      </c>
      <c r="Q438" s="621"/>
      <c r="R438" s="598"/>
      <c r="S438" s="598"/>
      <c r="T438" s="598"/>
      <c r="U438" s="598" t="s">
        <v>992</v>
      </c>
      <c r="V438" s="663" t="s">
        <v>421</v>
      </c>
      <c r="W438" s="779" t="s">
        <v>3299</v>
      </c>
      <c r="X438" s="598" t="s">
        <v>950</v>
      </c>
      <c r="Y438" s="624">
        <v>36875</v>
      </c>
      <c r="Z438" s="625">
        <f t="shared" ca="1" si="5"/>
        <v>25</v>
      </c>
      <c r="AA438" s="616" t="s">
        <v>2923</v>
      </c>
      <c r="AB438" s="598"/>
      <c r="AC438" s="598" t="s">
        <v>996</v>
      </c>
      <c r="AD438" s="598" t="s">
        <v>953</v>
      </c>
      <c r="AE438" s="616" t="s">
        <v>1041</v>
      </c>
      <c r="AF438" s="616" t="s">
        <v>3301</v>
      </c>
      <c r="AG438" s="616" t="s">
        <v>3302</v>
      </c>
      <c r="AH438" s="598"/>
      <c r="AI438" s="598"/>
      <c r="AJ438" s="598"/>
      <c r="AK438" s="598"/>
      <c r="AL438" s="626"/>
      <c r="AM438" s="626"/>
    </row>
    <row r="439" spans="3:39" ht="18" customHeight="1">
      <c r="C439" s="598">
        <v>362</v>
      </c>
      <c r="D439" s="598" t="s">
        <v>3303</v>
      </c>
      <c r="E439" s="598">
        <f t="shared" si="4"/>
        <v>395</v>
      </c>
      <c r="F439" s="616" t="s">
        <v>1798</v>
      </c>
      <c r="G439" s="616" t="s">
        <v>1226</v>
      </c>
      <c r="H439" s="618" t="s">
        <v>1225</v>
      </c>
      <c r="I439" s="618" t="s">
        <v>114</v>
      </c>
      <c r="J439" s="618" t="s">
        <v>1225</v>
      </c>
      <c r="K439" s="618" t="s">
        <v>3225</v>
      </c>
      <c r="L439" s="618" t="s">
        <v>3274</v>
      </c>
      <c r="M439" s="619"/>
      <c r="N439" s="620"/>
      <c r="O439" s="620"/>
      <c r="P439" s="663" t="s">
        <v>4767</v>
      </c>
      <c r="Q439" s="621"/>
      <c r="R439" s="598"/>
      <c r="S439" s="598"/>
      <c r="T439" s="598"/>
      <c r="U439" s="598" t="s">
        <v>992</v>
      </c>
      <c r="V439" s="663" t="s">
        <v>3304</v>
      </c>
      <c r="W439" s="779" t="s">
        <v>3305</v>
      </c>
      <c r="X439" s="598" t="s">
        <v>950</v>
      </c>
      <c r="Y439" s="624">
        <v>35773</v>
      </c>
      <c r="Z439" s="625">
        <f t="shared" ca="1" si="5"/>
        <v>28</v>
      </c>
      <c r="AA439" s="616"/>
      <c r="AB439" s="598"/>
      <c r="AC439" s="598" t="s">
        <v>996</v>
      </c>
      <c r="AD439" s="598" t="s">
        <v>997</v>
      </c>
      <c r="AE439" s="616" t="s">
        <v>1041</v>
      </c>
      <c r="AF439" s="616" t="s">
        <v>1041</v>
      </c>
      <c r="AG439" s="616" t="s">
        <v>3307</v>
      </c>
      <c r="AH439" s="598"/>
      <c r="AI439" s="598"/>
      <c r="AJ439" s="598" t="s">
        <v>1349</v>
      </c>
      <c r="AK439" s="598"/>
      <c r="AL439" s="626"/>
      <c r="AM439" s="626"/>
    </row>
    <row r="440" spans="3:39" ht="18" customHeight="1">
      <c r="C440" s="598">
        <v>420</v>
      </c>
      <c r="D440" s="598" t="s">
        <v>3280</v>
      </c>
      <c r="E440" s="598">
        <f t="shared" si="4"/>
        <v>396</v>
      </c>
      <c r="F440" s="616" t="s">
        <v>4978</v>
      </c>
      <c r="G440" s="616" t="s">
        <v>1226</v>
      </c>
      <c r="H440" s="618" t="s">
        <v>1225</v>
      </c>
      <c r="I440" s="618" t="s">
        <v>114</v>
      </c>
      <c r="J440" s="618" t="s">
        <v>1225</v>
      </c>
      <c r="K440" s="618" t="s">
        <v>3225</v>
      </c>
      <c r="L440" s="618" t="s">
        <v>3274</v>
      </c>
      <c r="M440" s="619"/>
      <c r="N440" s="620"/>
      <c r="O440" s="620"/>
      <c r="P440" s="663" t="s">
        <v>4767</v>
      </c>
      <c r="Q440" s="621" t="s">
        <v>319</v>
      </c>
      <c r="R440" s="598"/>
      <c r="S440" s="598"/>
      <c r="T440" s="598"/>
      <c r="U440" s="598" t="s">
        <v>992</v>
      </c>
      <c r="V440" s="663" t="s">
        <v>371</v>
      </c>
      <c r="W440" s="779" t="s">
        <v>3281</v>
      </c>
      <c r="X440" s="598" t="s">
        <v>950</v>
      </c>
      <c r="Y440" s="624">
        <v>35880</v>
      </c>
      <c r="Z440" s="625">
        <f t="shared" ca="1" si="5"/>
        <v>27</v>
      </c>
      <c r="AA440" s="616" t="s">
        <v>3282</v>
      </c>
      <c r="AB440" s="598"/>
      <c r="AC440" s="598" t="s">
        <v>996</v>
      </c>
      <c r="AD440" s="598" t="s">
        <v>1018</v>
      </c>
      <c r="AE440" s="616" t="s">
        <v>973</v>
      </c>
      <c r="AF440" s="616" t="s">
        <v>1250</v>
      </c>
      <c r="AG440" s="616" t="s">
        <v>3284</v>
      </c>
      <c r="AH440" s="598"/>
      <c r="AI440" s="598"/>
      <c r="AJ440" s="598" t="s">
        <v>1318</v>
      </c>
      <c r="AK440" s="598"/>
      <c r="AL440" s="626"/>
      <c r="AM440" s="626"/>
    </row>
    <row r="441" spans="3:39" ht="18" customHeight="1">
      <c r="C441" s="598">
        <v>421</v>
      </c>
      <c r="D441" s="598" t="s">
        <v>3285</v>
      </c>
      <c r="E441" s="598">
        <f t="shared" si="4"/>
        <v>397</v>
      </c>
      <c r="F441" s="616" t="s">
        <v>4978</v>
      </c>
      <c r="G441" s="616" t="s">
        <v>1226</v>
      </c>
      <c r="H441" s="618" t="s">
        <v>1225</v>
      </c>
      <c r="I441" s="618" t="s">
        <v>114</v>
      </c>
      <c r="J441" s="618" t="s">
        <v>1225</v>
      </c>
      <c r="K441" s="618" t="s">
        <v>3225</v>
      </c>
      <c r="L441" s="618" t="s">
        <v>3274</v>
      </c>
      <c r="M441" s="619"/>
      <c r="N441" s="620"/>
      <c r="O441" s="620"/>
      <c r="P441" s="663" t="s">
        <v>4767</v>
      </c>
      <c r="Q441" s="621" t="s">
        <v>319</v>
      </c>
      <c r="R441" s="598"/>
      <c r="S441" s="598"/>
      <c r="T441" s="598"/>
      <c r="U441" s="598" t="s">
        <v>992</v>
      </c>
      <c r="V441" s="663" t="s">
        <v>384</v>
      </c>
      <c r="W441" s="779" t="s">
        <v>3286</v>
      </c>
      <c r="X441" s="598" t="s">
        <v>950</v>
      </c>
      <c r="Y441" s="624">
        <v>36847</v>
      </c>
      <c r="Z441" s="625">
        <f t="shared" ca="1" si="5"/>
        <v>25</v>
      </c>
      <c r="AA441" s="616" t="s">
        <v>3287</v>
      </c>
      <c r="AB441" s="598"/>
      <c r="AC441" s="598" t="s">
        <v>996</v>
      </c>
      <c r="AD441" s="598" t="s">
        <v>1018</v>
      </c>
      <c r="AE441" s="616" t="s">
        <v>1041</v>
      </c>
      <c r="AF441" s="616" t="s">
        <v>1250</v>
      </c>
      <c r="AG441" s="616" t="s">
        <v>1684</v>
      </c>
      <c r="AH441" s="598"/>
      <c r="AI441" s="598"/>
      <c r="AJ441" s="598" t="s">
        <v>1318</v>
      </c>
      <c r="AK441" s="598"/>
      <c r="AL441" s="626"/>
      <c r="AM441" s="626"/>
    </row>
    <row r="442" spans="3:39" ht="18" customHeight="1">
      <c r="C442" s="598">
        <v>422</v>
      </c>
      <c r="D442" s="598" t="s">
        <v>3289</v>
      </c>
      <c r="E442" s="598">
        <f t="shared" si="4"/>
        <v>398</v>
      </c>
      <c r="F442" s="616" t="s">
        <v>4978</v>
      </c>
      <c r="G442" s="616" t="s">
        <v>1226</v>
      </c>
      <c r="H442" s="618" t="s">
        <v>1225</v>
      </c>
      <c r="I442" s="618" t="s">
        <v>114</v>
      </c>
      <c r="J442" s="618" t="s">
        <v>1225</v>
      </c>
      <c r="K442" s="618" t="s">
        <v>3225</v>
      </c>
      <c r="L442" s="618" t="s">
        <v>3274</v>
      </c>
      <c r="M442" s="619"/>
      <c r="N442" s="620"/>
      <c r="O442" s="620"/>
      <c r="P442" s="663" t="s">
        <v>4767</v>
      </c>
      <c r="Q442" s="621" t="s">
        <v>319</v>
      </c>
      <c r="R442" s="598"/>
      <c r="S442" s="598"/>
      <c r="T442" s="598"/>
      <c r="U442" s="598" t="s">
        <v>992</v>
      </c>
      <c r="V442" s="663" t="s">
        <v>397</v>
      </c>
      <c r="W442" s="779" t="s">
        <v>3290</v>
      </c>
      <c r="X442" s="598" t="s">
        <v>950</v>
      </c>
      <c r="Y442" s="624">
        <v>36970</v>
      </c>
      <c r="Z442" s="625">
        <f t="shared" ca="1" si="5"/>
        <v>24</v>
      </c>
      <c r="AA442" s="616" t="s">
        <v>3291</v>
      </c>
      <c r="AB442" s="598"/>
      <c r="AC442" s="598" t="s">
        <v>996</v>
      </c>
      <c r="AD442" s="598" t="s">
        <v>1018</v>
      </c>
      <c r="AE442" s="616" t="s">
        <v>1041</v>
      </c>
      <c r="AF442" s="616" t="s">
        <v>1041</v>
      </c>
      <c r="AG442" s="616" t="s">
        <v>2980</v>
      </c>
      <c r="AH442" s="598"/>
      <c r="AI442" s="598"/>
      <c r="AJ442" s="647" t="s">
        <v>1513</v>
      </c>
      <c r="AK442" s="598"/>
      <c r="AL442" s="626"/>
      <c r="AM442" s="626"/>
    </row>
    <row r="443" spans="3:39" ht="18" customHeight="1">
      <c r="C443" s="598">
        <v>423</v>
      </c>
      <c r="D443" s="598" t="s">
        <v>3293</v>
      </c>
      <c r="E443" s="598">
        <f t="shared" si="4"/>
        <v>399</v>
      </c>
      <c r="F443" s="616" t="s">
        <v>4978</v>
      </c>
      <c r="G443" s="616" t="s">
        <v>1226</v>
      </c>
      <c r="H443" s="618" t="s">
        <v>1225</v>
      </c>
      <c r="I443" s="618" t="s">
        <v>114</v>
      </c>
      <c r="J443" s="618" t="s">
        <v>1225</v>
      </c>
      <c r="K443" s="618" t="s">
        <v>3225</v>
      </c>
      <c r="L443" s="618" t="s">
        <v>3274</v>
      </c>
      <c r="M443" s="619"/>
      <c r="N443" s="620"/>
      <c r="O443" s="620"/>
      <c r="P443" s="673" t="s">
        <v>4767</v>
      </c>
      <c r="Q443" s="621" t="s">
        <v>319</v>
      </c>
      <c r="R443" s="598"/>
      <c r="S443" s="598"/>
      <c r="T443" s="598"/>
      <c r="U443" s="598" t="s">
        <v>992</v>
      </c>
      <c r="V443" s="673" t="s">
        <v>409</v>
      </c>
      <c r="W443" s="779" t="s">
        <v>3294</v>
      </c>
      <c r="X443" s="598" t="s">
        <v>950</v>
      </c>
      <c r="Y443" s="624">
        <v>37663</v>
      </c>
      <c r="Z443" s="625">
        <f t="shared" ca="1" si="5"/>
        <v>22</v>
      </c>
      <c r="AA443" s="616" t="s">
        <v>3295</v>
      </c>
      <c r="AB443" s="598"/>
      <c r="AC443" s="598" t="s">
        <v>996</v>
      </c>
      <c r="AD443" s="598" t="s">
        <v>1018</v>
      </c>
      <c r="AE443" s="616" t="s">
        <v>1041</v>
      </c>
      <c r="AF443" s="616" t="s">
        <v>1041</v>
      </c>
      <c r="AG443" s="616" t="s">
        <v>3297</v>
      </c>
      <c r="AH443" s="598"/>
      <c r="AI443" s="598"/>
      <c r="AJ443" s="647" t="s">
        <v>1513</v>
      </c>
      <c r="AK443" s="598"/>
      <c r="AL443" s="626"/>
      <c r="AM443" s="626"/>
    </row>
    <row r="444" spans="3:39" ht="18" customHeight="1">
      <c r="C444" s="598">
        <v>424</v>
      </c>
      <c r="D444" s="598" t="s">
        <v>3810</v>
      </c>
      <c r="E444" s="598">
        <f t="shared" si="4"/>
        <v>400</v>
      </c>
      <c r="F444" s="616" t="s">
        <v>3808</v>
      </c>
      <c r="G444" s="616" t="s">
        <v>246</v>
      </c>
      <c r="H444" s="618" t="s">
        <v>3810</v>
      </c>
      <c r="I444" s="618" t="s">
        <v>470</v>
      </c>
      <c r="J444" s="618" t="s">
        <v>3810</v>
      </c>
      <c r="K444" s="618" t="s">
        <v>3810</v>
      </c>
      <c r="L444" s="618" t="s">
        <v>959</v>
      </c>
      <c r="M444" s="619"/>
      <c r="N444" s="620"/>
      <c r="O444" s="620"/>
      <c r="P444" s="667" t="s">
        <v>1044</v>
      </c>
      <c r="Q444" s="621"/>
      <c r="R444" s="598" t="s">
        <v>1227</v>
      </c>
      <c r="S444" s="598" t="s">
        <v>173</v>
      </c>
      <c r="T444" s="598"/>
      <c r="U444" s="598" t="s">
        <v>1015</v>
      </c>
      <c r="V444" s="667" t="s">
        <v>470</v>
      </c>
      <c r="W444" s="779" t="s">
        <v>4158</v>
      </c>
      <c r="X444" s="598" t="s">
        <v>950</v>
      </c>
      <c r="Y444" s="624">
        <v>25002</v>
      </c>
      <c r="Z444" s="625">
        <f t="shared" ca="1" si="5"/>
        <v>57</v>
      </c>
      <c r="AA444" s="616" t="s">
        <v>4159</v>
      </c>
      <c r="AB444" s="598"/>
      <c r="AC444" s="598" t="s">
        <v>966</v>
      </c>
      <c r="AD444" s="598" t="s">
        <v>953</v>
      </c>
      <c r="AE444" s="616" t="s">
        <v>246</v>
      </c>
      <c r="AF444" s="616" t="s">
        <v>246</v>
      </c>
      <c r="AG444" s="616" t="s">
        <v>3815</v>
      </c>
      <c r="AH444" s="598"/>
      <c r="AI444" s="598"/>
      <c r="AJ444" s="598"/>
      <c r="AK444" s="598"/>
      <c r="AL444" s="626"/>
      <c r="AM444" s="626"/>
    </row>
    <row r="445" spans="3:39" ht="18" customHeight="1">
      <c r="C445" s="598">
        <v>425</v>
      </c>
      <c r="D445" s="598" t="s">
        <v>3914</v>
      </c>
      <c r="E445" s="598">
        <f t="shared" si="4"/>
        <v>401</v>
      </c>
      <c r="F445" s="616" t="s">
        <v>3808</v>
      </c>
      <c r="G445" s="616" t="s">
        <v>246</v>
      </c>
      <c r="H445" s="618" t="s">
        <v>3810</v>
      </c>
      <c r="I445" s="618" t="s">
        <v>470</v>
      </c>
      <c r="J445" s="618" t="s">
        <v>3810</v>
      </c>
      <c r="K445" s="618" t="s">
        <v>3810</v>
      </c>
      <c r="L445" s="618" t="s">
        <v>959</v>
      </c>
      <c r="M445" s="619"/>
      <c r="N445" s="620"/>
      <c r="O445" s="620"/>
      <c r="P445" s="663" t="s">
        <v>1044</v>
      </c>
      <c r="Q445" s="621"/>
      <c r="R445" s="598" t="s">
        <v>55</v>
      </c>
      <c r="S445" s="598" t="s">
        <v>178</v>
      </c>
      <c r="T445" s="598"/>
      <c r="U445" s="598" t="s">
        <v>1090</v>
      </c>
      <c r="V445" s="663" t="s">
        <v>477</v>
      </c>
      <c r="W445" s="779" t="s">
        <v>3915</v>
      </c>
      <c r="X445" s="598" t="s">
        <v>950</v>
      </c>
      <c r="Y445" s="624">
        <v>19177</v>
      </c>
      <c r="Z445" s="625">
        <f t="shared" ca="1" si="5"/>
        <v>73</v>
      </c>
      <c r="AA445" s="616" t="s">
        <v>3916</v>
      </c>
      <c r="AB445" s="598"/>
      <c r="AC445" s="598" t="s">
        <v>966</v>
      </c>
      <c r="AD445" s="598" t="s">
        <v>953</v>
      </c>
      <c r="AE445" s="616" t="s">
        <v>246</v>
      </c>
      <c r="AF445" s="616" t="s">
        <v>246</v>
      </c>
      <c r="AG445" s="616" t="s">
        <v>3815</v>
      </c>
      <c r="AH445" s="598"/>
      <c r="AI445" s="598"/>
      <c r="AJ445" s="598"/>
      <c r="AK445" s="598"/>
      <c r="AL445" s="626"/>
      <c r="AM445" s="626"/>
    </row>
    <row r="446" spans="3:39" ht="18" customHeight="1">
      <c r="C446" s="598">
        <v>426</v>
      </c>
      <c r="D446" s="598" t="s">
        <v>4161</v>
      </c>
      <c r="E446" s="598">
        <f t="shared" si="4"/>
        <v>402</v>
      </c>
      <c r="F446" s="616" t="s">
        <v>3808</v>
      </c>
      <c r="G446" s="616" t="s">
        <v>246</v>
      </c>
      <c r="H446" s="618" t="s">
        <v>3810</v>
      </c>
      <c r="I446" s="618" t="s">
        <v>470</v>
      </c>
      <c r="J446" s="618" t="s">
        <v>3810</v>
      </c>
      <c r="K446" s="618" t="s">
        <v>3810</v>
      </c>
      <c r="L446" s="618" t="s">
        <v>959</v>
      </c>
      <c r="M446" s="619"/>
      <c r="N446" s="620"/>
      <c r="O446" s="620"/>
      <c r="P446" s="663" t="s">
        <v>1044</v>
      </c>
      <c r="Q446" s="621"/>
      <c r="R446" s="598" t="s">
        <v>55</v>
      </c>
      <c r="S446" s="598" t="s">
        <v>178</v>
      </c>
      <c r="T446" s="598"/>
      <c r="U446" s="598" t="s">
        <v>1090</v>
      </c>
      <c r="V446" s="663" t="s">
        <v>484</v>
      </c>
      <c r="W446" s="779" t="s">
        <v>4162</v>
      </c>
      <c r="X446" s="598" t="s">
        <v>950</v>
      </c>
      <c r="Y446" s="624">
        <v>18523</v>
      </c>
      <c r="Z446" s="625">
        <f t="shared" ca="1" si="5"/>
        <v>75</v>
      </c>
      <c r="AA446" s="616" t="s">
        <v>4163</v>
      </c>
      <c r="AB446" s="598"/>
      <c r="AC446" s="598" t="s">
        <v>966</v>
      </c>
      <c r="AD446" s="598" t="s">
        <v>953</v>
      </c>
      <c r="AE446" s="616" t="s">
        <v>246</v>
      </c>
      <c r="AF446" s="616" t="s">
        <v>246</v>
      </c>
      <c r="AG446" s="616" t="s">
        <v>3815</v>
      </c>
      <c r="AH446" s="598"/>
      <c r="AI446" s="598"/>
      <c r="AJ446" s="598"/>
      <c r="AK446" s="598"/>
      <c r="AL446" s="626"/>
      <c r="AM446" s="626"/>
    </row>
    <row r="447" spans="3:39" ht="18" customHeight="1">
      <c r="C447" s="598">
        <v>427</v>
      </c>
      <c r="D447" s="598" t="s">
        <v>4042</v>
      </c>
      <c r="E447" s="598">
        <f t="shared" si="4"/>
        <v>403</v>
      </c>
      <c r="F447" s="616" t="s">
        <v>3808</v>
      </c>
      <c r="G447" s="616" t="s">
        <v>246</v>
      </c>
      <c r="H447" s="618" t="s">
        <v>3810</v>
      </c>
      <c r="I447" s="618" t="s">
        <v>470</v>
      </c>
      <c r="J447" s="618" t="s">
        <v>3810</v>
      </c>
      <c r="K447" s="618" t="s">
        <v>3810</v>
      </c>
      <c r="L447" s="618" t="s">
        <v>959</v>
      </c>
      <c r="M447" s="619"/>
      <c r="N447" s="620"/>
      <c r="O447" s="620"/>
      <c r="P447" s="663" t="s">
        <v>1044</v>
      </c>
      <c r="Q447" s="621"/>
      <c r="R447" s="598" t="s">
        <v>55</v>
      </c>
      <c r="S447" s="598" t="s">
        <v>55</v>
      </c>
      <c r="T447" s="598"/>
      <c r="U447" s="598" t="s">
        <v>1015</v>
      </c>
      <c r="V447" s="663" t="s">
        <v>487</v>
      </c>
      <c r="W447" s="779" t="s">
        <v>4044</v>
      </c>
      <c r="X447" s="598" t="s">
        <v>950</v>
      </c>
      <c r="Y447" s="624">
        <v>22938</v>
      </c>
      <c r="Z447" s="625">
        <f t="shared" ca="1" si="5"/>
        <v>63</v>
      </c>
      <c r="AA447" s="616" t="s">
        <v>4045</v>
      </c>
      <c r="AB447" s="598"/>
      <c r="AC447" s="598" t="s">
        <v>966</v>
      </c>
      <c r="AD447" s="598" t="s">
        <v>953</v>
      </c>
      <c r="AE447" s="616" t="s">
        <v>246</v>
      </c>
      <c r="AF447" s="616" t="s">
        <v>246</v>
      </c>
      <c r="AG447" s="616" t="s">
        <v>3815</v>
      </c>
      <c r="AH447" s="598"/>
      <c r="AI447" s="598"/>
      <c r="AJ447" s="598"/>
      <c r="AK447" s="598"/>
      <c r="AL447" s="626"/>
      <c r="AM447" s="626"/>
    </row>
    <row r="448" spans="3:39" ht="18" customHeight="1">
      <c r="C448" s="598">
        <v>428</v>
      </c>
      <c r="D448" s="598" t="s">
        <v>4165</v>
      </c>
      <c r="E448" s="598">
        <f t="shared" si="4"/>
        <v>404</v>
      </c>
      <c r="F448" s="616" t="s">
        <v>3808</v>
      </c>
      <c r="G448" s="616" t="s">
        <v>246</v>
      </c>
      <c r="H448" s="618" t="s">
        <v>3810</v>
      </c>
      <c r="I448" s="618" t="s">
        <v>470</v>
      </c>
      <c r="J448" s="618" t="s">
        <v>3810</v>
      </c>
      <c r="K448" s="618" t="s">
        <v>3810</v>
      </c>
      <c r="L448" s="618" t="s">
        <v>959</v>
      </c>
      <c r="M448" s="619"/>
      <c r="N448" s="620"/>
      <c r="O448" s="620"/>
      <c r="P448" s="663" t="s">
        <v>1044</v>
      </c>
      <c r="Q448" s="621"/>
      <c r="R448" s="598" t="s">
        <v>55</v>
      </c>
      <c r="S448" s="598" t="s">
        <v>178</v>
      </c>
      <c r="T448" s="598"/>
      <c r="U448" s="598" t="s">
        <v>1015</v>
      </c>
      <c r="V448" s="663" t="s">
        <v>492</v>
      </c>
      <c r="W448" s="779" t="s">
        <v>4166</v>
      </c>
      <c r="X448" s="598" t="s">
        <v>950</v>
      </c>
      <c r="Y448" s="624">
        <v>23418</v>
      </c>
      <c r="Z448" s="625">
        <f t="shared" ca="1" si="5"/>
        <v>61</v>
      </c>
      <c r="AA448" s="616" t="s">
        <v>4167</v>
      </c>
      <c r="AB448" s="598"/>
      <c r="AC448" s="598" t="s">
        <v>966</v>
      </c>
      <c r="AD448" s="598" t="s">
        <v>953</v>
      </c>
      <c r="AE448" s="616" t="s">
        <v>246</v>
      </c>
      <c r="AF448" s="616" t="s">
        <v>246</v>
      </c>
      <c r="AG448" s="616" t="s">
        <v>3815</v>
      </c>
      <c r="AH448" s="598"/>
      <c r="AI448" s="598"/>
      <c r="AJ448" s="598"/>
      <c r="AK448" s="598"/>
      <c r="AL448" s="626"/>
      <c r="AM448" s="626"/>
    </row>
    <row r="449" spans="3:39" ht="18" customHeight="1">
      <c r="C449" s="598">
        <v>429</v>
      </c>
      <c r="D449" s="598" t="s">
        <v>3811</v>
      </c>
      <c r="E449" s="598">
        <f t="shared" si="4"/>
        <v>405</v>
      </c>
      <c r="F449" s="616" t="s">
        <v>3808</v>
      </c>
      <c r="G449" s="616" t="s">
        <v>246</v>
      </c>
      <c r="H449" s="618" t="s">
        <v>3810</v>
      </c>
      <c r="I449" s="618" t="s">
        <v>470</v>
      </c>
      <c r="J449" s="618" t="s">
        <v>3810</v>
      </c>
      <c r="K449" s="618" t="s">
        <v>3810</v>
      </c>
      <c r="L449" s="618" t="s">
        <v>959</v>
      </c>
      <c r="M449" s="619"/>
      <c r="N449" s="620"/>
      <c r="O449" s="620"/>
      <c r="P449" s="673" t="s">
        <v>1044</v>
      </c>
      <c r="Q449" s="621"/>
      <c r="R449" s="598" t="s">
        <v>173</v>
      </c>
      <c r="S449" s="598" t="s">
        <v>514</v>
      </c>
      <c r="T449" s="598"/>
      <c r="U449" s="598" t="s">
        <v>1015</v>
      </c>
      <c r="V449" s="673" t="s">
        <v>512</v>
      </c>
      <c r="W449" s="779" t="s">
        <v>4173</v>
      </c>
      <c r="X449" s="598" t="s">
        <v>950</v>
      </c>
      <c r="Y449" s="624">
        <v>22147</v>
      </c>
      <c r="Z449" s="625">
        <f t="shared" ca="1" si="5"/>
        <v>65</v>
      </c>
      <c r="AA449" s="616" t="s">
        <v>4174</v>
      </c>
      <c r="AB449" s="598" t="s">
        <v>4175</v>
      </c>
      <c r="AC449" s="598" t="s">
        <v>966</v>
      </c>
      <c r="AD449" s="598" t="s">
        <v>953</v>
      </c>
      <c r="AE449" s="616" t="s">
        <v>246</v>
      </c>
      <c r="AF449" s="616" t="s">
        <v>246</v>
      </c>
      <c r="AG449" s="616" t="s">
        <v>3815</v>
      </c>
      <c r="AH449" s="598"/>
      <c r="AI449" s="598"/>
      <c r="AJ449" s="598"/>
      <c r="AK449" s="598"/>
      <c r="AL449" s="626"/>
      <c r="AM449" s="626"/>
    </row>
    <row r="450" spans="3:39" ht="18" customHeight="1">
      <c r="C450" s="598">
        <v>430</v>
      </c>
      <c r="D450" s="598" t="s">
        <v>3807</v>
      </c>
      <c r="E450" s="598">
        <f t="shared" si="4"/>
        <v>405</v>
      </c>
      <c r="F450" s="616"/>
      <c r="G450" s="616" t="s">
        <v>246</v>
      </c>
      <c r="H450" s="618" t="s">
        <v>3810</v>
      </c>
      <c r="I450" s="618" t="s">
        <v>470</v>
      </c>
      <c r="J450" s="618" t="s">
        <v>3810</v>
      </c>
      <c r="K450" s="618" t="s">
        <v>3807</v>
      </c>
      <c r="L450" s="618" t="s">
        <v>3812</v>
      </c>
      <c r="M450" s="619" t="s">
        <v>3819</v>
      </c>
      <c r="N450" s="620"/>
      <c r="O450" s="620"/>
      <c r="P450" s="667" t="s">
        <v>1074</v>
      </c>
      <c r="Q450" s="621"/>
      <c r="R450" s="598" t="s">
        <v>55</v>
      </c>
      <c r="S450" s="598" t="s">
        <v>55</v>
      </c>
      <c r="T450" s="598"/>
      <c r="U450" s="598"/>
      <c r="V450" s="667" t="s">
        <v>82</v>
      </c>
      <c r="W450" s="779" t="s">
        <v>3813</v>
      </c>
      <c r="X450" s="598" t="s">
        <v>963</v>
      </c>
      <c r="Y450" s="624">
        <v>19202</v>
      </c>
      <c r="Z450" s="625">
        <f t="shared" ca="1" si="5"/>
        <v>73</v>
      </c>
      <c r="AA450" s="616" t="s">
        <v>3814</v>
      </c>
      <c r="AB450" s="598"/>
      <c r="AC450" s="598" t="s">
        <v>966</v>
      </c>
      <c r="AD450" s="598" t="s">
        <v>953</v>
      </c>
      <c r="AE450" s="616" t="s">
        <v>973</v>
      </c>
      <c r="AF450" s="616" t="s">
        <v>954</v>
      </c>
      <c r="AG450" s="616" t="s">
        <v>968</v>
      </c>
      <c r="AH450" s="598" t="s">
        <v>955</v>
      </c>
      <c r="AI450" s="598"/>
      <c r="AJ450" s="598"/>
      <c r="AK450" s="598"/>
      <c r="AL450" s="626"/>
      <c r="AM450" s="626"/>
    </row>
    <row r="451" spans="3:39" ht="18" customHeight="1">
      <c r="C451" s="598">
        <v>431</v>
      </c>
      <c r="D451" s="598" t="s">
        <v>3812</v>
      </c>
      <c r="E451" s="598">
        <f t="shared" si="4"/>
        <v>406</v>
      </c>
      <c r="F451" s="616" t="s">
        <v>3808</v>
      </c>
      <c r="G451" s="616" t="s">
        <v>246</v>
      </c>
      <c r="H451" s="618" t="s">
        <v>3810</v>
      </c>
      <c r="I451" s="618" t="s">
        <v>470</v>
      </c>
      <c r="J451" s="618" t="s">
        <v>3810</v>
      </c>
      <c r="K451" s="618" t="s">
        <v>3807</v>
      </c>
      <c r="L451" s="618" t="s">
        <v>3812</v>
      </c>
      <c r="M451" s="619" t="s">
        <v>3819</v>
      </c>
      <c r="N451" s="620"/>
      <c r="O451" s="620"/>
      <c r="P451" s="663" t="s">
        <v>1074</v>
      </c>
      <c r="Q451" s="621"/>
      <c r="R451" s="598" t="s">
        <v>69</v>
      </c>
      <c r="S451" s="598" t="s">
        <v>69</v>
      </c>
      <c r="T451" s="598"/>
      <c r="U451" s="598" t="s">
        <v>1090</v>
      </c>
      <c r="V451" s="663" t="s">
        <v>478</v>
      </c>
      <c r="W451" s="779" t="s">
        <v>3816</v>
      </c>
      <c r="X451" s="598" t="s">
        <v>963</v>
      </c>
      <c r="Y451" s="624">
        <v>19613</v>
      </c>
      <c r="Z451" s="625">
        <f t="shared" ca="1" si="5"/>
        <v>72</v>
      </c>
      <c r="AA451" s="616" t="s">
        <v>3817</v>
      </c>
      <c r="AB451" s="598"/>
      <c r="AC451" s="598" t="s">
        <v>966</v>
      </c>
      <c r="AD451" s="598" t="s">
        <v>953</v>
      </c>
      <c r="AE451" s="616" t="s">
        <v>246</v>
      </c>
      <c r="AF451" s="616" t="s">
        <v>246</v>
      </c>
      <c r="AG451" s="616" t="s">
        <v>3815</v>
      </c>
      <c r="AH451" s="598"/>
      <c r="AI451" s="598"/>
      <c r="AJ451" s="598"/>
      <c r="AK451" s="598"/>
      <c r="AL451" s="626"/>
      <c r="AM451" s="626"/>
    </row>
    <row r="452" spans="3:39" ht="18" customHeight="1">
      <c r="C452" s="598">
        <v>432</v>
      </c>
      <c r="D452" s="598" t="s">
        <v>3819</v>
      </c>
      <c r="E452" s="598">
        <f t="shared" si="4"/>
        <v>407</v>
      </c>
      <c r="F452" s="616" t="s">
        <v>3808</v>
      </c>
      <c r="G452" s="616" t="s">
        <v>246</v>
      </c>
      <c r="H452" s="618" t="s">
        <v>3810</v>
      </c>
      <c r="I452" s="618" t="s">
        <v>470</v>
      </c>
      <c r="J452" s="618" t="s">
        <v>3810</v>
      </c>
      <c r="K452" s="618" t="s">
        <v>3807</v>
      </c>
      <c r="L452" s="618" t="s">
        <v>3812</v>
      </c>
      <c r="M452" s="619" t="s">
        <v>3819</v>
      </c>
      <c r="N452" s="620"/>
      <c r="O452" s="620"/>
      <c r="P452" s="663" t="s">
        <v>1074</v>
      </c>
      <c r="Q452" s="621"/>
      <c r="R452" s="598" t="s">
        <v>69</v>
      </c>
      <c r="S452" s="598" t="s">
        <v>69</v>
      </c>
      <c r="T452" s="598"/>
      <c r="U452" s="598" t="s">
        <v>1090</v>
      </c>
      <c r="V452" s="663" t="s">
        <v>3820</v>
      </c>
      <c r="W452" s="779" t="s">
        <v>3821</v>
      </c>
      <c r="X452" s="598" t="s">
        <v>963</v>
      </c>
      <c r="Y452" s="624">
        <v>19281</v>
      </c>
      <c r="Z452" s="625">
        <f t="shared" ca="1" si="5"/>
        <v>73</v>
      </c>
      <c r="AA452" s="616" t="s">
        <v>3822</v>
      </c>
      <c r="AB452" s="598"/>
      <c r="AC452" s="598" t="s">
        <v>966</v>
      </c>
      <c r="AD452" s="598" t="s">
        <v>953</v>
      </c>
      <c r="AE452" s="616" t="s">
        <v>246</v>
      </c>
      <c r="AF452" s="616" t="s">
        <v>246</v>
      </c>
      <c r="AG452" s="653" t="s">
        <v>3824</v>
      </c>
      <c r="AH452" s="598"/>
      <c r="AI452" s="598"/>
      <c r="AJ452" s="598" t="s">
        <v>1440</v>
      </c>
      <c r="AK452" s="598"/>
      <c r="AL452" s="626"/>
      <c r="AM452" s="626"/>
    </row>
    <row r="453" spans="3:39" ht="18" customHeight="1">
      <c r="C453" s="598">
        <v>433</v>
      </c>
      <c r="D453" s="598" t="s">
        <v>3830</v>
      </c>
      <c r="E453" s="598">
        <f t="shared" si="4"/>
        <v>408</v>
      </c>
      <c r="F453" s="616" t="s">
        <v>3808</v>
      </c>
      <c r="G453" s="616" t="s">
        <v>246</v>
      </c>
      <c r="H453" s="618" t="s">
        <v>3810</v>
      </c>
      <c r="I453" s="618" t="s">
        <v>470</v>
      </c>
      <c r="J453" s="618" t="s">
        <v>3810</v>
      </c>
      <c r="K453" s="618" t="s">
        <v>3807</v>
      </c>
      <c r="L453" s="618" t="s">
        <v>3812</v>
      </c>
      <c r="M453" s="619" t="s">
        <v>3819</v>
      </c>
      <c r="N453" s="620"/>
      <c r="O453" s="620"/>
      <c r="P453" s="663" t="s">
        <v>1074</v>
      </c>
      <c r="Q453" s="621"/>
      <c r="R453" s="598"/>
      <c r="S453" s="598"/>
      <c r="T453" s="598"/>
      <c r="U453" s="598" t="s">
        <v>962</v>
      </c>
      <c r="V453" s="663" t="s">
        <v>488</v>
      </c>
      <c r="W453" s="779" t="s">
        <v>3831</v>
      </c>
      <c r="X453" s="598" t="s">
        <v>963</v>
      </c>
      <c r="Y453" s="624">
        <v>30981</v>
      </c>
      <c r="Z453" s="625">
        <f t="shared" ca="1" si="5"/>
        <v>41</v>
      </c>
      <c r="AA453" s="654" t="s">
        <v>3832</v>
      </c>
      <c r="AB453" s="598"/>
      <c r="AC453" s="598" t="s">
        <v>3834</v>
      </c>
      <c r="AD453" s="598" t="s">
        <v>953</v>
      </c>
      <c r="AE453" s="616" t="s">
        <v>246</v>
      </c>
      <c r="AF453" s="616" t="s">
        <v>246</v>
      </c>
      <c r="AG453" s="616" t="s">
        <v>3815</v>
      </c>
      <c r="AH453" s="598"/>
      <c r="AI453" s="598"/>
      <c r="AJ453" s="598"/>
      <c r="AK453" s="598"/>
      <c r="AL453" s="626"/>
      <c r="AM453" s="626"/>
    </row>
    <row r="454" spans="3:39" ht="18" customHeight="1">
      <c r="C454" s="598">
        <v>434</v>
      </c>
      <c r="D454" s="598" t="s">
        <v>3835</v>
      </c>
      <c r="E454" s="598">
        <f t="shared" si="4"/>
        <v>409</v>
      </c>
      <c r="F454" s="616" t="s">
        <v>3808</v>
      </c>
      <c r="G454" s="616" t="s">
        <v>246</v>
      </c>
      <c r="H454" s="618" t="s">
        <v>3810</v>
      </c>
      <c r="I454" s="618" t="s">
        <v>470</v>
      </c>
      <c r="J454" s="618" t="s">
        <v>3810</v>
      </c>
      <c r="K454" s="618" t="s">
        <v>3807</v>
      </c>
      <c r="L454" s="618" t="s">
        <v>3812</v>
      </c>
      <c r="M454" s="619" t="s">
        <v>3819</v>
      </c>
      <c r="N454" s="620"/>
      <c r="O454" s="620"/>
      <c r="P454" s="663" t="s">
        <v>1074</v>
      </c>
      <c r="Q454" s="621"/>
      <c r="R454" s="598"/>
      <c r="S454" s="598"/>
      <c r="T454" s="598"/>
      <c r="U454" s="598" t="s">
        <v>962</v>
      </c>
      <c r="V454" s="663" t="s">
        <v>3836</v>
      </c>
      <c r="W454" s="779" t="s">
        <v>3837</v>
      </c>
      <c r="X454" s="598" t="s">
        <v>963</v>
      </c>
      <c r="Y454" s="624">
        <v>26339</v>
      </c>
      <c r="Z454" s="625">
        <f t="shared" ca="1" si="5"/>
        <v>53</v>
      </c>
      <c r="AA454" s="616" t="s">
        <v>3838</v>
      </c>
      <c r="AB454" s="598"/>
      <c r="AC454" s="598" t="s">
        <v>966</v>
      </c>
      <c r="AD454" s="598" t="s">
        <v>953</v>
      </c>
      <c r="AE454" s="616" t="s">
        <v>246</v>
      </c>
      <c r="AF454" s="616" t="s">
        <v>246</v>
      </c>
      <c r="AG454" s="616" t="s">
        <v>3815</v>
      </c>
      <c r="AH454" s="598"/>
      <c r="AI454" s="598"/>
      <c r="AJ454" s="598" t="s">
        <v>1011</v>
      </c>
      <c r="AK454" s="598"/>
      <c r="AL454" s="626"/>
      <c r="AM454" s="626"/>
    </row>
    <row r="455" spans="3:39" ht="18" customHeight="1">
      <c r="C455" s="598">
        <v>435</v>
      </c>
      <c r="D455" s="598" t="s">
        <v>3868</v>
      </c>
      <c r="E455" s="598">
        <f t="shared" si="4"/>
        <v>410</v>
      </c>
      <c r="F455" s="616" t="s">
        <v>1810</v>
      </c>
      <c r="G455" s="616" t="s">
        <v>246</v>
      </c>
      <c r="H455" s="618" t="s">
        <v>3810</v>
      </c>
      <c r="I455" s="618" t="s">
        <v>470</v>
      </c>
      <c r="J455" s="618" t="s">
        <v>3810</v>
      </c>
      <c r="K455" s="618" t="s">
        <v>3807</v>
      </c>
      <c r="L455" s="618" t="s">
        <v>3812</v>
      </c>
      <c r="M455" s="619" t="s">
        <v>3819</v>
      </c>
      <c r="N455" s="620"/>
      <c r="O455" s="620"/>
      <c r="P455" s="663" t="s">
        <v>1074</v>
      </c>
      <c r="Q455" s="621"/>
      <c r="R455" s="598"/>
      <c r="S455" s="598"/>
      <c r="T455" s="598"/>
      <c r="U455" s="598" t="s">
        <v>962</v>
      </c>
      <c r="V455" s="663" t="s">
        <v>3869</v>
      </c>
      <c r="W455" s="779" t="s">
        <v>3870</v>
      </c>
      <c r="X455" s="598" t="s">
        <v>963</v>
      </c>
      <c r="Y455" s="624">
        <v>22088</v>
      </c>
      <c r="Z455" s="625">
        <f t="shared" ca="1" si="5"/>
        <v>65</v>
      </c>
      <c r="AA455" s="616" t="s">
        <v>3871</v>
      </c>
      <c r="AB455" s="598"/>
      <c r="AC455" s="598" t="s">
        <v>996</v>
      </c>
      <c r="AD455" s="598" t="s">
        <v>997</v>
      </c>
      <c r="AE455" s="616" t="s">
        <v>973</v>
      </c>
      <c r="AF455" s="616" t="s">
        <v>973</v>
      </c>
      <c r="AG455" s="616" t="s">
        <v>3509</v>
      </c>
      <c r="AH455" s="598"/>
      <c r="AI455" s="598"/>
      <c r="AJ455" s="598" t="s">
        <v>1440</v>
      </c>
      <c r="AK455" s="598" t="s">
        <v>3510</v>
      </c>
      <c r="AL455" s="626"/>
      <c r="AM455" s="626"/>
    </row>
    <row r="456" spans="3:39" ht="18" customHeight="1">
      <c r="C456" s="598">
        <v>436</v>
      </c>
      <c r="D456" s="598" t="s">
        <v>4768</v>
      </c>
      <c r="E456" s="598">
        <f t="shared" si="4"/>
        <v>411</v>
      </c>
      <c r="F456" s="616" t="s">
        <v>3808</v>
      </c>
      <c r="G456" s="616" t="s">
        <v>246</v>
      </c>
      <c r="H456" s="618" t="s">
        <v>3810</v>
      </c>
      <c r="I456" s="618" t="s">
        <v>470</v>
      </c>
      <c r="J456" s="618" t="s">
        <v>3810</v>
      </c>
      <c r="K456" s="618" t="s">
        <v>3807</v>
      </c>
      <c r="L456" s="618" t="s">
        <v>3812</v>
      </c>
      <c r="M456" s="619" t="s">
        <v>3819</v>
      </c>
      <c r="N456" s="620"/>
      <c r="O456" s="620"/>
      <c r="P456" s="663" t="s">
        <v>1074</v>
      </c>
      <c r="Q456" s="621"/>
      <c r="R456" s="598"/>
      <c r="S456" s="598"/>
      <c r="T456" s="598"/>
      <c r="U456" s="598" t="s">
        <v>962</v>
      </c>
      <c r="V456" s="663" t="s">
        <v>4769</v>
      </c>
      <c r="W456" s="779" t="s">
        <v>4770</v>
      </c>
      <c r="X456" s="598" t="s">
        <v>963</v>
      </c>
      <c r="Y456" s="624">
        <v>31482</v>
      </c>
      <c r="Z456" s="625">
        <f t="shared" ca="1" si="5"/>
        <v>39</v>
      </c>
      <c r="AA456" s="654" t="s">
        <v>4771</v>
      </c>
      <c r="AB456" s="598"/>
      <c r="AC456" s="598" t="s">
        <v>996</v>
      </c>
      <c r="AD456" s="598" t="s">
        <v>1018</v>
      </c>
      <c r="AE456" s="616" t="s">
        <v>246</v>
      </c>
      <c r="AF456" s="616" t="s">
        <v>246</v>
      </c>
      <c r="AG456" s="616" t="s">
        <v>3815</v>
      </c>
      <c r="AH456" s="598"/>
      <c r="AI456" s="598" t="s">
        <v>3845</v>
      </c>
      <c r="AJ456" s="598"/>
      <c r="AK456" s="598" t="s">
        <v>1020</v>
      </c>
      <c r="AL456" s="626"/>
      <c r="AM456" s="626"/>
    </row>
    <row r="457" spans="3:39" ht="18" customHeight="1">
      <c r="C457" s="598">
        <v>437</v>
      </c>
      <c r="D457" s="598" t="s">
        <v>4772</v>
      </c>
      <c r="E457" s="598">
        <f t="shared" si="4"/>
        <v>412</v>
      </c>
      <c r="F457" s="616" t="s">
        <v>3808</v>
      </c>
      <c r="G457" s="616" t="s">
        <v>246</v>
      </c>
      <c r="H457" s="618" t="s">
        <v>3810</v>
      </c>
      <c r="I457" s="618" t="s">
        <v>470</v>
      </c>
      <c r="J457" s="618" t="s">
        <v>3810</v>
      </c>
      <c r="K457" s="618" t="s">
        <v>3807</v>
      </c>
      <c r="L457" s="618" t="s">
        <v>3812</v>
      </c>
      <c r="M457" s="619" t="s">
        <v>3819</v>
      </c>
      <c r="N457" s="620"/>
      <c r="O457" s="620"/>
      <c r="P457" s="663" t="s">
        <v>1074</v>
      </c>
      <c r="Q457" s="621"/>
      <c r="R457" s="598"/>
      <c r="S457" s="598"/>
      <c r="T457" s="598"/>
      <c r="U457" s="598" t="s">
        <v>962</v>
      </c>
      <c r="V457" s="663" t="s">
        <v>4773</v>
      </c>
      <c r="W457" s="779" t="s">
        <v>4774</v>
      </c>
      <c r="X457" s="598" t="s">
        <v>963</v>
      </c>
      <c r="Y457" s="624">
        <v>32188</v>
      </c>
      <c r="Z457" s="625">
        <f t="shared" ca="1" si="5"/>
        <v>37</v>
      </c>
      <c r="AA457" s="616" t="s">
        <v>4775</v>
      </c>
      <c r="AB457" s="598"/>
      <c r="AC457" s="598" t="s">
        <v>996</v>
      </c>
      <c r="AD457" s="598" t="s">
        <v>1018</v>
      </c>
      <c r="AE457" s="616" t="s">
        <v>246</v>
      </c>
      <c r="AF457" s="616" t="s">
        <v>2934</v>
      </c>
      <c r="AG457" s="616" t="s">
        <v>2069</v>
      </c>
      <c r="AH457" s="598"/>
      <c r="AI457" s="598" t="s">
        <v>3845</v>
      </c>
      <c r="AJ457" s="598" t="s">
        <v>1440</v>
      </c>
      <c r="AK457" s="598" t="s">
        <v>1020</v>
      </c>
      <c r="AL457" s="626"/>
      <c r="AM457" s="626"/>
    </row>
    <row r="458" spans="3:39" ht="18" customHeight="1">
      <c r="C458" s="598">
        <v>438</v>
      </c>
      <c r="D458" s="598" t="s">
        <v>3840</v>
      </c>
      <c r="E458" s="598">
        <f t="shared" si="4"/>
        <v>413</v>
      </c>
      <c r="F458" s="616" t="s">
        <v>3808</v>
      </c>
      <c r="G458" s="616" t="s">
        <v>246</v>
      </c>
      <c r="H458" s="618" t="s">
        <v>3810</v>
      </c>
      <c r="I458" s="618" t="s">
        <v>470</v>
      </c>
      <c r="J458" s="618" t="s">
        <v>3810</v>
      </c>
      <c r="K458" s="618" t="s">
        <v>3807</v>
      </c>
      <c r="L458" s="618" t="s">
        <v>3812</v>
      </c>
      <c r="M458" s="619" t="s">
        <v>3819</v>
      </c>
      <c r="N458" s="620"/>
      <c r="O458" s="620"/>
      <c r="P458" s="663" t="s">
        <v>1074</v>
      </c>
      <c r="Q458" s="621"/>
      <c r="R458" s="598"/>
      <c r="S458" s="598"/>
      <c r="T458" s="598"/>
      <c r="U458" s="598" t="s">
        <v>962</v>
      </c>
      <c r="V458" s="663" t="s">
        <v>3841</v>
      </c>
      <c r="W458" s="779" t="s">
        <v>3842</v>
      </c>
      <c r="X458" s="598" t="s">
        <v>963</v>
      </c>
      <c r="Y458" s="624">
        <v>26922</v>
      </c>
      <c r="Z458" s="625">
        <f t="shared" ca="1" si="5"/>
        <v>52</v>
      </c>
      <c r="AA458" s="616" t="s">
        <v>3843</v>
      </c>
      <c r="AB458" s="598"/>
      <c r="AC458" s="598" t="s">
        <v>996</v>
      </c>
      <c r="AD458" s="598" t="s">
        <v>953</v>
      </c>
      <c r="AE458" s="616" t="s">
        <v>246</v>
      </c>
      <c r="AF458" s="616" t="s">
        <v>246</v>
      </c>
      <c r="AG458" s="616" t="s">
        <v>3815</v>
      </c>
      <c r="AH458" s="598"/>
      <c r="AI458" s="598" t="s">
        <v>3845</v>
      </c>
      <c r="AJ458" s="598"/>
      <c r="AK458" s="598" t="s">
        <v>1020</v>
      </c>
      <c r="AL458" s="626"/>
      <c r="AM458" s="626"/>
    </row>
    <row r="459" spans="3:39" ht="18" customHeight="1">
      <c r="C459" s="598">
        <v>439</v>
      </c>
      <c r="D459" s="598" t="s">
        <v>4776</v>
      </c>
      <c r="E459" s="598">
        <f t="shared" si="4"/>
        <v>414</v>
      </c>
      <c r="F459" s="616" t="s">
        <v>3808</v>
      </c>
      <c r="G459" s="616" t="s">
        <v>246</v>
      </c>
      <c r="H459" s="618" t="s">
        <v>3810</v>
      </c>
      <c r="I459" s="618" t="s">
        <v>470</v>
      </c>
      <c r="J459" s="618" t="s">
        <v>3810</v>
      </c>
      <c r="K459" s="618" t="s">
        <v>3807</v>
      </c>
      <c r="L459" s="618" t="s">
        <v>3812</v>
      </c>
      <c r="M459" s="619" t="s">
        <v>3819</v>
      </c>
      <c r="N459" s="620"/>
      <c r="O459" s="620"/>
      <c r="P459" s="673" t="s">
        <v>1074</v>
      </c>
      <c r="Q459" s="621"/>
      <c r="R459" s="598"/>
      <c r="S459" s="598"/>
      <c r="T459" s="598"/>
      <c r="U459" s="598" t="s">
        <v>962</v>
      </c>
      <c r="V459" s="673" t="s">
        <v>4777</v>
      </c>
      <c r="W459" s="779" t="s">
        <v>4778</v>
      </c>
      <c r="X459" s="598" t="s">
        <v>963</v>
      </c>
      <c r="Y459" s="624">
        <v>27828</v>
      </c>
      <c r="Z459" s="625">
        <f t="shared" ca="1" si="5"/>
        <v>49</v>
      </c>
      <c r="AA459" s="616" t="s">
        <v>4779</v>
      </c>
      <c r="AB459" s="598"/>
      <c r="AC459" s="598" t="s">
        <v>996</v>
      </c>
      <c r="AD459" s="598" t="s">
        <v>997</v>
      </c>
      <c r="AE459" s="616" t="s">
        <v>246</v>
      </c>
      <c r="AF459" s="616" t="s">
        <v>246</v>
      </c>
      <c r="AG459" s="616" t="s">
        <v>3815</v>
      </c>
      <c r="AH459" s="598"/>
      <c r="AI459" s="598" t="s">
        <v>3845</v>
      </c>
      <c r="AJ459" s="598"/>
      <c r="AK459" s="598" t="s">
        <v>1020</v>
      </c>
      <c r="AL459" s="626"/>
      <c r="AM459" s="626"/>
    </row>
    <row r="460" spans="3:39" ht="18" customHeight="1">
      <c r="C460" s="598">
        <v>440</v>
      </c>
      <c r="D460" s="598" t="s">
        <v>3886</v>
      </c>
      <c r="E460" s="598">
        <f t="shared" si="4"/>
        <v>415</v>
      </c>
      <c r="F460" s="616" t="s">
        <v>3808</v>
      </c>
      <c r="G460" s="616" t="s">
        <v>246</v>
      </c>
      <c r="H460" s="618" t="s">
        <v>3810</v>
      </c>
      <c r="I460" s="618" t="s">
        <v>470</v>
      </c>
      <c r="J460" s="618" t="s">
        <v>3810</v>
      </c>
      <c r="K460" s="618" t="s">
        <v>3886</v>
      </c>
      <c r="L460" s="618" t="s">
        <v>3887</v>
      </c>
      <c r="M460" s="619" t="s">
        <v>3888</v>
      </c>
      <c r="N460" s="620" t="s">
        <v>3956</v>
      </c>
      <c r="O460" s="620"/>
      <c r="P460" s="667" t="s">
        <v>1115</v>
      </c>
      <c r="Q460" s="621"/>
      <c r="R460" s="598" t="s">
        <v>55</v>
      </c>
      <c r="S460" s="598" t="s">
        <v>55</v>
      </c>
      <c r="T460" s="598"/>
      <c r="U460" s="598" t="s">
        <v>1090</v>
      </c>
      <c r="V460" s="667" t="s">
        <v>471</v>
      </c>
      <c r="W460" s="779" t="s">
        <v>3889</v>
      </c>
      <c r="X460" s="598" t="s">
        <v>950</v>
      </c>
      <c r="Y460" s="624">
        <v>17838</v>
      </c>
      <c r="Z460" s="625">
        <f t="shared" ca="1" si="5"/>
        <v>77</v>
      </c>
      <c r="AA460" s="616" t="s">
        <v>3890</v>
      </c>
      <c r="AB460" s="598"/>
      <c r="AC460" s="598" t="s">
        <v>966</v>
      </c>
      <c r="AD460" s="598" t="s">
        <v>953</v>
      </c>
      <c r="AE460" s="616" t="s">
        <v>246</v>
      </c>
      <c r="AF460" s="616" t="s">
        <v>246</v>
      </c>
      <c r="AG460" s="616" t="s">
        <v>3815</v>
      </c>
      <c r="AH460" s="598"/>
      <c r="AI460" s="598"/>
      <c r="AJ460" s="598"/>
      <c r="AK460" s="598"/>
      <c r="AL460" s="626"/>
      <c r="AM460" s="626"/>
    </row>
    <row r="461" spans="3:39" ht="18" customHeight="1">
      <c r="C461" s="598">
        <v>441</v>
      </c>
      <c r="D461" s="598" t="s">
        <v>3887</v>
      </c>
      <c r="E461" s="598">
        <f t="shared" si="4"/>
        <v>416</v>
      </c>
      <c r="F461" s="616" t="s">
        <v>3808</v>
      </c>
      <c r="G461" s="616" t="s">
        <v>246</v>
      </c>
      <c r="H461" s="618" t="s">
        <v>3810</v>
      </c>
      <c r="I461" s="618" t="s">
        <v>470</v>
      </c>
      <c r="J461" s="618" t="s">
        <v>3810</v>
      </c>
      <c r="K461" s="618" t="s">
        <v>3886</v>
      </c>
      <c r="L461" s="618" t="s">
        <v>3887</v>
      </c>
      <c r="M461" s="619" t="s">
        <v>3888</v>
      </c>
      <c r="N461" s="620" t="s">
        <v>3956</v>
      </c>
      <c r="O461" s="620"/>
      <c r="P461" s="663" t="s">
        <v>1115</v>
      </c>
      <c r="Q461" s="621"/>
      <c r="R461" s="598" t="s">
        <v>69</v>
      </c>
      <c r="S461" s="598" t="s">
        <v>69</v>
      </c>
      <c r="T461" s="598"/>
      <c r="U461" s="598" t="s">
        <v>1090</v>
      </c>
      <c r="V461" s="663" t="s">
        <v>479</v>
      </c>
      <c r="W461" s="779" t="s">
        <v>3892</v>
      </c>
      <c r="X461" s="598" t="s">
        <v>950</v>
      </c>
      <c r="Y461" s="624">
        <v>19108</v>
      </c>
      <c r="Z461" s="625">
        <f t="shared" ca="1" si="5"/>
        <v>73</v>
      </c>
      <c r="AA461" s="616" t="s">
        <v>3893</v>
      </c>
      <c r="AB461" s="598"/>
      <c r="AC461" s="598" t="s">
        <v>966</v>
      </c>
      <c r="AD461" s="598" t="s">
        <v>953</v>
      </c>
      <c r="AE461" s="616" t="s">
        <v>246</v>
      </c>
      <c r="AF461" s="616" t="s">
        <v>246</v>
      </c>
      <c r="AG461" s="616" t="s">
        <v>3815</v>
      </c>
      <c r="AH461" s="598"/>
      <c r="AI461" s="598"/>
      <c r="AJ461" s="598"/>
      <c r="AK461" s="598"/>
      <c r="AL461" s="626"/>
      <c r="AM461" s="626"/>
    </row>
    <row r="462" spans="3:39" ht="18" customHeight="1">
      <c r="C462" s="598">
        <v>442</v>
      </c>
      <c r="D462" s="598" t="s">
        <v>3888</v>
      </c>
      <c r="E462" s="598">
        <f t="shared" si="4"/>
        <v>416</v>
      </c>
      <c r="F462" s="616"/>
      <c r="G462" s="616" t="s">
        <v>246</v>
      </c>
      <c r="H462" s="618" t="s">
        <v>3810</v>
      </c>
      <c r="I462" s="618" t="s">
        <v>470</v>
      </c>
      <c r="J462" s="618" t="s">
        <v>3810</v>
      </c>
      <c r="K462" s="618" t="s">
        <v>3886</v>
      </c>
      <c r="L462" s="618" t="s">
        <v>3887</v>
      </c>
      <c r="M462" s="619" t="s">
        <v>3888</v>
      </c>
      <c r="N462" s="620" t="s">
        <v>3956</v>
      </c>
      <c r="O462" s="620"/>
      <c r="P462" s="663" t="s">
        <v>1115</v>
      </c>
      <c r="Q462" s="621"/>
      <c r="R462" s="598" t="s">
        <v>69</v>
      </c>
      <c r="S462" s="598" t="s">
        <v>69</v>
      </c>
      <c r="T462" s="598"/>
      <c r="U462" s="598"/>
      <c r="V462" s="663" t="s">
        <v>94</v>
      </c>
      <c r="W462" s="779" t="s">
        <v>3895</v>
      </c>
      <c r="X462" s="598" t="s">
        <v>950</v>
      </c>
      <c r="Y462" s="624">
        <v>19466</v>
      </c>
      <c r="Z462" s="625">
        <f t="shared" ca="1" si="5"/>
        <v>72</v>
      </c>
      <c r="AA462" s="616" t="s">
        <v>3896</v>
      </c>
      <c r="AB462" s="598"/>
      <c r="AC462" s="598" t="s">
        <v>966</v>
      </c>
      <c r="AD462" s="598" t="s">
        <v>953</v>
      </c>
      <c r="AE462" s="616" t="s">
        <v>973</v>
      </c>
      <c r="AF462" s="616" t="s">
        <v>954</v>
      </c>
      <c r="AG462" s="616" t="s">
        <v>968</v>
      </c>
      <c r="AH462" s="598" t="s">
        <v>955</v>
      </c>
      <c r="AI462" s="598"/>
      <c r="AJ462" s="598"/>
      <c r="AK462" s="598"/>
      <c r="AL462" s="626"/>
      <c r="AM462" s="626"/>
    </row>
    <row r="463" spans="3:39" ht="18" customHeight="1">
      <c r="C463" s="598">
        <v>443</v>
      </c>
      <c r="D463" s="598" t="s">
        <v>3956</v>
      </c>
      <c r="E463" s="598">
        <f t="shared" si="4"/>
        <v>417</v>
      </c>
      <c r="F463" s="616" t="s">
        <v>3808</v>
      </c>
      <c r="G463" s="616" t="s">
        <v>246</v>
      </c>
      <c r="H463" s="618" t="s">
        <v>3810</v>
      </c>
      <c r="I463" s="618" t="s">
        <v>470</v>
      </c>
      <c r="J463" s="618" t="s">
        <v>3810</v>
      </c>
      <c r="K463" s="618" t="s">
        <v>3886</v>
      </c>
      <c r="L463" s="618" t="s">
        <v>3887</v>
      </c>
      <c r="M463" s="619" t="s">
        <v>3888</v>
      </c>
      <c r="N463" s="620" t="s">
        <v>3956</v>
      </c>
      <c r="O463" s="620"/>
      <c r="P463" s="663" t="s">
        <v>1115</v>
      </c>
      <c r="Q463" s="621"/>
      <c r="R463" s="598" t="s">
        <v>69</v>
      </c>
      <c r="S463" s="598" t="s">
        <v>69</v>
      </c>
      <c r="T463" s="598"/>
      <c r="U463" s="598" t="s">
        <v>1015</v>
      </c>
      <c r="V463" s="663" t="s">
        <v>489</v>
      </c>
      <c r="W463" s="779" t="s">
        <v>3960</v>
      </c>
      <c r="X463" s="598" t="s">
        <v>950</v>
      </c>
      <c r="Y463" s="624">
        <v>22921</v>
      </c>
      <c r="Z463" s="625">
        <f t="shared" ca="1" si="5"/>
        <v>63</v>
      </c>
      <c r="AA463" s="616" t="s">
        <v>3961</v>
      </c>
      <c r="AB463" s="598"/>
      <c r="AC463" s="598" t="s">
        <v>966</v>
      </c>
      <c r="AD463" s="598" t="s">
        <v>953</v>
      </c>
      <c r="AE463" s="616" t="s">
        <v>246</v>
      </c>
      <c r="AF463" s="616" t="s">
        <v>246</v>
      </c>
      <c r="AG463" s="616" t="s">
        <v>3815</v>
      </c>
      <c r="AH463" s="598"/>
      <c r="AI463" s="598"/>
      <c r="AJ463" s="598"/>
      <c r="AK463" s="598"/>
      <c r="AL463" s="626"/>
      <c r="AM463" s="626"/>
    </row>
    <row r="464" spans="3:39" ht="18" customHeight="1">
      <c r="C464" s="598">
        <v>444</v>
      </c>
      <c r="D464" s="598" t="s">
        <v>3898</v>
      </c>
      <c r="E464" s="598">
        <f t="shared" si="4"/>
        <v>418</v>
      </c>
      <c r="F464" s="616" t="s">
        <v>3808</v>
      </c>
      <c r="G464" s="616" t="s">
        <v>246</v>
      </c>
      <c r="H464" s="618" t="s">
        <v>3810</v>
      </c>
      <c r="I464" s="618" t="s">
        <v>470</v>
      </c>
      <c r="J464" s="618" t="s">
        <v>3810</v>
      </c>
      <c r="K464" s="618" t="s">
        <v>3886</v>
      </c>
      <c r="L464" s="618" t="s">
        <v>3887</v>
      </c>
      <c r="M464" s="619" t="s">
        <v>3888</v>
      </c>
      <c r="N464" s="620" t="s">
        <v>3956</v>
      </c>
      <c r="O464" s="620"/>
      <c r="P464" s="663" t="s">
        <v>1115</v>
      </c>
      <c r="Q464" s="621"/>
      <c r="R464" s="598"/>
      <c r="S464" s="598"/>
      <c r="T464" s="598"/>
      <c r="U464" s="598" t="s">
        <v>1090</v>
      </c>
      <c r="V464" s="663" t="s">
        <v>493</v>
      </c>
      <c r="W464" s="779" t="s">
        <v>3899</v>
      </c>
      <c r="X464" s="598" t="s">
        <v>950</v>
      </c>
      <c r="Y464" s="624">
        <v>18123</v>
      </c>
      <c r="Z464" s="625">
        <f t="shared" ca="1" si="5"/>
        <v>76</v>
      </c>
      <c r="AA464" s="616" t="s">
        <v>3900</v>
      </c>
      <c r="AB464" s="598"/>
      <c r="AC464" s="598" t="s">
        <v>966</v>
      </c>
      <c r="AD464" s="598" t="s">
        <v>953</v>
      </c>
      <c r="AE464" s="616" t="s">
        <v>246</v>
      </c>
      <c r="AF464" s="616" t="s">
        <v>246</v>
      </c>
      <c r="AG464" s="616" t="s">
        <v>3815</v>
      </c>
      <c r="AH464" s="598"/>
      <c r="AI464" s="598"/>
      <c r="AJ464" s="598"/>
      <c r="AK464" s="598"/>
      <c r="AL464" s="626"/>
      <c r="AM464" s="626"/>
    </row>
    <row r="465" spans="3:39" ht="18" customHeight="1">
      <c r="C465" s="598">
        <v>445</v>
      </c>
      <c r="D465" s="598" t="s">
        <v>3902</v>
      </c>
      <c r="E465" s="598">
        <f t="shared" si="4"/>
        <v>419</v>
      </c>
      <c r="F465" s="616" t="s">
        <v>3808</v>
      </c>
      <c r="G465" s="616" t="s">
        <v>246</v>
      </c>
      <c r="H465" s="618" t="s">
        <v>3810</v>
      </c>
      <c r="I465" s="618" t="s">
        <v>470</v>
      </c>
      <c r="J465" s="618" t="s">
        <v>3810</v>
      </c>
      <c r="K465" s="618" t="s">
        <v>3886</v>
      </c>
      <c r="L465" s="618" t="s">
        <v>3887</v>
      </c>
      <c r="M465" s="619" t="s">
        <v>3888</v>
      </c>
      <c r="N465" s="620" t="s">
        <v>3956</v>
      </c>
      <c r="O465" s="620"/>
      <c r="P465" s="663" t="s">
        <v>1115</v>
      </c>
      <c r="Q465" s="621"/>
      <c r="R465" s="598"/>
      <c r="S465" s="598"/>
      <c r="T465" s="598"/>
      <c r="U465" s="598" t="s">
        <v>1090</v>
      </c>
      <c r="V465" s="663" t="s">
        <v>500</v>
      </c>
      <c r="W465" s="779" t="s">
        <v>3903</v>
      </c>
      <c r="X465" s="598" t="s">
        <v>950</v>
      </c>
      <c r="Y465" s="624">
        <v>20191</v>
      </c>
      <c r="Z465" s="625">
        <f t="shared" ca="1" si="5"/>
        <v>70</v>
      </c>
      <c r="AA465" s="616">
        <v>77774810054</v>
      </c>
      <c r="AB465" s="598"/>
      <c r="AC465" s="598" t="s">
        <v>966</v>
      </c>
      <c r="AD465" s="598" t="s">
        <v>953</v>
      </c>
      <c r="AE465" s="616" t="s">
        <v>246</v>
      </c>
      <c r="AF465" s="616" t="s">
        <v>246</v>
      </c>
      <c r="AG465" s="616" t="s">
        <v>3815</v>
      </c>
      <c r="AH465" s="598"/>
      <c r="AI465" s="598"/>
      <c r="AJ465" s="598"/>
      <c r="AK465" s="598"/>
      <c r="AL465" s="626"/>
      <c r="AM465" s="626"/>
    </row>
    <row r="466" spans="3:39" ht="18" customHeight="1">
      <c r="C466" s="598">
        <v>446</v>
      </c>
      <c r="D466" s="598" t="s">
        <v>3909</v>
      </c>
      <c r="E466" s="598">
        <f t="shared" si="4"/>
        <v>420</v>
      </c>
      <c r="F466" s="616" t="s">
        <v>3808</v>
      </c>
      <c r="G466" s="616" t="s">
        <v>246</v>
      </c>
      <c r="H466" s="618" t="s">
        <v>3810</v>
      </c>
      <c r="I466" s="618" t="s">
        <v>470</v>
      </c>
      <c r="J466" s="618" t="s">
        <v>3810</v>
      </c>
      <c r="K466" s="618" t="s">
        <v>3886</v>
      </c>
      <c r="L466" s="618" t="s">
        <v>3887</v>
      </c>
      <c r="M466" s="619" t="s">
        <v>3888</v>
      </c>
      <c r="N466" s="620" t="s">
        <v>3956</v>
      </c>
      <c r="O466" s="620"/>
      <c r="P466" s="663" t="s">
        <v>1115</v>
      </c>
      <c r="Q466" s="621"/>
      <c r="R466" s="598"/>
      <c r="S466" s="598"/>
      <c r="T466" s="598"/>
      <c r="U466" s="598" t="s">
        <v>1015</v>
      </c>
      <c r="V466" s="663" t="s">
        <v>501</v>
      </c>
      <c r="W466" s="779" t="s">
        <v>3910</v>
      </c>
      <c r="X466" s="598" t="s">
        <v>950</v>
      </c>
      <c r="Y466" s="624">
        <v>20487</v>
      </c>
      <c r="Z466" s="625">
        <f t="shared" ca="1" si="5"/>
        <v>69</v>
      </c>
      <c r="AA466" s="616" t="s">
        <v>3911</v>
      </c>
      <c r="AB466" s="598"/>
      <c r="AC466" s="598" t="s">
        <v>996</v>
      </c>
      <c r="AD466" s="598" t="s">
        <v>953</v>
      </c>
      <c r="AE466" s="616" t="s">
        <v>246</v>
      </c>
      <c r="AF466" s="616" t="s">
        <v>246</v>
      </c>
      <c r="AG466" s="616" t="s">
        <v>3815</v>
      </c>
      <c r="AH466" s="598" t="s">
        <v>1775</v>
      </c>
      <c r="AI466" s="598" t="s">
        <v>5057</v>
      </c>
      <c r="AJ466" s="598"/>
      <c r="AK466" s="598"/>
      <c r="AL466" s="626"/>
      <c r="AM466" s="626"/>
    </row>
    <row r="467" spans="3:39" ht="18" customHeight="1">
      <c r="C467" s="598">
        <v>447</v>
      </c>
      <c r="D467" s="598" t="s">
        <v>4780</v>
      </c>
      <c r="E467" s="598">
        <f t="shared" si="4"/>
        <v>421</v>
      </c>
      <c r="F467" s="616" t="s">
        <v>3808</v>
      </c>
      <c r="G467" s="616" t="s">
        <v>246</v>
      </c>
      <c r="H467" s="618" t="s">
        <v>3810</v>
      </c>
      <c r="I467" s="618" t="s">
        <v>470</v>
      </c>
      <c r="J467" s="618" t="s">
        <v>3810</v>
      </c>
      <c r="K467" s="618" t="s">
        <v>3886</v>
      </c>
      <c r="L467" s="618" t="s">
        <v>3887</v>
      </c>
      <c r="M467" s="619" t="s">
        <v>3888</v>
      </c>
      <c r="N467" s="620" t="s">
        <v>3956</v>
      </c>
      <c r="O467" s="620"/>
      <c r="P467" s="663" t="s">
        <v>1115</v>
      </c>
      <c r="Q467" s="621"/>
      <c r="R467" s="598"/>
      <c r="S467" s="598"/>
      <c r="T467" s="598"/>
      <c r="U467" s="598" t="s">
        <v>1015</v>
      </c>
      <c r="V467" s="663" t="s">
        <v>4781</v>
      </c>
      <c r="W467" s="779" t="s">
        <v>4782</v>
      </c>
      <c r="X467" s="598" t="s">
        <v>950</v>
      </c>
      <c r="Y467" s="624">
        <v>26857</v>
      </c>
      <c r="Z467" s="625">
        <f t="shared" ca="1" si="5"/>
        <v>52</v>
      </c>
      <c r="AA467" s="616" t="s">
        <v>4783</v>
      </c>
      <c r="AB467" s="598"/>
      <c r="AC467" s="598" t="s">
        <v>996</v>
      </c>
      <c r="AD467" s="598" t="s">
        <v>997</v>
      </c>
      <c r="AE467" s="616" t="s">
        <v>246</v>
      </c>
      <c r="AF467" s="616" t="s">
        <v>246</v>
      </c>
      <c r="AG467" s="616" t="s">
        <v>3815</v>
      </c>
      <c r="AH467" s="598"/>
      <c r="AI467" s="598" t="s">
        <v>3845</v>
      </c>
      <c r="AJ467" s="598"/>
      <c r="AK467" s="598" t="s">
        <v>1020</v>
      </c>
      <c r="AL467" s="626"/>
      <c r="AM467" s="626"/>
    </row>
    <row r="468" spans="3:39" ht="18" customHeight="1">
      <c r="C468" s="598">
        <v>448</v>
      </c>
      <c r="D468" s="598" t="s">
        <v>4784</v>
      </c>
      <c r="E468" s="598">
        <f t="shared" si="4"/>
        <v>422</v>
      </c>
      <c r="F468" s="616" t="s">
        <v>3808</v>
      </c>
      <c r="G468" s="616" t="s">
        <v>246</v>
      </c>
      <c r="H468" s="618" t="s">
        <v>3810</v>
      </c>
      <c r="I468" s="618" t="s">
        <v>470</v>
      </c>
      <c r="J468" s="618" t="s">
        <v>3810</v>
      </c>
      <c r="K468" s="618" t="s">
        <v>3886</v>
      </c>
      <c r="L468" s="618" t="s">
        <v>3887</v>
      </c>
      <c r="M468" s="619" t="s">
        <v>3888</v>
      </c>
      <c r="N468" s="620" t="s">
        <v>3956</v>
      </c>
      <c r="O468" s="620"/>
      <c r="P468" s="663" t="s">
        <v>1115</v>
      </c>
      <c r="Q468" s="621"/>
      <c r="R468" s="598"/>
      <c r="S468" s="598"/>
      <c r="T468" s="598"/>
      <c r="U468" s="598" t="s">
        <v>1015</v>
      </c>
      <c r="V468" s="663" t="s">
        <v>4785</v>
      </c>
      <c r="W468" s="779" t="s">
        <v>4786</v>
      </c>
      <c r="X468" s="598" t="s">
        <v>950</v>
      </c>
      <c r="Y468" s="624">
        <v>27734</v>
      </c>
      <c r="Z468" s="625">
        <f t="shared" ca="1" si="5"/>
        <v>50</v>
      </c>
      <c r="AA468" s="616" t="s">
        <v>4787</v>
      </c>
      <c r="AB468" s="598"/>
      <c r="AC468" s="598" t="s">
        <v>996</v>
      </c>
      <c r="AD468" s="598" t="s">
        <v>997</v>
      </c>
      <c r="AE468" s="616" t="s">
        <v>246</v>
      </c>
      <c r="AF468" s="616" t="s">
        <v>246</v>
      </c>
      <c r="AG468" s="616" t="s">
        <v>3815</v>
      </c>
      <c r="AH468" s="598"/>
      <c r="AI468" s="598" t="s">
        <v>5058</v>
      </c>
      <c r="AJ468" s="598"/>
      <c r="AK468" s="598" t="s">
        <v>3913</v>
      </c>
      <c r="AL468" s="626"/>
      <c r="AM468" s="626"/>
    </row>
    <row r="469" spans="3:39" ht="18" customHeight="1">
      <c r="C469" s="598">
        <v>449</v>
      </c>
      <c r="D469" s="598" t="s">
        <v>4789</v>
      </c>
      <c r="E469" s="598">
        <f t="shared" si="4"/>
        <v>423</v>
      </c>
      <c r="F469" s="616" t="s">
        <v>3808</v>
      </c>
      <c r="G469" s="616" t="s">
        <v>246</v>
      </c>
      <c r="H469" s="618" t="s">
        <v>3810</v>
      </c>
      <c r="I469" s="618" t="s">
        <v>470</v>
      </c>
      <c r="J469" s="618" t="s">
        <v>3810</v>
      </c>
      <c r="K469" s="618" t="s">
        <v>3886</v>
      </c>
      <c r="L469" s="618" t="s">
        <v>3887</v>
      </c>
      <c r="M469" s="619" t="s">
        <v>3888</v>
      </c>
      <c r="N469" s="620" t="s">
        <v>3956</v>
      </c>
      <c r="O469" s="620"/>
      <c r="P469" s="673" t="s">
        <v>1115</v>
      </c>
      <c r="Q469" s="621"/>
      <c r="R469" s="598"/>
      <c r="S469" s="598"/>
      <c r="T469" s="598"/>
      <c r="U469" s="598" t="s">
        <v>992</v>
      </c>
      <c r="V469" s="673" t="s">
        <v>4790</v>
      </c>
      <c r="W469" s="779" t="s">
        <v>4791</v>
      </c>
      <c r="X469" s="598" t="s">
        <v>950</v>
      </c>
      <c r="Y469" s="624">
        <v>36934</v>
      </c>
      <c r="Z469" s="625">
        <f t="shared" ca="1" si="5"/>
        <v>24</v>
      </c>
      <c r="AA469" s="616" t="s">
        <v>4792</v>
      </c>
      <c r="AB469" s="598"/>
      <c r="AC469" s="598" t="s">
        <v>996</v>
      </c>
      <c r="AD469" s="598" t="s">
        <v>997</v>
      </c>
      <c r="AE469" s="616" t="s">
        <v>246</v>
      </c>
      <c r="AF469" s="616" t="s">
        <v>246</v>
      </c>
      <c r="AG469" s="616" t="s">
        <v>3815</v>
      </c>
      <c r="AH469" s="598"/>
      <c r="AI469" s="598" t="s">
        <v>3845</v>
      </c>
      <c r="AJ469" s="598"/>
      <c r="AK469" s="598" t="s">
        <v>1020</v>
      </c>
      <c r="AL469" s="626"/>
      <c r="AM469" s="626"/>
    </row>
    <row r="470" spans="3:39" ht="18" customHeight="1">
      <c r="C470" s="598">
        <v>450</v>
      </c>
      <c r="D470" s="598" t="s">
        <v>3914</v>
      </c>
      <c r="E470" s="598">
        <f t="shared" si="4"/>
        <v>423</v>
      </c>
      <c r="F470" s="616"/>
      <c r="G470" s="616" t="s">
        <v>246</v>
      </c>
      <c r="H470" s="618" t="s">
        <v>3810</v>
      </c>
      <c r="I470" s="618" t="s">
        <v>470</v>
      </c>
      <c r="J470" s="618" t="s">
        <v>3810</v>
      </c>
      <c r="K470" s="618" t="s">
        <v>3914</v>
      </c>
      <c r="L470" s="618" t="s">
        <v>4043</v>
      </c>
      <c r="M470" s="619"/>
      <c r="N470" s="620"/>
      <c r="O470" s="620"/>
      <c r="P470" s="667" t="s">
        <v>1127</v>
      </c>
      <c r="Q470" s="621"/>
      <c r="R470" s="598" t="s">
        <v>55</v>
      </c>
      <c r="S470" s="598" t="s">
        <v>178</v>
      </c>
      <c r="T470" s="598"/>
      <c r="U470" s="598"/>
      <c r="V470" s="667" t="s">
        <v>477</v>
      </c>
      <c r="W470" s="779" t="s">
        <v>3915</v>
      </c>
      <c r="X470" s="598" t="s">
        <v>950</v>
      </c>
      <c r="Y470" s="624">
        <v>19031</v>
      </c>
      <c r="Z470" s="625">
        <f t="shared" ca="1" si="5"/>
        <v>73</v>
      </c>
      <c r="AA470" s="616" t="s">
        <v>3916</v>
      </c>
      <c r="AB470" s="598"/>
      <c r="AC470" s="598" t="s">
        <v>966</v>
      </c>
      <c r="AD470" s="598" t="s">
        <v>953</v>
      </c>
      <c r="AE470" s="616" t="s">
        <v>246</v>
      </c>
      <c r="AF470" s="616" t="s">
        <v>246</v>
      </c>
      <c r="AG470" s="616" t="s">
        <v>3815</v>
      </c>
      <c r="AH470" s="598" t="s">
        <v>955</v>
      </c>
      <c r="AI470" s="598"/>
      <c r="AJ470" s="598"/>
      <c r="AK470" s="598"/>
      <c r="AL470" s="626"/>
      <c r="AM470" s="626"/>
    </row>
    <row r="471" spans="3:39" ht="18" customHeight="1">
      <c r="C471" s="598">
        <v>451</v>
      </c>
      <c r="D471" s="598" t="s">
        <v>4043</v>
      </c>
      <c r="E471" s="598">
        <f t="shared" si="4"/>
        <v>424</v>
      </c>
      <c r="F471" s="616" t="s">
        <v>3808</v>
      </c>
      <c r="G471" s="616" t="s">
        <v>246</v>
      </c>
      <c r="H471" s="618" t="s">
        <v>3810</v>
      </c>
      <c r="I471" s="618" t="s">
        <v>470</v>
      </c>
      <c r="J471" s="618" t="s">
        <v>3810</v>
      </c>
      <c r="K471" s="618" t="s">
        <v>3914</v>
      </c>
      <c r="L471" s="618" t="s">
        <v>4043</v>
      </c>
      <c r="M471" s="619"/>
      <c r="N471" s="620"/>
      <c r="O471" s="620"/>
      <c r="P471" s="663" t="s">
        <v>1127</v>
      </c>
      <c r="Q471" s="621"/>
      <c r="R471" s="598" t="s">
        <v>69</v>
      </c>
      <c r="S471" s="598" t="s">
        <v>69</v>
      </c>
      <c r="T471" s="598"/>
      <c r="U471" s="598" t="s">
        <v>1015</v>
      </c>
      <c r="V471" s="663" t="s">
        <v>4047</v>
      </c>
      <c r="W471" s="779" t="s">
        <v>4048</v>
      </c>
      <c r="X471" s="598" t="s">
        <v>950</v>
      </c>
      <c r="Y471" s="624">
        <v>20886</v>
      </c>
      <c r="Z471" s="625">
        <f t="shared" ca="1" si="5"/>
        <v>68</v>
      </c>
      <c r="AA471" s="654" t="s">
        <v>4049</v>
      </c>
      <c r="AB471" s="598"/>
      <c r="AC471" s="598" t="s">
        <v>996</v>
      </c>
      <c r="AD471" s="598" t="s">
        <v>997</v>
      </c>
      <c r="AE471" s="616" t="s">
        <v>246</v>
      </c>
      <c r="AF471" s="616" t="s">
        <v>246</v>
      </c>
      <c r="AG471" s="653" t="s">
        <v>3824</v>
      </c>
      <c r="AH471" s="598"/>
      <c r="AI471" s="598"/>
      <c r="AJ471" s="598" t="s">
        <v>1349</v>
      </c>
      <c r="AK471" s="598"/>
      <c r="AL471" s="626"/>
      <c r="AM471" s="626"/>
    </row>
    <row r="472" spans="3:39" ht="18" customHeight="1">
      <c r="C472" s="598">
        <v>452</v>
      </c>
      <c r="D472" s="598" t="s">
        <v>3918</v>
      </c>
      <c r="E472" s="598">
        <f t="shared" si="4"/>
        <v>425</v>
      </c>
      <c r="F472" s="616" t="s">
        <v>3808</v>
      </c>
      <c r="G472" s="616" t="s">
        <v>246</v>
      </c>
      <c r="H472" s="618" t="s">
        <v>3810</v>
      </c>
      <c r="I472" s="618" t="s">
        <v>470</v>
      </c>
      <c r="J472" s="618" t="s">
        <v>3810</v>
      </c>
      <c r="K472" s="618" t="s">
        <v>3914</v>
      </c>
      <c r="L472" s="618" t="s">
        <v>4043</v>
      </c>
      <c r="M472" s="619"/>
      <c r="N472" s="620"/>
      <c r="O472" s="620"/>
      <c r="P472" s="663" t="s">
        <v>1127</v>
      </c>
      <c r="Q472" s="621"/>
      <c r="R472" s="598"/>
      <c r="S472" s="598"/>
      <c r="T472" s="598"/>
      <c r="U472" s="598" t="s">
        <v>1090</v>
      </c>
      <c r="V472" s="663" t="s">
        <v>3919</v>
      </c>
      <c r="W472" s="779" t="s">
        <v>3920</v>
      </c>
      <c r="X472" s="598" t="s">
        <v>950</v>
      </c>
      <c r="Y472" s="624">
        <v>19423</v>
      </c>
      <c r="Z472" s="625">
        <f t="shared" ca="1" si="5"/>
        <v>72</v>
      </c>
      <c r="AA472" s="616" t="s">
        <v>3921</v>
      </c>
      <c r="AB472" s="598"/>
      <c r="AC472" s="598" t="s">
        <v>966</v>
      </c>
      <c r="AD472" s="598" t="s">
        <v>953</v>
      </c>
      <c r="AE472" s="616" t="s">
        <v>246</v>
      </c>
      <c r="AF472" s="616" t="s">
        <v>246</v>
      </c>
      <c r="AG472" s="616" t="s">
        <v>3815</v>
      </c>
      <c r="AH472" s="598"/>
      <c r="AI472" s="598"/>
      <c r="AJ472" s="598" t="s">
        <v>1011</v>
      </c>
      <c r="AK472" s="598"/>
      <c r="AL472" s="626"/>
      <c r="AM472" s="626"/>
    </row>
    <row r="473" spans="3:39" ht="18" customHeight="1">
      <c r="C473" s="598">
        <v>453</v>
      </c>
      <c r="D473" s="598" t="s">
        <v>3905</v>
      </c>
      <c r="E473" s="598">
        <f t="shared" si="4"/>
        <v>426</v>
      </c>
      <c r="F473" s="616" t="s">
        <v>3808</v>
      </c>
      <c r="G473" s="616" t="s">
        <v>246</v>
      </c>
      <c r="H473" s="618" t="s">
        <v>3810</v>
      </c>
      <c r="I473" s="618" t="s">
        <v>470</v>
      </c>
      <c r="J473" s="618" t="s">
        <v>3810</v>
      </c>
      <c r="K473" s="618" t="s">
        <v>3914</v>
      </c>
      <c r="L473" s="618" t="s">
        <v>4043</v>
      </c>
      <c r="M473" s="619"/>
      <c r="N473" s="620"/>
      <c r="O473" s="620"/>
      <c r="P473" s="663" t="s">
        <v>1127</v>
      </c>
      <c r="Q473" s="621"/>
      <c r="R473" s="598"/>
      <c r="S473" s="598"/>
      <c r="T473" s="598"/>
      <c r="U473" s="598" t="s">
        <v>1015</v>
      </c>
      <c r="V473" s="663" t="s">
        <v>490</v>
      </c>
      <c r="W473" s="779" t="s">
        <v>3906</v>
      </c>
      <c r="X473" s="598" t="s">
        <v>950</v>
      </c>
      <c r="Y473" s="624">
        <v>20639</v>
      </c>
      <c r="Z473" s="625">
        <f t="shared" ca="1" si="5"/>
        <v>69</v>
      </c>
      <c r="AA473" s="616" t="s">
        <v>3907</v>
      </c>
      <c r="AB473" s="598"/>
      <c r="AC473" s="598" t="s">
        <v>996</v>
      </c>
      <c r="AD473" s="598" t="s">
        <v>953</v>
      </c>
      <c r="AE473" s="616" t="s">
        <v>246</v>
      </c>
      <c r="AF473" s="616" t="s">
        <v>246</v>
      </c>
      <c r="AG473" s="616" t="s">
        <v>3815</v>
      </c>
      <c r="AH473" s="598"/>
      <c r="AI473" s="598"/>
      <c r="AJ473" s="598"/>
      <c r="AK473" s="598"/>
      <c r="AL473" s="626"/>
      <c r="AM473" s="626"/>
    </row>
    <row r="474" spans="3:39" ht="18" customHeight="1">
      <c r="C474" s="598">
        <v>454</v>
      </c>
      <c r="D474" s="598" t="s">
        <v>3923</v>
      </c>
      <c r="E474" s="598">
        <f t="shared" si="4"/>
        <v>427</v>
      </c>
      <c r="F474" s="616" t="s">
        <v>3808</v>
      </c>
      <c r="G474" s="616" t="s">
        <v>246</v>
      </c>
      <c r="H474" s="618" t="s">
        <v>3810</v>
      </c>
      <c r="I474" s="618" t="s">
        <v>470</v>
      </c>
      <c r="J474" s="618" t="s">
        <v>3810</v>
      </c>
      <c r="K474" s="618" t="s">
        <v>3914</v>
      </c>
      <c r="L474" s="618" t="s">
        <v>4043</v>
      </c>
      <c r="M474" s="619"/>
      <c r="N474" s="620"/>
      <c r="O474" s="620"/>
      <c r="P474" s="663" t="s">
        <v>1127</v>
      </c>
      <c r="Q474" s="621"/>
      <c r="R474" s="598"/>
      <c r="S474" s="598"/>
      <c r="T474" s="598"/>
      <c r="U474" s="598" t="s">
        <v>1090</v>
      </c>
      <c r="V474" s="663" t="s">
        <v>3924</v>
      </c>
      <c r="W474" s="779" t="s">
        <v>3925</v>
      </c>
      <c r="X474" s="598" t="s">
        <v>950</v>
      </c>
      <c r="Y474" s="624">
        <v>20280</v>
      </c>
      <c r="Z474" s="625">
        <f t="shared" ca="1" si="5"/>
        <v>70</v>
      </c>
      <c r="AA474" s="616" t="s">
        <v>3926</v>
      </c>
      <c r="AB474" s="598"/>
      <c r="AC474" s="598" t="s">
        <v>966</v>
      </c>
      <c r="AD474" s="598" t="s">
        <v>953</v>
      </c>
      <c r="AE474" s="616" t="s">
        <v>246</v>
      </c>
      <c r="AF474" s="616" t="s">
        <v>246</v>
      </c>
      <c r="AG474" s="616" t="s">
        <v>3815</v>
      </c>
      <c r="AH474" s="598"/>
      <c r="AI474" s="598"/>
      <c r="AJ474" s="598"/>
      <c r="AK474" s="598" t="s">
        <v>3510</v>
      </c>
      <c r="AL474" s="626"/>
      <c r="AM474" s="626"/>
    </row>
    <row r="475" spans="3:39" ht="18" customHeight="1">
      <c r="C475" s="598">
        <v>455</v>
      </c>
      <c r="D475" s="598" t="s">
        <v>4378</v>
      </c>
      <c r="E475" s="598">
        <f t="shared" si="4"/>
        <v>428</v>
      </c>
      <c r="F475" s="616" t="s">
        <v>3808</v>
      </c>
      <c r="G475" s="616" t="s">
        <v>246</v>
      </c>
      <c r="H475" s="618" t="s">
        <v>3810</v>
      </c>
      <c r="I475" s="618" t="s">
        <v>470</v>
      </c>
      <c r="J475" s="618" t="s">
        <v>3810</v>
      </c>
      <c r="K475" s="618" t="s">
        <v>3914</v>
      </c>
      <c r="L475" s="618" t="s">
        <v>4043</v>
      </c>
      <c r="M475" s="619"/>
      <c r="N475" s="620"/>
      <c r="O475" s="620"/>
      <c r="P475" s="663" t="s">
        <v>1127</v>
      </c>
      <c r="Q475" s="621"/>
      <c r="R475" s="598"/>
      <c r="S475" s="598"/>
      <c r="T475" s="598"/>
      <c r="U475" s="598" t="s">
        <v>1015</v>
      </c>
      <c r="V475" s="663" t="s">
        <v>4379</v>
      </c>
      <c r="W475" s="779" t="s">
        <v>4380</v>
      </c>
      <c r="X475" s="598" t="s">
        <v>950</v>
      </c>
      <c r="Y475" s="624">
        <v>22315</v>
      </c>
      <c r="Z475" s="625">
        <f t="shared" ca="1" si="5"/>
        <v>64</v>
      </c>
      <c r="AA475" s="616" t="s">
        <v>4381</v>
      </c>
      <c r="AB475" s="598"/>
      <c r="AC475" s="598" t="s">
        <v>966</v>
      </c>
      <c r="AD475" s="598" t="s">
        <v>953</v>
      </c>
      <c r="AE475" s="616" t="s">
        <v>246</v>
      </c>
      <c r="AF475" s="616" t="s">
        <v>246</v>
      </c>
      <c r="AG475" s="616"/>
      <c r="AH475" s="598"/>
      <c r="AI475" s="598"/>
      <c r="AJ475" s="598" t="s">
        <v>1011</v>
      </c>
      <c r="AK475" s="598"/>
      <c r="AL475" s="626"/>
      <c r="AM475" s="626"/>
    </row>
    <row r="476" spans="3:39" ht="18" customHeight="1">
      <c r="C476" s="598">
        <v>456</v>
      </c>
      <c r="D476" s="598" t="s">
        <v>4018</v>
      </c>
      <c r="E476" s="598">
        <f t="shared" si="4"/>
        <v>429</v>
      </c>
      <c r="F476" s="616" t="s">
        <v>3808</v>
      </c>
      <c r="G476" s="616" t="s">
        <v>246</v>
      </c>
      <c r="H476" s="618" t="s">
        <v>3810</v>
      </c>
      <c r="I476" s="618" t="s">
        <v>470</v>
      </c>
      <c r="J476" s="618" t="s">
        <v>3810</v>
      </c>
      <c r="K476" s="618" t="s">
        <v>3914</v>
      </c>
      <c r="L476" s="618" t="s">
        <v>4043</v>
      </c>
      <c r="M476" s="619"/>
      <c r="N476" s="620"/>
      <c r="O476" s="620"/>
      <c r="P476" s="663" t="s">
        <v>1127</v>
      </c>
      <c r="Q476" s="621"/>
      <c r="R476" s="598"/>
      <c r="S476" s="598"/>
      <c r="T476" s="598"/>
      <c r="U476" s="598" t="s">
        <v>1015</v>
      </c>
      <c r="V476" s="663" t="s">
        <v>4019</v>
      </c>
      <c r="W476" s="779" t="s">
        <v>4020</v>
      </c>
      <c r="X476" s="598" t="s">
        <v>950</v>
      </c>
      <c r="Y476" s="624">
        <v>28525</v>
      </c>
      <c r="Z476" s="625">
        <f t="shared" ca="1" si="5"/>
        <v>47</v>
      </c>
      <c r="AA476" s="616" t="s">
        <v>4021</v>
      </c>
      <c r="AB476" s="598"/>
      <c r="AC476" s="598" t="s">
        <v>966</v>
      </c>
      <c r="AD476" s="598" t="s">
        <v>953</v>
      </c>
      <c r="AE476" s="616" t="s">
        <v>246</v>
      </c>
      <c r="AF476" s="616" t="s">
        <v>246</v>
      </c>
      <c r="AG476" s="616" t="s">
        <v>3815</v>
      </c>
      <c r="AH476" s="598"/>
      <c r="AI476" s="598"/>
      <c r="AJ476" s="598" t="s">
        <v>1440</v>
      </c>
      <c r="AK476" s="598"/>
      <c r="AL476" s="626"/>
      <c r="AM476" s="626"/>
    </row>
    <row r="477" spans="3:39" ht="18" customHeight="1">
      <c r="C477" s="598">
        <v>457</v>
      </c>
      <c r="D477" s="598" t="s">
        <v>4051</v>
      </c>
      <c r="E477" s="598">
        <f t="shared" si="4"/>
        <v>430</v>
      </c>
      <c r="F477" s="616" t="s">
        <v>3808</v>
      </c>
      <c r="G477" s="616" t="s">
        <v>246</v>
      </c>
      <c r="H477" s="618" t="s">
        <v>3810</v>
      </c>
      <c r="I477" s="618" t="s">
        <v>470</v>
      </c>
      <c r="J477" s="618" t="s">
        <v>3810</v>
      </c>
      <c r="K477" s="618" t="s">
        <v>3914</v>
      </c>
      <c r="L477" s="618" t="s">
        <v>4043</v>
      </c>
      <c r="M477" s="619"/>
      <c r="N477" s="620"/>
      <c r="O477" s="620"/>
      <c r="P477" s="663" t="s">
        <v>1127</v>
      </c>
      <c r="Q477" s="621"/>
      <c r="R477" s="598"/>
      <c r="S477" s="598"/>
      <c r="T477" s="598"/>
      <c r="U477" s="598" t="s">
        <v>1015</v>
      </c>
      <c r="V477" s="663" t="s">
        <v>4052</v>
      </c>
      <c r="W477" s="779" t="s">
        <v>4053</v>
      </c>
      <c r="X477" s="598" t="s">
        <v>950</v>
      </c>
      <c r="Y477" s="624">
        <v>32231</v>
      </c>
      <c r="Z477" s="625">
        <f t="shared" ca="1" si="5"/>
        <v>37</v>
      </c>
      <c r="AA477" s="616" t="s">
        <v>4054</v>
      </c>
      <c r="AB477" s="598"/>
      <c r="AC477" s="598" t="s">
        <v>996</v>
      </c>
      <c r="AD477" s="598" t="s">
        <v>997</v>
      </c>
      <c r="AE477" s="616" t="s">
        <v>246</v>
      </c>
      <c r="AF477" s="616" t="s">
        <v>246</v>
      </c>
      <c r="AG477" s="616"/>
      <c r="AH477" s="598"/>
      <c r="AI477" s="598"/>
      <c r="AJ477" s="598" t="s">
        <v>1440</v>
      </c>
      <c r="AK477" s="598"/>
      <c r="AL477" s="626"/>
      <c r="AM477" s="626"/>
    </row>
    <row r="478" spans="3:39" ht="18" customHeight="1">
      <c r="C478" s="598">
        <v>458</v>
      </c>
      <c r="D478" s="598" t="s">
        <v>4078</v>
      </c>
      <c r="E478" s="598">
        <f t="shared" si="4"/>
        <v>431</v>
      </c>
      <c r="F478" s="616" t="s">
        <v>3808</v>
      </c>
      <c r="G478" s="616" t="s">
        <v>246</v>
      </c>
      <c r="H478" s="618" t="s">
        <v>3810</v>
      </c>
      <c r="I478" s="618" t="s">
        <v>470</v>
      </c>
      <c r="J478" s="618" t="s">
        <v>3810</v>
      </c>
      <c r="K478" s="618" t="s">
        <v>3914</v>
      </c>
      <c r="L478" s="618" t="s">
        <v>4043</v>
      </c>
      <c r="M478" s="619"/>
      <c r="N478" s="620"/>
      <c r="O478" s="620"/>
      <c r="P478" s="663" t="s">
        <v>1127</v>
      </c>
      <c r="Q478" s="621"/>
      <c r="R478" s="598"/>
      <c r="S478" s="598"/>
      <c r="T478" s="598"/>
      <c r="U478" s="598" t="s">
        <v>1015</v>
      </c>
      <c r="V478" s="663" t="s">
        <v>504</v>
      </c>
      <c r="W478" s="779" t="s">
        <v>4079</v>
      </c>
      <c r="X478" s="598" t="s">
        <v>950</v>
      </c>
      <c r="Y478" s="624">
        <v>24589</v>
      </c>
      <c r="Z478" s="625">
        <f t="shared" ca="1" si="5"/>
        <v>58</v>
      </c>
      <c r="AA478" s="654" t="s">
        <v>4080</v>
      </c>
      <c r="AB478" s="598"/>
      <c r="AC478" s="598" t="s">
        <v>996</v>
      </c>
      <c r="AD478" s="598" t="s">
        <v>997</v>
      </c>
      <c r="AE478" s="616" t="s">
        <v>246</v>
      </c>
      <c r="AF478" s="616" t="s">
        <v>246</v>
      </c>
      <c r="AG478" s="616" t="s">
        <v>3815</v>
      </c>
      <c r="AH478" s="598"/>
      <c r="AI478" s="598"/>
      <c r="AJ478" s="598" t="s">
        <v>1349</v>
      </c>
      <c r="AK478" s="598"/>
      <c r="AL478" s="626"/>
      <c r="AM478" s="626"/>
    </row>
    <row r="479" spans="3:39" ht="18" customHeight="1">
      <c r="C479" s="598">
        <v>459</v>
      </c>
      <c r="D479" s="598" t="s">
        <v>4793</v>
      </c>
      <c r="E479" s="598">
        <f t="shared" si="4"/>
        <v>432</v>
      </c>
      <c r="F479" s="616" t="s">
        <v>3808</v>
      </c>
      <c r="G479" s="616" t="s">
        <v>246</v>
      </c>
      <c r="H479" s="618" t="s">
        <v>3810</v>
      </c>
      <c r="I479" s="618" t="s">
        <v>470</v>
      </c>
      <c r="J479" s="618" t="s">
        <v>3810</v>
      </c>
      <c r="K479" s="618" t="s">
        <v>3914</v>
      </c>
      <c r="L479" s="618" t="s">
        <v>4043</v>
      </c>
      <c r="M479" s="619"/>
      <c r="N479" s="620"/>
      <c r="O479" s="620"/>
      <c r="P479" s="663" t="s">
        <v>1127</v>
      </c>
      <c r="Q479" s="621"/>
      <c r="R479" s="598"/>
      <c r="S479" s="598"/>
      <c r="T479" s="598"/>
      <c r="U479" s="598" t="s">
        <v>1015</v>
      </c>
      <c r="V479" s="663" t="s">
        <v>4794</v>
      </c>
      <c r="W479" s="779" t="s">
        <v>4795</v>
      </c>
      <c r="X479" s="598" t="s">
        <v>950</v>
      </c>
      <c r="Y479" s="624">
        <v>25240</v>
      </c>
      <c r="Z479" s="625">
        <f t="shared" ca="1" si="5"/>
        <v>56</v>
      </c>
      <c r="AA479" s="616" t="s">
        <v>4796</v>
      </c>
      <c r="AB479" s="598"/>
      <c r="AC479" s="598" t="s">
        <v>996</v>
      </c>
      <c r="AD479" s="598" t="s">
        <v>1018</v>
      </c>
      <c r="AE479" s="616" t="s">
        <v>246</v>
      </c>
      <c r="AF479" s="616" t="s">
        <v>246</v>
      </c>
      <c r="AG479" s="616" t="s">
        <v>3815</v>
      </c>
      <c r="AH479" s="598"/>
      <c r="AI479" s="598" t="s">
        <v>4797</v>
      </c>
      <c r="AJ479" s="598" t="s">
        <v>1011</v>
      </c>
      <c r="AK479" s="598" t="s">
        <v>1020</v>
      </c>
      <c r="AL479" s="626"/>
      <c r="AM479" s="626"/>
    </row>
    <row r="480" spans="3:39" ht="18" customHeight="1">
      <c r="C480" s="598">
        <v>460</v>
      </c>
      <c r="D480" s="598" t="s">
        <v>4798</v>
      </c>
      <c r="E480" s="598">
        <f t="shared" si="4"/>
        <v>433</v>
      </c>
      <c r="F480" s="616" t="s">
        <v>3808</v>
      </c>
      <c r="G480" s="616" t="s">
        <v>246</v>
      </c>
      <c r="H480" s="618" t="s">
        <v>3810</v>
      </c>
      <c r="I480" s="618" t="s">
        <v>470</v>
      </c>
      <c r="J480" s="618" t="s">
        <v>3810</v>
      </c>
      <c r="K480" s="618" t="s">
        <v>3914</v>
      </c>
      <c r="L480" s="618" t="s">
        <v>4043</v>
      </c>
      <c r="M480" s="619"/>
      <c r="N480" s="620"/>
      <c r="O480" s="620"/>
      <c r="P480" s="663" t="s">
        <v>1127</v>
      </c>
      <c r="Q480" s="621"/>
      <c r="R480" s="598"/>
      <c r="S480" s="598"/>
      <c r="T480" s="598"/>
      <c r="U480" s="598" t="s">
        <v>1015</v>
      </c>
      <c r="V480" s="663" t="s">
        <v>4799</v>
      </c>
      <c r="W480" s="779" t="s">
        <v>4800</v>
      </c>
      <c r="X480" s="598" t="s">
        <v>950</v>
      </c>
      <c r="Y480" s="624">
        <v>26317</v>
      </c>
      <c r="Z480" s="625">
        <f t="shared" ca="1" si="5"/>
        <v>54</v>
      </c>
      <c r="AA480" s="616" t="s">
        <v>4801</v>
      </c>
      <c r="AB480" s="598"/>
      <c r="AC480" s="598" t="s">
        <v>996</v>
      </c>
      <c r="AD480" s="598" t="s">
        <v>1018</v>
      </c>
      <c r="AE480" s="616" t="s">
        <v>246</v>
      </c>
      <c r="AF480" s="616" t="s">
        <v>246</v>
      </c>
      <c r="AG480" s="616" t="s">
        <v>3815</v>
      </c>
      <c r="AH480" s="598"/>
      <c r="AI480" s="598" t="s">
        <v>4802</v>
      </c>
      <c r="AJ480" s="598" t="s">
        <v>1011</v>
      </c>
      <c r="AK480" s="598" t="s">
        <v>1020</v>
      </c>
      <c r="AL480" s="626"/>
      <c r="AM480" s="626"/>
    </row>
    <row r="481" spans="3:39" ht="18" customHeight="1">
      <c r="C481" s="598">
        <v>461</v>
      </c>
      <c r="D481" s="598" t="s">
        <v>4803</v>
      </c>
      <c r="E481" s="598">
        <f t="shared" si="4"/>
        <v>434</v>
      </c>
      <c r="F481" s="616" t="s">
        <v>3808</v>
      </c>
      <c r="G481" s="616" t="s">
        <v>246</v>
      </c>
      <c r="H481" s="618" t="s">
        <v>3810</v>
      </c>
      <c r="I481" s="618" t="s">
        <v>470</v>
      </c>
      <c r="J481" s="618" t="s">
        <v>3810</v>
      </c>
      <c r="K481" s="618" t="s">
        <v>3914</v>
      </c>
      <c r="L481" s="618" t="s">
        <v>4043</v>
      </c>
      <c r="M481" s="619"/>
      <c r="N481" s="620"/>
      <c r="O481" s="620"/>
      <c r="P481" s="673" t="s">
        <v>1127</v>
      </c>
      <c r="Q481" s="621"/>
      <c r="R481" s="598"/>
      <c r="S481" s="598"/>
      <c r="T481" s="598"/>
      <c r="U481" s="598" t="s">
        <v>1015</v>
      </c>
      <c r="V481" s="673" t="s">
        <v>4804</v>
      </c>
      <c r="W481" s="779" t="s">
        <v>4805</v>
      </c>
      <c r="X481" s="598" t="s">
        <v>950</v>
      </c>
      <c r="Y481" s="624">
        <v>22333</v>
      </c>
      <c r="Z481" s="625">
        <f t="shared" ca="1" si="5"/>
        <v>64</v>
      </c>
      <c r="AA481" s="616" t="s">
        <v>4806</v>
      </c>
      <c r="AB481" s="598"/>
      <c r="AC481" s="598" t="s">
        <v>996</v>
      </c>
      <c r="AD481" s="598" t="s">
        <v>1018</v>
      </c>
      <c r="AE481" s="616" t="s">
        <v>246</v>
      </c>
      <c r="AF481" s="616" t="s">
        <v>246</v>
      </c>
      <c r="AG481" s="616"/>
      <c r="AH481" s="598"/>
      <c r="AI481" s="598" t="s">
        <v>4807</v>
      </c>
      <c r="AJ481" s="598" t="s">
        <v>1440</v>
      </c>
      <c r="AK481" s="680" t="s">
        <v>4505</v>
      </c>
      <c r="AL481" s="626"/>
      <c r="AM481" s="626"/>
    </row>
    <row r="482" spans="3:39" ht="18" customHeight="1">
      <c r="C482" s="598">
        <v>462</v>
      </c>
      <c r="D482" s="598" t="s">
        <v>4161</v>
      </c>
      <c r="E482" s="598">
        <f t="shared" si="4"/>
        <v>434</v>
      </c>
      <c r="F482" s="616"/>
      <c r="G482" s="616" t="s">
        <v>4808</v>
      </c>
      <c r="H482" s="618" t="s">
        <v>3810</v>
      </c>
      <c r="I482" s="618" t="s">
        <v>499</v>
      </c>
      <c r="J482" s="618" t="s">
        <v>3811</v>
      </c>
      <c r="K482" s="618" t="s">
        <v>4161</v>
      </c>
      <c r="L482" s="618" t="s">
        <v>4408</v>
      </c>
      <c r="M482" s="619"/>
      <c r="N482" s="620"/>
      <c r="O482" s="620"/>
      <c r="P482" s="667" t="s">
        <v>2625</v>
      </c>
      <c r="Q482" s="621"/>
      <c r="R482" s="598" t="s">
        <v>55</v>
      </c>
      <c r="S482" s="598" t="s">
        <v>178</v>
      </c>
      <c r="T482" s="598"/>
      <c r="U482" s="598"/>
      <c r="V482" s="667" t="s">
        <v>484</v>
      </c>
      <c r="W482" s="779" t="s">
        <v>4162</v>
      </c>
      <c r="X482" s="598" t="s">
        <v>950</v>
      </c>
      <c r="Y482" s="624">
        <v>18523</v>
      </c>
      <c r="Z482" s="625">
        <f t="shared" ca="1" si="5"/>
        <v>75</v>
      </c>
      <c r="AA482" s="616" t="s">
        <v>4163</v>
      </c>
      <c r="AB482" s="598"/>
      <c r="AC482" s="598" t="s">
        <v>966</v>
      </c>
      <c r="AD482" s="598" t="s">
        <v>953</v>
      </c>
      <c r="AE482" s="616" t="s">
        <v>246</v>
      </c>
      <c r="AF482" s="616" t="s">
        <v>246</v>
      </c>
      <c r="AG482" s="616" t="s">
        <v>3815</v>
      </c>
      <c r="AH482" s="598" t="s">
        <v>955</v>
      </c>
      <c r="AI482" s="598"/>
      <c r="AJ482" s="598"/>
      <c r="AK482" s="598"/>
      <c r="AL482" s="626"/>
      <c r="AM482" s="626"/>
    </row>
    <row r="483" spans="3:39" ht="18" customHeight="1">
      <c r="C483" s="598">
        <v>463</v>
      </c>
      <c r="D483" s="598" t="s">
        <v>4408</v>
      </c>
      <c r="E483" s="598">
        <f t="shared" si="4"/>
        <v>435</v>
      </c>
      <c r="F483" s="616" t="s">
        <v>3808</v>
      </c>
      <c r="G483" s="616" t="s">
        <v>4808</v>
      </c>
      <c r="H483" s="618" t="s">
        <v>3810</v>
      </c>
      <c r="I483" s="618" t="s">
        <v>499</v>
      </c>
      <c r="J483" s="618" t="s">
        <v>3811</v>
      </c>
      <c r="K483" s="618" t="s">
        <v>4161</v>
      </c>
      <c r="L483" s="618" t="s">
        <v>4408</v>
      </c>
      <c r="M483" s="619"/>
      <c r="N483" s="620"/>
      <c r="O483" s="620"/>
      <c r="P483" s="663" t="s">
        <v>2625</v>
      </c>
      <c r="Q483" s="621"/>
      <c r="R483" s="598" t="s">
        <v>69</v>
      </c>
      <c r="S483" s="598" t="s">
        <v>562</v>
      </c>
      <c r="T483" s="598"/>
      <c r="U483" s="598" t="s">
        <v>1090</v>
      </c>
      <c r="V483" s="663" t="s">
        <v>515</v>
      </c>
      <c r="W483" s="779" t="s">
        <v>4414</v>
      </c>
      <c r="X483" s="598" t="s">
        <v>950</v>
      </c>
      <c r="Y483" s="624">
        <v>19573</v>
      </c>
      <c r="Z483" s="625">
        <f t="shared" ca="1" si="5"/>
        <v>72</v>
      </c>
      <c r="AA483" s="616" t="s">
        <v>4415</v>
      </c>
      <c r="AB483" s="598"/>
      <c r="AC483" s="598" t="s">
        <v>996</v>
      </c>
      <c r="AD483" s="598" t="s">
        <v>953</v>
      </c>
      <c r="AE483" s="616" t="s">
        <v>246</v>
      </c>
      <c r="AF483" s="616" t="s">
        <v>246</v>
      </c>
      <c r="AG483" s="616" t="s">
        <v>4417</v>
      </c>
      <c r="AH483" s="598"/>
      <c r="AI483" s="598"/>
      <c r="AJ483" s="598" t="s">
        <v>1025</v>
      </c>
      <c r="AK483" s="598"/>
      <c r="AL483" s="626"/>
      <c r="AM483" s="626"/>
    </row>
    <row r="484" spans="3:39" ht="18" customHeight="1">
      <c r="C484" s="598">
        <v>464</v>
      </c>
      <c r="D484" s="598" t="s">
        <v>3928</v>
      </c>
      <c r="E484" s="598">
        <f t="shared" si="4"/>
        <v>436</v>
      </c>
      <c r="F484" s="616" t="s">
        <v>3808</v>
      </c>
      <c r="G484" s="616" t="s">
        <v>4808</v>
      </c>
      <c r="H484" s="618" t="s">
        <v>3810</v>
      </c>
      <c r="I484" s="618" t="s">
        <v>499</v>
      </c>
      <c r="J484" s="618" t="s">
        <v>3811</v>
      </c>
      <c r="K484" s="618" t="s">
        <v>4161</v>
      </c>
      <c r="L484" s="618" t="s">
        <v>4408</v>
      </c>
      <c r="M484" s="619"/>
      <c r="N484" s="620"/>
      <c r="O484" s="620"/>
      <c r="P484" s="663" t="s">
        <v>2625</v>
      </c>
      <c r="Q484" s="621"/>
      <c r="R484" s="598"/>
      <c r="S484" s="598"/>
      <c r="T484" s="598"/>
      <c r="U484" s="598" t="s">
        <v>1090</v>
      </c>
      <c r="V484" s="663" t="s">
        <v>523</v>
      </c>
      <c r="W484" s="779" t="s">
        <v>3929</v>
      </c>
      <c r="X484" s="598" t="s">
        <v>950</v>
      </c>
      <c r="Y484" s="624">
        <v>19429</v>
      </c>
      <c r="Z484" s="625">
        <f t="shared" ca="1" si="5"/>
        <v>72</v>
      </c>
      <c r="AA484" s="616" t="s">
        <v>3930</v>
      </c>
      <c r="AB484" s="598"/>
      <c r="AC484" s="598" t="s">
        <v>996</v>
      </c>
      <c r="AD484" s="598" t="s">
        <v>953</v>
      </c>
      <c r="AE484" s="616" t="s">
        <v>246</v>
      </c>
      <c r="AF484" s="616" t="s">
        <v>246</v>
      </c>
      <c r="AG484" s="616" t="s">
        <v>3932</v>
      </c>
      <c r="AH484" s="598"/>
      <c r="AI484" s="598"/>
      <c r="AJ484" s="598" t="s">
        <v>1025</v>
      </c>
      <c r="AK484" s="598"/>
      <c r="AL484" s="626"/>
      <c r="AM484" s="626"/>
    </row>
    <row r="485" spans="3:39" ht="18" customHeight="1">
      <c r="C485" s="598">
        <v>465</v>
      </c>
      <c r="D485" s="598" t="s">
        <v>4069</v>
      </c>
      <c r="E485" s="598">
        <f t="shared" si="4"/>
        <v>437</v>
      </c>
      <c r="F485" s="616" t="s">
        <v>3808</v>
      </c>
      <c r="G485" s="616" t="s">
        <v>4808</v>
      </c>
      <c r="H485" s="618" t="s">
        <v>3810</v>
      </c>
      <c r="I485" s="618" t="s">
        <v>499</v>
      </c>
      <c r="J485" s="618" t="s">
        <v>3811</v>
      </c>
      <c r="K485" s="618" t="s">
        <v>4161</v>
      </c>
      <c r="L485" s="618" t="s">
        <v>4408</v>
      </c>
      <c r="M485" s="619"/>
      <c r="N485" s="620"/>
      <c r="O485" s="620"/>
      <c r="P485" s="663" t="s">
        <v>2625</v>
      </c>
      <c r="Q485" s="621"/>
      <c r="R485" s="598"/>
      <c r="S485" s="598"/>
      <c r="T485" s="598"/>
      <c r="U485" s="598" t="s">
        <v>1090</v>
      </c>
      <c r="V485" s="663" t="s">
        <v>531</v>
      </c>
      <c r="W485" s="779" t="s">
        <v>4070</v>
      </c>
      <c r="X485" s="598" t="s">
        <v>950</v>
      </c>
      <c r="Y485" s="624">
        <v>19754</v>
      </c>
      <c r="Z485" s="625">
        <f t="shared" ca="1" si="5"/>
        <v>72</v>
      </c>
      <c r="AA485" s="616" t="s">
        <v>4071</v>
      </c>
      <c r="AB485" s="598"/>
      <c r="AC485" s="598" t="s">
        <v>966</v>
      </c>
      <c r="AD485" s="598" t="s">
        <v>953</v>
      </c>
      <c r="AE485" s="616" t="s">
        <v>246</v>
      </c>
      <c r="AF485" s="616" t="s">
        <v>246</v>
      </c>
      <c r="AG485" s="616" t="s">
        <v>4809</v>
      </c>
      <c r="AH485" s="598"/>
      <c r="AI485" s="598"/>
      <c r="AJ485" s="598" t="s">
        <v>1025</v>
      </c>
      <c r="AK485" s="598"/>
      <c r="AL485" s="626"/>
      <c r="AM485" s="626"/>
    </row>
    <row r="486" spans="3:39" ht="18" customHeight="1">
      <c r="C486" s="598">
        <v>466</v>
      </c>
      <c r="D486" s="598" t="s">
        <v>4023</v>
      </c>
      <c r="E486" s="598">
        <f t="shared" si="4"/>
        <v>438</v>
      </c>
      <c r="F486" s="616" t="s">
        <v>3808</v>
      </c>
      <c r="G486" s="616" t="s">
        <v>4808</v>
      </c>
      <c r="H486" s="618" t="s">
        <v>3810</v>
      </c>
      <c r="I486" s="618" t="s">
        <v>499</v>
      </c>
      <c r="J486" s="618" t="s">
        <v>3811</v>
      </c>
      <c r="K486" s="618" t="s">
        <v>4161</v>
      </c>
      <c r="L486" s="618" t="s">
        <v>4408</v>
      </c>
      <c r="M486" s="619"/>
      <c r="N486" s="620"/>
      <c r="O486" s="620"/>
      <c r="P486" s="663" t="s">
        <v>2625</v>
      </c>
      <c r="Q486" s="621"/>
      <c r="R486" s="598"/>
      <c r="S486" s="598"/>
      <c r="T486" s="598"/>
      <c r="U486" s="598" t="s">
        <v>1015</v>
      </c>
      <c r="V486" s="663" t="s">
        <v>539</v>
      </c>
      <c r="W486" s="779" t="s">
        <v>4024</v>
      </c>
      <c r="X486" s="598" t="s">
        <v>950</v>
      </c>
      <c r="Y486" s="624">
        <v>27624</v>
      </c>
      <c r="Z486" s="625">
        <f t="shared" ca="1" si="5"/>
        <v>50</v>
      </c>
      <c r="AA486" s="616" t="s">
        <v>4025</v>
      </c>
      <c r="AB486" s="598"/>
      <c r="AC486" s="598" t="s">
        <v>996</v>
      </c>
      <c r="AD486" s="598" t="s">
        <v>953</v>
      </c>
      <c r="AE486" s="616" t="s">
        <v>246</v>
      </c>
      <c r="AF486" s="616" t="s">
        <v>246</v>
      </c>
      <c r="AG486" s="616" t="s">
        <v>3815</v>
      </c>
      <c r="AH486" s="598"/>
      <c r="AI486" s="598" t="s">
        <v>4027</v>
      </c>
      <c r="AJ486" s="598"/>
      <c r="AK486" s="598"/>
      <c r="AL486" s="626"/>
      <c r="AM486" s="626"/>
    </row>
    <row r="487" spans="3:39" ht="18" customHeight="1">
      <c r="C487" s="598">
        <v>467</v>
      </c>
      <c r="D487" s="598" t="s">
        <v>4073</v>
      </c>
      <c r="E487" s="598">
        <f t="shared" si="4"/>
        <v>439</v>
      </c>
      <c r="F487" s="616" t="s">
        <v>3808</v>
      </c>
      <c r="G487" s="616" t="s">
        <v>4808</v>
      </c>
      <c r="H487" s="618" t="s">
        <v>3810</v>
      </c>
      <c r="I487" s="618" t="s">
        <v>499</v>
      </c>
      <c r="J487" s="618" t="s">
        <v>3811</v>
      </c>
      <c r="K487" s="618" t="s">
        <v>4161</v>
      </c>
      <c r="L487" s="618" t="s">
        <v>4408</v>
      </c>
      <c r="M487" s="619"/>
      <c r="N487" s="620"/>
      <c r="O487" s="620"/>
      <c r="P487" s="663" t="s">
        <v>2625</v>
      </c>
      <c r="Q487" s="621"/>
      <c r="R487" s="598"/>
      <c r="S487" s="598"/>
      <c r="T487" s="598"/>
      <c r="U487" s="598" t="s">
        <v>1015</v>
      </c>
      <c r="V487" s="663" t="s">
        <v>4074</v>
      </c>
      <c r="W487" s="779" t="s">
        <v>4075</v>
      </c>
      <c r="X487" s="598" t="s">
        <v>950</v>
      </c>
      <c r="Y487" s="624">
        <v>31364</v>
      </c>
      <c r="Z487" s="625">
        <f t="shared" ca="1" si="5"/>
        <v>40</v>
      </c>
      <c r="AA487" s="616" t="s">
        <v>4076</v>
      </c>
      <c r="AB487" s="598"/>
      <c r="AC487" s="598" t="s">
        <v>996</v>
      </c>
      <c r="AD487" s="598" t="s">
        <v>1018</v>
      </c>
      <c r="AE487" s="616" t="s">
        <v>246</v>
      </c>
      <c r="AF487" s="616" t="s">
        <v>2934</v>
      </c>
      <c r="AG487" s="616" t="s">
        <v>2069</v>
      </c>
      <c r="AH487" s="598"/>
      <c r="AI487" s="598"/>
      <c r="AJ487" s="598" t="s">
        <v>1440</v>
      </c>
      <c r="AK487" s="598"/>
      <c r="AL487" s="626"/>
      <c r="AM487" s="626"/>
    </row>
    <row r="488" spans="3:39" ht="18" customHeight="1">
      <c r="C488" s="598">
        <v>468</v>
      </c>
      <c r="D488" s="598" t="s">
        <v>3967</v>
      </c>
      <c r="E488" s="598">
        <f t="shared" si="4"/>
        <v>440</v>
      </c>
      <c r="F488" s="616" t="s">
        <v>3808</v>
      </c>
      <c r="G488" s="616" t="s">
        <v>4808</v>
      </c>
      <c r="H488" s="618" t="s">
        <v>3810</v>
      </c>
      <c r="I488" s="618" t="s">
        <v>499</v>
      </c>
      <c r="J488" s="618" t="s">
        <v>3811</v>
      </c>
      <c r="K488" s="618" t="s">
        <v>4161</v>
      </c>
      <c r="L488" s="618" t="s">
        <v>4408</v>
      </c>
      <c r="M488" s="619"/>
      <c r="N488" s="620"/>
      <c r="O488" s="620"/>
      <c r="P488" s="663" t="s">
        <v>2625</v>
      </c>
      <c r="Q488" s="621"/>
      <c r="R488" s="598"/>
      <c r="S488" s="598"/>
      <c r="T488" s="598"/>
      <c r="U488" s="598" t="s">
        <v>1015</v>
      </c>
      <c r="V488" s="663" t="s">
        <v>3968</v>
      </c>
      <c r="W488" s="779" t="s">
        <v>3969</v>
      </c>
      <c r="X488" s="598" t="s">
        <v>950</v>
      </c>
      <c r="Y488" s="624">
        <v>21555</v>
      </c>
      <c r="Z488" s="625">
        <f t="shared" ca="1" si="5"/>
        <v>67</v>
      </c>
      <c r="AA488" s="616" t="s">
        <v>3970</v>
      </c>
      <c r="AB488" s="598"/>
      <c r="AC488" s="598" t="s">
        <v>966</v>
      </c>
      <c r="AD488" s="598" t="s">
        <v>953</v>
      </c>
      <c r="AE488" s="616" t="s">
        <v>246</v>
      </c>
      <c r="AF488" s="616" t="s">
        <v>246</v>
      </c>
      <c r="AG488" s="616" t="s">
        <v>3815</v>
      </c>
      <c r="AH488" s="598"/>
      <c r="AI488" s="598"/>
      <c r="AJ488" s="598" t="s">
        <v>1025</v>
      </c>
      <c r="AK488" s="598"/>
      <c r="AL488" s="626"/>
      <c r="AM488" s="626"/>
    </row>
    <row r="489" spans="3:39" ht="18" customHeight="1">
      <c r="C489" s="598">
        <v>469</v>
      </c>
      <c r="D489" s="598" t="s">
        <v>3972</v>
      </c>
      <c r="E489" s="598">
        <f t="shared" si="4"/>
        <v>441</v>
      </c>
      <c r="F489" s="616" t="s">
        <v>3808</v>
      </c>
      <c r="G489" s="616" t="s">
        <v>4808</v>
      </c>
      <c r="H489" s="618" t="s">
        <v>3810</v>
      </c>
      <c r="I489" s="618" t="s">
        <v>499</v>
      </c>
      <c r="J489" s="618" t="s">
        <v>3811</v>
      </c>
      <c r="K489" s="618" t="s">
        <v>4161</v>
      </c>
      <c r="L489" s="618" t="s">
        <v>4408</v>
      </c>
      <c r="M489" s="619"/>
      <c r="N489" s="620"/>
      <c r="O489" s="620"/>
      <c r="P489" s="663" t="s">
        <v>2625</v>
      </c>
      <c r="Q489" s="621"/>
      <c r="R489" s="598"/>
      <c r="S489" s="598"/>
      <c r="T489" s="598"/>
      <c r="U489" s="598" t="s">
        <v>1015</v>
      </c>
      <c r="V489" s="663" t="s">
        <v>558</v>
      </c>
      <c r="W489" s="779" t="s">
        <v>3973</v>
      </c>
      <c r="X489" s="598" t="s">
        <v>950</v>
      </c>
      <c r="Y489" s="624">
        <v>21988</v>
      </c>
      <c r="Z489" s="625">
        <f t="shared" ca="1" si="5"/>
        <v>65</v>
      </c>
      <c r="AA489" s="616" t="s">
        <v>3974</v>
      </c>
      <c r="AB489" s="598"/>
      <c r="AC489" s="598" t="s">
        <v>996</v>
      </c>
      <c r="AD489" s="598" t="s">
        <v>1018</v>
      </c>
      <c r="AE489" s="616" t="s">
        <v>246</v>
      </c>
      <c r="AF489" s="616" t="s">
        <v>246</v>
      </c>
      <c r="AG489" s="616" t="s">
        <v>3815</v>
      </c>
      <c r="AH489" s="598"/>
      <c r="AI489" s="598"/>
      <c r="AJ489" s="598" t="s">
        <v>1025</v>
      </c>
      <c r="AK489" s="598"/>
      <c r="AL489" s="626"/>
      <c r="AM489" s="626"/>
    </row>
    <row r="490" spans="3:39" ht="18" customHeight="1">
      <c r="C490" s="598">
        <v>470</v>
      </c>
      <c r="D490" s="598" t="s">
        <v>4810</v>
      </c>
      <c r="E490" s="598">
        <f t="shared" si="4"/>
        <v>442</v>
      </c>
      <c r="F490" s="616" t="s">
        <v>3808</v>
      </c>
      <c r="G490" s="616" t="s">
        <v>4808</v>
      </c>
      <c r="H490" s="618" t="s">
        <v>3810</v>
      </c>
      <c r="I490" s="618" t="s">
        <v>499</v>
      </c>
      <c r="J490" s="618" t="s">
        <v>3811</v>
      </c>
      <c r="K490" s="618" t="s">
        <v>4161</v>
      </c>
      <c r="L490" s="618" t="s">
        <v>4408</v>
      </c>
      <c r="M490" s="619"/>
      <c r="N490" s="620"/>
      <c r="O490" s="620"/>
      <c r="P490" s="663" t="s">
        <v>2625</v>
      </c>
      <c r="Q490" s="621"/>
      <c r="R490" s="598"/>
      <c r="S490" s="598"/>
      <c r="T490" s="598"/>
      <c r="U490" s="598" t="s">
        <v>1090</v>
      </c>
      <c r="V490" s="663" t="s">
        <v>4811</v>
      </c>
      <c r="W490" s="779" t="s">
        <v>4812</v>
      </c>
      <c r="X490" s="598" t="s">
        <v>950</v>
      </c>
      <c r="Y490" s="624">
        <v>18799</v>
      </c>
      <c r="Z490" s="625">
        <f t="shared" ca="1" si="5"/>
        <v>74</v>
      </c>
      <c r="AA490" s="616" t="s">
        <v>4813</v>
      </c>
      <c r="AB490" s="598"/>
      <c r="AC490" s="598" t="s">
        <v>996</v>
      </c>
      <c r="AD490" s="598" t="s">
        <v>953</v>
      </c>
      <c r="AE490" s="616" t="s">
        <v>246</v>
      </c>
      <c r="AF490" s="616" t="s">
        <v>246</v>
      </c>
      <c r="AG490" s="616" t="s">
        <v>3932</v>
      </c>
      <c r="AH490" s="598"/>
      <c r="AI490" s="598" t="s">
        <v>4815</v>
      </c>
      <c r="AJ490" s="598" t="s">
        <v>1025</v>
      </c>
      <c r="AK490" s="598" t="s">
        <v>1020</v>
      </c>
      <c r="AL490" s="626"/>
      <c r="AM490" s="626"/>
    </row>
    <row r="491" spans="3:39" ht="18" customHeight="1">
      <c r="C491" s="598">
        <v>471</v>
      </c>
      <c r="D491" s="598" t="s">
        <v>4816</v>
      </c>
      <c r="E491" s="598">
        <f t="shared" si="4"/>
        <v>443</v>
      </c>
      <c r="F491" s="616" t="s">
        <v>3808</v>
      </c>
      <c r="G491" s="616" t="s">
        <v>4808</v>
      </c>
      <c r="H491" s="618" t="s">
        <v>3810</v>
      </c>
      <c r="I491" s="618" t="s">
        <v>499</v>
      </c>
      <c r="J491" s="618" t="s">
        <v>3811</v>
      </c>
      <c r="K491" s="618" t="s">
        <v>4161</v>
      </c>
      <c r="L491" s="618" t="s">
        <v>4408</v>
      </c>
      <c r="M491" s="619"/>
      <c r="N491" s="620"/>
      <c r="O491" s="620"/>
      <c r="P491" s="663" t="s">
        <v>2625</v>
      </c>
      <c r="Q491" s="621"/>
      <c r="R491" s="598"/>
      <c r="S491" s="598"/>
      <c r="T491" s="598"/>
      <c r="U491" s="598" t="s">
        <v>1090</v>
      </c>
      <c r="V491" s="663" t="s">
        <v>4817</v>
      </c>
      <c r="W491" s="779" t="s">
        <v>4818</v>
      </c>
      <c r="X491" s="598" t="s">
        <v>950</v>
      </c>
      <c r="Y491" s="624">
        <v>19719</v>
      </c>
      <c r="Z491" s="625">
        <f t="shared" ca="1" si="5"/>
        <v>72</v>
      </c>
      <c r="AA491" s="616" t="s">
        <v>4819</v>
      </c>
      <c r="AB491" s="598"/>
      <c r="AC491" s="598" t="s">
        <v>996</v>
      </c>
      <c r="AD491" s="598" t="s">
        <v>1018</v>
      </c>
      <c r="AE491" s="616" t="s">
        <v>246</v>
      </c>
      <c r="AF491" s="616" t="s">
        <v>246</v>
      </c>
      <c r="AG491" s="616" t="s">
        <v>4809</v>
      </c>
      <c r="AH491" s="598"/>
      <c r="AI491" s="598" t="s">
        <v>4821</v>
      </c>
      <c r="AJ491" s="598" t="s">
        <v>1025</v>
      </c>
      <c r="AK491" s="598" t="s">
        <v>1020</v>
      </c>
      <c r="AL491" s="626"/>
      <c r="AM491" s="626"/>
    </row>
    <row r="492" spans="3:39" ht="18" customHeight="1">
      <c r="C492" s="598">
        <v>472</v>
      </c>
      <c r="D492" s="598" t="s">
        <v>4822</v>
      </c>
      <c r="E492" s="598">
        <f t="shared" si="4"/>
        <v>444</v>
      </c>
      <c r="F492" s="616" t="s">
        <v>3808</v>
      </c>
      <c r="G492" s="616" t="s">
        <v>4808</v>
      </c>
      <c r="H492" s="618" t="s">
        <v>3810</v>
      </c>
      <c r="I492" s="618" t="s">
        <v>499</v>
      </c>
      <c r="J492" s="618" t="s">
        <v>3811</v>
      </c>
      <c r="K492" s="618" t="s">
        <v>4161</v>
      </c>
      <c r="L492" s="618" t="s">
        <v>4408</v>
      </c>
      <c r="M492" s="619"/>
      <c r="N492" s="620"/>
      <c r="O492" s="620"/>
      <c r="P492" s="673" t="s">
        <v>2625</v>
      </c>
      <c r="Q492" s="621"/>
      <c r="R492" s="598"/>
      <c r="S492" s="598"/>
      <c r="T492" s="598"/>
      <c r="U492" s="598" t="s">
        <v>1015</v>
      </c>
      <c r="V492" s="673" t="s">
        <v>573</v>
      </c>
      <c r="W492" s="779" t="s">
        <v>4823</v>
      </c>
      <c r="X492" s="598" t="s">
        <v>950</v>
      </c>
      <c r="Y492" s="624">
        <v>23913</v>
      </c>
      <c r="Z492" s="625">
        <f t="shared" ca="1" si="5"/>
        <v>60</v>
      </c>
      <c r="AA492" s="616" t="s">
        <v>4824</v>
      </c>
      <c r="AB492" s="598"/>
      <c r="AC492" s="598" t="s">
        <v>996</v>
      </c>
      <c r="AD492" s="598" t="s">
        <v>1018</v>
      </c>
      <c r="AE492" s="616" t="s">
        <v>246</v>
      </c>
      <c r="AF492" s="616" t="s">
        <v>246</v>
      </c>
      <c r="AG492" s="616" t="s">
        <v>3815</v>
      </c>
      <c r="AH492" s="598"/>
      <c r="AI492" s="598" t="s">
        <v>4826</v>
      </c>
      <c r="AJ492" s="598" t="s">
        <v>1025</v>
      </c>
      <c r="AK492" s="598" t="s">
        <v>1020</v>
      </c>
      <c r="AL492" s="626"/>
      <c r="AM492" s="626"/>
    </row>
    <row r="493" spans="3:39" ht="18" customHeight="1">
      <c r="C493" s="598">
        <v>473</v>
      </c>
      <c r="D493" s="598" t="s">
        <v>4161</v>
      </c>
      <c r="E493" s="598">
        <f t="shared" si="4"/>
        <v>444</v>
      </c>
      <c r="F493" s="616"/>
      <c r="G493" s="616" t="s">
        <v>4808</v>
      </c>
      <c r="H493" s="618" t="s">
        <v>3810</v>
      </c>
      <c r="I493" s="618" t="s">
        <v>499</v>
      </c>
      <c r="J493" s="618" t="s">
        <v>3811</v>
      </c>
      <c r="K493" s="618" t="s">
        <v>4161</v>
      </c>
      <c r="L493" s="618" t="s">
        <v>959</v>
      </c>
      <c r="M493" s="619"/>
      <c r="N493" s="620"/>
      <c r="O493" s="620"/>
      <c r="P493" s="667" t="s">
        <v>2668</v>
      </c>
      <c r="Q493" s="621"/>
      <c r="R493" s="598" t="s">
        <v>55</v>
      </c>
      <c r="S493" s="598" t="s">
        <v>178</v>
      </c>
      <c r="T493" s="598"/>
      <c r="U493" s="598"/>
      <c r="V493" s="667" t="s">
        <v>484</v>
      </c>
      <c r="W493" s="779" t="s">
        <v>4162</v>
      </c>
      <c r="X493" s="598" t="s">
        <v>950</v>
      </c>
      <c r="Y493" s="624">
        <v>18523</v>
      </c>
      <c r="Z493" s="625">
        <f t="shared" ca="1" si="5"/>
        <v>75</v>
      </c>
      <c r="AA493" s="616" t="s">
        <v>4163</v>
      </c>
      <c r="AB493" s="598"/>
      <c r="AC493" s="598" t="s">
        <v>966</v>
      </c>
      <c r="AD493" s="598" t="s">
        <v>953</v>
      </c>
      <c r="AE493" s="616" t="s">
        <v>246</v>
      </c>
      <c r="AF493" s="616" t="s">
        <v>246</v>
      </c>
      <c r="AG493" s="616" t="s">
        <v>3815</v>
      </c>
      <c r="AH493" s="598" t="s">
        <v>955</v>
      </c>
      <c r="AI493" s="598"/>
      <c r="AJ493" s="598"/>
      <c r="AK493" s="598"/>
      <c r="AL493" s="626"/>
      <c r="AM493" s="626"/>
    </row>
    <row r="494" spans="3:39" ht="18" customHeight="1">
      <c r="C494" s="598">
        <v>474</v>
      </c>
      <c r="D494" s="598" t="s">
        <v>3937</v>
      </c>
      <c r="E494" s="598">
        <f t="shared" si="4"/>
        <v>445</v>
      </c>
      <c r="F494" s="616" t="s">
        <v>4978</v>
      </c>
      <c r="G494" s="616" t="s">
        <v>4808</v>
      </c>
      <c r="H494" s="618" t="s">
        <v>3810</v>
      </c>
      <c r="I494" s="618" t="s">
        <v>499</v>
      </c>
      <c r="J494" s="618" t="s">
        <v>3811</v>
      </c>
      <c r="K494" s="618" t="s">
        <v>4161</v>
      </c>
      <c r="L494" s="618" t="s">
        <v>959</v>
      </c>
      <c r="M494" s="619"/>
      <c r="N494" s="620"/>
      <c r="O494" s="620"/>
      <c r="P494" s="663" t="s">
        <v>2668</v>
      </c>
      <c r="Q494" s="621" t="s">
        <v>319</v>
      </c>
      <c r="R494" s="598"/>
      <c r="S494" s="598"/>
      <c r="T494" s="598"/>
      <c r="U494" s="598" t="s">
        <v>1090</v>
      </c>
      <c r="V494" s="663" t="s">
        <v>516</v>
      </c>
      <c r="W494" s="779" t="s">
        <v>3938</v>
      </c>
      <c r="X494" s="598" t="s">
        <v>950</v>
      </c>
      <c r="Y494" s="624">
        <v>19948</v>
      </c>
      <c r="Z494" s="625">
        <f t="shared" ca="1" si="5"/>
        <v>71</v>
      </c>
      <c r="AA494" s="616" t="s">
        <v>3939</v>
      </c>
      <c r="AB494" s="598"/>
      <c r="AC494" s="598" t="s">
        <v>996</v>
      </c>
      <c r="AD494" s="598" t="s">
        <v>997</v>
      </c>
      <c r="AE494" s="616" t="s">
        <v>246</v>
      </c>
      <c r="AF494" s="633" t="s">
        <v>246</v>
      </c>
      <c r="AG494" s="633" t="s">
        <v>3815</v>
      </c>
      <c r="AH494" s="598"/>
      <c r="AI494" s="598"/>
      <c r="AJ494" s="598" t="s">
        <v>1318</v>
      </c>
      <c r="AK494" s="598"/>
      <c r="AL494" s="626"/>
      <c r="AM494" s="626"/>
    </row>
    <row r="495" spans="3:39" ht="18" customHeight="1">
      <c r="C495" s="598">
        <v>475</v>
      </c>
      <c r="D495" s="598" t="s">
        <v>2503</v>
      </c>
      <c r="E495" s="598">
        <f t="shared" si="4"/>
        <v>446</v>
      </c>
      <c r="F495" s="616" t="s">
        <v>4978</v>
      </c>
      <c r="G495" s="616" t="s">
        <v>4808</v>
      </c>
      <c r="H495" s="618" t="s">
        <v>3810</v>
      </c>
      <c r="I495" s="618" t="s">
        <v>499</v>
      </c>
      <c r="J495" s="618" t="s">
        <v>3811</v>
      </c>
      <c r="K495" s="618" t="s">
        <v>4161</v>
      </c>
      <c r="L495" s="618" t="s">
        <v>959</v>
      </c>
      <c r="M495" s="619"/>
      <c r="N495" s="620"/>
      <c r="O495" s="620"/>
      <c r="P495" s="663" t="s">
        <v>2668</v>
      </c>
      <c r="Q495" s="621" t="s">
        <v>319</v>
      </c>
      <c r="R495" s="598"/>
      <c r="S495" s="598"/>
      <c r="T495" s="598"/>
      <c r="U495" s="598" t="s">
        <v>1015</v>
      </c>
      <c r="V495" s="663" t="s">
        <v>524</v>
      </c>
      <c r="W495" s="779" t="s">
        <v>2504</v>
      </c>
      <c r="X495" s="598" t="s">
        <v>950</v>
      </c>
      <c r="Y495" s="624">
        <v>20806</v>
      </c>
      <c r="Z495" s="625">
        <f t="shared" ca="1" si="5"/>
        <v>69</v>
      </c>
      <c r="AA495" s="616" t="s">
        <v>2505</v>
      </c>
      <c r="AB495" s="598"/>
      <c r="AC495" s="598" t="s">
        <v>996</v>
      </c>
      <c r="AD495" s="598" t="s">
        <v>1018</v>
      </c>
      <c r="AE495" s="616" t="s">
        <v>729</v>
      </c>
      <c r="AF495" s="616" t="s">
        <v>729</v>
      </c>
      <c r="AG495" s="616" t="s">
        <v>2507</v>
      </c>
      <c r="AH495" s="598"/>
      <c r="AI495" s="598"/>
      <c r="AJ495" s="598" t="s">
        <v>1318</v>
      </c>
      <c r="AK495" s="598"/>
      <c r="AL495" s="626"/>
      <c r="AM495" s="626"/>
    </row>
    <row r="496" spans="3:39" ht="18" customHeight="1">
      <c r="C496" s="598">
        <v>476</v>
      </c>
      <c r="D496" s="598" t="s">
        <v>3976</v>
      </c>
      <c r="E496" s="598">
        <f t="shared" si="4"/>
        <v>447</v>
      </c>
      <c r="F496" s="616" t="s">
        <v>4978</v>
      </c>
      <c r="G496" s="616" t="s">
        <v>4808</v>
      </c>
      <c r="H496" s="618" t="s">
        <v>3810</v>
      </c>
      <c r="I496" s="618" t="s">
        <v>499</v>
      </c>
      <c r="J496" s="618" t="s">
        <v>3811</v>
      </c>
      <c r="K496" s="618" t="s">
        <v>4161</v>
      </c>
      <c r="L496" s="618" t="s">
        <v>959</v>
      </c>
      <c r="M496" s="619"/>
      <c r="N496" s="620"/>
      <c r="O496" s="620"/>
      <c r="P496" s="663" t="s">
        <v>2668</v>
      </c>
      <c r="Q496" s="621" t="s">
        <v>319</v>
      </c>
      <c r="R496" s="598"/>
      <c r="S496" s="598"/>
      <c r="T496" s="598"/>
      <c r="U496" s="598" t="s">
        <v>1015</v>
      </c>
      <c r="V496" s="663" t="s">
        <v>532</v>
      </c>
      <c r="W496" s="779" t="s">
        <v>3977</v>
      </c>
      <c r="X496" s="598" t="s">
        <v>950</v>
      </c>
      <c r="Y496" s="624">
        <v>21342</v>
      </c>
      <c r="Z496" s="625">
        <f t="shared" ca="1" si="5"/>
        <v>67</v>
      </c>
      <c r="AA496" s="616" t="s">
        <v>3978</v>
      </c>
      <c r="AB496" s="598"/>
      <c r="AC496" s="598" t="s">
        <v>996</v>
      </c>
      <c r="AD496" s="598" t="s">
        <v>997</v>
      </c>
      <c r="AE496" s="616" t="s">
        <v>246</v>
      </c>
      <c r="AF496" s="633" t="s">
        <v>246</v>
      </c>
      <c r="AG496" s="633" t="s">
        <v>3815</v>
      </c>
      <c r="AH496" s="598"/>
      <c r="AI496" s="598"/>
      <c r="AJ496" s="598" t="s">
        <v>1318</v>
      </c>
      <c r="AK496" s="598"/>
      <c r="AL496" s="626"/>
      <c r="AM496" s="626"/>
    </row>
    <row r="497" spans="3:39" ht="18" customHeight="1">
      <c r="C497" s="598">
        <v>477</v>
      </c>
      <c r="D497" s="598" t="s">
        <v>3955</v>
      </c>
      <c r="E497" s="598">
        <f t="shared" si="4"/>
        <v>448</v>
      </c>
      <c r="F497" s="616" t="s">
        <v>4978</v>
      </c>
      <c r="G497" s="616" t="s">
        <v>4808</v>
      </c>
      <c r="H497" s="618" t="s">
        <v>3810</v>
      </c>
      <c r="I497" s="618" t="s">
        <v>499</v>
      </c>
      <c r="J497" s="618" t="s">
        <v>3811</v>
      </c>
      <c r="K497" s="618" t="s">
        <v>4161</v>
      </c>
      <c r="L497" s="618" t="s">
        <v>959</v>
      </c>
      <c r="M497" s="619"/>
      <c r="N497" s="620"/>
      <c r="O497" s="620"/>
      <c r="P497" s="663" t="s">
        <v>2668</v>
      </c>
      <c r="Q497" s="621" t="s">
        <v>319</v>
      </c>
      <c r="R497" s="598"/>
      <c r="S497" s="598"/>
      <c r="T497" s="598"/>
      <c r="U497" s="598" t="s">
        <v>1015</v>
      </c>
      <c r="V497" s="663" t="s">
        <v>540</v>
      </c>
      <c r="W497" s="779" t="s">
        <v>3957</v>
      </c>
      <c r="X497" s="598" t="s">
        <v>950</v>
      </c>
      <c r="Y497" s="624">
        <v>22495</v>
      </c>
      <c r="Z497" s="625">
        <f t="shared" ca="1" si="5"/>
        <v>64</v>
      </c>
      <c r="AA497" s="616" t="s">
        <v>3958</v>
      </c>
      <c r="AB497" s="598"/>
      <c r="AC497" s="598" t="s">
        <v>996</v>
      </c>
      <c r="AD497" s="598" t="s">
        <v>997</v>
      </c>
      <c r="AE497" s="616" t="s">
        <v>246</v>
      </c>
      <c r="AF497" s="633" t="s">
        <v>246</v>
      </c>
      <c r="AG497" s="633" t="s">
        <v>3815</v>
      </c>
      <c r="AH497" s="598"/>
      <c r="AI497" s="598"/>
      <c r="AJ497" s="598" t="s">
        <v>1318</v>
      </c>
      <c r="AK497" s="598"/>
      <c r="AL497" s="626"/>
      <c r="AM497" s="626"/>
    </row>
    <row r="498" spans="3:39" ht="18" customHeight="1">
      <c r="C498" s="598">
        <v>478</v>
      </c>
      <c r="D498" s="598" t="s">
        <v>4028</v>
      </c>
      <c r="E498" s="598">
        <f t="shared" si="4"/>
        <v>449</v>
      </c>
      <c r="F498" s="616" t="s">
        <v>4978</v>
      </c>
      <c r="G498" s="616" t="s">
        <v>4808</v>
      </c>
      <c r="H498" s="618" t="s">
        <v>3810</v>
      </c>
      <c r="I498" s="618" t="s">
        <v>499</v>
      </c>
      <c r="J498" s="618" t="s">
        <v>3811</v>
      </c>
      <c r="K498" s="618" t="s">
        <v>4161</v>
      </c>
      <c r="L498" s="618" t="s">
        <v>959</v>
      </c>
      <c r="M498" s="619"/>
      <c r="N498" s="620"/>
      <c r="O498" s="620"/>
      <c r="P498" s="673" t="s">
        <v>2668</v>
      </c>
      <c r="Q498" s="621" t="s">
        <v>319</v>
      </c>
      <c r="R498" s="598"/>
      <c r="S498" s="598"/>
      <c r="T498" s="598"/>
      <c r="U498" s="598" t="s">
        <v>1015</v>
      </c>
      <c r="V498" s="673" t="s">
        <v>547</v>
      </c>
      <c r="W498" s="779" t="s">
        <v>4029</v>
      </c>
      <c r="X498" s="598" t="s">
        <v>950</v>
      </c>
      <c r="Y498" s="624">
        <v>23608</v>
      </c>
      <c r="Z498" s="625">
        <f t="shared" ca="1" si="5"/>
        <v>61</v>
      </c>
      <c r="AA498" s="616" t="s">
        <v>4030</v>
      </c>
      <c r="AB498" s="598"/>
      <c r="AC498" s="598" t="s">
        <v>996</v>
      </c>
      <c r="AD498" s="598" t="s">
        <v>1018</v>
      </c>
      <c r="AE498" s="616" t="s">
        <v>246</v>
      </c>
      <c r="AF498" s="633" t="s">
        <v>246</v>
      </c>
      <c r="AG498" s="616" t="s">
        <v>4032</v>
      </c>
      <c r="AH498" s="598"/>
      <c r="AI498" s="598"/>
      <c r="AJ498" s="598" t="s">
        <v>1318</v>
      </c>
      <c r="AK498" s="598"/>
      <c r="AL498" s="626"/>
      <c r="AM498" s="626"/>
    </row>
    <row r="499" spans="3:39" ht="18" customHeight="1">
      <c r="C499" s="598">
        <v>479</v>
      </c>
      <c r="D499" s="598" t="s">
        <v>4165</v>
      </c>
      <c r="E499" s="598">
        <f t="shared" si="4"/>
        <v>449</v>
      </c>
      <c r="F499" s="616"/>
      <c r="G499" s="616" t="s">
        <v>4808</v>
      </c>
      <c r="H499" s="618" t="s">
        <v>3810</v>
      </c>
      <c r="I499" s="618" t="s">
        <v>499</v>
      </c>
      <c r="J499" s="618" t="s">
        <v>3811</v>
      </c>
      <c r="K499" s="618" t="s">
        <v>4165</v>
      </c>
      <c r="L499" s="618" t="s">
        <v>3994</v>
      </c>
      <c r="M499" s="619"/>
      <c r="N499" s="620"/>
      <c r="O499" s="620"/>
      <c r="P499" s="667" t="s">
        <v>4827</v>
      </c>
      <c r="Q499" s="621"/>
      <c r="R499" s="598" t="s">
        <v>55</v>
      </c>
      <c r="S499" s="598" t="s">
        <v>178</v>
      </c>
      <c r="T499" s="598"/>
      <c r="U499" s="598"/>
      <c r="V499" s="667" t="s">
        <v>492</v>
      </c>
      <c r="W499" s="779" t="s">
        <v>4166</v>
      </c>
      <c r="X499" s="598" t="s">
        <v>950</v>
      </c>
      <c r="Y499" s="624">
        <v>23418</v>
      </c>
      <c r="Z499" s="625">
        <f t="shared" ca="1" si="5"/>
        <v>61</v>
      </c>
      <c r="AA499" s="616" t="s">
        <v>4167</v>
      </c>
      <c r="AB499" s="598"/>
      <c r="AC499" s="598" t="s">
        <v>996</v>
      </c>
      <c r="AD499" s="598" t="s">
        <v>953</v>
      </c>
      <c r="AE499" s="616" t="s">
        <v>246</v>
      </c>
      <c r="AF499" s="616" t="s">
        <v>246</v>
      </c>
      <c r="AG499" s="616" t="s">
        <v>3815</v>
      </c>
      <c r="AH499" s="598" t="s">
        <v>955</v>
      </c>
      <c r="AI499" s="598"/>
      <c r="AJ499" s="598"/>
      <c r="AK499" s="598"/>
      <c r="AL499" s="626"/>
      <c r="AM499" s="626"/>
    </row>
    <row r="500" spans="3:39" ht="18" customHeight="1">
      <c r="C500" s="598">
        <v>480</v>
      </c>
      <c r="D500" s="598" t="s">
        <v>3994</v>
      </c>
      <c r="E500" s="598">
        <f t="shared" si="4"/>
        <v>450</v>
      </c>
      <c r="F500" s="616" t="s">
        <v>3808</v>
      </c>
      <c r="G500" s="616" t="s">
        <v>4808</v>
      </c>
      <c r="H500" s="618" t="s">
        <v>3810</v>
      </c>
      <c r="I500" s="618" t="s">
        <v>499</v>
      </c>
      <c r="J500" s="618" t="s">
        <v>3811</v>
      </c>
      <c r="K500" s="618" t="s">
        <v>4165</v>
      </c>
      <c r="L500" s="618" t="s">
        <v>3994</v>
      </c>
      <c r="M500" s="619"/>
      <c r="N500" s="620"/>
      <c r="O500" s="620"/>
      <c r="P500" s="663" t="s">
        <v>4827</v>
      </c>
      <c r="Q500" s="621"/>
      <c r="R500" s="598" t="s">
        <v>69</v>
      </c>
      <c r="S500" s="598" t="s">
        <v>562</v>
      </c>
      <c r="T500" s="598"/>
      <c r="U500" s="598" t="s">
        <v>1015</v>
      </c>
      <c r="V500" s="663" t="s">
        <v>517</v>
      </c>
      <c r="W500" s="779" t="s">
        <v>3995</v>
      </c>
      <c r="X500" s="598" t="s">
        <v>950</v>
      </c>
      <c r="Y500" s="624">
        <v>29204</v>
      </c>
      <c r="Z500" s="625">
        <f t="shared" ca="1" si="5"/>
        <v>46</v>
      </c>
      <c r="AA500" s="616" t="s">
        <v>3996</v>
      </c>
      <c r="AB500" s="598"/>
      <c r="AC500" s="598" t="s">
        <v>996</v>
      </c>
      <c r="AD500" s="598" t="s">
        <v>997</v>
      </c>
      <c r="AE500" s="616" t="s">
        <v>246</v>
      </c>
      <c r="AF500" s="616" t="s">
        <v>246</v>
      </c>
      <c r="AG500" s="616" t="s">
        <v>3815</v>
      </c>
      <c r="AH500" s="598"/>
      <c r="AI500" s="598"/>
      <c r="AJ500" s="598" t="s">
        <v>1025</v>
      </c>
      <c r="AK500" s="598"/>
      <c r="AL500" s="626"/>
      <c r="AM500" s="626"/>
    </row>
    <row r="501" spans="3:39" ht="18" customHeight="1">
      <c r="C501" s="598">
        <v>481</v>
      </c>
      <c r="D501" s="598" t="s">
        <v>4010</v>
      </c>
      <c r="E501" s="598">
        <f t="shared" si="4"/>
        <v>451</v>
      </c>
      <c r="F501" s="616" t="s">
        <v>3808</v>
      </c>
      <c r="G501" s="616" t="s">
        <v>4808</v>
      </c>
      <c r="H501" s="618" t="s">
        <v>3810</v>
      </c>
      <c r="I501" s="618" t="s">
        <v>499</v>
      </c>
      <c r="J501" s="618" t="s">
        <v>3811</v>
      </c>
      <c r="K501" s="618" t="s">
        <v>4165</v>
      </c>
      <c r="L501" s="618" t="s">
        <v>3994</v>
      </c>
      <c r="M501" s="619"/>
      <c r="N501" s="620"/>
      <c r="O501" s="620"/>
      <c r="P501" s="663" t="s">
        <v>4827</v>
      </c>
      <c r="Q501" s="621"/>
      <c r="R501" s="598"/>
      <c r="S501" s="598"/>
      <c r="T501" s="598"/>
      <c r="U501" s="598" t="s">
        <v>1015</v>
      </c>
      <c r="V501" s="663" t="s">
        <v>525</v>
      </c>
      <c r="W501" s="779" t="s">
        <v>4011</v>
      </c>
      <c r="X501" s="598" t="s">
        <v>950</v>
      </c>
      <c r="Y501" s="624">
        <v>33409</v>
      </c>
      <c r="Z501" s="625">
        <f t="shared" ca="1" si="5"/>
        <v>34</v>
      </c>
      <c r="AA501" s="616" t="s">
        <v>4012</v>
      </c>
      <c r="AB501" s="598"/>
      <c r="AC501" s="598" t="s">
        <v>966</v>
      </c>
      <c r="AD501" s="598" t="s">
        <v>953</v>
      </c>
      <c r="AE501" s="616" t="s">
        <v>246</v>
      </c>
      <c r="AF501" s="616" t="s">
        <v>246</v>
      </c>
      <c r="AG501" s="616" t="s">
        <v>3815</v>
      </c>
      <c r="AH501" s="598"/>
      <c r="AI501" s="598"/>
      <c r="AJ501" s="598"/>
      <c r="AK501" s="598"/>
      <c r="AL501" s="626"/>
      <c r="AM501" s="626"/>
    </row>
    <row r="502" spans="3:39" ht="18" customHeight="1">
      <c r="C502" s="598">
        <v>482</v>
      </c>
      <c r="D502" s="598" t="s">
        <v>3998</v>
      </c>
      <c r="E502" s="598">
        <f t="shared" si="4"/>
        <v>452</v>
      </c>
      <c r="F502" s="616" t="s">
        <v>3808</v>
      </c>
      <c r="G502" s="616" t="s">
        <v>4808</v>
      </c>
      <c r="H502" s="618" t="s">
        <v>3810</v>
      </c>
      <c r="I502" s="618" t="s">
        <v>499</v>
      </c>
      <c r="J502" s="618" t="s">
        <v>3811</v>
      </c>
      <c r="K502" s="618" t="s">
        <v>4165</v>
      </c>
      <c r="L502" s="618" t="s">
        <v>3994</v>
      </c>
      <c r="M502" s="619"/>
      <c r="N502" s="620"/>
      <c r="O502" s="620"/>
      <c r="P502" s="663" t="s">
        <v>4827</v>
      </c>
      <c r="Q502" s="621"/>
      <c r="R502" s="598"/>
      <c r="S502" s="598"/>
      <c r="T502" s="598"/>
      <c r="U502" s="598" t="s">
        <v>1015</v>
      </c>
      <c r="V502" s="663" t="s">
        <v>533</v>
      </c>
      <c r="W502" s="779" t="s">
        <v>3999</v>
      </c>
      <c r="X502" s="598" t="s">
        <v>950</v>
      </c>
      <c r="Y502" s="624">
        <v>31186</v>
      </c>
      <c r="Z502" s="625">
        <f t="shared" ca="1" si="5"/>
        <v>40</v>
      </c>
      <c r="AA502" s="616" t="s">
        <v>4000</v>
      </c>
      <c r="AB502" s="598"/>
      <c r="AC502" s="598" t="s">
        <v>966</v>
      </c>
      <c r="AD502" s="598" t="s">
        <v>953</v>
      </c>
      <c r="AE502" s="616" t="s">
        <v>246</v>
      </c>
      <c r="AF502" s="616" t="s">
        <v>246</v>
      </c>
      <c r="AG502" s="616" t="s">
        <v>3815</v>
      </c>
      <c r="AH502" s="598"/>
      <c r="AI502" s="598"/>
      <c r="AJ502" s="598"/>
      <c r="AK502" s="598"/>
      <c r="AL502" s="626"/>
      <c r="AM502" s="626"/>
    </row>
    <row r="503" spans="3:39" ht="18" customHeight="1">
      <c r="C503" s="598">
        <v>483</v>
      </c>
      <c r="D503" s="598" t="s">
        <v>4085</v>
      </c>
      <c r="E503" s="598">
        <f t="shared" si="4"/>
        <v>453</v>
      </c>
      <c r="F503" s="616" t="s">
        <v>3808</v>
      </c>
      <c r="G503" s="616" t="s">
        <v>4808</v>
      </c>
      <c r="H503" s="618" t="s">
        <v>3810</v>
      </c>
      <c r="I503" s="618" t="s">
        <v>499</v>
      </c>
      <c r="J503" s="618" t="s">
        <v>3811</v>
      </c>
      <c r="K503" s="618" t="s">
        <v>4165</v>
      </c>
      <c r="L503" s="618" t="s">
        <v>3994</v>
      </c>
      <c r="M503" s="619"/>
      <c r="N503" s="620"/>
      <c r="O503" s="620"/>
      <c r="P503" s="663" t="s">
        <v>4827</v>
      </c>
      <c r="Q503" s="621"/>
      <c r="R503" s="598"/>
      <c r="S503" s="598"/>
      <c r="T503" s="598"/>
      <c r="U503" s="598" t="s">
        <v>1015</v>
      </c>
      <c r="V503" s="663" t="s">
        <v>541</v>
      </c>
      <c r="W503" s="779" t="s">
        <v>4086</v>
      </c>
      <c r="X503" s="598" t="s">
        <v>950</v>
      </c>
      <c r="Y503" s="624">
        <v>27491</v>
      </c>
      <c r="Z503" s="625">
        <f t="shared" ca="1" si="5"/>
        <v>50</v>
      </c>
      <c r="AA503" s="616" t="s">
        <v>4087</v>
      </c>
      <c r="AB503" s="598"/>
      <c r="AC503" s="598" t="s">
        <v>996</v>
      </c>
      <c r="AD503" s="598" t="s">
        <v>997</v>
      </c>
      <c r="AE503" s="616" t="s">
        <v>246</v>
      </c>
      <c r="AF503" s="616" t="s">
        <v>246</v>
      </c>
      <c r="AG503" s="616" t="s">
        <v>4089</v>
      </c>
      <c r="AH503" s="598"/>
      <c r="AI503" s="598"/>
      <c r="AJ503" s="598" t="s">
        <v>1025</v>
      </c>
      <c r="AK503" s="598"/>
      <c r="AL503" s="626"/>
      <c r="AM503" s="626"/>
    </row>
    <row r="504" spans="3:39" ht="18" customHeight="1">
      <c r="C504" s="598">
        <v>484</v>
      </c>
      <c r="D504" s="598" t="s">
        <v>4359</v>
      </c>
      <c r="E504" s="598">
        <f t="shared" si="4"/>
        <v>454</v>
      </c>
      <c r="F504" s="616" t="s">
        <v>3808</v>
      </c>
      <c r="G504" s="616" t="s">
        <v>4808</v>
      </c>
      <c r="H504" s="618" t="s">
        <v>3810</v>
      </c>
      <c r="I504" s="618" t="s">
        <v>499</v>
      </c>
      <c r="J504" s="618" t="s">
        <v>3811</v>
      </c>
      <c r="K504" s="618" t="s">
        <v>4165</v>
      </c>
      <c r="L504" s="618" t="s">
        <v>3994</v>
      </c>
      <c r="M504" s="619"/>
      <c r="N504" s="620"/>
      <c r="O504" s="620"/>
      <c r="P504" s="663" t="s">
        <v>4827</v>
      </c>
      <c r="Q504" s="621"/>
      <c r="R504" s="598"/>
      <c r="S504" s="598"/>
      <c r="T504" s="598"/>
      <c r="U504" s="598" t="s">
        <v>1015</v>
      </c>
      <c r="V504" s="663" t="s">
        <v>548</v>
      </c>
      <c r="W504" s="779" t="s">
        <v>4360</v>
      </c>
      <c r="X504" s="598" t="s">
        <v>950</v>
      </c>
      <c r="Y504" s="624">
        <v>28459</v>
      </c>
      <c r="Z504" s="625">
        <f t="shared" ca="1" si="5"/>
        <v>48</v>
      </c>
      <c r="AA504" s="616" t="s">
        <v>4361</v>
      </c>
      <c r="AB504" s="598"/>
      <c r="AC504" s="598" t="s">
        <v>996</v>
      </c>
      <c r="AD504" s="598" t="s">
        <v>997</v>
      </c>
      <c r="AE504" s="616" t="s">
        <v>246</v>
      </c>
      <c r="AF504" s="616" t="s">
        <v>246</v>
      </c>
      <c r="AG504" s="616" t="s">
        <v>4363</v>
      </c>
      <c r="AH504" s="598"/>
      <c r="AI504" s="598"/>
      <c r="AJ504" s="598" t="s">
        <v>1025</v>
      </c>
      <c r="AK504" s="598"/>
      <c r="AL504" s="626"/>
      <c r="AM504" s="626"/>
    </row>
    <row r="505" spans="3:39" ht="18" customHeight="1">
      <c r="C505" s="598">
        <v>485</v>
      </c>
      <c r="D505" s="598" t="s">
        <v>4014</v>
      </c>
      <c r="E505" s="598">
        <f t="shared" si="4"/>
        <v>455</v>
      </c>
      <c r="F505" s="616" t="s">
        <v>3808</v>
      </c>
      <c r="G505" s="616" t="s">
        <v>4808</v>
      </c>
      <c r="H505" s="618" t="s">
        <v>3810</v>
      </c>
      <c r="I505" s="618" t="s">
        <v>499</v>
      </c>
      <c r="J505" s="618" t="s">
        <v>3811</v>
      </c>
      <c r="K505" s="618" t="s">
        <v>4165</v>
      </c>
      <c r="L505" s="618" t="s">
        <v>3994</v>
      </c>
      <c r="M505" s="619"/>
      <c r="N505" s="620"/>
      <c r="O505" s="620"/>
      <c r="P505" s="663" t="s">
        <v>4827</v>
      </c>
      <c r="Q505" s="621"/>
      <c r="R505" s="598"/>
      <c r="S505" s="598"/>
      <c r="T505" s="598"/>
      <c r="U505" s="598" t="s">
        <v>1015</v>
      </c>
      <c r="V505" s="663" t="s">
        <v>554</v>
      </c>
      <c r="W505" s="779" t="s">
        <v>4015</v>
      </c>
      <c r="X505" s="598" t="s">
        <v>950</v>
      </c>
      <c r="Y505" s="624">
        <v>29948</v>
      </c>
      <c r="Z505" s="625">
        <f t="shared" ca="1" si="5"/>
        <v>44</v>
      </c>
      <c r="AA505" s="616" t="s">
        <v>4016</v>
      </c>
      <c r="AB505" s="598"/>
      <c r="AC505" s="598" t="s">
        <v>996</v>
      </c>
      <c r="AD505" s="598" t="s">
        <v>997</v>
      </c>
      <c r="AE505" s="616" t="s">
        <v>246</v>
      </c>
      <c r="AF505" s="616" t="s">
        <v>246</v>
      </c>
      <c r="AG505" s="616" t="s">
        <v>3815</v>
      </c>
      <c r="AH505" s="598"/>
      <c r="AI505" s="598"/>
      <c r="AJ505" s="598" t="s">
        <v>1025</v>
      </c>
      <c r="AK505" s="598"/>
      <c r="AL505" s="626"/>
      <c r="AM505" s="626"/>
    </row>
    <row r="506" spans="3:39" ht="18" customHeight="1">
      <c r="C506" s="598">
        <v>486</v>
      </c>
      <c r="D506" s="598" t="s">
        <v>4249</v>
      </c>
      <c r="E506" s="598">
        <f t="shared" si="4"/>
        <v>456</v>
      </c>
      <c r="F506" s="616" t="s">
        <v>3808</v>
      </c>
      <c r="G506" s="616" t="s">
        <v>4808</v>
      </c>
      <c r="H506" s="618" t="s">
        <v>3810</v>
      </c>
      <c r="I506" s="618" t="s">
        <v>499</v>
      </c>
      <c r="J506" s="618" t="s">
        <v>3811</v>
      </c>
      <c r="K506" s="618" t="s">
        <v>4165</v>
      </c>
      <c r="L506" s="618" t="s">
        <v>3994</v>
      </c>
      <c r="M506" s="619"/>
      <c r="N506" s="620"/>
      <c r="O506" s="620"/>
      <c r="P506" s="663" t="s">
        <v>4827</v>
      </c>
      <c r="Q506" s="621"/>
      <c r="R506" s="598"/>
      <c r="S506" s="598"/>
      <c r="T506" s="598"/>
      <c r="U506" s="598" t="s">
        <v>1015</v>
      </c>
      <c r="V506" s="663" t="s">
        <v>559</v>
      </c>
      <c r="W506" s="779" t="s">
        <v>4250</v>
      </c>
      <c r="X506" s="598" t="s">
        <v>950</v>
      </c>
      <c r="Y506" s="624">
        <v>30545</v>
      </c>
      <c r="Z506" s="625">
        <f t="shared" ca="1" si="5"/>
        <v>42</v>
      </c>
      <c r="AA506" s="616" t="s">
        <v>4251</v>
      </c>
      <c r="AB506" s="598"/>
      <c r="AC506" s="598" t="s">
        <v>966</v>
      </c>
      <c r="AD506" s="598" t="s">
        <v>953</v>
      </c>
      <c r="AE506" s="616" t="s">
        <v>246</v>
      </c>
      <c r="AF506" s="616" t="s">
        <v>246</v>
      </c>
      <c r="AG506" s="616" t="s">
        <v>4253</v>
      </c>
      <c r="AH506" s="598"/>
      <c r="AI506" s="598"/>
      <c r="AJ506" s="598" t="s">
        <v>1025</v>
      </c>
      <c r="AK506" s="598"/>
      <c r="AL506" s="626"/>
      <c r="AM506" s="626"/>
    </row>
    <row r="507" spans="3:39" ht="18" customHeight="1">
      <c r="C507" s="598">
        <v>487</v>
      </c>
      <c r="D507" s="598" t="s">
        <v>4090</v>
      </c>
      <c r="E507" s="598">
        <f t="shared" si="4"/>
        <v>457</v>
      </c>
      <c r="F507" s="616" t="s">
        <v>3808</v>
      </c>
      <c r="G507" s="616" t="s">
        <v>4808</v>
      </c>
      <c r="H507" s="618" t="s">
        <v>3810</v>
      </c>
      <c r="I507" s="618" t="s">
        <v>499</v>
      </c>
      <c r="J507" s="618" t="s">
        <v>3811</v>
      </c>
      <c r="K507" s="618" t="s">
        <v>4165</v>
      </c>
      <c r="L507" s="618" t="s">
        <v>3994</v>
      </c>
      <c r="M507" s="619"/>
      <c r="N507" s="620"/>
      <c r="O507" s="620"/>
      <c r="P507" s="663" t="s">
        <v>4827</v>
      </c>
      <c r="Q507" s="621"/>
      <c r="R507" s="598"/>
      <c r="S507" s="598"/>
      <c r="T507" s="598"/>
      <c r="U507" s="598" t="s">
        <v>1015</v>
      </c>
      <c r="V507" s="663" t="s">
        <v>565</v>
      </c>
      <c r="W507" s="779" t="s">
        <v>4091</v>
      </c>
      <c r="X507" s="598" t="s">
        <v>950</v>
      </c>
      <c r="Y507" s="624">
        <v>34130</v>
      </c>
      <c r="Z507" s="625">
        <f t="shared" ca="1" si="5"/>
        <v>32</v>
      </c>
      <c r="AA507" s="616" t="s">
        <v>4092</v>
      </c>
      <c r="AB507" s="598"/>
      <c r="AC507" s="598" t="s">
        <v>996</v>
      </c>
      <c r="AD507" s="598" t="s">
        <v>1018</v>
      </c>
      <c r="AE507" s="616" t="s">
        <v>246</v>
      </c>
      <c r="AF507" s="616" t="s">
        <v>246</v>
      </c>
      <c r="AG507" s="616" t="s">
        <v>4828</v>
      </c>
      <c r="AH507" s="598"/>
      <c r="AI507" s="598"/>
      <c r="AJ507" s="598" t="s">
        <v>1025</v>
      </c>
      <c r="AK507" s="598"/>
      <c r="AL507" s="626"/>
      <c r="AM507" s="626"/>
    </row>
    <row r="508" spans="3:39" ht="18" customHeight="1">
      <c r="C508" s="598">
        <v>488</v>
      </c>
      <c r="D508" s="598" t="s">
        <v>4829</v>
      </c>
      <c r="E508" s="598">
        <f t="shared" si="4"/>
        <v>458</v>
      </c>
      <c r="F508" s="616" t="s">
        <v>3808</v>
      </c>
      <c r="G508" s="616" t="s">
        <v>4808</v>
      </c>
      <c r="H508" s="618" t="s">
        <v>3810</v>
      </c>
      <c r="I508" s="618" t="s">
        <v>499</v>
      </c>
      <c r="J508" s="618" t="s">
        <v>3811</v>
      </c>
      <c r="K508" s="618" t="s">
        <v>4165</v>
      </c>
      <c r="L508" s="618" t="s">
        <v>3994</v>
      </c>
      <c r="M508" s="619"/>
      <c r="N508" s="620"/>
      <c r="O508" s="620"/>
      <c r="P508" s="663" t="s">
        <v>4827</v>
      </c>
      <c r="Q508" s="621"/>
      <c r="R508" s="598"/>
      <c r="S508" s="598"/>
      <c r="T508" s="598"/>
      <c r="U508" s="598" t="s">
        <v>1015</v>
      </c>
      <c r="V508" s="663" t="s">
        <v>4830</v>
      </c>
      <c r="W508" s="779" t="s">
        <v>4831</v>
      </c>
      <c r="X508" s="598" t="s">
        <v>950</v>
      </c>
      <c r="Y508" s="624">
        <v>29575</v>
      </c>
      <c r="Z508" s="625">
        <f t="shared" ca="1" si="5"/>
        <v>45</v>
      </c>
      <c r="AA508" s="616" t="s">
        <v>4832</v>
      </c>
      <c r="AB508" s="598"/>
      <c r="AC508" s="598" t="s">
        <v>996</v>
      </c>
      <c r="AD508" s="598" t="s">
        <v>1018</v>
      </c>
      <c r="AE508" s="616" t="s">
        <v>246</v>
      </c>
      <c r="AF508" s="616" t="s">
        <v>246</v>
      </c>
      <c r="AG508" s="616" t="s">
        <v>3815</v>
      </c>
      <c r="AH508" s="598"/>
      <c r="AI508" s="598" t="s">
        <v>4821</v>
      </c>
      <c r="AJ508" s="598" t="s">
        <v>1025</v>
      </c>
      <c r="AK508" s="598" t="s">
        <v>1020</v>
      </c>
      <c r="AL508" s="626"/>
      <c r="AM508" s="626"/>
    </row>
    <row r="509" spans="3:39" ht="18" customHeight="1">
      <c r="C509" s="598">
        <v>489</v>
      </c>
      <c r="D509" s="598" t="s">
        <v>4833</v>
      </c>
      <c r="E509" s="598">
        <f t="shared" si="4"/>
        <v>459</v>
      </c>
      <c r="F509" s="616" t="s">
        <v>3808</v>
      </c>
      <c r="G509" s="616" t="s">
        <v>4808</v>
      </c>
      <c r="H509" s="618" t="s">
        <v>3810</v>
      </c>
      <c r="I509" s="618" t="s">
        <v>499</v>
      </c>
      <c r="J509" s="618" t="s">
        <v>3811</v>
      </c>
      <c r="K509" s="618" t="s">
        <v>4165</v>
      </c>
      <c r="L509" s="618" t="s">
        <v>3994</v>
      </c>
      <c r="M509" s="619"/>
      <c r="N509" s="620"/>
      <c r="O509" s="620"/>
      <c r="P509" s="663" t="s">
        <v>4827</v>
      </c>
      <c r="Q509" s="621"/>
      <c r="R509" s="598"/>
      <c r="S509" s="598"/>
      <c r="T509" s="598"/>
      <c r="U509" s="598" t="s">
        <v>1015</v>
      </c>
      <c r="V509" s="663" t="s">
        <v>4834</v>
      </c>
      <c r="W509" s="779" t="s">
        <v>4835</v>
      </c>
      <c r="X509" s="598" t="s">
        <v>950</v>
      </c>
      <c r="Y509" s="624">
        <v>22440</v>
      </c>
      <c r="Z509" s="625">
        <f t="shared" ca="1" si="5"/>
        <v>64</v>
      </c>
      <c r="AA509" s="616" t="s">
        <v>4836</v>
      </c>
      <c r="AB509" s="598"/>
      <c r="AC509" s="598" t="s">
        <v>996</v>
      </c>
      <c r="AD509" s="598" t="s">
        <v>1018</v>
      </c>
      <c r="AE509" s="616" t="s">
        <v>246</v>
      </c>
      <c r="AF509" s="616" t="s">
        <v>246</v>
      </c>
      <c r="AG509" s="616" t="s">
        <v>3815</v>
      </c>
      <c r="AH509" s="598"/>
      <c r="AI509" s="598" t="s">
        <v>4837</v>
      </c>
      <c r="AJ509" s="598" t="s">
        <v>1025</v>
      </c>
      <c r="AK509" s="598" t="s">
        <v>1020</v>
      </c>
      <c r="AL509" s="626"/>
      <c r="AM509" s="626"/>
    </row>
    <row r="510" spans="3:39" ht="18" customHeight="1">
      <c r="C510" s="598">
        <v>490</v>
      </c>
      <c r="D510" s="598" t="s">
        <v>4838</v>
      </c>
      <c r="E510" s="598">
        <f t="shared" si="4"/>
        <v>460</v>
      </c>
      <c r="F510" s="616" t="s">
        <v>3808</v>
      </c>
      <c r="G510" s="616" t="s">
        <v>4808</v>
      </c>
      <c r="H510" s="618" t="s">
        <v>3810</v>
      </c>
      <c r="I510" s="618" t="s">
        <v>499</v>
      </c>
      <c r="J510" s="618" t="s">
        <v>3811</v>
      </c>
      <c r="K510" s="618" t="s">
        <v>4165</v>
      </c>
      <c r="L510" s="618" t="s">
        <v>3994</v>
      </c>
      <c r="M510" s="619"/>
      <c r="N510" s="620"/>
      <c r="O510" s="620"/>
      <c r="P510" s="663" t="s">
        <v>4827</v>
      </c>
      <c r="Q510" s="621"/>
      <c r="R510" s="598"/>
      <c r="S510" s="598"/>
      <c r="T510" s="598"/>
      <c r="U510" s="598" t="s">
        <v>1015</v>
      </c>
      <c r="V510" s="663" t="s">
        <v>4839</v>
      </c>
      <c r="W510" s="779" t="s">
        <v>4840</v>
      </c>
      <c r="X510" s="598" t="s">
        <v>950</v>
      </c>
      <c r="Y510" s="624">
        <v>26500</v>
      </c>
      <c r="Z510" s="625">
        <f t="shared" ca="1" si="5"/>
        <v>53</v>
      </c>
      <c r="AA510" s="616" t="s">
        <v>4841</v>
      </c>
      <c r="AB510" s="598"/>
      <c r="AC510" s="598" t="s">
        <v>996</v>
      </c>
      <c r="AD510" s="598" t="s">
        <v>1018</v>
      </c>
      <c r="AE510" s="616" t="s">
        <v>246</v>
      </c>
      <c r="AF510" s="616" t="s">
        <v>246</v>
      </c>
      <c r="AG510" s="616" t="s">
        <v>3815</v>
      </c>
      <c r="AH510" s="598"/>
      <c r="AI510" s="598" t="s">
        <v>4837</v>
      </c>
      <c r="AJ510" s="598" t="s">
        <v>1025</v>
      </c>
      <c r="AK510" s="598" t="s">
        <v>1020</v>
      </c>
      <c r="AL510" s="626"/>
      <c r="AM510" s="626"/>
    </row>
    <row r="511" spans="3:39" ht="18" customHeight="1">
      <c r="C511" s="598">
        <v>491</v>
      </c>
      <c r="D511" s="598" t="s">
        <v>4842</v>
      </c>
      <c r="E511" s="598">
        <f t="shared" si="4"/>
        <v>461</v>
      </c>
      <c r="F511" s="616" t="s">
        <v>3808</v>
      </c>
      <c r="G511" s="616" t="s">
        <v>4808</v>
      </c>
      <c r="H511" s="618" t="s">
        <v>3810</v>
      </c>
      <c r="I511" s="618" t="s">
        <v>499</v>
      </c>
      <c r="J511" s="618" t="s">
        <v>3811</v>
      </c>
      <c r="K511" s="618" t="s">
        <v>4165</v>
      </c>
      <c r="L511" s="618" t="s">
        <v>3994</v>
      </c>
      <c r="M511" s="619"/>
      <c r="N511" s="620"/>
      <c r="O511" s="620"/>
      <c r="P511" s="673" t="s">
        <v>4827</v>
      </c>
      <c r="Q511" s="621"/>
      <c r="R511" s="598"/>
      <c r="S511" s="598"/>
      <c r="T511" s="598"/>
      <c r="U511" s="598" t="s">
        <v>1015</v>
      </c>
      <c r="V511" s="673" t="s">
        <v>4843</v>
      </c>
      <c r="W511" s="779" t="s">
        <v>4844</v>
      </c>
      <c r="X511" s="598" t="s">
        <v>950</v>
      </c>
      <c r="Y511" s="624">
        <v>33645</v>
      </c>
      <c r="Z511" s="625">
        <f t="shared" ca="1" si="5"/>
        <v>33</v>
      </c>
      <c r="AA511" s="616" t="s">
        <v>4845</v>
      </c>
      <c r="AB511" s="598"/>
      <c r="AC511" s="598" t="s">
        <v>996</v>
      </c>
      <c r="AD511" s="598" t="s">
        <v>1018</v>
      </c>
      <c r="AE511" s="616" t="s">
        <v>246</v>
      </c>
      <c r="AF511" s="616" t="s">
        <v>246</v>
      </c>
      <c r="AG511" s="616" t="s">
        <v>3815</v>
      </c>
      <c r="AH511" s="598"/>
      <c r="AI511" s="598" t="s">
        <v>4846</v>
      </c>
      <c r="AJ511" s="598" t="s">
        <v>1025</v>
      </c>
      <c r="AK511" s="598" t="s">
        <v>1020</v>
      </c>
      <c r="AL511" s="626"/>
      <c r="AM511" s="626"/>
    </row>
    <row r="512" spans="3:39" ht="18" customHeight="1">
      <c r="C512" s="598">
        <v>492</v>
      </c>
      <c r="D512" s="598" t="s">
        <v>4165</v>
      </c>
      <c r="E512" s="598">
        <f t="shared" si="4"/>
        <v>461</v>
      </c>
      <c r="F512" s="616"/>
      <c r="G512" s="616" t="s">
        <v>4808</v>
      </c>
      <c r="H512" s="618" t="s">
        <v>3810</v>
      </c>
      <c r="I512" s="618" t="s">
        <v>499</v>
      </c>
      <c r="J512" s="618" t="s">
        <v>3811</v>
      </c>
      <c r="K512" s="618" t="s">
        <v>4165</v>
      </c>
      <c r="L512" s="618" t="s">
        <v>3658</v>
      </c>
      <c r="M512" s="619"/>
      <c r="N512" s="620"/>
      <c r="O512" s="620"/>
      <c r="P512" s="667" t="s">
        <v>4847</v>
      </c>
      <c r="Q512" s="621"/>
      <c r="R512" s="598" t="s">
        <v>55</v>
      </c>
      <c r="S512" s="598" t="s">
        <v>178</v>
      </c>
      <c r="T512" s="598"/>
      <c r="U512" s="598"/>
      <c r="V512" s="667" t="s">
        <v>492</v>
      </c>
      <c r="W512" s="779" t="s">
        <v>4166</v>
      </c>
      <c r="X512" s="598" t="s">
        <v>950</v>
      </c>
      <c r="Y512" s="624">
        <v>23418</v>
      </c>
      <c r="Z512" s="625">
        <f t="shared" ca="1" si="5"/>
        <v>61</v>
      </c>
      <c r="AA512" s="616" t="s">
        <v>4167</v>
      </c>
      <c r="AB512" s="598"/>
      <c r="AC512" s="598" t="s">
        <v>996</v>
      </c>
      <c r="AD512" s="598" t="s">
        <v>953</v>
      </c>
      <c r="AE512" s="616" t="s">
        <v>246</v>
      </c>
      <c r="AF512" s="616" t="s">
        <v>246</v>
      </c>
      <c r="AG512" s="616" t="s">
        <v>3815</v>
      </c>
      <c r="AH512" s="598" t="s">
        <v>955</v>
      </c>
      <c r="AI512" s="598"/>
      <c r="AJ512" s="598"/>
      <c r="AK512" s="598"/>
      <c r="AL512" s="626"/>
      <c r="AM512" s="626"/>
    </row>
    <row r="513" spans="3:39" ht="18" customHeight="1">
      <c r="C513" s="598">
        <v>493</v>
      </c>
      <c r="D513" s="598" t="s">
        <v>3658</v>
      </c>
      <c r="E513" s="598">
        <f t="shared" si="4"/>
        <v>462</v>
      </c>
      <c r="F513" s="616" t="s">
        <v>4978</v>
      </c>
      <c r="G513" s="616" t="s">
        <v>4808</v>
      </c>
      <c r="H513" s="618" t="s">
        <v>3810</v>
      </c>
      <c r="I513" s="618" t="s">
        <v>499</v>
      </c>
      <c r="J513" s="618" t="s">
        <v>3811</v>
      </c>
      <c r="K513" s="618" t="s">
        <v>4165</v>
      </c>
      <c r="L513" s="618"/>
      <c r="M513" s="619"/>
      <c r="N513" s="620"/>
      <c r="O513" s="620"/>
      <c r="P513" s="663" t="s">
        <v>4847</v>
      </c>
      <c r="Q513" s="621" t="s">
        <v>319</v>
      </c>
      <c r="R513" s="598"/>
      <c r="S513" s="598"/>
      <c r="T513" s="598"/>
      <c r="U513" s="598" t="s">
        <v>1015</v>
      </c>
      <c r="V513" s="663" t="s">
        <v>518</v>
      </c>
      <c r="W513" s="779" t="s">
        <v>3659</v>
      </c>
      <c r="X513" s="598" t="s">
        <v>950</v>
      </c>
      <c r="Y513" s="624">
        <v>22251</v>
      </c>
      <c r="Z513" s="625">
        <f t="shared" ca="1" si="5"/>
        <v>65</v>
      </c>
      <c r="AA513" s="616" t="s">
        <v>3660</v>
      </c>
      <c r="AB513" s="598"/>
      <c r="AC513" s="598" t="s">
        <v>996</v>
      </c>
      <c r="AD513" s="598" t="s">
        <v>997</v>
      </c>
      <c r="AE513" s="616" t="s">
        <v>1078</v>
      </c>
      <c r="AF513" s="616" t="s">
        <v>1078</v>
      </c>
      <c r="AG513" s="616" t="s">
        <v>3578</v>
      </c>
      <c r="AH513" s="598"/>
      <c r="AI513" s="598"/>
      <c r="AJ513" s="634" t="s">
        <v>1359</v>
      </c>
      <c r="AK513" s="598"/>
      <c r="AL513" s="626"/>
      <c r="AM513" s="626"/>
    </row>
    <row r="514" spans="3:39" ht="18" customHeight="1">
      <c r="C514" s="598">
        <v>494</v>
      </c>
      <c r="D514" s="598" t="s">
        <v>4389</v>
      </c>
      <c r="E514" s="598">
        <f t="shared" si="4"/>
        <v>463</v>
      </c>
      <c r="F514" s="616" t="s">
        <v>4978</v>
      </c>
      <c r="G514" s="616" t="s">
        <v>4808</v>
      </c>
      <c r="H514" s="618" t="s">
        <v>3810</v>
      </c>
      <c r="I514" s="618" t="s">
        <v>499</v>
      </c>
      <c r="J514" s="618" t="s">
        <v>3811</v>
      </c>
      <c r="K514" s="618" t="s">
        <v>4165</v>
      </c>
      <c r="L514" s="618"/>
      <c r="M514" s="619"/>
      <c r="N514" s="620"/>
      <c r="O514" s="620"/>
      <c r="P514" s="663" t="s">
        <v>4847</v>
      </c>
      <c r="Q514" s="621" t="s">
        <v>319</v>
      </c>
      <c r="R514" s="598"/>
      <c r="S514" s="598"/>
      <c r="T514" s="598"/>
      <c r="U514" s="598" t="s">
        <v>1015</v>
      </c>
      <c r="V514" s="663" t="s">
        <v>526</v>
      </c>
      <c r="W514" s="779" t="s">
        <v>4390</v>
      </c>
      <c r="X514" s="598" t="s">
        <v>950</v>
      </c>
      <c r="Y514" s="624">
        <v>23509</v>
      </c>
      <c r="Z514" s="625">
        <f t="shared" ca="1" si="5"/>
        <v>61</v>
      </c>
      <c r="AA514" s="616" t="s">
        <v>4391</v>
      </c>
      <c r="AB514" s="598"/>
      <c r="AC514" s="598" t="s">
        <v>996</v>
      </c>
      <c r="AD514" s="598" t="s">
        <v>1018</v>
      </c>
      <c r="AE514" s="616" t="s">
        <v>246</v>
      </c>
      <c r="AF514" s="616" t="s">
        <v>246</v>
      </c>
      <c r="AG514" s="616" t="s">
        <v>4393</v>
      </c>
      <c r="AH514" s="598"/>
      <c r="AI514" s="598"/>
      <c r="AJ514" s="634" t="s">
        <v>1359</v>
      </c>
      <c r="AK514" s="598"/>
      <c r="AL514" s="626"/>
      <c r="AM514" s="626"/>
    </row>
    <row r="515" spans="3:39" ht="18" customHeight="1">
      <c r="C515" s="598">
        <v>495</v>
      </c>
      <c r="D515" s="598" t="s">
        <v>4065</v>
      </c>
      <c r="E515" s="598">
        <f t="shared" si="4"/>
        <v>464</v>
      </c>
      <c r="F515" s="616" t="s">
        <v>4978</v>
      </c>
      <c r="G515" s="616" t="s">
        <v>4808</v>
      </c>
      <c r="H515" s="618" t="s">
        <v>3810</v>
      </c>
      <c r="I515" s="618" t="s">
        <v>499</v>
      </c>
      <c r="J515" s="618" t="s">
        <v>3811</v>
      </c>
      <c r="K515" s="618" t="s">
        <v>4165</v>
      </c>
      <c r="L515" s="618"/>
      <c r="M515" s="619"/>
      <c r="N515" s="620"/>
      <c r="O515" s="620"/>
      <c r="P515" s="663" t="s">
        <v>4847</v>
      </c>
      <c r="Q515" s="621" t="s">
        <v>319</v>
      </c>
      <c r="R515" s="598"/>
      <c r="S515" s="598"/>
      <c r="T515" s="598"/>
      <c r="U515" s="598" t="s">
        <v>1015</v>
      </c>
      <c r="V515" s="663" t="s">
        <v>534</v>
      </c>
      <c r="W515" s="779" t="s">
        <v>4066</v>
      </c>
      <c r="X515" s="598" t="s">
        <v>950</v>
      </c>
      <c r="Y515" s="624">
        <v>24081</v>
      </c>
      <c r="Z515" s="625">
        <f t="shared" ca="1" si="5"/>
        <v>60</v>
      </c>
      <c r="AA515" s="616" t="s">
        <v>4067</v>
      </c>
      <c r="AB515" s="598"/>
      <c r="AC515" s="598" t="s">
        <v>996</v>
      </c>
      <c r="AD515" s="598" t="s">
        <v>997</v>
      </c>
      <c r="AE515" s="616" t="s">
        <v>246</v>
      </c>
      <c r="AF515" s="616" t="s">
        <v>246</v>
      </c>
      <c r="AG515" s="653" t="s">
        <v>4064</v>
      </c>
      <c r="AH515" s="598"/>
      <c r="AI515" s="598"/>
      <c r="AJ515" s="634" t="s">
        <v>1359</v>
      </c>
      <c r="AK515" s="598"/>
      <c r="AL515" s="626"/>
      <c r="AM515" s="626"/>
    </row>
    <row r="516" spans="3:39" ht="18" customHeight="1">
      <c r="C516" s="598">
        <v>496</v>
      </c>
      <c r="D516" s="598" t="s">
        <v>4364</v>
      </c>
      <c r="E516" s="598">
        <f t="shared" si="4"/>
        <v>465</v>
      </c>
      <c r="F516" s="616" t="s">
        <v>4978</v>
      </c>
      <c r="G516" s="616" t="s">
        <v>4808</v>
      </c>
      <c r="H516" s="618" t="s">
        <v>3810</v>
      </c>
      <c r="I516" s="618" t="s">
        <v>499</v>
      </c>
      <c r="J516" s="618" t="s">
        <v>3811</v>
      </c>
      <c r="K516" s="618" t="s">
        <v>4165</v>
      </c>
      <c r="L516" s="618"/>
      <c r="M516" s="619"/>
      <c r="N516" s="620"/>
      <c r="O516" s="620"/>
      <c r="P516" s="663" t="s">
        <v>4847</v>
      </c>
      <c r="Q516" s="621" t="s">
        <v>319</v>
      </c>
      <c r="R516" s="598"/>
      <c r="S516" s="598"/>
      <c r="T516" s="598"/>
      <c r="U516" s="598" t="s">
        <v>1015</v>
      </c>
      <c r="V516" s="663" t="s">
        <v>542</v>
      </c>
      <c r="W516" s="779" t="s">
        <v>4367</v>
      </c>
      <c r="X516" s="598" t="s">
        <v>950</v>
      </c>
      <c r="Y516" s="624">
        <v>25716</v>
      </c>
      <c r="Z516" s="625">
        <f t="shared" ca="1" si="5"/>
        <v>55</v>
      </c>
      <c r="AA516" s="616" t="s">
        <v>4368</v>
      </c>
      <c r="AB516" s="598"/>
      <c r="AC516" s="598" t="s">
        <v>996</v>
      </c>
      <c r="AD516" s="598" t="s">
        <v>997</v>
      </c>
      <c r="AE516" s="616" t="s">
        <v>246</v>
      </c>
      <c r="AF516" s="616" t="s">
        <v>246</v>
      </c>
      <c r="AG516" s="616" t="s">
        <v>4312</v>
      </c>
      <c r="AH516" s="598"/>
      <c r="AI516" s="598"/>
      <c r="AJ516" s="634" t="s">
        <v>1359</v>
      </c>
      <c r="AK516" s="598"/>
      <c r="AL516" s="626"/>
      <c r="AM516" s="626"/>
    </row>
    <row r="517" spans="3:39" ht="18" customHeight="1">
      <c r="C517" s="598">
        <v>497</v>
      </c>
      <c r="D517" s="598" t="s">
        <v>3613</v>
      </c>
      <c r="E517" s="598">
        <f t="shared" si="4"/>
        <v>466</v>
      </c>
      <c r="F517" s="616" t="s">
        <v>4978</v>
      </c>
      <c r="G517" s="616" t="s">
        <v>4808</v>
      </c>
      <c r="H517" s="618" t="s">
        <v>3810</v>
      </c>
      <c r="I517" s="618" t="s">
        <v>499</v>
      </c>
      <c r="J517" s="618" t="s">
        <v>3811</v>
      </c>
      <c r="K517" s="618" t="s">
        <v>4165</v>
      </c>
      <c r="L517" s="618"/>
      <c r="M517" s="619"/>
      <c r="N517" s="620"/>
      <c r="O517" s="620"/>
      <c r="P517" s="663" t="s">
        <v>4847</v>
      </c>
      <c r="Q517" s="621" t="s">
        <v>319</v>
      </c>
      <c r="R517" s="598"/>
      <c r="S517" s="598"/>
      <c r="T517" s="598"/>
      <c r="U517" s="598" t="s">
        <v>1015</v>
      </c>
      <c r="V517" s="663" t="s">
        <v>549</v>
      </c>
      <c r="W517" s="779" t="s">
        <v>3614</v>
      </c>
      <c r="X517" s="598" t="s">
        <v>950</v>
      </c>
      <c r="Y517" s="624">
        <v>26041</v>
      </c>
      <c r="Z517" s="625">
        <f t="shared" ca="1" si="5"/>
        <v>54</v>
      </c>
      <c r="AA517" s="616" t="s">
        <v>3615</v>
      </c>
      <c r="AB517" s="598"/>
      <c r="AC517" s="598" t="s">
        <v>996</v>
      </c>
      <c r="AD517" s="598" t="s">
        <v>1018</v>
      </c>
      <c r="AE517" s="616" t="s">
        <v>973</v>
      </c>
      <c r="AF517" s="616" t="s">
        <v>973</v>
      </c>
      <c r="AG517" s="616" t="s">
        <v>3509</v>
      </c>
      <c r="AH517" s="598"/>
      <c r="AI517" s="598"/>
      <c r="AJ517" s="634" t="s">
        <v>1359</v>
      </c>
      <c r="AK517" s="598"/>
      <c r="AL517" s="626"/>
      <c r="AM517" s="626"/>
    </row>
    <row r="518" spans="3:39" ht="18" customHeight="1">
      <c r="C518" s="598">
        <v>498</v>
      </c>
      <c r="D518" s="598" t="s">
        <v>4848</v>
      </c>
      <c r="E518" s="598">
        <f t="shared" si="4"/>
        <v>467</v>
      </c>
      <c r="F518" s="616" t="s">
        <v>4978</v>
      </c>
      <c r="G518" s="616" t="s">
        <v>4808</v>
      </c>
      <c r="H518" s="618" t="s">
        <v>3810</v>
      </c>
      <c r="I518" s="618" t="s">
        <v>499</v>
      </c>
      <c r="J518" s="618" t="s">
        <v>3811</v>
      </c>
      <c r="K518" s="618" t="s">
        <v>4165</v>
      </c>
      <c r="L518" s="618"/>
      <c r="M518" s="619"/>
      <c r="N518" s="620"/>
      <c r="O518" s="620"/>
      <c r="P518" s="663" t="s">
        <v>4847</v>
      </c>
      <c r="Q518" s="621" t="s">
        <v>319</v>
      </c>
      <c r="R518" s="598"/>
      <c r="S518" s="598"/>
      <c r="T518" s="598"/>
      <c r="U518" s="598" t="s">
        <v>1015</v>
      </c>
      <c r="V518" s="663" t="s">
        <v>555</v>
      </c>
      <c r="W518" s="779" t="s">
        <v>4849</v>
      </c>
      <c r="X518" s="598" t="s">
        <v>950</v>
      </c>
      <c r="Y518" s="624">
        <v>26626</v>
      </c>
      <c r="Z518" s="625">
        <f t="shared" ca="1" si="5"/>
        <v>53</v>
      </c>
      <c r="AA518" s="616" t="s">
        <v>4850</v>
      </c>
      <c r="AB518" s="598"/>
      <c r="AC518" s="598" t="s">
        <v>996</v>
      </c>
      <c r="AD518" s="598" t="s">
        <v>1018</v>
      </c>
      <c r="AE518" s="616" t="s">
        <v>246</v>
      </c>
      <c r="AF518" s="616" t="s">
        <v>246</v>
      </c>
      <c r="AG518" s="616" t="s">
        <v>4851</v>
      </c>
      <c r="AH518" s="598"/>
      <c r="AI518" s="598" t="s">
        <v>5059</v>
      </c>
      <c r="AJ518" s="634" t="s">
        <v>1359</v>
      </c>
      <c r="AK518" s="598"/>
      <c r="AL518" s="626"/>
      <c r="AM518" s="626"/>
    </row>
    <row r="519" spans="3:39" ht="18" customHeight="1">
      <c r="C519" s="598">
        <v>499</v>
      </c>
      <c r="D519" s="598" t="s">
        <v>4374</v>
      </c>
      <c r="E519" s="598">
        <f t="shared" si="4"/>
        <v>468</v>
      </c>
      <c r="F519" s="616" t="s">
        <v>4978</v>
      </c>
      <c r="G519" s="616" t="s">
        <v>4808</v>
      </c>
      <c r="H519" s="618" t="s">
        <v>3810</v>
      </c>
      <c r="I519" s="618" t="s">
        <v>499</v>
      </c>
      <c r="J519" s="618" t="s">
        <v>3811</v>
      </c>
      <c r="K519" s="618" t="s">
        <v>4165</v>
      </c>
      <c r="L519" s="618"/>
      <c r="M519" s="619"/>
      <c r="N519" s="620"/>
      <c r="O519" s="620"/>
      <c r="P519" s="663" t="s">
        <v>4847</v>
      </c>
      <c r="Q519" s="621" t="s">
        <v>319</v>
      </c>
      <c r="R519" s="598"/>
      <c r="S519" s="598"/>
      <c r="T519" s="598"/>
      <c r="U519" s="598" t="s">
        <v>1015</v>
      </c>
      <c r="V519" s="663" t="s">
        <v>560</v>
      </c>
      <c r="W519" s="779" t="s">
        <v>4375</v>
      </c>
      <c r="X519" s="598" t="s">
        <v>950</v>
      </c>
      <c r="Y519" s="624">
        <v>27940</v>
      </c>
      <c r="Z519" s="625">
        <f t="shared" ca="1" si="5"/>
        <v>49</v>
      </c>
      <c r="AA519" s="616" t="s">
        <v>4376</v>
      </c>
      <c r="AB519" s="598"/>
      <c r="AC519" s="598" t="s">
        <v>996</v>
      </c>
      <c r="AD519" s="598" t="s">
        <v>997</v>
      </c>
      <c r="AE519" s="616" t="s">
        <v>246</v>
      </c>
      <c r="AF519" s="616" t="s">
        <v>246</v>
      </c>
      <c r="AG519" s="616" t="s">
        <v>4265</v>
      </c>
      <c r="AH519" s="598"/>
      <c r="AI519" s="598"/>
      <c r="AJ519" s="634" t="s">
        <v>1359</v>
      </c>
      <c r="AK519" s="598"/>
      <c r="AL519" s="626"/>
      <c r="AM519" s="626"/>
    </row>
    <row r="520" spans="3:39" ht="18" customHeight="1">
      <c r="C520" s="598">
        <v>500</v>
      </c>
      <c r="D520" s="598" t="s">
        <v>3617</v>
      </c>
      <c r="E520" s="598">
        <f t="shared" si="4"/>
        <v>469</v>
      </c>
      <c r="F520" s="616" t="s">
        <v>4978</v>
      </c>
      <c r="G520" s="616" t="s">
        <v>4808</v>
      </c>
      <c r="H520" s="618" t="s">
        <v>3810</v>
      </c>
      <c r="I520" s="618" t="s">
        <v>499</v>
      </c>
      <c r="J520" s="618" t="s">
        <v>3811</v>
      </c>
      <c r="K520" s="618" t="s">
        <v>4165</v>
      </c>
      <c r="L520" s="618"/>
      <c r="M520" s="619"/>
      <c r="N520" s="620"/>
      <c r="O520" s="620"/>
      <c r="P520" s="673" t="s">
        <v>4847</v>
      </c>
      <c r="Q520" s="621" t="s">
        <v>319</v>
      </c>
      <c r="R520" s="598"/>
      <c r="S520" s="598"/>
      <c r="T520" s="598"/>
      <c r="U520" s="598" t="s">
        <v>1015</v>
      </c>
      <c r="V520" s="673" t="s">
        <v>566</v>
      </c>
      <c r="W520" s="779" t="s">
        <v>3618</v>
      </c>
      <c r="X520" s="598" t="s">
        <v>950</v>
      </c>
      <c r="Y520" s="624">
        <v>31512</v>
      </c>
      <c r="Z520" s="625">
        <f t="shared" ca="1" si="5"/>
        <v>39</v>
      </c>
      <c r="AA520" s="616" t="s">
        <v>3619</v>
      </c>
      <c r="AB520" s="598"/>
      <c r="AC520" s="598" t="s">
        <v>996</v>
      </c>
      <c r="AD520" s="598" t="s">
        <v>1018</v>
      </c>
      <c r="AE520" s="616" t="s">
        <v>973</v>
      </c>
      <c r="AF520" s="616" t="s">
        <v>973</v>
      </c>
      <c r="AG520" s="616" t="s">
        <v>3509</v>
      </c>
      <c r="AH520" s="598"/>
      <c r="AI520" s="598"/>
      <c r="AJ520" s="634" t="s">
        <v>1359</v>
      </c>
      <c r="AK520" s="598"/>
      <c r="AL520" s="626"/>
      <c r="AM520" s="626"/>
    </row>
    <row r="521" spans="3:39" ht="18" customHeight="1">
      <c r="C521" s="598">
        <v>501</v>
      </c>
      <c r="D521" s="598" t="s">
        <v>3811</v>
      </c>
      <c r="E521" s="598">
        <f t="shared" si="4"/>
        <v>469</v>
      </c>
      <c r="F521" s="616"/>
      <c r="G521" s="616" t="s">
        <v>4808</v>
      </c>
      <c r="H521" s="618" t="s">
        <v>3810</v>
      </c>
      <c r="I521" s="618" t="s">
        <v>499</v>
      </c>
      <c r="J521" s="618" t="s">
        <v>3811</v>
      </c>
      <c r="K521" s="618" t="s">
        <v>3811</v>
      </c>
      <c r="L521" s="618" t="s">
        <v>3631</v>
      </c>
      <c r="M521" s="619"/>
      <c r="N521" s="620"/>
      <c r="O521" s="620"/>
      <c r="P521" s="667" t="s">
        <v>1115</v>
      </c>
      <c r="Q521" s="621"/>
      <c r="R521" s="598" t="s">
        <v>173</v>
      </c>
      <c r="S521" s="598" t="s">
        <v>514</v>
      </c>
      <c r="T521" s="598" t="s">
        <v>55</v>
      </c>
      <c r="U521" s="598"/>
      <c r="V521" s="667" t="s">
        <v>512</v>
      </c>
      <c r="W521" s="779" t="s">
        <v>4173</v>
      </c>
      <c r="X521" s="598" t="s">
        <v>950</v>
      </c>
      <c r="Y521" s="624">
        <v>22147</v>
      </c>
      <c r="Z521" s="625">
        <f t="shared" ca="1" si="5"/>
        <v>65</v>
      </c>
      <c r="AA521" s="616" t="s">
        <v>4174</v>
      </c>
      <c r="AB521" s="598"/>
      <c r="AC521" s="598" t="s">
        <v>996</v>
      </c>
      <c r="AD521" s="598" t="s">
        <v>953</v>
      </c>
      <c r="AE521" s="616" t="s">
        <v>246</v>
      </c>
      <c r="AF521" s="616" t="s">
        <v>246</v>
      </c>
      <c r="AG521" s="616" t="s">
        <v>3815</v>
      </c>
      <c r="AH521" s="598" t="s">
        <v>955</v>
      </c>
      <c r="AI521" s="598"/>
      <c r="AJ521" s="598"/>
      <c r="AK521" s="598"/>
      <c r="AL521" s="626"/>
      <c r="AM521" s="626"/>
    </row>
    <row r="522" spans="3:39" ht="18" customHeight="1">
      <c r="C522" s="598">
        <v>502</v>
      </c>
      <c r="D522" s="598" t="s">
        <v>3631</v>
      </c>
      <c r="E522" s="598">
        <f t="shared" si="4"/>
        <v>470</v>
      </c>
      <c r="F522" s="616" t="s">
        <v>1810</v>
      </c>
      <c r="G522" s="616" t="s">
        <v>4808</v>
      </c>
      <c r="H522" s="618" t="s">
        <v>3810</v>
      </c>
      <c r="I522" s="618" t="s">
        <v>499</v>
      </c>
      <c r="J522" s="618" t="s">
        <v>3811</v>
      </c>
      <c r="K522" s="618" t="s">
        <v>3811</v>
      </c>
      <c r="L522" s="618" t="s">
        <v>3631</v>
      </c>
      <c r="M522" s="619"/>
      <c r="N522" s="620"/>
      <c r="O522" s="620"/>
      <c r="P522" s="663" t="s">
        <v>1115</v>
      </c>
      <c r="Q522" s="621"/>
      <c r="R522" s="598" t="s">
        <v>69</v>
      </c>
      <c r="S522" s="598" t="s">
        <v>562</v>
      </c>
      <c r="T522" s="598"/>
      <c r="U522" s="598" t="s">
        <v>1015</v>
      </c>
      <c r="V522" s="663" t="s">
        <v>3633</v>
      </c>
      <c r="W522" s="779" t="s">
        <v>3634</v>
      </c>
      <c r="X522" s="598" t="s">
        <v>950</v>
      </c>
      <c r="Y522" s="624">
        <v>22474</v>
      </c>
      <c r="Z522" s="625">
        <f t="shared" ca="1" si="5"/>
        <v>64</v>
      </c>
      <c r="AA522" s="616" t="s">
        <v>2872</v>
      </c>
      <c r="AB522" s="598"/>
      <c r="AC522" s="598" t="s">
        <v>996</v>
      </c>
      <c r="AD522" s="598" t="s">
        <v>997</v>
      </c>
      <c r="AE522" s="616" t="s">
        <v>1078</v>
      </c>
      <c r="AF522" s="616" t="s">
        <v>1078</v>
      </c>
      <c r="AG522" s="616" t="s">
        <v>3578</v>
      </c>
      <c r="AH522" s="598"/>
      <c r="AI522" s="598"/>
      <c r="AJ522" s="598" t="s">
        <v>1125</v>
      </c>
      <c r="AK522" s="598" t="s">
        <v>3510</v>
      </c>
      <c r="AL522" s="626"/>
      <c r="AM522" s="626"/>
    </row>
    <row r="523" spans="3:39" ht="18" customHeight="1">
      <c r="C523" s="598">
        <v>503</v>
      </c>
      <c r="D523" s="598" t="s">
        <v>4292</v>
      </c>
      <c r="E523" s="598">
        <f t="shared" si="4"/>
        <v>471</v>
      </c>
      <c r="F523" s="616" t="s">
        <v>3862</v>
      </c>
      <c r="G523" s="616" t="s">
        <v>4808</v>
      </c>
      <c r="H523" s="618" t="s">
        <v>3810</v>
      </c>
      <c r="I523" s="618" t="s">
        <v>499</v>
      </c>
      <c r="J523" s="618" t="s">
        <v>3811</v>
      </c>
      <c r="K523" s="618" t="s">
        <v>3811</v>
      </c>
      <c r="L523" s="618" t="s">
        <v>3631</v>
      </c>
      <c r="M523" s="619"/>
      <c r="N523" s="620"/>
      <c r="O523" s="620"/>
      <c r="P523" s="663" t="s">
        <v>1115</v>
      </c>
      <c r="Q523" s="621"/>
      <c r="R523" s="598"/>
      <c r="S523" s="598"/>
      <c r="T523" s="598"/>
      <c r="U523" s="598" t="s">
        <v>1090</v>
      </c>
      <c r="V523" s="663" t="s">
        <v>4293</v>
      </c>
      <c r="W523" s="779" t="s">
        <v>4294</v>
      </c>
      <c r="X523" s="598" t="s">
        <v>950</v>
      </c>
      <c r="Y523" s="624">
        <v>18510</v>
      </c>
      <c r="Z523" s="625">
        <f t="shared" ca="1" si="5"/>
        <v>75</v>
      </c>
      <c r="AA523" s="616" t="s">
        <v>4295</v>
      </c>
      <c r="AB523" s="598"/>
      <c r="AC523" s="598" t="s">
        <v>996</v>
      </c>
      <c r="AD523" s="598" t="s">
        <v>997</v>
      </c>
      <c r="AE523" s="616" t="s">
        <v>246</v>
      </c>
      <c r="AF523" s="616" t="s">
        <v>246</v>
      </c>
      <c r="AG523" s="616" t="s">
        <v>4297</v>
      </c>
      <c r="AH523" s="598"/>
      <c r="AI523" s="598"/>
      <c r="AJ523" s="598" t="s">
        <v>1125</v>
      </c>
      <c r="AK523" s="598" t="s">
        <v>3510</v>
      </c>
      <c r="AL523" s="626"/>
      <c r="AM523" s="626"/>
    </row>
    <row r="524" spans="3:39" ht="18" customHeight="1">
      <c r="C524" s="598">
        <v>504</v>
      </c>
      <c r="D524" s="598" t="s">
        <v>4287</v>
      </c>
      <c r="E524" s="598">
        <f t="shared" si="4"/>
        <v>472</v>
      </c>
      <c r="F524" s="616" t="s">
        <v>3862</v>
      </c>
      <c r="G524" s="616" t="s">
        <v>4808</v>
      </c>
      <c r="H524" s="618" t="s">
        <v>3810</v>
      </c>
      <c r="I524" s="618" t="s">
        <v>499</v>
      </c>
      <c r="J524" s="618" t="s">
        <v>3811</v>
      </c>
      <c r="K524" s="618" t="s">
        <v>3811</v>
      </c>
      <c r="L524" s="618" t="s">
        <v>3631</v>
      </c>
      <c r="M524" s="619"/>
      <c r="N524" s="620"/>
      <c r="O524" s="620"/>
      <c r="P524" s="663" t="s">
        <v>1115</v>
      </c>
      <c r="Q524" s="621"/>
      <c r="R524" s="598"/>
      <c r="S524" s="598"/>
      <c r="T524" s="598"/>
      <c r="U524" s="598" t="s">
        <v>1015</v>
      </c>
      <c r="V524" s="663" t="s">
        <v>4288</v>
      </c>
      <c r="W524" s="779" t="s">
        <v>4289</v>
      </c>
      <c r="X524" s="598" t="s">
        <v>950</v>
      </c>
      <c r="Y524" s="624">
        <v>20474</v>
      </c>
      <c r="Z524" s="625">
        <f t="shared" ca="1" si="5"/>
        <v>70</v>
      </c>
      <c r="AA524" s="616" t="s">
        <v>4290</v>
      </c>
      <c r="AB524" s="598"/>
      <c r="AC524" s="598" t="s">
        <v>996</v>
      </c>
      <c r="AD524" s="598" t="s">
        <v>997</v>
      </c>
      <c r="AE524" s="616" t="s">
        <v>246</v>
      </c>
      <c r="AF524" s="616" t="s">
        <v>246</v>
      </c>
      <c r="AG524" s="616" t="s">
        <v>3824</v>
      </c>
      <c r="AH524" s="598"/>
      <c r="AI524" s="598"/>
      <c r="AJ524" s="598" t="s">
        <v>1125</v>
      </c>
      <c r="AK524" s="598" t="s">
        <v>3510</v>
      </c>
      <c r="AL524" s="626"/>
      <c r="AM524" s="626"/>
    </row>
    <row r="525" spans="3:39" ht="18" customHeight="1">
      <c r="C525" s="598">
        <v>505</v>
      </c>
      <c r="D525" s="598" t="s">
        <v>4383</v>
      </c>
      <c r="E525" s="598">
        <f t="shared" si="4"/>
        <v>473</v>
      </c>
      <c r="F525" s="616" t="s">
        <v>3862</v>
      </c>
      <c r="G525" s="616" t="s">
        <v>4808</v>
      </c>
      <c r="H525" s="618" t="s">
        <v>3810</v>
      </c>
      <c r="I525" s="618" t="s">
        <v>499</v>
      </c>
      <c r="J525" s="618" t="s">
        <v>3811</v>
      </c>
      <c r="K525" s="618" t="s">
        <v>3811</v>
      </c>
      <c r="L525" s="618" t="s">
        <v>3631</v>
      </c>
      <c r="M525" s="619"/>
      <c r="N525" s="620"/>
      <c r="O525" s="620"/>
      <c r="P525" s="663" t="s">
        <v>1115</v>
      </c>
      <c r="Q525" s="621"/>
      <c r="R525" s="598"/>
      <c r="S525" s="598"/>
      <c r="T525" s="598"/>
      <c r="U525" s="598" t="s">
        <v>1015</v>
      </c>
      <c r="V525" s="663" t="s">
        <v>4384</v>
      </c>
      <c r="W525" s="779" t="s">
        <v>4385</v>
      </c>
      <c r="X525" s="598" t="s">
        <v>950</v>
      </c>
      <c r="Y525" s="624">
        <v>22535</v>
      </c>
      <c r="Z525" s="625">
        <f t="shared" ca="1" si="5"/>
        <v>64</v>
      </c>
      <c r="AA525" s="616" t="s">
        <v>4386</v>
      </c>
      <c r="AB525" s="598"/>
      <c r="AC525" s="598" t="s">
        <v>996</v>
      </c>
      <c r="AD525" s="598" t="s">
        <v>1018</v>
      </c>
      <c r="AE525" s="616" t="s">
        <v>246</v>
      </c>
      <c r="AF525" s="616" t="s">
        <v>246</v>
      </c>
      <c r="AG525" s="616" t="s">
        <v>4388</v>
      </c>
      <c r="AH525" s="598"/>
      <c r="AI525" s="598"/>
      <c r="AJ525" s="598" t="s">
        <v>1125</v>
      </c>
      <c r="AK525" s="598" t="s">
        <v>3510</v>
      </c>
      <c r="AL525" s="626"/>
      <c r="AM525" s="626"/>
    </row>
    <row r="526" spans="3:39" ht="18" customHeight="1">
      <c r="C526" s="598">
        <v>506</v>
      </c>
      <c r="D526" s="598" t="s">
        <v>4298</v>
      </c>
      <c r="E526" s="598">
        <f t="shared" si="4"/>
        <v>474</v>
      </c>
      <c r="F526" s="616" t="s">
        <v>3862</v>
      </c>
      <c r="G526" s="616" t="s">
        <v>4808</v>
      </c>
      <c r="H526" s="618" t="s">
        <v>3810</v>
      </c>
      <c r="I526" s="618" t="s">
        <v>499</v>
      </c>
      <c r="J526" s="618" t="s">
        <v>3811</v>
      </c>
      <c r="K526" s="618" t="s">
        <v>3811</v>
      </c>
      <c r="L526" s="618" t="s">
        <v>3631</v>
      </c>
      <c r="M526" s="619"/>
      <c r="N526" s="620"/>
      <c r="O526" s="620"/>
      <c r="P526" s="663" t="s">
        <v>1115</v>
      </c>
      <c r="Q526" s="621"/>
      <c r="R526" s="598"/>
      <c r="S526" s="598"/>
      <c r="T526" s="598"/>
      <c r="U526" s="598" t="s">
        <v>1015</v>
      </c>
      <c r="V526" s="663" t="s">
        <v>4299</v>
      </c>
      <c r="W526" s="779" t="s">
        <v>4300</v>
      </c>
      <c r="X526" s="598" t="s">
        <v>950</v>
      </c>
      <c r="Y526" s="624">
        <v>22940</v>
      </c>
      <c r="Z526" s="625">
        <f t="shared" ca="1" si="5"/>
        <v>63</v>
      </c>
      <c r="AA526" s="616" t="s">
        <v>4301</v>
      </c>
      <c r="AB526" s="598"/>
      <c r="AC526" s="598" t="s">
        <v>996</v>
      </c>
      <c r="AD526" s="598" t="s">
        <v>1018</v>
      </c>
      <c r="AE526" s="616" t="s">
        <v>246</v>
      </c>
      <c r="AF526" s="616" t="s">
        <v>246</v>
      </c>
      <c r="AG526" s="653" t="s">
        <v>4059</v>
      </c>
      <c r="AH526" s="598"/>
      <c r="AI526" s="598"/>
      <c r="AJ526" s="598" t="s">
        <v>1125</v>
      </c>
      <c r="AK526" s="598" t="s">
        <v>3510</v>
      </c>
      <c r="AL526" s="626"/>
      <c r="AM526" s="626"/>
    </row>
    <row r="527" spans="3:39" ht="18" customHeight="1">
      <c r="C527" s="598">
        <v>507</v>
      </c>
      <c r="D527" s="598" t="s">
        <v>3632</v>
      </c>
      <c r="E527" s="598">
        <f t="shared" si="4"/>
        <v>475</v>
      </c>
      <c r="F527" s="616" t="s">
        <v>1810</v>
      </c>
      <c r="G527" s="616" t="s">
        <v>4808</v>
      </c>
      <c r="H527" s="618" t="s">
        <v>3810</v>
      </c>
      <c r="I527" s="618" t="s">
        <v>499</v>
      </c>
      <c r="J527" s="618" t="s">
        <v>3811</v>
      </c>
      <c r="K527" s="618" t="s">
        <v>3811</v>
      </c>
      <c r="L527" s="618" t="s">
        <v>3631</v>
      </c>
      <c r="M527" s="619"/>
      <c r="N527" s="620"/>
      <c r="O527" s="620"/>
      <c r="P527" s="663" t="s">
        <v>1115</v>
      </c>
      <c r="Q527" s="621"/>
      <c r="R527" s="598"/>
      <c r="S527" s="598"/>
      <c r="T527" s="598"/>
      <c r="U527" s="598" t="s">
        <v>1090</v>
      </c>
      <c r="V527" s="663" t="s">
        <v>3638</v>
      </c>
      <c r="W527" s="779" t="s">
        <v>3639</v>
      </c>
      <c r="X527" s="598" t="s">
        <v>950</v>
      </c>
      <c r="Y527" s="624">
        <v>20435</v>
      </c>
      <c r="Z527" s="625">
        <f t="shared" ca="1" si="5"/>
        <v>70</v>
      </c>
      <c r="AA527" s="616" t="s">
        <v>3640</v>
      </c>
      <c r="AB527" s="598"/>
      <c r="AC527" s="598" t="s">
        <v>996</v>
      </c>
      <c r="AD527" s="598" t="s">
        <v>997</v>
      </c>
      <c r="AE527" s="616" t="s">
        <v>1078</v>
      </c>
      <c r="AF527" s="616" t="s">
        <v>1078</v>
      </c>
      <c r="AG527" s="616" t="s">
        <v>3578</v>
      </c>
      <c r="AH527" s="598"/>
      <c r="AI527" s="598"/>
      <c r="AJ527" s="598" t="s">
        <v>1125</v>
      </c>
      <c r="AK527" s="598" t="s">
        <v>3510</v>
      </c>
      <c r="AL527" s="626"/>
      <c r="AM527" s="626"/>
    </row>
    <row r="528" spans="3:39" ht="18" customHeight="1">
      <c r="C528" s="598">
        <v>508</v>
      </c>
      <c r="D528" s="598" t="s">
        <v>2858</v>
      </c>
      <c r="E528" s="598">
        <f t="shared" si="4"/>
        <v>476</v>
      </c>
      <c r="F528" s="616" t="s">
        <v>4978</v>
      </c>
      <c r="G528" s="616" t="s">
        <v>4808</v>
      </c>
      <c r="H528" s="618" t="s">
        <v>3810</v>
      </c>
      <c r="I528" s="618" t="s">
        <v>499</v>
      </c>
      <c r="J528" s="618" t="s">
        <v>3811</v>
      </c>
      <c r="K528" s="618" t="s">
        <v>3811</v>
      </c>
      <c r="L528" s="618" t="s">
        <v>3631</v>
      </c>
      <c r="M528" s="619"/>
      <c r="N528" s="620"/>
      <c r="O528" s="620"/>
      <c r="P528" s="663" t="s">
        <v>1115</v>
      </c>
      <c r="Q528" s="621"/>
      <c r="R528" s="598"/>
      <c r="S528" s="598"/>
      <c r="T528" s="598"/>
      <c r="U528" s="598" t="s">
        <v>1090</v>
      </c>
      <c r="V528" s="663" t="s">
        <v>2859</v>
      </c>
      <c r="W528" s="779" t="s">
        <v>2860</v>
      </c>
      <c r="X528" s="598" t="s">
        <v>950</v>
      </c>
      <c r="Y528" s="624">
        <v>18484</v>
      </c>
      <c r="Z528" s="625">
        <f t="shared" ca="1" si="5"/>
        <v>75</v>
      </c>
      <c r="AA528" s="616" t="s">
        <v>2861</v>
      </c>
      <c r="AB528" s="598"/>
      <c r="AC528" s="598" t="s">
        <v>966</v>
      </c>
      <c r="AD528" s="598" t="s">
        <v>953</v>
      </c>
      <c r="AE528" s="616" t="s">
        <v>1041</v>
      </c>
      <c r="AF528" s="616" t="s">
        <v>1250</v>
      </c>
      <c r="AG528" s="616" t="s">
        <v>2863</v>
      </c>
      <c r="AH528" s="598"/>
      <c r="AI528" s="598"/>
      <c r="AJ528" s="598" t="s">
        <v>1125</v>
      </c>
      <c r="AK528" s="598"/>
      <c r="AL528" s="626"/>
      <c r="AM528" s="626"/>
    </row>
    <row r="529" spans="3:39" ht="18" customHeight="1">
      <c r="C529" s="598">
        <v>509</v>
      </c>
      <c r="D529" s="598" t="s">
        <v>2869</v>
      </c>
      <c r="E529" s="598">
        <f t="shared" si="4"/>
        <v>477</v>
      </c>
      <c r="F529" s="616" t="s">
        <v>4978</v>
      </c>
      <c r="G529" s="616" t="s">
        <v>4808</v>
      </c>
      <c r="H529" s="618" t="s">
        <v>3810</v>
      </c>
      <c r="I529" s="618" t="s">
        <v>499</v>
      </c>
      <c r="J529" s="618" t="s">
        <v>3811</v>
      </c>
      <c r="K529" s="618" t="s">
        <v>3811</v>
      </c>
      <c r="L529" s="618" t="s">
        <v>3631</v>
      </c>
      <c r="M529" s="619"/>
      <c r="N529" s="620"/>
      <c r="O529" s="620"/>
      <c r="P529" s="663" t="s">
        <v>1115</v>
      </c>
      <c r="Q529" s="621"/>
      <c r="R529" s="598"/>
      <c r="S529" s="598"/>
      <c r="T529" s="598"/>
      <c r="U529" s="598" t="s">
        <v>1015</v>
      </c>
      <c r="V529" s="663" t="s">
        <v>2870</v>
      </c>
      <c r="W529" s="779" t="s">
        <v>2871</v>
      </c>
      <c r="X529" s="598" t="s">
        <v>950</v>
      </c>
      <c r="Y529" s="624">
        <v>22162</v>
      </c>
      <c r="Z529" s="625">
        <f t="shared" ca="1" si="5"/>
        <v>65</v>
      </c>
      <c r="AA529" s="616" t="s">
        <v>2872</v>
      </c>
      <c r="AB529" s="598"/>
      <c r="AC529" s="598" t="s">
        <v>966</v>
      </c>
      <c r="AD529" s="598" t="s">
        <v>953</v>
      </c>
      <c r="AE529" s="616" t="s">
        <v>1041</v>
      </c>
      <c r="AF529" s="721" t="s">
        <v>1041</v>
      </c>
      <c r="AG529" s="616" t="s">
        <v>1382</v>
      </c>
      <c r="AH529" s="598"/>
      <c r="AI529" s="598"/>
      <c r="AJ529" s="598" t="s">
        <v>1125</v>
      </c>
      <c r="AK529" s="598"/>
      <c r="AL529" s="626"/>
      <c r="AM529" s="626"/>
    </row>
    <row r="530" spans="3:39" ht="18" customHeight="1">
      <c r="C530" s="598">
        <v>510</v>
      </c>
      <c r="D530" s="598" t="s">
        <v>2874</v>
      </c>
      <c r="E530" s="598">
        <f t="shared" si="4"/>
        <v>478</v>
      </c>
      <c r="F530" s="616" t="s">
        <v>4978</v>
      </c>
      <c r="G530" s="616" t="s">
        <v>4808</v>
      </c>
      <c r="H530" s="618" t="s">
        <v>3810</v>
      </c>
      <c r="I530" s="618" t="s">
        <v>499</v>
      </c>
      <c r="J530" s="618" t="s">
        <v>3811</v>
      </c>
      <c r="K530" s="618" t="s">
        <v>3811</v>
      </c>
      <c r="L530" s="618" t="s">
        <v>3631</v>
      </c>
      <c r="M530" s="619"/>
      <c r="N530" s="620"/>
      <c r="O530" s="620"/>
      <c r="P530" s="663" t="s">
        <v>1115</v>
      </c>
      <c r="Q530" s="621"/>
      <c r="R530" s="598"/>
      <c r="S530" s="598"/>
      <c r="T530" s="598"/>
      <c r="U530" s="598" t="s">
        <v>1015</v>
      </c>
      <c r="V530" s="663" t="s">
        <v>2875</v>
      </c>
      <c r="W530" s="779" t="s">
        <v>2876</v>
      </c>
      <c r="X530" s="598" t="s">
        <v>950</v>
      </c>
      <c r="Y530" s="624">
        <v>23624</v>
      </c>
      <c r="Z530" s="625">
        <f t="shared" ca="1" si="5"/>
        <v>61</v>
      </c>
      <c r="AA530" s="616" t="s">
        <v>2877</v>
      </c>
      <c r="AB530" s="598"/>
      <c r="AC530" s="598" t="s">
        <v>996</v>
      </c>
      <c r="AD530" s="598" t="s">
        <v>1018</v>
      </c>
      <c r="AE530" s="616" t="s">
        <v>1041</v>
      </c>
      <c r="AF530" s="721" t="s">
        <v>1041</v>
      </c>
      <c r="AG530" s="616" t="s">
        <v>2789</v>
      </c>
      <c r="AH530" s="598"/>
      <c r="AI530" s="598"/>
      <c r="AJ530" s="598" t="s">
        <v>1125</v>
      </c>
      <c r="AK530" s="598"/>
      <c r="AL530" s="626"/>
      <c r="AM530" s="626"/>
    </row>
    <row r="531" spans="3:39" ht="18" customHeight="1">
      <c r="C531" s="598">
        <v>511</v>
      </c>
      <c r="D531" s="598" t="s">
        <v>4105</v>
      </c>
      <c r="E531" s="598">
        <f t="shared" si="4"/>
        <v>479</v>
      </c>
      <c r="F531" s="616" t="s">
        <v>3808</v>
      </c>
      <c r="G531" s="616" t="s">
        <v>4808</v>
      </c>
      <c r="H531" s="618" t="s">
        <v>3810</v>
      </c>
      <c r="I531" s="618" t="s">
        <v>499</v>
      </c>
      <c r="J531" s="618" t="s">
        <v>3811</v>
      </c>
      <c r="K531" s="618" t="s">
        <v>3811</v>
      </c>
      <c r="L531" s="618" t="s">
        <v>3631</v>
      </c>
      <c r="M531" s="619"/>
      <c r="N531" s="620"/>
      <c r="O531" s="620"/>
      <c r="P531" s="663" t="s">
        <v>1115</v>
      </c>
      <c r="Q531" s="621" t="s">
        <v>319</v>
      </c>
      <c r="R531" s="598"/>
      <c r="S531" s="598"/>
      <c r="T531" s="598"/>
      <c r="U531" s="598" t="s">
        <v>1090</v>
      </c>
      <c r="V531" s="663" t="s">
        <v>4106</v>
      </c>
      <c r="W531" s="779" t="s">
        <v>4107</v>
      </c>
      <c r="X531" s="598" t="s">
        <v>950</v>
      </c>
      <c r="Y531" s="624">
        <v>16115</v>
      </c>
      <c r="Z531" s="625">
        <f t="shared" ca="1" si="5"/>
        <v>81</v>
      </c>
      <c r="AA531" s="616" t="s">
        <v>4108</v>
      </c>
      <c r="AB531" s="598"/>
      <c r="AC531" s="598" t="s">
        <v>996</v>
      </c>
      <c r="AD531" s="598" t="s">
        <v>1018</v>
      </c>
      <c r="AE531" s="616" t="s">
        <v>246</v>
      </c>
      <c r="AF531" s="616" t="s">
        <v>246</v>
      </c>
      <c r="AG531" s="616" t="s">
        <v>3815</v>
      </c>
      <c r="AH531" s="598"/>
      <c r="AI531" s="598"/>
      <c r="AJ531" s="700" t="s">
        <v>1446</v>
      </c>
      <c r="AK531" s="598"/>
      <c r="AL531" s="626"/>
      <c r="AM531" s="626"/>
    </row>
    <row r="532" spans="3:39" ht="18" customHeight="1">
      <c r="C532" s="598">
        <v>512</v>
      </c>
      <c r="D532" s="598" t="s">
        <v>4119</v>
      </c>
      <c r="E532" s="598">
        <f t="shared" si="4"/>
        <v>480</v>
      </c>
      <c r="F532" s="616" t="s">
        <v>3808</v>
      </c>
      <c r="G532" s="616" t="s">
        <v>4808</v>
      </c>
      <c r="H532" s="618" t="s">
        <v>3810</v>
      </c>
      <c r="I532" s="618" t="s">
        <v>499</v>
      </c>
      <c r="J532" s="618" t="s">
        <v>3811</v>
      </c>
      <c r="K532" s="618" t="s">
        <v>3811</v>
      </c>
      <c r="L532" s="618" t="s">
        <v>3631</v>
      </c>
      <c r="M532" s="619"/>
      <c r="N532" s="620"/>
      <c r="O532" s="620"/>
      <c r="P532" s="673" t="s">
        <v>1115</v>
      </c>
      <c r="Q532" s="621" t="s">
        <v>319</v>
      </c>
      <c r="R532" s="598"/>
      <c r="S532" s="598"/>
      <c r="T532" s="598"/>
      <c r="U532" s="598" t="s">
        <v>1015</v>
      </c>
      <c r="V532" s="673" t="s">
        <v>578</v>
      </c>
      <c r="W532" s="779" t="s">
        <v>4120</v>
      </c>
      <c r="X532" s="598" t="s">
        <v>950</v>
      </c>
      <c r="Y532" s="624">
        <v>23037</v>
      </c>
      <c r="Z532" s="625">
        <f t="shared" ca="1" si="5"/>
        <v>63</v>
      </c>
      <c r="AA532" s="616" t="s">
        <v>4121</v>
      </c>
      <c r="AB532" s="598"/>
      <c r="AC532" s="598" t="s">
        <v>996</v>
      </c>
      <c r="AD532" s="598" t="s">
        <v>1018</v>
      </c>
      <c r="AE532" s="616" t="s">
        <v>246</v>
      </c>
      <c r="AF532" s="616" t="s">
        <v>246</v>
      </c>
      <c r="AG532" s="616" t="s">
        <v>3815</v>
      </c>
      <c r="AH532" s="598"/>
      <c r="AI532" s="598"/>
      <c r="AJ532" s="700" t="s">
        <v>1446</v>
      </c>
      <c r="AK532" s="598"/>
      <c r="AL532" s="626"/>
      <c r="AM532" s="626"/>
    </row>
    <row r="533" spans="3:39" ht="18" customHeight="1">
      <c r="C533" s="598">
        <v>513</v>
      </c>
      <c r="D533" s="598" t="s">
        <v>4208</v>
      </c>
      <c r="E533" s="598">
        <f t="shared" si="4"/>
        <v>481</v>
      </c>
      <c r="F533" s="616" t="s">
        <v>3862</v>
      </c>
      <c r="G533" s="616" t="s">
        <v>4209</v>
      </c>
      <c r="H533" s="618" t="s">
        <v>4208</v>
      </c>
      <c r="I533" s="618" t="s">
        <v>473</v>
      </c>
      <c r="J533" s="618" t="s">
        <v>4208</v>
      </c>
      <c r="K533" s="618" t="s">
        <v>4208</v>
      </c>
      <c r="L533" s="618" t="s">
        <v>959</v>
      </c>
      <c r="M533" s="619"/>
      <c r="N533" s="620"/>
      <c r="O533" s="620"/>
      <c r="P533" s="667" t="s">
        <v>1044</v>
      </c>
      <c r="Q533" s="621"/>
      <c r="R533" s="598" t="s">
        <v>1227</v>
      </c>
      <c r="S533" s="598" t="s">
        <v>173</v>
      </c>
      <c r="T533" s="598" t="s">
        <v>55</v>
      </c>
      <c r="U533" s="598" t="s">
        <v>1015</v>
      </c>
      <c r="V533" s="667" t="s">
        <v>473</v>
      </c>
      <c r="W533" s="779" t="s">
        <v>4213</v>
      </c>
      <c r="X533" s="598" t="s">
        <v>950</v>
      </c>
      <c r="Y533" s="624">
        <v>28590</v>
      </c>
      <c r="Z533" s="625">
        <f t="shared" ca="1" si="5"/>
        <v>47</v>
      </c>
      <c r="AA533" s="654" t="s">
        <v>4214</v>
      </c>
      <c r="AB533" s="598"/>
      <c r="AC533" s="598" t="s">
        <v>966</v>
      </c>
      <c r="AD533" s="598" t="s">
        <v>953</v>
      </c>
      <c r="AE533" s="616" t="s">
        <v>246</v>
      </c>
      <c r="AF533" s="616" t="s">
        <v>246</v>
      </c>
      <c r="AG533" s="616" t="s">
        <v>4216</v>
      </c>
      <c r="AH533" s="598"/>
      <c r="AI533" s="598"/>
      <c r="AJ533" s="598"/>
      <c r="AK533" s="598" t="s">
        <v>3510</v>
      </c>
      <c r="AL533" s="626"/>
      <c r="AM533" s="626"/>
    </row>
    <row r="534" spans="3:39" ht="18" customHeight="1">
      <c r="C534" s="598">
        <v>514</v>
      </c>
      <c r="D534" s="598" t="s">
        <v>4212</v>
      </c>
      <c r="E534" s="598">
        <f t="shared" si="4"/>
        <v>482</v>
      </c>
      <c r="F534" s="616" t="s">
        <v>3862</v>
      </c>
      <c r="G534" s="616" t="s">
        <v>4209</v>
      </c>
      <c r="H534" s="618" t="s">
        <v>4208</v>
      </c>
      <c r="I534" s="618" t="s">
        <v>473</v>
      </c>
      <c r="J534" s="618" t="s">
        <v>4208</v>
      </c>
      <c r="K534" s="618" t="s">
        <v>4208</v>
      </c>
      <c r="L534" s="618" t="s">
        <v>959</v>
      </c>
      <c r="M534" s="619"/>
      <c r="N534" s="620"/>
      <c r="O534" s="620"/>
      <c r="P534" s="663" t="s">
        <v>1044</v>
      </c>
      <c r="Q534" s="621"/>
      <c r="R534" s="598" t="s">
        <v>69</v>
      </c>
      <c r="S534" s="598" t="s">
        <v>562</v>
      </c>
      <c r="T534" s="598" t="s">
        <v>5011</v>
      </c>
      <c r="U534" s="598" t="s">
        <v>992</v>
      </c>
      <c r="V534" s="663" t="s">
        <v>4217</v>
      </c>
      <c r="W534" s="779" t="s">
        <v>4218</v>
      </c>
      <c r="X534" s="598" t="s">
        <v>950</v>
      </c>
      <c r="Y534" s="624">
        <v>36654</v>
      </c>
      <c r="Z534" s="625">
        <f t="shared" ca="1" si="5"/>
        <v>25</v>
      </c>
      <c r="AA534" s="616" t="s">
        <v>4219</v>
      </c>
      <c r="AB534" s="598"/>
      <c r="AC534" s="598" t="s">
        <v>996</v>
      </c>
      <c r="AD534" s="598" t="s">
        <v>997</v>
      </c>
      <c r="AE534" s="616" t="s">
        <v>246</v>
      </c>
      <c r="AF534" s="616" t="s">
        <v>246</v>
      </c>
      <c r="AG534" s="616" t="s">
        <v>4221</v>
      </c>
      <c r="AH534" s="598"/>
      <c r="AI534" s="598" t="s">
        <v>4222</v>
      </c>
      <c r="AJ534" s="598" t="s">
        <v>1125</v>
      </c>
      <c r="AK534" s="598" t="s">
        <v>3510</v>
      </c>
      <c r="AL534" s="626"/>
      <c r="AM534" s="626"/>
    </row>
    <row r="535" spans="3:39" ht="18" customHeight="1">
      <c r="C535" s="598">
        <v>515</v>
      </c>
      <c r="D535" s="598" t="s">
        <v>4223</v>
      </c>
      <c r="E535" s="598">
        <f t="shared" si="4"/>
        <v>483</v>
      </c>
      <c r="F535" s="616" t="s">
        <v>3862</v>
      </c>
      <c r="G535" s="616" t="s">
        <v>4209</v>
      </c>
      <c r="H535" s="618" t="s">
        <v>4208</v>
      </c>
      <c r="I535" s="618" t="s">
        <v>473</v>
      </c>
      <c r="J535" s="618" t="s">
        <v>4208</v>
      </c>
      <c r="K535" s="618" t="s">
        <v>4208</v>
      </c>
      <c r="L535" s="618" t="s">
        <v>959</v>
      </c>
      <c r="M535" s="619"/>
      <c r="N535" s="620"/>
      <c r="O535" s="620"/>
      <c r="P535" s="663" t="s">
        <v>1044</v>
      </c>
      <c r="Q535" s="621"/>
      <c r="R535" s="598"/>
      <c r="S535" s="598"/>
      <c r="T535" s="598"/>
      <c r="U535" s="598" t="s">
        <v>1015</v>
      </c>
      <c r="V535" s="663" t="s">
        <v>4224</v>
      </c>
      <c r="W535" s="779" t="s">
        <v>4225</v>
      </c>
      <c r="X535" s="598" t="s">
        <v>950</v>
      </c>
      <c r="Y535" s="624">
        <v>32251</v>
      </c>
      <c r="Z535" s="625">
        <f t="shared" ca="1" si="5"/>
        <v>37</v>
      </c>
      <c r="AA535" s="616" t="s">
        <v>4226</v>
      </c>
      <c r="AB535" s="598"/>
      <c r="AC535" s="598" t="s">
        <v>996</v>
      </c>
      <c r="AD535" s="598" t="s">
        <v>1018</v>
      </c>
      <c r="AE535" s="616" t="s">
        <v>246</v>
      </c>
      <c r="AF535" s="616" t="s">
        <v>1910</v>
      </c>
      <c r="AG535" s="616" t="s">
        <v>4228</v>
      </c>
      <c r="AH535" s="598"/>
      <c r="AI535" s="598" t="s">
        <v>4229</v>
      </c>
      <c r="AJ535" s="598" t="s">
        <v>1125</v>
      </c>
      <c r="AK535" s="598" t="s">
        <v>1020</v>
      </c>
      <c r="AL535" s="626"/>
      <c r="AM535" s="626"/>
    </row>
    <row r="536" spans="3:39" ht="18" customHeight="1">
      <c r="C536" s="598">
        <v>516</v>
      </c>
      <c r="D536" s="598" t="s">
        <v>4854</v>
      </c>
      <c r="E536" s="598">
        <f t="shared" si="4"/>
        <v>484</v>
      </c>
      <c r="F536" s="616" t="s">
        <v>3862</v>
      </c>
      <c r="G536" s="616" t="s">
        <v>4209</v>
      </c>
      <c r="H536" s="618" t="s">
        <v>4208</v>
      </c>
      <c r="I536" s="618" t="s">
        <v>473</v>
      </c>
      <c r="J536" s="618" t="s">
        <v>4208</v>
      </c>
      <c r="K536" s="618" t="s">
        <v>4208</v>
      </c>
      <c r="L536" s="618" t="s">
        <v>959</v>
      </c>
      <c r="M536" s="619"/>
      <c r="N536" s="620"/>
      <c r="O536" s="620"/>
      <c r="P536" s="663" t="s">
        <v>1044</v>
      </c>
      <c r="Q536" s="621"/>
      <c r="R536" s="598"/>
      <c r="S536" s="598"/>
      <c r="T536" s="598"/>
      <c r="U536" s="598" t="s">
        <v>992</v>
      </c>
      <c r="V536" s="663" t="s">
        <v>4855</v>
      </c>
      <c r="W536" s="779" t="s">
        <v>4856</v>
      </c>
      <c r="X536" s="598" t="s">
        <v>950</v>
      </c>
      <c r="Y536" s="624">
        <v>37018</v>
      </c>
      <c r="Z536" s="625">
        <f t="shared" ca="1" si="5"/>
        <v>24</v>
      </c>
      <c r="AA536" s="616" t="s">
        <v>4857</v>
      </c>
      <c r="AB536" s="598"/>
      <c r="AC536" s="598" t="s">
        <v>996</v>
      </c>
      <c r="AD536" s="598" t="s">
        <v>1018</v>
      </c>
      <c r="AE536" s="616" t="s">
        <v>246</v>
      </c>
      <c r="AF536" s="616" t="s">
        <v>246</v>
      </c>
      <c r="AG536" s="616" t="s">
        <v>4343</v>
      </c>
      <c r="AH536" s="598"/>
      <c r="AI536" s="598" t="s">
        <v>4858</v>
      </c>
      <c r="AJ536" s="598" t="s">
        <v>1125</v>
      </c>
      <c r="AK536" s="598" t="s">
        <v>1020</v>
      </c>
      <c r="AL536" s="626"/>
      <c r="AM536" s="626"/>
    </row>
    <row r="537" spans="3:39" ht="18" customHeight="1">
      <c r="C537" s="598">
        <v>517</v>
      </c>
      <c r="D537" s="598" t="s">
        <v>4230</v>
      </c>
      <c r="E537" s="598">
        <f t="shared" si="4"/>
        <v>485</v>
      </c>
      <c r="F537" s="616" t="s">
        <v>3862</v>
      </c>
      <c r="G537" s="616" t="s">
        <v>4209</v>
      </c>
      <c r="H537" s="618" t="s">
        <v>4208</v>
      </c>
      <c r="I537" s="618" t="s">
        <v>473</v>
      </c>
      <c r="J537" s="618" t="s">
        <v>4208</v>
      </c>
      <c r="K537" s="618" t="s">
        <v>4208</v>
      </c>
      <c r="L537" s="618" t="s">
        <v>959</v>
      </c>
      <c r="M537" s="619"/>
      <c r="N537" s="620"/>
      <c r="O537" s="620"/>
      <c r="P537" s="673" t="s">
        <v>1044</v>
      </c>
      <c r="Q537" s="621"/>
      <c r="R537" s="598"/>
      <c r="S537" s="598"/>
      <c r="T537" s="598"/>
      <c r="U537" s="598" t="s">
        <v>992</v>
      </c>
      <c r="V537" s="673" t="s">
        <v>4231</v>
      </c>
      <c r="W537" s="779" t="s">
        <v>4232</v>
      </c>
      <c r="X537" s="598" t="s">
        <v>950</v>
      </c>
      <c r="Y537" s="624">
        <v>34632</v>
      </c>
      <c r="Z537" s="625">
        <f t="shared" ca="1" si="5"/>
        <v>31</v>
      </c>
      <c r="AA537" s="616" t="s">
        <v>4233</v>
      </c>
      <c r="AB537" s="598"/>
      <c r="AC537" s="598" t="s">
        <v>996</v>
      </c>
      <c r="AD537" s="598" t="s">
        <v>1018</v>
      </c>
      <c r="AE537" s="616" t="s">
        <v>246</v>
      </c>
      <c r="AF537" s="616" t="s">
        <v>246</v>
      </c>
      <c r="AG537" s="616" t="s">
        <v>4388</v>
      </c>
      <c r="AH537" s="598"/>
      <c r="AI537" s="598" t="s">
        <v>5060</v>
      </c>
      <c r="AJ537" s="598" t="s">
        <v>1125</v>
      </c>
      <c r="AK537" s="598" t="s">
        <v>1020</v>
      </c>
      <c r="AL537" s="626"/>
      <c r="AM537" s="626"/>
    </row>
    <row r="538" spans="3:39" ht="18" customHeight="1">
      <c r="C538" s="598">
        <v>518</v>
      </c>
      <c r="D538" s="598" t="s">
        <v>4283</v>
      </c>
      <c r="E538" s="598">
        <f t="shared" si="4"/>
        <v>486</v>
      </c>
      <c r="F538" s="616" t="s">
        <v>3862</v>
      </c>
      <c r="G538" s="616" t="s">
        <v>4209</v>
      </c>
      <c r="H538" s="618" t="s">
        <v>4208</v>
      </c>
      <c r="I538" s="618" t="s">
        <v>473</v>
      </c>
      <c r="J538" s="618" t="s">
        <v>4208</v>
      </c>
      <c r="K538" s="618" t="s">
        <v>4283</v>
      </c>
      <c r="L538" s="618" t="s">
        <v>3941</v>
      </c>
      <c r="M538" s="619"/>
      <c r="N538" s="620"/>
      <c r="O538" s="620"/>
      <c r="P538" s="667" t="s">
        <v>1074</v>
      </c>
      <c r="Q538" s="621"/>
      <c r="R538" s="598" t="s">
        <v>55</v>
      </c>
      <c r="S538" s="598" t="s">
        <v>55</v>
      </c>
      <c r="T538" s="598"/>
      <c r="U538" s="598" t="s">
        <v>1015</v>
      </c>
      <c r="V538" s="667" t="s">
        <v>474</v>
      </c>
      <c r="W538" s="779" t="s">
        <v>4284</v>
      </c>
      <c r="X538" s="598" t="s">
        <v>950</v>
      </c>
      <c r="Y538" s="624">
        <v>23643</v>
      </c>
      <c r="Z538" s="625">
        <f t="shared" ca="1" si="5"/>
        <v>61</v>
      </c>
      <c r="AA538" s="616" t="s">
        <v>4285</v>
      </c>
      <c r="AB538" s="598"/>
      <c r="AC538" s="598" t="s">
        <v>966</v>
      </c>
      <c r="AD538" s="598" t="s">
        <v>953</v>
      </c>
      <c r="AE538" s="616" t="s">
        <v>246</v>
      </c>
      <c r="AF538" s="616" t="s">
        <v>246</v>
      </c>
      <c r="AG538" s="616" t="s">
        <v>4216</v>
      </c>
      <c r="AH538" s="598"/>
      <c r="AI538" s="598"/>
      <c r="AJ538" s="598"/>
      <c r="AK538" s="598" t="s">
        <v>3510</v>
      </c>
      <c r="AL538" s="626"/>
      <c r="AM538" s="626"/>
    </row>
    <row r="539" spans="3:39" ht="18" customHeight="1">
      <c r="C539" s="598">
        <v>519</v>
      </c>
      <c r="D539" s="598" t="s">
        <v>3941</v>
      </c>
      <c r="E539" s="598">
        <f t="shared" si="4"/>
        <v>487</v>
      </c>
      <c r="F539" s="616" t="s">
        <v>3862</v>
      </c>
      <c r="G539" s="616" t="s">
        <v>4209</v>
      </c>
      <c r="H539" s="618" t="s">
        <v>4208</v>
      </c>
      <c r="I539" s="618" t="s">
        <v>473</v>
      </c>
      <c r="J539" s="618" t="s">
        <v>4208</v>
      </c>
      <c r="K539" s="618" t="s">
        <v>4283</v>
      </c>
      <c r="L539" s="618" t="s">
        <v>3941</v>
      </c>
      <c r="M539" s="619"/>
      <c r="N539" s="620"/>
      <c r="O539" s="620"/>
      <c r="P539" s="663" t="s">
        <v>1074</v>
      </c>
      <c r="Q539" s="621"/>
      <c r="R539" s="598" t="s">
        <v>69</v>
      </c>
      <c r="S539" s="598" t="s">
        <v>69</v>
      </c>
      <c r="T539" s="598" t="s">
        <v>5009</v>
      </c>
      <c r="U539" s="598" t="s">
        <v>1090</v>
      </c>
      <c r="V539" s="663" t="s">
        <v>3942</v>
      </c>
      <c r="W539" s="779" t="s">
        <v>3943</v>
      </c>
      <c r="X539" s="598" t="s">
        <v>950</v>
      </c>
      <c r="Y539" s="624">
        <v>18216</v>
      </c>
      <c r="Z539" s="625">
        <f t="shared" ca="1" si="5"/>
        <v>76</v>
      </c>
      <c r="AA539" s="616" t="s">
        <v>3944</v>
      </c>
      <c r="AB539" s="598"/>
      <c r="AC539" s="598" t="s">
        <v>966</v>
      </c>
      <c r="AD539" s="598" t="s">
        <v>953</v>
      </c>
      <c r="AE539" s="616" t="s">
        <v>973</v>
      </c>
      <c r="AF539" s="616" t="s">
        <v>246</v>
      </c>
      <c r="AG539" s="616" t="s">
        <v>3815</v>
      </c>
      <c r="AH539" s="598"/>
      <c r="AI539" s="598"/>
      <c r="AJ539" s="598"/>
      <c r="AK539" s="598" t="s">
        <v>3510</v>
      </c>
      <c r="AL539" s="626"/>
      <c r="AM539" s="626"/>
    </row>
    <row r="540" spans="3:39" ht="18" customHeight="1">
      <c r="C540" s="598">
        <v>520</v>
      </c>
      <c r="D540" s="598" t="s">
        <v>4275</v>
      </c>
      <c r="E540" s="598">
        <f t="shared" si="4"/>
        <v>488</v>
      </c>
      <c r="F540" s="616" t="s">
        <v>3862</v>
      </c>
      <c r="G540" s="616" t="s">
        <v>4209</v>
      </c>
      <c r="H540" s="618" t="s">
        <v>4208</v>
      </c>
      <c r="I540" s="618" t="s">
        <v>473</v>
      </c>
      <c r="J540" s="618" t="s">
        <v>4208</v>
      </c>
      <c r="K540" s="618" t="s">
        <v>4283</v>
      </c>
      <c r="L540" s="618" t="s">
        <v>3941</v>
      </c>
      <c r="M540" s="619"/>
      <c r="N540" s="620"/>
      <c r="O540" s="620"/>
      <c r="P540" s="663" t="s">
        <v>1074</v>
      </c>
      <c r="Q540" s="621"/>
      <c r="R540" s="598"/>
      <c r="S540" s="598"/>
      <c r="T540" s="598"/>
      <c r="U540" s="598" t="s">
        <v>1090</v>
      </c>
      <c r="V540" s="663" t="s">
        <v>485</v>
      </c>
      <c r="W540" s="779" t="s">
        <v>4276</v>
      </c>
      <c r="X540" s="598" t="s">
        <v>950</v>
      </c>
      <c r="Y540" s="624">
        <v>18323</v>
      </c>
      <c r="Z540" s="625">
        <f t="shared" ca="1" si="5"/>
        <v>75</v>
      </c>
      <c r="AA540" s="616" t="s">
        <v>4277</v>
      </c>
      <c r="AB540" s="598"/>
      <c r="AC540" s="598" t="s">
        <v>966</v>
      </c>
      <c r="AD540" s="598" t="s">
        <v>953</v>
      </c>
      <c r="AE540" s="616" t="s">
        <v>246</v>
      </c>
      <c r="AF540" s="616" t="s">
        <v>246</v>
      </c>
      <c r="AG540" s="616" t="s">
        <v>4216</v>
      </c>
      <c r="AH540" s="598"/>
      <c r="AI540" s="598"/>
      <c r="AJ540" s="598"/>
      <c r="AK540" s="598" t="s">
        <v>3510</v>
      </c>
      <c r="AL540" s="626"/>
      <c r="AM540" s="626"/>
    </row>
    <row r="541" spans="3:39" ht="18" customHeight="1">
      <c r="C541" s="598">
        <v>521</v>
      </c>
      <c r="D541" s="598" t="s">
        <v>4279</v>
      </c>
      <c r="E541" s="598">
        <f t="shared" si="4"/>
        <v>489</v>
      </c>
      <c r="F541" s="616" t="s">
        <v>3862</v>
      </c>
      <c r="G541" s="616" t="s">
        <v>4209</v>
      </c>
      <c r="H541" s="618" t="s">
        <v>4208</v>
      </c>
      <c r="I541" s="618" t="s">
        <v>473</v>
      </c>
      <c r="J541" s="618" t="s">
        <v>4208</v>
      </c>
      <c r="K541" s="618" t="s">
        <v>4283</v>
      </c>
      <c r="L541" s="618" t="s">
        <v>3941</v>
      </c>
      <c r="M541" s="619"/>
      <c r="N541" s="620"/>
      <c r="O541" s="620"/>
      <c r="P541" s="663" t="s">
        <v>1074</v>
      </c>
      <c r="Q541" s="621"/>
      <c r="R541" s="598"/>
      <c r="S541" s="598"/>
      <c r="T541" s="598"/>
      <c r="U541" s="598" t="s">
        <v>1090</v>
      </c>
      <c r="V541" s="663" t="s">
        <v>491</v>
      </c>
      <c r="W541" s="779" t="s">
        <v>4280</v>
      </c>
      <c r="X541" s="598" t="s">
        <v>950</v>
      </c>
      <c r="Y541" s="624">
        <v>18840</v>
      </c>
      <c r="Z541" s="625">
        <f t="shared" ca="1" si="5"/>
        <v>74</v>
      </c>
      <c r="AA541" s="616" t="s">
        <v>4281</v>
      </c>
      <c r="AB541" s="598"/>
      <c r="AC541" s="598" t="s">
        <v>966</v>
      </c>
      <c r="AD541" s="598" t="s">
        <v>953</v>
      </c>
      <c r="AE541" s="616" t="s">
        <v>246</v>
      </c>
      <c r="AF541" s="616" t="s">
        <v>246</v>
      </c>
      <c r="AG541" s="616" t="s">
        <v>4216</v>
      </c>
      <c r="AH541" s="598"/>
      <c r="AI541" s="598"/>
      <c r="AJ541" s="598"/>
      <c r="AK541" s="598" t="s">
        <v>3510</v>
      </c>
      <c r="AL541" s="626"/>
      <c r="AM541" s="626"/>
    </row>
    <row r="542" spans="3:39" ht="18" customHeight="1">
      <c r="C542" s="598">
        <v>522</v>
      </c>
      <c r="D542" s="598" t="s">
        <v>3985</v>
      </c>
      <c r="E542" s="598">
        <f t="shared" si="4"/>
        <v>490</v>
      </c>
      <c r="F542" s="616" t="s">
        <v>3862</v>
      </c>
      <c r="G542" s="616" t="s">
        <v>4209</v>
      </c>
      <c r="H542" s="618" t="s">
        <v>4208</v>
      </c>
      <c r="I542" s="618" t="s">
        <v>473</v>
      </c>
      <c r="J542" s="618" t="s">
        <v>4208</v>
      </c>
      <c r="K542" s="618" t="s">
        <v>4283</v>
      </c>
      <c r="L542" s="618" t="s">
        <v>3941</v>
      </c>
      <c r="M542" s="619"/>
      <c r="N542" s="620"/>
      <c r="O542" s="620"/>
      <c r="P542" s="663" t="s">
        <v>1074</v>
      </c>
      <c r="Q542" s="621"/>
      <c r="R542" s="598" t="s">
        <v>55</v>
      </c>
      <c r="S542" s="598" t="s">
        <v>178</v>
      </c>
      <c r="T542" s="598"/>
      <c r="U542" s="598" t="s">
        <v>1015</v>
      </c>
      <c r="V542" s="663" t="s">
        <v>495</v>
      </c>
      <c r="W542" s="779" t="s">
        <v>3986</v>
      </c>
      <c r="X542" s="598" t="s">
        <v>950</v>
      </c>
      <c r="Y542" s="624">
        <v>25024</v>
      </c>
      <c r="Z542" s="625">
        <f t="shared" ca="1" si="5"/>
        <v>57</v>
      </c>
      <c r="AA542" s="616" t="s">
        <v>3987</v>
      </c>
      <c r="AB542" s="598"/>
      <c r="AC542" s="598" t="s">
        <v>966</v>
      </c>
      <c r="AD542" s="598" t="s">
        <v>953</v>
      </c>
      <c r="AE542" s="616" t="s">
        <v>246</v>
      </c>
      <c r="AF542" s="616" t="s">
        <v>246</v>
      </c>
      <c r="AG542" s="616" t="s">
        <v>3815</v>
      </c>
      <c r="AH542" s="598"/>
      <c r="AI542" s="598"/>
      <c r="AJ542" s="598"/>
      <c r="AK542" s="598" t="s">
        <v>3510</v>
      </c>
      <c r="AL542" s="626"/>
      <c r="AM542" s="626"/>
    </row>
    <row r="543" spans="3:39" ht="18" customHeight="1">
      <c r="C543" s="598">
        <v>523</v>
      </c>
      <c r="D543" s="598" t="s">
        <v>4860</v>
      </c>
      <c r="E543" s="598">
        <f t="shared" si="4"/>
        <v>491</v>
      </c>
      <c r="F543" s="616" t="s">
        <v>3862</v>
      </c>
      <c r="G543" s="616" t="s">
        <v>4209</v>
      </c>
      <c r="H543" s="618" t="s">
        <v>4208</v>
      </c>
      <c r="I543" s="618" t="s">
        <v>473</v>
      </c>
      <c r="J543" s="618" t="s">
        <v>4208</v>
      </c>
      <c r="K543" s="618" t="s">
        <v>4283</v>
      </c>
      <c r="L543" s="618" t="s">
        <v>3941</v>
      </c>
      <c r="M543" s="619"/>
      <c r="N543" s="620"/>
      <c r="O543" s="620"/>
      <c r="P543" s="673" t="s">
        <v>1074</v>
      </c>
      <c r="Q543" s="621"/>
      <c r="R543" s="598"/>
      <c r="S543" s="598"/>
      <c r="T543" s="598"/>
      <c r="U543" s="598" t="s">
        <v>1015</v>
      </c>
      <c r="V543" s="673" t="s">
        <v>4861</v>
      </c>
      <c r="W543" s="779" t="s">
        <v>4862</v>
      </c>
      <c r="X543" s="598" t="s">
        <v>950</v>
      </c>
      <c r="Y543" s="624">
        <v>29360</v>
      </c>
      <c r="Z543" s="625">
        <f t="shared" ca="1" si="5"/>
        <v>45</v>
      </c>
      <c r="AA543" s="616" t="s">
        <v>4863</v>
      </c>
      <c r="AB543" s="598"/>
      <c r="AC543" s="598" t="s">
        <v>996</v>
      </c>
      <c r="AD543" s="598" t="s">
        <v>1018</v>
      </c>
      <c r="AE543" s="616" t="s">
        <v>246</v>
      </c>
      <c r="AF543" s="616" t="s">
        <v>246</v>
      </c>
      <c r="AG543" s="616" t="s">
        <v>3815</v>
      </c>
      <c r="AH543" s="598"/>
      <c r="AI543" s="598" t="s">
        <v>4864</v>
      </c>
      <c r="AJ543" s="598"/>
      <c r="AK543" s="680" t="s">
        <v>4505</v>
      </c>
      <c r="AL543" s="626"/>
      <c r="AM543" s="626"/>
    </row>
    <row r="544" spans="3:39" ht="18" customHeight="1">
      <c r="C544" s="598">
        <v>524</v>
      </c>
      <c r="D544" s="598" t="s">
        <v>4303</v>
      </c>
      <c r="E544" s="598">
        <f t="shared" si="4"/>
        <v>492</v>
      </c>
      <c r="F544" s="616" t="s">
        <v>3862</v>
      </c>
      <c r="G544" s="616" t="s">
        <v>4209</v>
      </c>
      <c r="H544" s="618" t="s">
        <v>4208</v>
      </c>
      <c r="I544" s="618" t="s">
        <v>473</v>
      </c>
      <c r="J544" s="618" t="s">
        <v>4208</v>
      </c>
      <c r="K544" s="618" t="s">
        <v>4303</v>
      </c>
      <c r="L544" s="618" t="s">
        <v>959</v>
      </c>
      <c r="M544" s="619"/>
      <c r="N544" s="620"/>
      <c r="O544" s="620"/>
      <c r="P544" s="667" t="s">
        <v>1115</v>
      </c>
      <c r="Q544" s="621"/>
      <c r="R544" s="598" t="s">
        <v>55</v>
      </c>
      <c r="S544" s="598" t="s">
        <v>55</v>
      </c>
      <c r="T544" s="598"/>
      <c r="U544" s="598" t="s">
        <v>992</v>
      </c>
      <c r="V544" s="667" t="s">
        <v>4305</v>
      </c>
      <c r="W544" s="779" t="s">
        <v>4306</v>
      </c>
      <c r="X544" s="598" t="s">
        <v>963</v>
      </c>
      <c r="Y544" s="624">
        <v>37183</v>
      </c>
      <c r="Z544" s="625">
        <f t="shared" ca="1" si="5"/>
        <v>24</v>
      </c>
      <c r="AA544" s="616" t="s">
        <v>4307</v>
      </c>
      <c r="AB544" s="598"/>
      <c r="AC544" s="598" t="s">
        <v>1006</v>
      </c>
      <c r="AD544" s="598" t="s">
        <v>953</v>
      </c>
      <c r="AE544" s="616" t="s">
        <v>246</v>
      </c>
      <c r="AF544" s="616" t="s">
        <v>246</v>
      </c>
      <c r="AG544" s="616" t="s">
        <v>4216</v>
      </c>
      <c r="AH544" s="598"/>
      <c r="AI544" s="598"/>
      <c r="AJ544" s="598"/>
      <c r="AK544" s="598" t="s">
        <v>3510</v>
      </c>
      <c r="AL544" s="626"/>
      <c r="AM544" s="626"/>
    </row>
    <row r="545" spans="3:39" ht="18" customHeight="1">
      <c r="C545" s="598">
        <v>525</v>
      </c>
      <c r="D545" s="598" t="s">
        <v>2220</v>
      </c>
      <c r="E545" s="598">
        <f t="shared" si="4"/>
        <v>493</v>
      </c>
      <c r="F545" s="616" t="s">
        <v>3862</v>
      </c>
      <c r="G545" s="616" t="s">
        <v>4209</v>
      </c>
      <c r="H545" s="618" t="s">
        <v>4208</v>
      </c>
      <c r="I545" s="618" t="s">
        <v>473</v>
      </c>
      <c r="J545" s="618" t="s">
        <v>4208</v>
      </c>
      <c r="K545" s="618" t="s">
        <v>4303</v>
      </c>
      <c r="L545" s="618" t="s">
        <v>959</v>
      </c>
      <c r="M545" s="619"/>
      <c r="N545" s="620"/>
      <c r="O545" s="620"/>
      <c r="P545" s="663" t="s">
        <v>1115</v>
      </c>
      <c r="Q545" s="621"/>
      <c r="R545" s="598"/>
      <c r="S545" s="598"/>
      <c r="T545" s="598"/>
      <c r="U545" s="598" t="s">
        <v>992</v>
      </c>
      <c r="V545" s="663" t="s">
        <v>4313</v>
      </c>
      <c r="W545" s="779" t="s">
        <v>4314</v>
      </c>
      <c r="X545" s="598" t="s">
        <v>963</v>
      </c>
      <c r="Y545" s="624">
        <v>38152</v>
      </c>
      <c r="Z545" s="625">
        <f t="shared" ca="1" si="5"/>
        <v>21</v>
      </c>
      <c r="AA545" s="616" t="s">
        <v>4315</v>
      </c>
      <c r="AB545" s="598"/>
      <c r="AC545" s="598" t="s">
        <v>1006</v>
      </c>
      <c r="AD545" s="598" t="s">
        <v>953</v>
      </c>
      <c r="AE545" s="616" t="s">
        <v>729</v>
      </c>
      <c r="AF545" s="616" t="s">
        <v>246</v>
      </c>
      <c r="AG545" s="616" t="s">
        <v>4388</v>
      </c>
      <c r="AH545" s="598"/>
      <c r="AI545" s="598"/>
      <c r="AJ545" s="598" t="s">
        <v>1011</v>
      </c>
      <c r="AK545" s="598" t="s">
        <v>3510</v>
      </c>
      <c r="AL545" s="626"/>
      <c r="AM545" s="626"/>
    </row>
    <row r="546" spans="3:39" ht="18" customHeight="1">
      <c r="C546" s="598">
        <v>526</v>
      </c>
      <c r="D546" s="598" t="s">
        <v>4317</v>
      </c>
      <c r="E546" s="598">
        <f t="shared" si="4"/>
        <v>494</v>
      </c>
      <c r="F546" s="616" t="s">
        <v>3862</v>
      </c>
      <c r="G546" s="616" t="s">
        <v>4209</v>
      </c>
      <c r="H546" s="618" t="s">
        <v>4208</v>
      </c>
      <c r="I546" s="618" t="s">
        <v>473</v>
      </c>
      <c r="J546" s="618" t="s">
        <v>4208</v>
      </c>
      <c r="K546" s="618" t="s">
        <v>4303</v>
      </c>
      <c r="L546" s="618" t="s">
        <v>959</v>
      </c>
      <c r="M546" s="619"/>
      <c r="N546" s="620"/>
      <c r="O546" s="620"/>
      <c r="P546" s="663" t="s">
        <v>1115</v>
      </c>
      <c r="Q546" s="621"/>
      <c r="R546" s="598"/>
      <c r="S546" s="598"/>
      <c r="T546" s="598"/>
      <c r="U546" s="598" t="s">
        <v>992</v>
      </c>
      <c r="V546" s="663" t="s">
        <v>4318</v>
      </c>
      <c r="W546" s="779" t="s">
        <v>4319</v>
      </c>
      <c r="X546" s="598" t="s">
        <v>963</v>
      </c>
      <c r="Y546" s="624">
        <v>36511</v>
      </c>
      <c r="Z546" s="625">
        <f t="shared" ca="1" si="5"/>
        <v>26</v>
      </c>
      <c r="AA546" s="654" t="s">
        <v>4320</v>
      </c>
      <c r="AB546" s="598"/>
      <c r="AC546" s="598" t="s">
        <v>1006</v>
      </c>
      <c r="AD546" s="598" t="s">
        <v>953</v>
      </c>
      <c r="AE546" s="616" t="s">
        <v>246</v>
      </c>
      <c r="AF546" s="616" t="s">
        <v>246</v>
      </c>
      <c r="AG546" s="616" t="s">
        <v>4322</v>
      </c>
      <c r="AH546" s="598"/>
      <c r="AI546" s="598"/>
      <c r="AJ546" s="598" t="s">
        <v>1349</v>
      </c>
      <c r="AK546" s="598" t="s">
        <v>3510</v>
      </c>
      <c r="AL546" s="626"/>
      <c r="AM546" s="626"/>
    </row>
    <row r="547" spans="3:39" ht="18" customHeight="1">
      <c r="C547" s="598">
        <v>527</v>
      </c>
      <c r="D547" s="598" t="s">
        <v>4144</v>
      </c>
      <c r="E547" s="598">
        <f t="shared" si="4"/>
        <v>495</v>
      </c>
      <c r="F547" s="616" t="s">
        <v>1351</v>
      </c>
      <c r="G547" s="616" t="s">
        <v>4209</v>
      </c>
      <c r="H547" s="618" t="s">
        <v>4208</v>
      </c>
      <c r="I547" s="618" t="s">
        <v>473</v>
      </c>
      <c r="J547" s="618" t="s">
        <v>4208</v>
      </c>
      <c r="K547" s="618" t="s">
        <v>4303</v>
      </c>
      <c r="L547" s="618" t="s">
        <v>959</v>
      </c>
      <c r="M547" s="619"/>
      <c r="N547" s="620"/>
      <c r="O547" s="620"/>
      <c r="P547" s="663" t="s">
        <v>1115</v>
      </c>
      <c r="Q547" s="621"/>
      <c r="R547" s="598"/>
      <c r="S547" s="598"/>
      <c r="T547" s="598"/>
      <c r="U547" s="598" t="s">
        <v>992</v>
      </c>
      <c r="V547" s="663" t="s">
        <v>4145</v>
      </c>
      <c r="W547" s="779" t="s">
        <v>4146</v>
      </c>
      <c r="X547" s="598" t="s">
        <v>963</v>
      </c>
      <c r="Y547" s="624">
        <v>38845</v>
      </c>
      <c r="Z547" s="625">
        <f t="shared" ca="1" si="5"/>
        <v>19</v>
      </c>
      <c r="AA547" s="616" t="s">
        <v>4147</v>
      </c>
      <c r="AB547" s="598"/>
      <c r="AC547" s="598" t="s">
        <v>996</v>
      </c>
      <c r="AD547" s="598" t="s">
        <v>953</v>
      </c>
      <c r="AE547" s="616" t="s">
        <v>246</v>
      </c>
      <c r="AF547" s="616" t="s">
        <v>246</v>
      </c>
      <c r="AG547" s="616" t="s">
        <v>3815</v>
      </c>
      <c r="AH547" s="598"/>
      <c r="AI547" s="598"/>
      <c r="AJ547" s="598" t="s">
        <v>1125</v>
      </c>
      <c r="AK547" s="598"/>
      <c r="AL547" s="626"/>
      <c r="AM547" s="626"/>
    </row>
    <row r="548" spans="3:39" ht="18" customHeight="1">
      <c r="C548" s="598">
        <v>528</v>
      </c>
      <c r="D548" s="598" t="s">
        <v>4865</v>
      </c>
      <c r="E548" s="598">
        <f t="shared" si="4"/>
        <v>496</v>
      </c>
      <c r="F548" s="616" t="s">
        <v>1351</v>
      </c>
      <c r="G548" s="616" t="s">
        <v>4209</v>
      </c>
      <c r="H548" s="618" t="s">
        <v>4208</v>
      </c>
      <c r="I548" s="618" t="s">
        <v>473</v>
      </c>
      <c r="J548" s="618" t="s">
        <v>4208</v>
      </c>
      <c r="K548" s="618" t="s">
        <v>4303</v>
      </c>
      <c r="L548" s="618" t="s">
        <v>959</v>
      </c>
      <c r="M548" s="619"/>
      <c r="N548" s="620"/>
      <c r="O548" s="620"/>
      <c r="P548" s="663" t="s">
        <v>1115</v>
      </c>
      <c r="Q548" s="621"/>
      <c r="R548" s="598"/>
      <c r="S548" s="598"/>
      <c r="T548" s="598"/>
      <c r="U548" s="598" t="s">
        <v>1705</v>
      </c>
      <c r="V548" s="663" t="s">
        <v>502</v>
      </c>
      <c r="W548" s="779" t="s">
        <v>4866</v>
      </c>
      <c r="X548" s="598" t="s">
        <v>950</v>
      </c>
      <c r="Y548" s="624">
        <v>39773</v>
      </c>
      <c r="Z548" s="625">
        <f t="shared" ca="1" si="5"/>
        <v>17</v>
      </c>
      <c r="AA548" s="616" t="s">
        <v>4865</v>
      </c>
      <c r="AB548" s="598"/>
      <c r="AC548" s="598" t="s">
        <v>996</v>
      </c>
      <c r="AD548" s="598" t="s">
        <v>1018</v>
      </c>
      <c r="AE548" s="616" t="s">
        <v>246</v>
      </c>
      <c r="AF548" s="616" t="s">
        <v>246</v>
      </c>
      <c r="AG548" s="653" t="s">
        <v>4868</v>
      </c>
      <c r="AH548" s="598"/>
      <c r="AI548" s="598"/>
      <c r="AJ548" s="598" t="s">
        <v>1452</v>
      </c>
      <c r="AK548" s="598"/>
      <c r="AL548" s="626"/>
      <c r="AM548" s="626"/>
    </row>
    <row r="549" spans="3:39" ht="18" customHeight="1">
      <c r="C549" s="598">
        <v>529</v>
      </c>
      <c r="D549" s="598" t="s">
        <v>4869</v>
      </c>
      <c r="E549" s="598">
        <f t="shared" si="4"/>
        <v>497</v>
      </c>
      <c r="F549" s="616" t="s">
        <v>3862</v>
      </c>
      <c r="G549" s="616" t="s">
        <v>4209</v>
      </c>
      <c r="H549" s="618" t="s">
        <v>4208</v>
      </c>
      <c r="I549" s="618" t="s">
        <v>473</v>
      </c>
      <c r="J549" s="618" t="s">
        <v>4208</v>
      </c>
      <c r="K549" s="618" t="s">
        <v>4303</v>
      </c>
      <c r="L549" s="618" t="s">
        <v>959</v>
      </c>
      <c r="M549" s="619"/>
      <c r="N549" s="620"/>
      <c r="O549" s="620"/>
      <c r="P549" s="673" t="s">
        <v>1115</v>
      </c>
      <c r="Q549" s="621"/>
      <c r="R549" s="598"/>
      <c r="S549" s="598"/>
      <c r="T549" s="598"/>
      <c r="U549" s="598" t="s">
        <v>992</v>
      </c>
      <c r="V549" s="673" t="s">
        <v>4870</v>
      </c>
      <c r="W549" s="779" t="s">
        <v>4871</v>
      </c>
      <c r="X549" s="598" t="s">
        <v>950</v>
      </c>
      <c r="Y549" s="624">
        <v>37974</v>
      </c>
      <c r="Z549" s="625">
        <f t="shared" ca="1" si="5"/>
        <v>22</v>
      </c>
      <c r="AA549" s="616" t="s">
        <v>4872</v>
      </c>
      <c r="AB549" s="598"/>
      <c r="AC549" s="598" t="s">
        <v>996</v>
      </c>
      <c r="AD549" s="598" t="s">
        <v>1018</v>
      </c>
      <c r="AE549" s="616" t="s">
        <v>246</v>
      </c>
      <c r="AF549" s="616" t="s">
        <v>246</v>
      </c>
      <c r="AG549" s="616" t="s">
        <v>3815</v>
      </c>
      <c r="AH549" s="598"/>
      <c r="AI549" s="598" t="s">
        <v>4873</v>
      </c>
      <c r="AJ549" s="598" t="s">
        <v>1349</v>
      </c>
      <c r="AK549" s="598" t="s">
        <v>1020</v>
      </c>
      <c r="AL549" s="626"/>
      <c r="AM549" s="626"/>
    </row>
    <row r="550" spans="3:39" ht="18" customHeight="1">
      <c r="C550" s="598">
        <v>530</v>
      </c>
      <c r="D550" s="598" t="s">
        <v>4333</v>
      </c>
      <c r="E550" s="598">
        <f t="shared" si="4"/>
        <v>498</v>
      </c>
      <c r="F550" s="616" t="s">
        <v>3862</v>
      </c>
      <c r="G550" s="616" t="s">
        <v>4209</v>
      </c>
      <c r="H550" s="618" t="s">
        <v>4208</v>
      </c>
      <c r="I550" s="618" t="s">
        <v>473</v>
      </c>
      <c r="J550" s="618" t="s">
        <v>4208</v>
      </c>
      <c r="K550" s="618" t="s">
        <v>4333</v>
      </c>
      <c r="L550" s="618" t="s">
        <v>4334</v>
      </c>
      <c r="M550" s="619"/>
      <c r="N550" s="620"/>
      <c r="O550" s="620"/>
      <c r="P550" s="667" t="s">
        <v>1127</v>
      </c>
      <c r="Q550" s="621"/>
      <c r="R550" s="598" t="s">
        <v>55</v>
      </c>
      <c r="S550" s="598" t="s">
        <v>55</v>
      </c>
      <c r="T550" s="598"/>
      <c r="U550" s="598" t="s">
        <v>1015</v>
      </c>
      <c r="V550" s="667" t="s">
        <v>476</v>
      </c>
      <c r="W550" s="779" t="s">
        <v>4336</v>
      </c>
      <c r="X550" s="598" t="s">
        <v>950</v>
      </c>
      <c r="Y550" s="624">
        <v>27135</v>
      </c>
      <c r="Z550" s="625">
        <f t="shared" ca="1" si="5"/>
        <v>51</v>
      </c>
      <c r="AA550" s="654" t="s">
        <v>4337</v>
      </c>
      <c r="AB550" s="598"/>
      <c r="AC550" s="598" t="s">
        <v>966</v>
      </c>
      <c r="AD550" s="598" t="s">
        <v>953</v>
      </c>
      <c r="AE550" s="616" t="s">
        <v>246</v>
      </c>
      <c r="AF550" s="616" t="s">
        <v>246</v>
      </c>
      <c r="AG550" s="653" t="s">
        <v>4064</v>
      </c>
      <c r="AH550" s="598"/>
      <c r="AI550" s="598"/>
      <c r="AJ550" s="598"/>
      <c r="AK550" s="598" t="s">
        <v>3510</v>
      </c>
      <c r="AL550" s="626"/>
      <c r="AM550" s="626"/>
    </row>
    <row r="551" spans="3:39" ht="18" customHeight="1">
      <c r="C551" s="598">
        <v>531</v>
      </c>
      <c r="D551" s="598" t="s">
        <v>4334</v>
      </c>
      <c r="E551" s="598">
        <f t="shared" si="4"/>
        <v>499</v>
      </c>
      <c r="F551" s="616" t="s">
        <v>3862</v>
      </c>
      <c r="G551" s="616" t="s">
        <v>4209</v>
      </c>
      <c r="H551" s="618" t="s">
        <v>4208</v>
      </c>
      <c r="I551" s="618" t="s">
        <v>473</v>
      </c>
      <c r="J551" s="618" t="s">
        <v>4208</v>
      </c>
      <c r="K551" s="618" t="s">
        <v>4333</v>
      </c>
      <c r="L551" s="618" t="s">
        <v>4334</v>
      </c>
      <c r="M551" s="619"/>
      <c r="N551" s="620"/>
      <c r="O551" s="620"/>
      <c r="P551" s="663" t="s">
        <v>1127</v>
      </c>
      <c r="Q551" s="621"/>
      <c r="R551" s="598" t="s">
        <v>69</v>
      </c>
      <c r="S551" s="598" t="s">
        <v>69</v>
      </c>
      <c r="T551" s="598"/>
      <c r="U551" s="598" t="s">
        <v>1015</v>
      </c>
      <c r="V551" s="663" t="s">
        <v>4339</v>
      </c>
      <c r="W551" s="779" t="s">
        <v>4340</v>
      </c>
      <c r="X551" s="598" t="s">
        <v>950</v>
      </c>
      <c r="Y551" s="624">
        <v>27601</v>
      </c>
      <c r="Z551" s="625">
        <f t="shared" ca="1" si="5"/>
        <v>50</v>
      </c>
      <c r="AA551" s="616" t="s">
        <v>4341</v>
      </c>
      <c r="AB551" s="598"/>
      <c r="AC551" s="598" t="s">
        <v>996</v>
      </c>
      <c r="AD551" s="598" t="s">
        <v>997</v>
      </c>
      <c r="AE551" s="616" t="s">
        <v>246</v>
      </c>
      <c r="AF551" s="616" t="s">
        <v>246</v>
      </c>
      <c r="AG551" s="616" t="s">
        <v>4343</v>
      </c>
      <c r="AH551" s="598"/>
      <c r="AI551" s="598"/>
      <c r="AJ551" s="598" t="s">
        <v>1125</v>
      </c>
      <c r="AK551" s="598" t="s">
        <v>3510</v>
      </c>
      <c r="AL551" s="626"/>
      <c r="AM551" s="626"/>
    </row>
    <row r="552" spans="3:39" ht="18" customHeight="1">
      <c r="C552" s="598">
        <v>532</v>
      </c>
      <c r="D552" s="598" t="s">
        <v>4348</v>
      </c>
      <c r="E552" s="598">
        <f t="shared" si="4"/>
        <v>500</v>
      </c>
      <c r="F552" s="616" t="s">
        <v>3862</v>
      </c>
      <c r="G552" s="616" t="s">
        <v>4209</v>
      </c>
      <c r="H552" s="618" t="s">
        <v>4208</v>
      </c>
      <c r="I552" s="618" t="s">
        <v>473</v>
      </c>
      <c r="J552" s="618" t="s">
        <v>4208</v>
      </c>
      <c r="K552" s="618" t="s">
        <v>4333</v>
      </c>
      <c r="L552" s="618" t="s">
        <v>4334</v>
      </c>
      <c r="M552" s="619"/>
      <c r="N552" s="620"/>
      <c r="O552" s="620"/>
      <c r="P552" s="663" t="s">
        <v>1127</v>
      </c>
      <c r="Q552" s="621"/>
      <c r="R552" s="598"/>
      <c r="S552" s="598"/>
      <c r="T552" s="598"/>
      <c r="U552" s="598" t="s">
        <v>1015</v>
      </c>
      <c r="V552" s="663" t="s">
        <v>4349</v>
      </c>
      <c r="W552" s="779" t="s">
        <v>4350</v>
      </c>
      <c r="X552" s="598" t="s">
        <v>950</v>
      </c>
      <c r="Y552" s="624">
        <v>26677</v>
      </c>
      <c r="Z552" s="625">
        <f t="shared" ca="1" si="5"/>
        <v>53</v>
      </c>
      <c r="AA552" s="616" t="s">
        <v>4351</v>
      </c>
      <c r="AB552" s="598"/>
      <c r="AC552" s="598" t="s">
        <v>996</v>
      </c>
      <c r="AD552" s="598" t="s">
        <v>997</v>
      </c>
      <c r="AE552" s="616" t="s">
        <v>246</v>
      </c>
      <c r="AF552" s="616" t="s">
        <v>246</v>
      </c>
      <c r="AG552" s="616" t="s">
        <v>4353</v>
      </c>
      <c r="AH552" s="598"/>
      <c r="AI552" s="598"/>
      <c r="AJ552" s="598" t="s">
        <v>1125</v>
      </c>
      <c r="AK552" s="598" t="s">
        <v>3510</v>
      </c>
      <c r="AL552" s="626"/>
      <c r="AM552" s="626"/>
    </row>
    <row r="553" spans="3:39" ht="18" customHeight="1">
      <c r="C553" s="598">
        <v>533</v>
      </c>
      <c r="D553" s="598" t="s">
        <v>4033</v>
      </c>
      <c r="E553" s="598">
        <f t="shared" si="4"/>
        <v>501</v>
      </c>
      <c r="F553" s="616" t="s">
        <v>3862</v>
      </c>
      <c r="G553" s="616" t="s">
        <v>4209</v>
      </c>
      <c r="H553" s="618" t="s">
        <v>4208</v>
      </c>
      <c r="I553" s="618" t="s">
        <v>473</v>
      </c>
      <c r="J553" s="618" t="s">
        <v>4208</v>
      </c>
      <c r="K553" s="618" t="s">
        <v>4333</v>
      </c>
      <c r="L553" s="618" t="s">
        <v>4334</v>
      </c>
      <c r="M553" s="619"/>
      <c r="N553" s="620"/>
      <c r="O553" s="620"/>
      <c r="P553" s="663" t="s">
        <v>1127</v>
      </c>
      <c r="Q553" s="621"/>
      <c r="R553" s="598"/>
      <c r="S553" s="598"/>
      <c r="T553" s="598"/>
      <c r="U553" s="598" t="s">
        <v>1015</v>
      </c>
      <c r="V553" s="663" t="s">
        <v>4034</v>
      </c>
      <c r="W553" s="779" t="s">
        <v>4035</v>
      </c>
      <c r="X553" s="598" t="s">
        <v>950</v>
      </c>
      <c r="Y553" s="624">
        <v>28550</v>
      </c>
      <c r="Z553" s="625">
        <f t="shared" ca="1" si="5"/>
        <v>47</v>
      </c>
      <c r="AA553" s="616" t="s">
        <v>4036</v>
      </c>
      <c r="AB553" s="598"/>
      <c r="AC553" s="598" t="s">
        <v>996</v>
      </c>
      <c r="AD553" s="598" t="s">
        <v>1018</v>
      </c>
      <c r="AE553" s="616" t="s">
        <v>246</v>
      </c>
      <c r="AF553" s="616" t="s">
        <v>246</v>
      </c>
      <c r="AG553" s="616" t="s">
        <v>3815</v>
      </c>
      <c r="AH553" s="598"/>
      <c r="AI553" s="598"/>
      <c r="AJ553" s="598" t="s">
        <v>1125</v>
      </c>
      <c r="AK553" s="598" t="s">
        <v>3510</v>
      </c>
      <c r="AL553" s="626"/>
      <c r="AM553" s="626"/>
    </row>
    <row r="554" spans="3:39" ht="18" customHeight="1">
      <c r="C554" s="598">
        <v>534</v>
      </c>
      <c r="D554" s="598" t="s">
        <v>3980</v>
      </c>
      <c r="E554" s="598">
        <f t="shared" si="4"/>
        <v>502</v>
      </c>
      <c r="F554" s="616" t="s">
        <v>3862</v>
      </c>
      <c r="G554" s="616" t="s">
        <v>4209</v>
      </c>
      <c r="H554" s="618" t="s">
        <v>4208</v>
      </c>
      <c r="I554" s="618" t="s">
        <v>473</v>
      </c>
      <c r="J554" s="618" t="s">
        <v>4208</v>
      </c>
      <c r="K554" s="618" t="s">
        <v>4333</v>
      </c>
      <c r="L554" s="618" t="s">
        <v>4334</v>
      </c>
      <c r="M554" s="619"/>
      <c r="N554" s="620"/>
      <c r="O554" s="620"/>
      <c r="P554" s="663" t="s">
        <v>1127</v>
      </c>
      <c r="Q554" s="621"/>
      <c r="R554" s="598"/>
      <c r="S554" s="598"/>
      <c r="T554" s="598"/>
      <c r="U554" s="598" t="s">
        <v>1015</v>
      </c>
      <c r="V554" s="663" t="s">
        <v>3981</v>
      </c>
      <c r="W554" s="779" t="s">
        <v>3982</v>
      </c>
      <c r="X554" s="598" t="s">
        <v>950</v>
      </c>
      <c r="Y554" s="624">
        <v>29149</v>
      </c>
      <c r="Z554" s="625">
        <f t="shared" ca="1" si="5"/>
        <v>46</v>
      </c>
      <c r="AA554" s="616" t="s">
        <v>3983</v>
      </c>
      <c r="AB554" s="598"/>
      <c r="AC554" s="598" t="s">
        <v>996</v>
      </c>
      <c r="AD554" s="598" t="s">
        <v>997</v>
      </c>
      <c r="AE554" s="616" t="s">
        <v>246</v>
      </c>
      <c r="AF554" s="616" t="s">
        <v>246</v>
      </c>
      <c r="AG554" s="616" t="s">
        <v>3936</v>
      </c>
      <c r="AH554" s="598"/>
      <c r="AI554" s="598"/>
      <c r="AJ554" s="598" t="s">
        <v>1125</v>
      </c>
      <c r="AK554" s="598" t="s">
        <v>3510</v>
      </c>
      <c r="AL554" s="626"/>
      <c r="AM554" s="626"/>
    </row>
    <row r="555" spans="3:39" ht="18" customHeight="1">
      <c r="C555" s="598">
        <v>535</v>
      </c>
      <c r="D555" s="598" t="s">
        <v>4236</v>
      </c>
      <c r="E555" s="598">
        <f t="shared" si="4"/>
        <v>503</v>
      </c>
      <c r="F555" s="616" t="s">
        <v>3862</v>
      </c>
      <c r="G555" s="616" t="s">
        <v>4209</v>
      </c>
      <c r="H555" s="618" t="s">
        <v>4208</v>
      </c>
      <c r="I555" s="618" t="s">
        <v>473</v>
      </c>
      <c r="J555" s="618" t="s">
        <v>4208</v>
      </c>
      <c r="K555" s="618" t="s">
        <v>4333</v>
      </c>
      <c r="L555" s="618" t="s">
        <v>4334</v>
      </c>
      <c r="M555" s="619"/>
      <c r="N555" s="620"/>
      <c r="O555" s="620"/>
      <c r="P555" s="663" t="s">
        <v>1127</v>
      </c>
      <c r="Q555" s="621"/>
      <c r="R555" s="598"/>
      <c r="S555" s="598"/>
      <c r="T555" s="598"/>
      <c r="U555" s="598" t="s">
        <v>1015</v>
      </c>
      <c r="V555" s="663" t="s">
        <v>4237</v>
      </c>
      <c r="W555" s="779" t="s">
        <v>4238</v>
      </c>
      <c r="X555" s="598" t="s">
        <v>950</v>
      </c>
      <c r="Y555" s="624">
        <v>29930</v>
      </c>
      <c r="Z555" s="625">
        <f t="shared" ca="1" si="5"/>
        <v>44</v>
      </c>
      <c r="AA555" s="616" t="s">
        <v>4239</v>
      </c>
      <c r="AB555" s="598"/>
      <c r="AC555" s="598" t="s">
        <v>996</v>
      </c>
      <c r="AD555" s="598" t="s">
        <v>1018</v>
      </c>
      <c r="AE555" s="616" t="s">
        <v>246</v>
      </c>
      <c r="AF555" s="616" t="s">
        <v>246</v>
      </c>
      <c r="AG555" s="653" t="s">
        <v>4241</v>
      </c>
      <c r="AH555" s="598"/>
      <c r="AI555" s="598"/>
      <c r="AJ555" s="598" t="s">
        <v>1125</v>
      </c>
      <c r="AK555" s="598" t="s">
        <v>3510</v>
      </c>
      <c r="AL555" s="626"/>
      <c r="AM555" s="626"/>
    </row>
    <row r="556" spans="3:39" ht="18" customHeight="1">
      <c r="C556" s="598">
        <v>536</v>
      </c>
      <c r="D556" s="598" t="s">
        <v>4874</v>
      </c>
      <c r="E556" s="598">
        <f t="shared" si="4"/>
        <v>504</v>
      </c>
      <c r="F556" s="616" t="s">
        <v>3862</v>
      </c>
      <c r="G556" s="616" t="s">
        <v>4209</v>
      </c>
      <c r="H556" s="618" t="s">
        <v>4208</v>
      </c>
      <c r="I556" s="618" t="s">
        <v>473</v>
      </c>
      <c r="J556" s="618" t="s">
        <v>4208</v>
      </c>
      <c r="K556" s="618" t="s">
        <v>4333</v>
      </c>
      <c r="L556" s="618" t="s">
        <v>4334</v>
      </c>
      <c r="M556" s="619"/>
      <c r="N556" s="620"/>
      <c r="O556" s="620"/>
      <c r="P556" s="663" t="s">
        <v>1127</v>
      </c>
      <c r="Q556" s="621"/>
      <c r="R556" s="598"/>
      <c r="S556" s="598"/>
      <c r="T556" s="598"/>
      <c r="U556" s="598" t="s">
        <v>1015</v>
      </c>
      <c r="V556" s="663" t="s">
        <v>4875</v>
      </c>
      <c r="W556" s="779" t="s">
        <v>4876</v>
      </c>
      <c r="X556" s="598" t="s">
        <v>950</v>
      </c>
      <c r="Y556" s="624">
        <v>26318</v>
      </c>
      <c r="Z556" s="625">
        <f t="shared" ca="1" si="5"/>
        <v>54</v>
      </c>
      <c r="AA556" s="616" t="s">
        <v>4877</v>
      </c>
      <c r="AB556" s="598"/>
      <c r="AC556" s="598" t="s">
        <v>996</v>
      </c>
      <c r="AD556" s="598" t="s">
        <v>1018</v>
      </c>
      <c r="AE556" s="616" t="s">
        <v>246</v>
      </c>
      <c r="AF556" s="616" t="s">
        <v>246</v>
      </c>
      <c r="AG556" s="616" t="s">
        <v>4064</v>
      </c>
      <c r="AH556" s="598"/>
      <c r="AI556" s="598" t="s">
        <v>4858</v>
      </c>
      <c r="AJ556" s="598" t="s">
        <v>1125</v>
      </c>
      <c r="AK556" s="598" t="s">
        <v>1020</v>
      </c>
      <c r="AL556" s="626"/>
      <c r="AM556" s="626"/>
    </row>
    <row r="557" spans="3:39" ht="18" customHeight="1">
      <c r="C557" s="598">
        <v>537</v>
      </c>
      <c r="D557" s="598" t="s">
        <v>4878</v>
      </c>
      <c r="E557" s="598">
        <f t="shared" si="4"/>
        <v>505</v>
      </c>
      <c r="F557" s="616" t="s">
        <v>3862</v>
      </c>
      <c r="G557" s="616" t="s">
        <v>4209</v>
      </c>
      <c r="H557" s="618" t="s">
        <v>4208</v>
      </c>
      <c r="I557" s="618" t="s">
        <v>473</v>
      </c>
      <c r="J557" s="618" t="s">
        <v>4208</v>
      </c>
      <c r="K557" s="618" t="s">
        <v>4333</v>
      </c>
      <c r="L557" s="618" t="s">
        <v>4334</v>
      </c>
      <c r="M557" s="619"/>
      <c r="N557" s="620"/>
      <c r="O557" s="620"/>
      <c r="P557" s="673" t="s">
        <v>1127</v>
      </c>
      <c r="Q557" s="621"/>
      <c r="R557" s="598"/>
      <c r="S557" s="598"/>
      <c r="T557" s="598"/>
      <c r="U557" s="598" t="s">
        <v>1015</v>
      </c>
      <c r="V557" s="673" t="s">
        <v>4879</v>
      </c>
      <c r="W557" s="779" t="s">
        <v>4880</v>
      </c>
      <c r="X557" s="598" t="s">
        <v>950</v>
      </c>
      <c r="Y557" s="624">
        <v>28655</v>
      </c>
      <c r="Z557" s="625">
        <f t="shared" ca="1" si="5"/>
        <v>47</v>
      </c>
      <c r="AA557" s="616" t="s">
        <v>4881</v>
      </c>
      <c r="AB557" s="598"/>
      <c r="AC557" s="598" t="s">
        <v>996</v>
      </c>
      <c r="AD557" s="598" t="s">
        <v>1018</v>
      </c>
      <c r="AE557" s="616" t="s">
        <v>4882</v>
      </c>
      <c r="AF557" s="616" t="s">
        <v>729</v>
      </c>
      <c r="AG557" s="616" t="s">
        <v>4883</v>
      </c>
      <c r="AH557" s="598"/>
      <c r="AI557" s="598" t="s">
        <v>4229</v>
      </c>
      <c r="AJ557" s="598" t="s">
        <v>1125</v>
      </c>
      <c r="AK557" s="598" t="s">
        <v>4607</v>
      </c>
      <c r="AL557" s="626"/>
      <c r="AM557" s="626"/>
    </row>
    <row r="558" spans="3:39" ht="18" customHeight="1">
      <c r="C558" s="598">
        <v>538</v>
      </c>
      <c r="D558" s="598" t="s">
        <v>3598</v>
      </c>
      <c r="E558" s="598">
        <f t="shared" si="4"/>
        <v>506</v>
      </c>
      <c r="F558" s="616" t="s">
        <v>1810</v>
      </c>
      <c r="G558" s="616" t="s">
        <v>4209</v>
      </c>
      <c r="H558" s="618" t="s">
        <v>4208</v>
      </c>
      <c r="I558" s="618" t="s">
        <v>473</v>
      </c>
      <c r="J558" s="618" t="s">
        <v>4208</v>
      </c>
      <c r="K558" s="618" t="s">
        <v>3598</v>
      </c>
      <c r="L558" s="618" t="s">
        <v>3599</v>
      </c>
      <c r="M558" s="619"/>
      <c r="N558" s="620"/>
      <c r="O558" s="620"/>
      <c r="P558" s="667" t="s">
        <v>1157</v>
      </c>
      <c r="Q558" s="621"/>
      <c r="R558" s="598" t="s">
        <v>55</v>
      </c>
      <c r="S558" s="598" t="s">
        <v>178</v>
      </c>
      <c r="T558" s="598"/>
      <c r="U558" s="598" t="s">
        <v>1015</v>
      </c>
      <c r="V558" s="667" t="s">
        <v>3601</v>
      </c>
      <c r="W558" s="779" t="s">
        <v>3602</v>
      </c>
      <c r="X558" s="598" t="s">
        <v>950</v>
      </c>
      <c r="Y558" s="624">
        <v>25388</v>
      </c>
      <c r="Z558" s="625">
        <f t="shared" ca="1" si="5"/>
        <v>56</v>
      </c>
      <c r="AA558" s="616" t="s">
        <v>3603</v>
      </c>
      <c r="AB558" s="598"/>
      <c r="AC558" s="598" t="s">
        <v>996</v>
      </c>
      <c r="AD558" s="598" t="s">
        <v>997</v>
      </c>
      <c r="AE558" s="616" t="s">
        <v>973</v>
      </c>
      <c r="AF558" s="616" t="s">
        <v>973</v>
      </c>
      <c r="AG558" s="616" t="s">
        <v>3509</v>
      </c>
      <c r="AH558" s="598"/>
      <c r="AI558" s="598"/>
      <c r="AJ558" s="598" t="s">
        <v>1125</v>
      </c>
      <c r="AK558" s="598" t="s">
        <v>3510</v>
      </c>
      <c r="AL558" s="626"/>
      <c r="AM558" s="626"/>
    </row>
    <row r="559" spans="3:39" ht="18" customHeight="1">
      <c r="C559" s="598">
        <v>539</v>
      </c>
      <c r="D559" s="598" t="s">
        <v>3599</v>
      </c>
      <c r="E559" s="598">
        <f t="shared" si="4"/>
        <v>507</v>
      </c>
      <c r="F559" s="616" t="s">
        <v>1810</v>
      </c>
      <c r="G559" s="616" t="s">
        <v>4209</v>
      </c>
      <c r="H559" s="618" t="s">
        <v>4208</v>
      </c>
      <c r="I559" s="618" t="s">
        <v>473</v>
      </c>
      <c r="J559" s="618" t="s">
        <v>4208</v>
      </c>
      <c r="K559" s="618" t="s">
        <v>3598</v>
      </c>
      <c r="L559" s="618" t="s">
        <v>3599</v>
      </c>
      <c r="M559" s="619"/>
      <c r="N559" s="620"/>
      <c r="O559" s="620"/>
      <c r="P559" s="663" t="s">
        <v>1157</v>
      </c>
      <c r="Q559" s="621"/>
      <c r="R559" s="598" t="s">
        <v>69</v>
      </c>
      <c r="S559" s="598" t="s">
        <v>69</v>
      </c>
      <c r="T559" s="598"/>
      <c r="U559" s="598" t="s">
        <v>1015</v>
      </c>
      <c r="V559" s="663" t="s">
        <v>3605</v>
      </c>
      <c r="W559" s="779" t="s">
        <v>3606</v>
      </c>
      <c r="X559" s="598" t="s">
        <v>950</v>
      </c>
      <c r="Y559" s="624">
        <v>27470</v>
      </c>
      <c r="Z559" s="625">
        <f t="shared" ca="1" si="5"/>
        <v>50</v>
      </c>
      <c r="AA559" s="616" t="s">
        <v>3607</v>
      </c>
      <c r="AB559" s="598"/>
      <c r="AC559" s="598" t="s">
        <v>996</v>
      </c>
      <c r="AD559" s="598" t="s">
        <v>997</v>
      </c>
      <c r="AE559" s="616" t="s">
        <v>1078</v>
      </c>
      <c r="AF559" s="616" t="s">
        <v>1078</v>
      </c>
      <c r="AG559" s="616" t="s">
        <v>3578</v>
      </c>
      <c r="AH559" s="598"/>
      <c r="AI559" s="598"/>
      <c r="AJ559" s="598" t="s">
        <v>1125</v>
      </c>
      <c r="AK559" s="598" t="s">
        <v>3510</v>
      </c>
      <c r="AL559" s="626"/>
      <c r="AM559" s="626"/>
    </row>
    <row r="560" spans="3:39" ht="18" customHeight="1">
      <c r="C560" s="598">
        <v>540</v>
      </c>
      <c r="D560" s="598" t="s">
        <v>2996</v>
      </c>
      <c r="E560" s="598">
        <f t="shared" si="4"/>
        <v>508</v>
      </c>
      <c r="F560" s="616" t="s">
        <v>4978</v>
      </c>
      <c r="G560" s="616" t="s">
        <v>4209</v>
      </c>
      <c r="H560" s="618" t="s">
        <v>4208</v>
      </c>
      <c r="I560" s="618" t="s">
        <v>473</v>
      </c>
      <c r="J560" s="618" t="s">
        <v>4208</v>
      </c>
      <c r="K560" s="618" t="s">
        <v>3598</v>
      </c>
      <c r="L560" s="618" t="s">
        <v>3599</v>
      </c>
      <c r="M560" s="619"/>
      <c r="N560" s="620"/>
      <c r="O560" s="620"/>
      <c r="P560" s="663" t="s">
        <v>1157</v>
      </c>
      <c r="Q560" s="621"/>
      <c r="R560" s="598"/>
      <c r="S560" s="598"/>
      <c r="T560" s="598"/>
      <c r="U560" s="598" t="s">
        <v>1015</v>
      </c>
      <c r="V560" s="663" t="s">
        <v>2997</v>
      </c>
      <c r="W560" s="779" t="s">
        <v>2998</v>
      </c>
      <c r="X560" s="598" t="s">
        <v>950</v>
      </c>
      <c r="Y560" s="624">
        <v>24892</v>
      </c>
      <c r="Z560" s="625">
        <f t="shared" ca="1" si="5"/>
        <v>57</v>
      </c>
      <c r="AA560" s="616" t="s">
        <v>2999</v>
      </c>
      <c r="AB560" s="598"/>
      <c r="AC560" s="598" t="s">
        <v>996</v>
      </c>
      <c r="AD560" s="598" t="s">
        <v>1018</v>
      </c>
      <c r="AE560" s="616" t="s">
        <v>1041</v>
      </c>
      <c r="AF560" s="721" t="s">
        <v>1041</v>
      </c>
      <c r="AG560" s="616" t="s">
        <v>2784</v>
      </c>
      <c r="AH560" s="598"/>
      <c r="AI560" s="598"/>
      <c r="AJ560" s="598" t="s">
        <v>1125</v>
      </c>
      <c r="AK560" s="598"/>
      <c r="AL560" s="626"/>
      <c r="AM560" s="626"/>
    </row>
    <row r="561" spans="3:39" ht="18" customHeight="1">
      <c r="C561" s="598">
        <v>541</v>
      </c>
      <c r="D561" s="598" t="s">
        <v>2916</v>
      </c>
      <c r="E561" s="598">
        <f t="shared" si="4"/>
        <v>509</v>
      </c>
      <c r="F561" s="616" t="s">
        <v>4978</v>
      </c>
      <c r="G561" s="616" t="s">
        <v>4209</v>
      </c>
      <c r="H561" s="618" t="s">
        <v>4208</v>
      </c>
      <c r="I561" s="618" t="s">
        <v>473</v>
      </c>
      <c r="J561" s="618" t="s">
        <v>4208</v>
      </c>
      <c r="K561" s="618" t="s">
        <v>3598</v>
      </c>
      <c r="L561" s="618" t="s">
        <v>3599</v>
      </c>
      <c r="M561" s="619"/>
      <c r="N561" s="620"/>
      <c r="O561" s="620"/>
      <c r="P561" s="663" t="s">
        <v>1157</v>
      </c>
      <c r="Q561" s="621"/>
      <c r="R561" s="598"/>
      <c r="S561" s="598"/>
      <c r="T561" s="598"/>
      <c r="U561" s="598" t="s">
        <v>1015</v>
      </c>
      <c r="V561" s="663" t="s">
        <v>2917</v>
      </c>
      <c r="W561" s="779" t="s">
        <v>2918</v>
      </c>
      <c r="X561" s="598" t="s">
        <v>950</v>
      </c>
      <c r="Y561" s="624">
        <v>26163</v>
      </c>
      <c r="Z561" s="625">
        <f t="shared" ca="1" si="5"/>
        <v>54</v>
      </c>
      <c r="AA561" s="616" t="s">
        <v>2919</v>
      </c>
      <c r="AB561" s="598"/>
      <c r="AC561" s="598" t="s">
        <v>996</v>
      </c>
      <c r="AD561" s="598" t="s">
        <v>1018</v>
      </c>
      <c r="AE561" s="616" t="s">
        <v>1041</v>
      </c>
      <c r="AF561" s="721" t="s">
        <v>1041</v>
      </c>
      <c r="AG561" s="616" t="s">
        <v>1382</v>
      </c>
      <c r="AH561" s="598"/>
      <c r="AI561" s="598"/>
      <c r="AJ561" s="598" t="s">
        <v>1125</v>
      </c>
      <c r="AK561" s="598"/>
      <c r="AL561" s="626"/>
      <c r="AM561" s="626"/>
    </row>
    <row r="562" spans="3:39" ht="18" customHeight="1">
      <c r="C562" s="598">
        <v>542</v>
      </c>
      <c r="D562" s="598" t="s">
        <v>2940</v>
      </c>
      <c r="E562" s="598">
        <f t="shared" si="4"/>
        <v>510</v>
      </c>
      <c r="F562" s="616" t="s">
        <v>4978</v>
      </c>
      <c r="G562" s="616" t="s">
        <v>4209</v>
      </c>
      <c r="H562" s="618" t="s">
        <v>4208</v>
      </c>
      <c r="I562" s="618" t="s">
        <v>473</v>
      </c>
      <c r="J562" s="618" t="s">
        <v>4208</v>
      </c>
      <c r="K562" s="618" t="s">
        <v>3598</v>
      </c>
      <c r="L562" s="618" t="s">
        <v>3599</v>
      </c>
      <c r="M562" s="619"/>
      <c r="N562" s="620"/>
      <c r="O562" s="620"/>
      <c r="P562" s="673" t="s">
        <v>1157</v>
      </c>
      <c r="Q562" s="621"/>
      <c r="R562" s="598"/>
      <c r="S562" s="598"/>
      <c r="T562" s="598"/>
      <c r="U562" s="598" t="s">
        <v>1015</v>
      </c>
      <c r="V562" s="673" t="s">
        <v>2941</v>
      </c>
      <c r="W562" s="779" t="s">
        <v>2942</v>
      </c>
      <c r="X562" s="598" t="s">
        <v>950</v>
      </c>
      <c r="Y562" s="624">
        <v>29041</v>
      </c>
      <c r="Z562" s="625">
        <f t="shared" ca="1" si="5"/>
        <v>46</v>
      </c>
      <c r="AA562" s="616" t="s">
        <v>2943</v>
      </c>
      <c r="AB562" s="598"/>
      <c r="AC562" s="598" t="s">
        <v>996</v>
      </c>
      <c r="AD562" s="598" t="s">
        <v>997</v>
      </c>
      <c r="AE562" s="616" t="s">
        <v>1041</v>
      </c>
      <c r="AF562" s="616" t="s">
        <v>2325</v>
      </c>
      <c r="AG562" s="616" t="s">
        <v>2945</v>
      </c>
      <c r="AH562" s="598"/>
      <c r="AI562" s="598"/>
      <c r="AJ562" s="598" t="s">
        <v>1125</v>
      </c>
      <c r="AK562" s="598"/>
      <c r="AL562" s="626"/>
      <c r="AM562" s="626"/>
    </row>
    <row r="563" spans="3:39" ht="18" customHeight="1">
      <c r="C563" s="598">
        <v>543</v>
      </c>
      <c r="D563" s="598" t="s">
        <v>4210</v>
      </c>
      <c r="E563" s="598">
        <f t="shared" si="4"/>
        <v>511</v>
      </c>
      <c r="F563" s="616" t="s">
        <v>3862</v>
      </c>
      <c r="G563" s="616" t="s">
        <v>4884</v>
      </c>
      <c r="H563" s="618" t="s">
        <v>4208</v>
      </c>
      <c r="I563" s="618" t="s">
        <v>4211</v>
      </c>
      <c r="J563" s="618" t="s">
        <v>4210</v>
      </c>
      <c r="K563" s="618" t="s">
        <v>4210</v>
      </c>
      <c r="L563" s="618" t="s">
        <v>4266</v>
      </c>
      <c r="M563" s="619" t="s">
        <v>4099</v>
      </c>
      <c r="N563" s="620"/>
      <c r="O563" s="620"/>
      <c r="P563" s="667" t="s">
        <v>1044</v>
      </c>
      <c r="Q563" s="621"/>
      <c r="R563" s="598" t="s">
        <v>173</v>
      </c>
      <c r="S563" s="598" t="s">
        <v>514</v>
      </c>
      <c r="T563" s="598" t="s">
        <v>55</v>
      </c>
      <c r="U563" s="598" t="s">
        <v>1015</v>
      </c>
      <c r="V563" s="667" t="s">
        <v>4211</v>
      </c>
      <c r="W563" s="779" t="s">
        <v>4395</v>
      </c>
      <c r="X563" s="598" t="s">
        <v>950</v>
      </c>
      <c r="Y563" s="624">
        <v>27947</v>
      </c>
      <c r="Z563" s="625">
        <f t="shared" ca="1" si="5"/>
        <v>49</v>
      </c>
      <c r="AA563" s="616" t="s">
        <v>3817</v>
      </c>
      <c r="AB563" s="598"/>
      <c r="AC563" s="598" t="s">
        <v>966</v>
      </c>
      <c r="AD563" s="598" t="s">
        <v>953</v>
      </c>
      <c r="AE563" s="616" t="s">
        <v>246</v>
      </c>
      <c r="AF563" s="616" t="s">
        <v>246</v>
      </c>
      <c r="AG563" s="616" t="s">
        <v>4216</v>
      </c>
      <c r="AH563" s="598"/>
      <c r="AI563" s="598"/>
      <c r="AJ563" s="598"/>
      <c r="AK563" s="598" t="s">
        <v>3510</v>
      </c>
      <c r="AL563" s="626"/>
      <c r="AM563" s="626"/>
    </row>
    <row r="564" spans="3:39" ht="18" customHeight="1">
      <c r="C564" s="598">
        <v>544</v>
      </c>
      <c r="D564" s="598" t="s">
        <v>4266</v>
      </c>
      <c r="E564" s="598">
        <f t="shared" si="4"/>
        <v>512</v>
      </c>
      <c r="F564" s="616" t="s">
        <v>3862</v>
      </c>
      <c r="G564" s="616" t="s">
        <v>4884</v>
      </c>
      <c r="H564" s="618" t="s">
        <v>4208</v>
      </c>
      <c r="I564" s="618" t="s">
        <v>4211</v>
      </c>
      <c r="J564" s="618" t="s">
        <v>4210</v>
      </c>
      <c r="K564" s="618" t="s">
        <v>4210</v>
      </c>
      <c r="L564" s="618" t="s">
        <v>4266</v>
      </c>
      <c r="M564" s="619" t="s">
        <v>4099</v>
      </c>
      <c r="N564" s="620"/>
      <c r="O564" s="620"/>
      <c r="P564" s="663" t="s">
        <v>1044</v>
      </c>
      <c r="Q564" s="621"/>
      <c r="R564" s="598" t="s">
        <v>69</v>
      </c>
      <c r="S564" s="598" t="s">
        <v>562</v>
      </c>
      <c r="T564" s="598"/>
      <c r="U564" s="598" t="s">
        <v>1015</v>
      </c>
      <c r="V564" s="663" t="s">
        <v>519</v>
      </c>
      <c r="W564" s="779" t="s">
        <v>4268</v>
      </c>
      <c r="X564" s="598" t="s">
        <v>950</v>
      </c>
      <c r="Y564" s="624">
        <v>28886</v>
      </c>
      <c r="Z564" s="625">
        <f t="shared" ca="1" si="5"/>
        <v>47</v>
      </c>
      <c r="AA564" s="616" t="s">
        <v>4269</v>
      </c>
      <c r="AB564" s="598"/>
      <c r="AC564" s="598" t="s">
        <v>996</v>
      </c>
      <c r="AD564" s="598" t="s">
        <v>1018</v>
      </c>
      <c r="AE564" s="616" t="s">
        <v>246</v>
      </c>
      <c r="AF564" s="616" t="s">
        <v>246</v>
      </c>
      <c r="AG564" s="653" t="s">
        <v>4059</v>
      </c>
      <c r="AH564" s="598"/>
      <c r="AI564" s="598"/>
      <c r="AJ564" s="598" t="s">
        <v>1114</v>
      </c>
      <c r="AK564" s="598" t="s">
        <v>3510</v>
      </c>
      <c r="AL564" s="626"/>
      <c r="AM564" s="626"/>
    </row>
    <row r="565" spans="3:39" ht="18" customHeight="1">
      <c r="C565" s="598">
        <v>545</v>
      </c>
      <c r="D565" s="598" t="s">
        <v>4099</v>
      </c>
      <c r="E565" s="598">
        <f t="shared" si="4"/>
        <v>513</v>
      </c>
      <c r="F565" s="616" t="s">
        <v>3862</v>
      </c>
      <c r="G565" s="616" t="s">
        <v>4884</v>
      </c>
      <c r="H565" s="618" t="s">
        <v>4208</v>
      </c>
      <c r="I565" s="618" t="s">
        <v>4211</v>
      </c>
      <c r="J565" s="618" t="s">
        <v>4210</v>
      </c>
      <c r="K565" s="618" t="s">
        <v>4210</v>
      </c>
      <c r="L565" s="618" t="s">
        <v>4266</v>
      </c>
      <c r="M565" s="619" t="s">
        <v>4099</v>
      </c>
      <c r="N565" s="620"/>
      <c r="O565" s="620"/>
      <c r="P565" s="663" t="s">
        <v>1044</v>
      </c>
      <c r="Q565" s="621"/>
      <c r="R565" s="598" t="s">
        <v>69</v>
      </c>
      <c r="S565" s="598" t="s">
        <v>562</v>
      </c>
      <c r="T565" s="598" t="s">
        <v>5009</v>
      </c>
      <c r="U565" s="598" t="s">
        <v>1015</v>
      </c>
      <c r="V565" s="663" t="s">
        <v>527</v>
      </c>
      <c r="W565" s="779" t="s">
        <v>4102</v>
      </c>
      <c r="X565" s="598" t="s">
        <v>950</v>
      </c>
      <c r="Y565" s="624">
        <v>31368</v>
      </c>
      <c r="Z565" s="625">
        <f t="shared" ca="1" si="5"/>
        <v>40</v>
      </c>
      <c r="AA565" s="616" t="s">
        <v>4103</v>
      </c>
      <c r="AB565" s="598"/>
      <c r="AC565" s="598" t="s">
        <v>996</v>
      </c>
      <c r="AD565" s="598" t="s">
        <v>1018</v>
      </c>
      <c r="AE565" s="616" t="s">
        <v>246</v>
      </c>
      <c r="AF565" s="616" t="s">
        <v>246</v>
      </c>
      <c r="AG565" s="616" t="s">
        <v>3936</v>
      </c>
      <c r="AH565" s="598"/>
      <c r="AI565" s="598"/>
      <c r="AJ565" s="598" t="s">
        <v>1114</v>
      </c>
      <c r="AK565" s="598" t="s">
        <v>3510</v>
      </c>
      <c r="AL565" s="626"/>
      <c r="AM565" s="626"/>
    </row>
    <row r="566" spans="3:39" ht="18" customHeight="1">
      <c r="C566" s="598">
        <v>546</v>
      </c>
      <c r="D566" s="598" t="s">
        <v>4242</v>
      </c>
      <c r="E566" s="598">
        <f t="shared" si="4"/>
        <v>514</v>
      </c>
      <c r="F566" s="616" t="s">
        <v>3862</v>
      </c>
      <c r="G566" s="616" t="s">
        <v>4884</v>
      </c>
      <c r="H566" s="618" t="s">
        <v>4208</v>
      </c>
      <c r="I566" s="618" t="s">
        <v>4211</v>
      </c>
      <c r="J566" s="618" t="s">
        <v>4210</v>
      </c>
      <c r="K566" s="618" t="s">
        <v>4210</v>
      </c>
      <c r="L566" s="618" t="s">
        <v>4266</v>
      </c>
      <c r="M566" s="619" t="s">
        <v>4099</v>
      </c>
      <c r="N566" s="620"/>
      <c r="O566" s="620"/>
      <c r="P566" s="663" t="s">
        <v>1044</v>
      </c>
      <c r="Q566" s="621"/>
      <c r="R566" s="598"/>
      <c r="S566" s="598"/>
      <c r="T566" s="598"/>
      <c r="U566" s="598" t="s">
        <v>1015</v>
      </c>
      <c r="V566" s="663" t="s">
        <v>4243</v>
      </c>
      <c r="W566" s="779" t="s">
        <v>4244</v>
      </c>
      <c r="X566" s="598" t="s">
        <v>950</v>
      </c>
      <c r="Y566" s="624">
        <v>32528</v>
      </c>
      <c r="Z566" s="625">
        <f t="shared" ca="1" si="5"/>
        <v>37</v>
      </c>
      <c r="AA566" s="616" t="s">
        <v>4245</v>
      </c>
      <c r="AB566" s="598"/>
      <c r="AC566" s="598" t="s">
        <v>996</v>
      </c>
      <c r="AD566" s="598" t="s">
        <v>1018</v>
      </c>
      <c r="AE566" s="616" t="s">
        <v>246</v>
      </c>
      <c r="AF566" s="616" t="s">
        <v>246</v>
      </c>
      <c r="AG566" s="653" t="s">
        <v>4247</v>
      </c>
      <c r="AH566" s="598"/>
      <c r="AI566" s="598"/>
      <c r="AJ566" s="598" t="s">
        <v>1114</v>
      </c>
      <c r="AK566" s="598" t="s">
        <v>3510</v>
      </c>
      <c r="AL566" s="626"/>
      <c r="AM566" s="626"/>
    </row>
    <row r="567" spans="3:39" ht="18" customHeight="1">
      <c r="C567" s="598">
        <v>547</v>
      </c>
      <c r="D567" s="598" t="s">
        <v>4002</v>
      </c>
      <c r="E567" s="598">
        <f t="shared" si="4"/>
        <v>515</v>
      </c>
      <c r="F567" s="616" t="s">
        <v>3862</v>
      </c>
      <c r="G567" s="616" t="s">
        <v>4884</v>
      </c>
      <c r="H567" s="618" t="s">
        <v>4208</v>
      </c>
      <c r="I567" s="618" t="s">
        <v>4211</v>
      </c>
      <c r="J567" s="618" t="s">
        <v>4210</v>
      </c>
      <c r="K567" s="618" t="s">
        <v>4210</v>
      </c>
      <c r="L567" s="618" t="s">
        <v>4266</v>
      </c>
      <c r="M567" s="619" t="s">
        <v>4099</v>
      </c>
      <c r="N567" s="620"/>
      <c r="O567" s="620"/>
      <c r="P567" s="663" t="s">
        <v>1044</v>
      </c>
      <c r="Q567" s="621"/>
      <c r="R567" s="598"/>
      <c r="S567" s="598"/>
      <c r="T567" s="598"/>
      <c r="U567" s="598" t="s">
        <v>1015</v>
      </c>
      <c r="V567" s="663" t="s">
        <v>543</v>
      </c>
      <c r="W567" s="779" t="s">
        <v>4003</v>
      </c>
      <c r="X567" s="598" t="s">
        <v>950</v>
      </c>
      <c r="Y567" s="624">
        <v>33412</v>
      </c>
      <c r="Z567" s="625">
        <f t="shared" ca="1" si="5"/>
        <v>34</v>
      </c>
      <c r="AA567" s="616" t="s">
        <v>4004</v>
      </c>
      <c r="AB567" s="598"/>
      <c r="AC567" s="598" t="s">
        <v>996</v>
      </c>
      <c r="AD567" s="598" t="s">
        <v>1018</v>
      </c>
      <c r="AE567" s="616" t="s">
        <v>246</v>
      </c>
      <c r="AF567" s="616" t="s">
        <v>246</v>
      </c>
      <c r="AG567" s="616" t="s">
        <v>3936</v>
      </c>
      <c r="AH567" s="598"/>
      <c r="AI567" s="598"/>
      <c r="AJ567" s="598" t="s">
        <v>1114</v>
      </c>
      <c r="AK567" s="598" t="s">
        <v>3510</v>
      </c>
      <c r="AL567" s="626"/>
      <c r="AM567" s="626"/>
    </row>
    <row r="568" spans="3:39" ht="18" customHeight="1">
      <c r="C568" s="598">
        <v>548</v>
      </c>
      <c r="D568" s="598" t="s">
        <v>3627</v>
      </c>
      <c r="E568" s="598">
        <f t="shared" si="4"/>
        <v>516</v>
      </c>
      <c r="F568" s="616" t="s">
        <v>3862</v>
      </c>
      <c r="G568" s="616" t="s">
        <v>4884</v>
      </c>
      <c r="H568" s="618" t="s">
        <v>4208</v>
      </c>
      <c r="I568" s="618" t="s">
        <v>4211</v>
      </c>
      <c r="J568" s="618" t="s">
        <v>4210</v>
      </c>
      <c r="K568" s="618" t="s">
        <v>4210</v>
      </c>
      <c r="L568" s="618" t="s">
        <v>4266</v>
      </c>
      <c r="M568" s="619" t="s">
        <v>4099</v>
      </c>
      <c r="N568" s="620"/>
      <c r="O568" s="620"/>
      <c r="P568" s="673" t="s">
        <v>1044</v>
      </c>
      <c r="Q568" s="621"/>
      <c r="R568" s="598"/>
      <c r="S568" s="598"/>
      <c r="T568" s="598"/>
      <c r="U568" s="598" t="s">
        <v>1015</v>
      </c>
      <c r="V568" s="673" t="s">
        <v>550</v>
      </c>
      <c r="W568" s="779" t="s">
        <v>3628</v>
      </c>
      <c r="X568" s="598" t="s">
        <v>950</v>
      </c>
      <c r="Y568" s="624">
        <v>32543</v>
      </c>
      <c r="Z568" s="625">
        <f t="shared" ca="1" si="5"/>
        <v>36</v>
      </c>
      <c r="AA568" s="616" t="s">
        <v>3629</v>
      </c>
      <c r="AB568" s="598"/>
      <c r="AC568" s="598" t="s">
        <v>996</v>
      </c>
      <c r="AD568" s="598" t="s">
        <v>1018</v>
      </c>
      <c r="AE568" s="616" t="s">
        <v>1078</v>
      </c>
      <c r="AF568" s="616" t="s">
        <v>1078</v>
      </c>
      <c r="AG568" s="616" t="s">
        <v>3630</v>
      </c>
      <c r="AH568" s="598"/>
      <c r="AI568" s="598"/>
      <c r="AJ568" s="598" t="s">
        <v>1114</v>
      </c>
      <c r="AK568" s="598" t="s">
        <v>3510</v>
      </c>
      <c r="AL568" s="626"/>
      <c r="AM568" s="626"/>
    </row>
    <row r="569" spans="3:39" ht="18" customHeight="1">
      <c r="C569" s="598">
        <v>549</v>
      </c>
      <c r="D569" s="598" t="s">
        <v>4042</v>
      </c>
      <c r="E569" s="598">
        <f t="shared" si="4"/>
        <v>516</v>
      </c>
      <c r="F569" s="616"/>
      <c r="G569" s="616" t="s">
        <v>4884</v>
      </c>
      <c r="H569" s="618" t="s">
        <v>4208</v>
      </c>
      <c r="I569" s="618" t="s">
        <v>4211</v>
      </c>
      <c r="J569" s="618" t="s">
        <v>4210</v>
      </c>
      <c r="K569" s="618" t="s">
        <v>4042</v>
      </c>
      <c r="L569" s="618" t="s">
        <v>5002</v>
      </c>
      <c r="M569" s="619"/>
      <c r="N569" s="620"/>
      <c r="O569" s="620"/>
      <c r="P569" s="667" t="s">
        <v>1074</v>
      </c>
      <c r="Q569" s="621"/>
      <c r="R569" s="598" t="s">
        <v>55</v>
      </c>
      <c r="S569" s="598" t="s">
        <v>55</v>
      </c>
      <c r="T569" s="598"/>
      <c r="U569" s="598"/>
      <c r="V569" s="667" t="s">
        <v>487</v>
      </c>
      <c r="W569" s="779" t="s">
        <v>4044</v>
      </c>
      <c r="X569" s="598" t="s">
        <v>950</v>
      </c>
      <c r="Y569" s="624">
        <v>22938</v>
      </c>
      <c r="Z569" s="625">
        <f t="shared" ca="1" si="5"/>
        <v>63</v>
      </c>
      <c r="AA569" s="616" t="s">
        <v>4045</v>
      </c>
      <c r="AB569" s="598"/>
      <c r="AC569" s="598" t="s">
        <v>966</v>
      </c>
      <c r="AD569" s="598" t="s">
        <v>953</v>
      </c>
      <c r="AE569" s="616" t="s">
        <v>246</v>
      </c>
      <c r="AF569" s="616" t="s">
        <v>246</v>
      </c>
      <c r="AG569" s="616" t="s">
        <v>3815</v>
      </c>
      <c r="AH569" s="598" t="s">
        <v>955</v>
      </c>
      <c r="AI569" s="598"/>
      <c r="AJ569" s="598"/>
      <c r="AK569" s="598"/>
      <c r="AL569" s="626"/>
      <c r="AM569" s="626"/>
    </row>
    <row r="570" spans="3:39" ht="18" customHeight="1">
      <c r="C570" s="598">
        <v>550</v>
      </c>
      <c r="D570" s="598" t="s">
        <v>5002</v>
      </c>
      <c r="E570" s="598">
        <f t="shared" si="4"/>
        <v>517</v>
      </c>
      <c r="F570" s="616" t="s">
        <v>3862</v>
      </c>
      <c r="G570" s="616" t="s">
        <v>4884</v>
      </c>
      <c r="H570" s="618" t="s">
        <v>4208</v>
      </c>
      <c r="I570" s="618" t="s">
        <v>4211</v>
      </c>
      <c r="J570" s="618" t="s">
        <v>4210</v>
      </c>
      <c r="K570" s="618" t="s">
        <v>4042</v>
      </c>
      <c r="L570" s="618" t="s">
        <v>5002</v>
      </c>
      <c r="M570" s="619"/>
      <c r="N570" s="620"/>
      <c r="O570" s="620"/>
      <c r="P570" s="663" t="s">
        <v>1074</v>
      </c>
      <c r="Q570" s="621" t="s">
        <v>319</v>
      </c>
      <c r="R570" s="598" t="s">
        <v>69</v>
      </c>
      <c r="S570" s="598" t="s">
        <v>562</v>
      </c>
      <c r="T570" s="598"/>
      <c r="U570" s="598" t="s">
        <v>1090</v>
      </c>
      <c r="V570" s="663" t="s">
        <v>520</v>
      </c>
      <c r="W570" s="779" t="s">
        <v>5012</v>
      </c>
      <c r="X570" s="598" t="s">
        <v>950</v>
      </c>
      <c r="Y570" s="624">
        <v>19473</v>
      </c>
      <c r="Z570" s="625">
        <f t="shared" ca="1" si="5"/>
        <v>72</v>
      </c>
      <c r="AA570" s="616" t="s">
        <v>5061</v>
      </c>
      <c r="AB570" s="598"/>
      <c r="AC570" s="598" t="s">
        <v>996</v>
      </c>
      <c r="AD570" s="598" t="s">
        <v>1018</v>
      </c>
      <c r="AE570" s="616" t="s">
        <v>246</v>
      </c>
      <c r="AF570" s="616" t="s">
        <v>246</v>
      </c>
      <c r="AG570" s="616" t="s">
        <v>3936</v>
      </c>
      <c r="AH570" s="598"/>
      <c r="AI570" s="598"/>
      <c r="AJ570" s="598" t="s">
        <v>1114</v>
      </c>
      <c r="AK570" s="598" t="s">
        <v>3510</v>
      </c>
      <c r="AL570" s="626"/>
      <c r="AM570" s="626"/>
    </row>
    <row r="571" spans="3:39" ht="18" customHeight="1">
      <c r="C571" s="598">
        <v>551</v>
      </c>
      <c r="D571" s="598" t="s">
        <v>3933</v>
      </c>
      <c r="E571" s="598">
        <f t="shared" si="4"/>
        <v>518</v>
      </c>
      <c r="F571" s="616" t="s">
        <v>3862</v>
      </c>
      <c r="G571" s="616" t="s">
        <v>4884</v>
      </c>
      <c r="H571" s="618" t="s">
        <v>4208</v>
      </c>
      <c r="I571" s="618" t="s">
        <v>4211</v>
      </c>
      <c r="J571" s="618" t="s">
        <v>4210</v>
      </c>
      <c r="K571" s="618" t="s">
        <v>4042</v>
      </c>
      <c r="L571" s="618" t="s">
        <v>5002</v>
      </c>
      <c r="M571" s="619"/>
      <c r="N571" s="620"/>
      <c r="O571" s="620"/>
      <c r="P571" s="663" t="s">
        <v>1074</v>
      </c>
      <c r="Q571" s="621" t="s">
        <v>319</v>
      </c>
      <c r="R571" s="598"/>
      <c r="S571" s="598"/>
      <c r="T571" s="598"/>
      <c r="U571" s="598" t="s">
        <v>1015</v>
      </c>
      <c r="V571" s="663" t="s">
        <v>528</v>
      </c>
      <c r="W571" s="779" t="s">
        <v>3934</v>
      </c>
      <c r="X571" s="598" t="s">
        <v>950</v>
      </c>
      <c r="Y571" s="624">
        <v>20551</v>
      </c>
      <c r="Z571" s="625">
        <f t="shared" ca="1" si="5"/>
        <v>69</v>
      </c>
      <c r="AA571" s="616" t="s">
        <v>3935</v>
      </c>
      <c r="AB571" s="598"/>
      <c r="AC571" s="598" t="s">
        <v>996</v>
      </c>
      <c r="AD571" s="598" t="s">
        <v>1018</v>
      </c>
      <c r="AE571" s="616" t="s">
        <v>246</v>
      </c>
      <c r="AF571" s="616" t="s">
        <v>246</v>
      </c>
      <c r="AG571" s="616" t="s">
        <v>3936</v>
      </c>
      <c r="AH571" s="598"/>
      <c r="AI571" s="598"/>
      <c r="AJ571" s="598" t="s">
        <v>1114</v>
      </c>
      <c r="AK571" s="598" t="s">
        <v>3510</v>
      </c>
      <c r="AL571" s="626"/>
      <c r="AM571" s="626"/>
    </row>
    <row r="572" spans="3:39" ht="18" customHeight="1">
      <c r="C572" s="598">
        <v>552</v>
      </c>
      <c r="D572" s="598" t="s">
        <v>4056</v>
      </c>
      <c r="E572" s="598">
        <f t="shared" si="4"/>
        <v>519</v>
      </c>
      <c r="F572" s="616" t="s">
        <v>3862</v>
      </c>
      <c r="G572" s="616" t="s">
        <v>4884</v>
      </c>
      <c r="H572" s="618" t="s">
        <v>4208</v>
      </c>
      <c r="I572" s="618" t="s">
        <v>4211</v>
      </c>
      <c r="J572" s="618" t="s">
        <v>4210</v>
      </c>
      <c r="K572" s="618" t="s">
        <v>4042</v>
      </c>
      <c r="L572" s="618" t="s">
        <v>5002</v>
      </c>
      <c r="M572" s="619"/>
      <c r="N572" s="620"/>
      <c r="O572" s="620"/>
      <c r="P572" s="663" t="s">
        <v>1074</v>
      </c>
      <c r="Q572" s="621" t="s">
        <v>319</v>
      </c>
      <c r="R572" s="598"/>
      <c r="S572" s="598"/>
      <c r="T572" s="598"/>
      <c r="U572" s="598" t="s">
        <v>1015</v>
      </c>
      <c r="V572" s="663" t="s">
        <v>536</v>
      </c>
      <c r="W572" s="779" t="s">
        <v>4057</v>
      </c>
      <c r="X572" s="598" t="s">
        <v>950</v>
      </c>
      <c r="Y572" s="624">
        <v>21795</v>
      </c>
      <c r="Z572" s="625">
        <f t="shared" ca="1" si="5"/>
        <v>66</v>
      </c>
      <c r="AA572" s="616" t="s">
        <v>4058</v>
      </c>
      <c r="AB572" s="598"/>
      <c r="AC572" s="598" t="s">
        <v>996</v>
      </c>
      <c r="AD572" s="598" t="s">
        <v>1018</v>
      </c>
      <c r="AE572" s="616" t="s">
        <v>246</v>
      </c>
      <c r="AF572" s="616" t="s">
        <v>246</v>
      </c>
      <c r="AG572" s="653" t="s">
        <v>4059</v>
      </c>
      <c r="AH572" s="598"/>
      <c r="AI572" s="598"/>
      <c r="AJ572" s="598" t="s">
        <v>1114</v>
      </c>
      <c r="AK572" s="598" t="s">
        <v>3510</v>
      </c>
      <c r="AL572" s="626"/>
      <c r="AM572" s="626"/>
    </row>
    <row r="573" spans="3:39" ht="18" customHeight="1">
      <c r="C573" s="598">
        <v>553</v>
      </c>
      <c r="D573" s="598" t="s">
        <v>4081</v>
      </c>
      <c r="E573" s="598">
        <f t="shared" si="4"/>
        <v>520</v>
      </c>
      <c r="F573" s="616" t="s">
        <v>3862</v>
      </c>
      <c r="G573" s="616" t="s">
        <v>4884</v>
      </c>
      <c r="H573" s="618" t="s">
        <v>4208</v>
      </c>
      <c r="I573" s="618" t="s">
        <v>4211</v>
      </c>
      <c r="J573" s="618" t="s">
        <v>4210</v>
      </c>
      <c r="K573" s="618" t="s">
        <v>4042</v>
      </c>
      <c r="L573" s="618" t="s">
        <v>5002</v>
      </c>
      <c r="M573" s="619"/>
      <c r="N573" s="620"/>
      <c r="O573" s="620"/>
      <c r="P573" s="663" t="s">
        <v>1074</v>
      </c>
      <c r="Q573" s="621" t="s">
        <v>319</v>
      </c>
      <c r="R573" s="598"/>
      <c r="S573" s="598"/>
      <c r="T573" s="598"/>
      <c r="U573" s="598" t="s">
        <v>1015</v>
      </c>
      <c r="V573" s="663" t="s">
        <v>544</v>
      </c>
      <c r="W573" s="779" t="s">
        <v>4082</v>
      </c>
      <c r="X573" s="598" t="s">
        <v>950</v>
      </c>
      <c r="Y573" s="624">
        <v>23541</v>
      </c>
      <c r="Z573" s="625">
        <f t="shared" ca="1" si="5"/>
        <v>61</v>
      </c>
      <c r="AA573" s="616" t="s">
        <v>4083</v>
      </c>
      <c r="AB573" s="598"/>
      <c r="AC573" s="598" t="s">
        <v>996</v>
      </c>
      <c r="AD573" s="598" t="s">
        <v>1018</v>
      </c>
      <c r="AE573" s="616" t="s">
        <v>246</v>
      </c>
      <c r="AF573" s="616" t="s">
        <v>246</v>
      </c>
      <c r="AG573" s="616" t="s">
        <v>4084</v>
      </c>
      <c r="AH573" s="598"/>
      <c r="AI573" s="598"/>
      <c r="AJ573" s="598" t="s">
        <v>1114</v>
      </c>
      <c r="AK573" s="598" t="s">
        <v>3510</v>
      </c>
      <c r="AL573" s="626"/>
      <c r="AM573" s="626"/>
    </row>
    <row r="574" spans="3:39" ht="18" customHeight="1">
      <c r="C574" s="598">
        <v>554</v>
      </c>
      <c r="D574" s="598" t="s">
        <v>3989</v>
      </c>
      <c r="E574" s="598">
        <f t="shared" si="4"/>
        <v>521</v>
      </c>
      <c r="F574" s="616" t="s">
        <v>3862</v>
      </c>
      <c r="G574" s="616" t="s">
        <v>4884</v>
      </c>
      <c r="H574" s="618" t="s">
        <v>4208</v>
      </c>
      <c r="I574" s="618" t="s">
        <v>4211</v>
      </c>
      <c r="J574" s="618" t="s">
        <v>4210</v>
      </c>
      <c r="K574" s="618" t="s">
        <v>4042</v>
      </c>
      <c r="L574" s="618" t="s">
        <v>5002</v>
      </c>
      <c r="M574" s="619"/>
      <c r="N574" s="620"/>
      <c r="O574" s="620"/>
      <c r="P574" s="663" t="s">
        <v>1074</v>
      </c>
      <c r="Q574" s="621" t="s">
        <v>319</v>
      </c>
      <c r="R574" s="598"/>
      <c r="S574" s="598"/>
      <c r="T574" s="598"/>
      <c r="U574" s="598" t="s">
        <v>1015</v>
      </c>
      <c r="V574" s="663" t="s">
        <v>3990</v>
      </c>
      <c r="W574" s="779" t="s">
        <v>3991</v>
      </c>
      <c r="X574" s="598" t="s">
        <v>950</v>
      </c>
      <c r="Y574" s="624">
        <v>27315</v>
      </c>
      <c r="Z574" s="625">
        <f t="shared" ca="1" si="5"/>
        <v>51</v>
      </c>
      <c r="AA574" s="616" t="s">
        <v>3992</v>
      </c>
      <c r="AB574" s="598"/>
      <c r="AC574" s="598" t="s">
        <v>996</v>
      </c>
      <c r="AD574" s="598" t="s">
        <v>1018</v>
      </c>
      <c r="AE574" s="616" t="s">
        <v>246</v>
      </c>
      <c r="AF574" s="616" t="s">
        <v>246</v>
      </c>
      <c r="AG574" s="616" t="s">
        <v>3936</v>
      </c>
      <c r="AH574" s="598"/>
      <c r="AI574" s="598"/>
      <c r="AJ574" s="598" t="s">
        <v>1114</v>
      </c>
      <c r="AK574" s="598" t="s">
        <v>3510</v>
      </c>
      <c r="AL574" s="626"/>
      <c r="AM574" s="626"/>
    </row>
    <row r="575" spans="3:39" ht="18" customHeight="1">
      <c r="C575" s="598">
        <v>555</v>
      </c>
      <c r="D575" s="598" t="s">
        <v>3642</v>
      </c>
      <c r="E575" s="598">
        <f t="shared" si="4"/>
        <v>522</v>
      </c>
      <c r="F575" s="616" t="s">
        <v>1810</v>
      </c>
      <c r="G575" s="616" t="s">
        <v>4884</v>
      </c>
      <c r="H575" s="618" t="s">
        <v>4208</v>
      </c>
      <c r="I575" s="618" t="s">
        <v>4211</v>
      </c>
      <c r="J575" s="618" t="s">
        <v>4210</v>
      </c>
      <c r="K575" s="618" t="s">
        <v>4042</v>
      </c>
      <c r="L575" s="618" t="s">
        <v>5002</v>
      </c>
      <c r="M575" s="619"/>
      <c r="N575" s="620"/>
      <c r="O575" s="620"/>
      <c r="P575" s="663" t="s">
        <v>1074</v>
      </c>
      <c r="Q575" s="621" t="s">
        <v>319</v>
      </c>
      <c r="R575" s="598"/>
      <c r="S575" s="598"/>
      <c r="T575" s="598"/>
      <c r="U575" s="598" t="s">
        <v>1090</v>
      </c>
      <c r="V575" s="663" t="s">
        <v>3643</v>
      </c>
      <c r="W575" s="779" t="s">
        <v>3644</v>
      </c>
      <c r="X575" s="598" t="s">
        <v>950</v>
      </c>
      <c r="Y575" s="624">
        <v>19981</v>
      </c>
      <c r="Z575" s="625">
        <f t="shared" ca="1" si="5"/>
        <v>71</v>
      </c>
      <c r="AA575" s="616" t="s">
        <v>3645</v>
      </c>
      <c r="AB575" s="598"/>
      <c r="AC575" s="598" t="s">
        <v>996</v>
      </c>
      <c r="AD575" s="598" t="s">
        <v>1018</v>
      </c>
      <c r="AE575" s="616" t="s">
        <v>1078</v>
      </c>
      <c r="AF575" s="616" t="s">
        <v>1078</v>
      </c>
      <c r="AG575" s="616" t="s">
        <v>4676</v>
      </c>
      <c r="AH575" s="598"/>
      <c r="AI575" s="598"/>
      <c r="AJ575" s="598" t="s">
        <v>1114</v>
      </c>
      <c r="AK575" s="598" t="s">
        <v>3510</v>
      </c>
      <c r="AL575" s="626"/>
      <c r="AM575" s="626"/>
    </row>
    <row r="576" spans="3:39" ht="18" customHeight="1">
      <c r="C576" s="598">
        <v>556</v>
      </c>
      <c r="D576" s="598" t="s">
        <v>3653</v>
      </c>
      <c r="E576" s="598">
        <f t="shared" si="4"/>
        <v>523</v>
      </c>
      <c r="F576" s="616" t="s">
        <v>1810</v>
      </c>
      <c r="G576" s="616" t="s">
        <v>4884</v>
      </c>
      <c r="H576" s="618" t="s">
        <v>4208</v>
      </c>
      <c r="I576" s="618" t="s">
        <v>4211</v>
      </c>
      <c r="J576" s="618" t="s">
        <v>4210</v>
      </c>
      <c r="K576" s="618" t="s">
        <v>4042</v>
      </c>
      <c r="L576" s="618" t="s">
        <v>5002</v>
      </c>
      <c r="M576" s="619"/>
      <c r="N576" s="620"/>
      <c r="O576" s="620"/>
      <c r="P576" s="663" t="s">
        <v>1074</v>
      </c>
      <c r="Q576" s="621" t="s">
        <v>319</v>
      </c>
      <c r="R576" s="598"/>
      <c r="S576" s="598"/>
      <c r="T576" s="598"/>
      <c r="U576" s="598" t="s">
        <v>1015</v>
      </c>
      <c r="V576" s="663" t="s">
        <v>3654</v>
      </c>
      <c r="W576" s="779" t="s">
        <v>3655</v>
      </c>
      <c r="X576" s="598" t="s">
        <v>950</v>
      </c>
      <c r="Y576" s="624">
        <v>22694</v>
      </c>
      <c r="Z576" s="625">
        <f t="shared" ca="1" si="5"/>
        <v>63</v>
      </c>
      <c r="AA576" s="616" t="s">
        <v>3656</v>
      </c>
      <c r="AB576" s="598"/>
      <c r="AC576" s="598" t="s">
        <v>996</v>
      </c>
      <c r="AD576" s="598" t="s">
        <v>1018</v>
      </c>
      <c r="AE576" s="616" t="s">
        <v>1078</v>
      </c>
      <c r="AF576" s="616" t="s">
        <v>1078</v>
      </c>
      <c r="AG576" s="616" t="s">
        <v>3630</v>
      </c>
      <c r="AH576" s="598"/>
      <c r="AI576" s="598"/>
      <c r="AJ576" s="598" t="s">
        <v>1114</v>
      </c>
      <c r="AK576" s="598" t="s">
        <v>3510</v>
      </c>
      <c r="AL576" s="626"/>
      <c r="AM576" s="626"/>
    </row>
    <row r="577" spans="3:39" ht="18" customHeight="1">
      <c r="C577" s="598">
        <v>557</v>
      </c>
      <c r="D577" s="598" t="s">
        <v>2684</v>
      </c>
      <c r="E577" s="598">
        <f t="shared" si="4"/>
        <v>524</v>
      </c>
      <c r="F577" s="616" t="s">
        <v>4978</v>
      </c>
      <c r="G577" s="616" t="s">
        <v>4884</v>
      </c>
      <c r="H577" s="618" t="s">
        <v>4208</v>
      </c>
      <c r="I577" s="618" t="s">
        <v>4211</v>
      </c>
      <c r="J577" s="618" t="s">
        <v>4210</v>
      </c>
      <c r="K577" s="618" t="s">
        <v>4042</v>
      </c>
      <c r="L577" s="618" t="s">
        <v>5002</v>
      </c>
      <c r="M577" s="619"/>
      <c r="N577" s="620"/>
      <c r="O577" s="620"/>
      <c r="P577" s="663" t="s">
        <v>1074</v>
      </c>
      <c r="Q577" s="621" t="s">
        <v>319</v>
      </c>
      <c r="R577" s="598"/>
      <c r="S577" s="598"/>
      <c r="T577" s="598"/>
      <c r="U577" s="598" t="s">
        <v>962</v>
      </c>
      <c r="V577" s="663" t="s">
        <v>567</v>
      </c>
      <c r="W577" s="779" t="s">
        <v>2685</v>
      </c>
      <c r="X577" s="598" t="s">
        <v>963</v>
      </c>
      <c r="Y577" s="624">
        <v>20455</v>
      </c>
      <c r="Z577" s="625">
        <f t="shared" ca="1" si="5"/>
        <v>70</v>
      </c>
      <c r="AA577" s="616" t="s">
        <v>2686</v>
      </c>
      <c r="AB577" s="598"/>
      <c r="AC577" s="598" t="s">
        <v>996</v>
      </c>
      <c r="AD577" s="598" t="s">
        <v>1018</v>
      </c>
      <c r="AE577" s="616" t="s">
        <v>1041</v>
      </c>
      <c r="AF577" s="721" t="s">
        <v>1041</v>
      </c>
      <c r="AG577" s="616" t="s">
        <v>2687</v>
      </c>
      <c r="AH577" s="598"/>
      <c r="AI577" s="598"/>
      <c r="AJ577" s="598" t="s">
        <v>1318</v>
      </c>
      <c r="AK577" s="598"/>
      <c r="AL577" s="626"/>
      <c r="AM577" s="626"/>
    </row>
    <row r="578" spans="3:39" ht="18" customHeight="1">
      <c r="C578" s="598">
        <v>558</v>
      </c>
      <c r="D578" s="598" t="s">
        <v>2913</v>
      </c>
      <c r="E578" s="598">
        <f t="shared" si="4"/>
        <v>525</v>
      </c>
      <c r="F578" s="616" t="s">
        <v>4978</v>
      </c>
      <c r="G578" s="616" t="s">
        <v>4884</v>
      </c>
      <c r="H578" s="618" t="s">
        <v>4208</v>
      </c>
      <c r="I578" s="618" t="s">
        <v>4211</v>
      </c>
      <c r="J578" s="618" t="s">
        <v>4210</v>
      </c>
      <c r="K578" s="618" t="s">
        <v>4042</v>
      </c>
      <c r="L578" s="618" t="s">
        <v>5002</v>
      </c>
      <c r="M578" s="619"/>
      <c r="N578" s="620"/>
      <c r="O578" s="620"/>
      <c r="P578" s="663" t="s">
        <v>1074</v>
      </c>
      <c r="Q578" s="621" t="s">
        <v>319</v>
      </c>
      <c r="R578" s="598"/>
      <c r="S578" s="598"/>
      <c r="T578" s="598"/>
      <c r="U578" s="598" t="s">
        <v>1015</v>
      </c>
      <c r="V578" s="663" t="s">
        <v>571</v>
      </c>
      <c r="W578" s="779" t="s">
        <v>2914</v>
      </c>
      <c r="X578" s="598" t="s">
        <v>950</v>
      </c>
      <c r="Y578" s="624">
        <v>21731</v>
      </c>
      <c r="Z578" s="625">
        <f t="shared" ca="1" si="5"/>
        <v>66</v>
      </c>
      <c r="AA578" s="616" t="s">
        <v>2686</v>
      </c>
      <c r="AB578" s="598"/>
      <c r="AC578" s="598" t="s">
        <v>996</v>
      </c>
      <c r="AD578" s="598" t="s">
        <v>1018</v>
      </c>
      <c r="AE578" s="616" t="s">
        <v>1041</v>
      </c>
      <c r="AF578" s="721" t="s">
        <v>1041</v>
      </c>
      <c r="AG578" s="616" t="s">
        <v>2687</v>
      </c>
      <c r="AH578" s="598"/>
      <c r="AI578" s="598"/>
      <c r="AJ578" s="598" t="s">
        <v>1318</v>
      </c>
      <c r="AK578" s="598"/>
      <c r="AL578" s="626"/>
      <c r="AM578" s="626"/>
    </row>
    <row r="579" spans="3:39" ht="18" customHeight="1">
      <c r="C579" s="598">
        <v>559</v>
      </c>
      <c r="D579" s="598" t="s">
        <v>3946</v>
      </c>
      <c r="E579" s="598">
        <f t="shared" si="4"/>
        <v>526</v>
      </c>
      <c r="F579" s="616" t="s">
        <v>3862</v>
      </c>
      <c r="G579" s="616" t="s">
        <v>4884</v>
      </c>
      <c r="H579" s="618" t="s">
        <v>4208</v>
      </c>
      <c r="I579" s="618" t="s">
        <v>4211</v>
      </c>
      <c r="J579" s="618" t="s">
        <v>4210</v>
      </c>
      <c r="K579" s="618" t="s">
        <v>4042</v>
      </c>
      <c r="L579" s="618" t="s">
        <v>5002</v>
      </c>
      <c r="M579" s="619"/>
      <c r="N579" s="620"/>
      <c r="O579" s="620"/>
      <c r="P579" s="673" t="s">
        <v>1074</v>
      </c>
      <c r="Q579" s="621" t="s">
        <v>319</v>
      </c>
      <c r="R579" s="598"/>
      <c r="S579" s="598"/>
      <c r="T579" s="598"/>
      <c r="U579" s="598" t="s">
        <v>1090</v>
      </c>
      <c r="V579" s="673" t="s">
        <v>3947</v>
      </c>
      <c r="W579" s="779" t="s">
        <v>3948</v>
      </c>
      <c r="X579" s="598" t="s">
        <v>950</v>
      </c>
      <c r="Y579" s="624">
        <v>17849</v>
      </c>
      <c r="Z579" s="625">
        <f t="shared" ca="1" si="5"/>
        <v>77</v>
      </c>
      <c r="AA579" s="616" t="s">
        <v>3949</v>
      </c>
      <c r="AB579" s="598"/>
      <c r="AC579" s="598" t="s">
        <v>996</v>
      </c>
      <c r="AD579" s="598" t="s">
        <v>1018</v>
      </c>
      <c r="AE579" s="616" t="s">
        <v>246</v>
      </c>
      <c r="AF579" s="616" t="s">
        <v>246</v>
      </c>
      <c r="AG579" s="616" t="s">
        <v>3936</v>
      </c>
      <c r="AH579" s="598"/>
      <c r="AI579" s="598" t="s">
        <v>3950</v>
      </c>
      <c r="AJ579" s="598" t="s">
        <v>1114</v>
      </c>
      <c r="AK579" s="598" t="s">
        <v>1020</v>
      </c>
      <c r="AL579" s="626"/>
      <c r="AM579" s="626"/>
    </row>
    <row r="580" spans="3:39" ht="18" customHeight="1">
      <c r="C580" s="598">
        <v>560</v>
      </c>
      <c r="D580" s="598" t="s">
        <v>3985</v>
      </c>
      <c r="E580" s="598">
        <f t="shared" si="4"/>
        <v>526</v>
      </c>
      <c r="F580" s="616"/>
      <c r="G580" s="616" t="s">
        <v>4884</v>
      </c>
      <c r="H580" s="618" t="s">
        <v>4208</v>
      </c>
      <c r="I580" s="618" t="s">
        <v>4211</v>
      </c>
      <c r="J580" s="618" t="s">
        <v>4210</v>
      </c>
      <c r="K580" s="618" t="s">
        <v>3985</v>
      </c>
      <c r="L580" s="618" t="s">
        <v>4406</v>
      </c>
      <c r="M580" s="619"/>
      <c r="N580" s="620"/>
      <c r="O580" s="620"/>
      <c r="P580" s="667" t="s">
        <v>1115</v>
      </c>
      <c r="Q580" s="621"/>
      <c r="R580" s="598" t="s">
        <v>55</v>
      </c>
      <c r="S580" s="598" t="s">
        <v>178</v>
      </c>
      <c r="T580" s="598"/>
      <c r="U580" s="598"/>
      <c r="V580" s="667" t="s">
        <v>495</v>
      </c>
      <c r="W580" s="779" t="s">
        <v>3986</v>
      </c>
      <c r="X580" s="598" t="s">
        <v>950</v>
      </c>
      <c r="Y580" s="624">
        <v>25024</v>
      </c>
      <c r="Z580" s="625">
        <f t="shared" ca="1" si="5"/>
        <v>57</v>
      </c>
      <c r="AA580" s="616" t="s">
        <v>3987</v>
      </c>
      <c r="AB580" s="598"/>
      <c r="AC580" s="598" t="s">
        <v>966</v>
      </c>
      <c r="AD580" s="598" t="s">
        <v>953</v>
      </c>
      <c r="AE580" s="616" t="s">
        <v>246</v>
      </c>
      <c r="AF580" s="616" t="s">
        <v>246</v>
      </c>
      <c r="AG580" s="616" t="s">
        <v>3815</v>
      </c>
      <c r="AH580" s="598" t="s">
        <v>955</v>
      </c>
      <c r="AI580" s="598"/>
      <c r="AJ580" s="598"/>
      <c r="AK580" s="598"/>
      <c r="AL580" s="626"/>
      <c r="AM580" s="626"/>
    </row>
    <row r="581" spans="3:39" ht="18" customHeight="1">
      <c r="C581" s="598">
        <v>561</v>
      </c>
      <c r="D581" s="598" t="s">
        <v>4406</v>
      </c>
      <c r="E581" s="598">
        <f t="shared" si="4"/>
        <v>527</v>
      </c>
      <c r="F581" s="616" t="s">
        <v>3862</v>
      </c>
      <c r="G581" s="616" t="s">
        <v>4884</v>
      </c>
      <c r="H581" s="618" t="s">
        <v>4208</v>
      </c>
      <c r="I581" s="618" t="s">
        <v>4211</v>
      </c>
      <c r="J581" s="618" t="s">
        <v>4210</v>
      </c>
      <c r="K581" s="618" t="s">
        <v>3985</v>
      </c>
      <c r="L581" s="618" t="s">
        <v>4406</v>
      </c>
      <c r="M581" s="619"/>
      <c r="N581" s="620"/>
      <c r="O581" s="620"/>
      <c r="P581" s="663" t="s">
        <v>1115</v>
      </c>
      <c r="Q581" s="621" t="s">
        <v>319</v>
      </c>
      <c r="R581" s="598" t="s">
        <v>69</v>
      </c>
      <c r="S581" s="598" t="s">
        <v>562</v>
      </c>
      <c r="T581" s="598"/>
      <c r="U581" s="598" t="s">
        <v>1015</v>
      </c>
      <c r="V581" s="663" t="s">
        <v>529</v>
      </c>
      <c r="W581" s="779" t="s">
        <v>4410</v>
      </c>
      <c r="X581" s="598" t="s">
        <v>950</v>
      </c>
      <c r="Y581" s="624">
        <v>20844</v>
      </c>
      <c r="Z581" s="625">
        <f t="shared" ca="1" si="5"/>
        <v>69</v>
      </c>
      <c r="AA581" s="616" t="s">
        <v>4411</v>
      </c>
      <c r="AB581" s="598"/>
      <c r="AC581" s="598" t="s">
        <v>996</v>
      </c>
      <c r="AD581" s="598" t="s">
        <v>1018</v>
      </c>
      <c r="AE581" s="616" t="s">
        <v>246</v>
      </c>
      <c r="AF581" s="616" t="s">
        <v>246</v>
      </c>
      <c r="AG581" s="616" t="s">
        <v>4413</v>
      </c>
      <c r="AH581" s="598"/>
      <c r="AI581" s="598"/>
      <c r="AJ581" s="598" t="s">
        <v>1452</v>
      </c>
      <c r="AK581" s="598" t="s">
        <v>3510</v>
      </c>
      <c r="AL581" s="626"/>
      <c r="AM581" s="626"/>
    </row>
    <row r="582" spans="3:39" ht="18" customHeight="1">
      <c r="C582" s="598">
        <v>562</v>
      </c>
      <c r="D582" s="598" t="s">
        <v>4267</v>
      </c>
      <c r="E582" s="598">
        <f t="shared" si="4"/>
        <v>528</v>
      </c>
      <c r="F582" s="616" t="s">
        <v>3862</v>
      </c>
      <c r="G582" s="616" t="s">
        <v>4884</v>
      </c>
      <c r="H582" s="618" t="s">
        <v>4208</v>
      </c>
      <c r="I582" s="618" t="s">
        <v>4211</v>
      </c>
      <c r="J582" s="618" t="s">
        <v>4210</v>
      </c>
      <c r="K582" s="618" t="s">
        <v>3985</v>
      </c>
      <c r="L582" s="618" t="s">
        <v>4406</v>
      </c>
      <c r="M582" s="619"/>
      <c r="N582" s="620"/>
      <c r="O582" s="620"/>
      <c r="P582" s="663" t="s">
        <v>1115</v>
      </c>
      <c r="Q582" s="621" t="s">
        <v>319</v>
      </c>
      <c r="R582" s="598"/>
      <c r="S582" s="598"/>
      <c r="T582" s="598"/>
      <c r="U582" s="598" t="s">
        <v>1015</v>
      </c>
      <c r="V582" s="663" t="s">
        <v>521</v>
      </c>
      <c r="W582" s="779" t="s">
        <v>4271</v>
      </c>
      <c r="X582" s="598" t="s">
        <v>950</v>
      </c>
      <c r="Y582" s="624">
        <v>20604</v>
      </c>
      <c r="Z582" s="625">
        <f t="shared" ca="1" si="5"/>
        <v>69</v>
      </c>
      <c r="AA582" s="616" t="s">
        <v>4272</v>
      </c>
      <c r="AB582" s="598"/>
      <c r="AC582" s="598" t="s">
        <v>996</v>
      </c>
      <c r="AD582" s="598" t="s">
        <v>1018</v>
      </c>
      <c r="AE582" s="616" t="s">
        <v>246</v>
      </c>
      <c r="AF582" s="616" t="s">
        <v>246</v>
      </c>
      <c r="AG582" s="616" t="s">
        <v>4274</v>
      </c>
      <c r="AH582" s="598"/>
      <c r="AI582" s="598"/>
      <c r="AJ582" s="598" t="s">
        <v>1452</v>
      </c>
      <c r="AK582" s="598" t="s">
        <v>3510</v>
      </c>
      <c r="AL582" s="626"/>
      <c r="AM582" s="626"/>
    </row>
    <row r="583" spans="3:39" ht="18" customHeight="1">
      <c r="C583" s="598">
        <v>563</v>
      </c>
      <c r="D583" s="598" t="s">
        <v>4365</v>
      </c>
      <c r="E583" s="598">
        <f t="shared" si="4"/>
        <v>529</v>
      </c>
      <c r="F583" s="616" t="s">
        <v>3862</v>
      </c>
      <c r="G583" s="616" t="s">
        <v>4884</v>
      </c>
      <c r="H583" s="618" t="s">
        <v>4208</v>
      </c>
      <c r="I583" s="618" t="s">
        <v>4211</v>
      </c>
      <c r="J583" s="618" t="s">
        <v>4210</v>
      </c>
      <c r="K583" s="618" t="s">
        <v>3985</v>
      </c>
      <c r="L583" s="618" t="s">
        <v>4406</v>
      </c>
      <c r="M583" s="619"/>
      <c r="N583" s="620"/>
      <c r="O583" s="620"/>
      <c r="P583" s="663" t="s">
        <v>1115</v>
      </c>
      <c r="Q583" s="621" t="s">
        <v>319</v>
      </c>
      <c r="R583" s="598"/>
      <c r="S583" s="598"/>
      <c r="T583" s="598"/>
      <c r="U583" s="598" t="s">
        <v>1015</v>
      </c>
      <c r="V583" s="663" t="s">
        <v>545</v>
      </c>
      <c r="W583" s="779" t="s">
        <v>4370</v>
      </c>
      <c r="X583" s="598" t="s">
        <v>950</v>
      </c>
      <c r="Y583" s="624">
        <v>22829</v>
      </c>
      <c r="Z583" s="625">
        <f t="shared" ca="1" si="5"/>
        <v>63</v>
      </c>
      <c r="AA583" s="616" t="s">
        <v>4371</v>
      </c>
      <c r="AB583" s="598"/>
      <c r="AC583" s="598" t="s">
        <v>996</v>
      </c>
      <c r="AD583" s="598" t="s">
        <v>1018</v>
      </c>
      <c r="AE583" s="616" t="s">
        <v>246</v>
      </c>
      <c r="AF583" s="616" t="s">
        <v>246</v>
      </c>
      <c r="AG583" s="653" t="s">
        <v>4373</v>
      </c>
      <c r="AH583" s="598"/>
      <c r="AI583" s="598"/>
      <c r="AJ583" s="598" t="s">
        <v>1452</v>
      </c>
      <c r="AK583" s="598" t="s">
        <v>3510</v>
      </c>
      <c r="AL583" s="626"/>
      <c r="AM583" s="626"/>
    </row>
    <row r="584" spans="3:39" ht="18" customHeight="1">
      <c r="C584" s="598">
        <v>564</v>
      </c>
      <c r="D584" s="598" t="s">
        <v>3609</v>
      </c>
      <c r="E584" s="598">
        <f t="shared" si="4"/>
        <v>530</v>
      </c>
      <c r="F584" s="616" t="s">
        <v>3862</v>
      </c>
      <c r="G584" s="616" t="s">
        <v>4884</v>
      </c>
      <c r="H584" s="618" t="s">
        <v>4208</v>
      </c>
      <c r="I584" s="618" t="s">
        <v>4211</v>
      </c>
      <c r="J584" s="618" t="s">
        <v>4210</v>
      </c>
      <c r="K584" s="618" t="s">
        <v>3985</v>
      </c>
      <c r="L584" s="618" t="s">
        <v>4406</v>
      </c>
      <c r="M584" s="619"/>
      <c r="N584" s="620"/>
      <c r="O584" s="620"/>
      <c r="P584" s="663" t="s">
        <v>1115</v>
      </c>
      <c r="Q584" s="621" t="s">
        <v>319</v>
      </c>
      <c r="R584" s="598"/>
      <c r="S584" s="598"/>
      <c r="T584" s="598"/>
      <c r="U584" s="598" t="s">
        <v>1015</v>
      </c>
      <c r="V584" s="663" t="s">
        <v>552</v>
      </c>
      <c r="W584" s="779" t="s">
        <v>3610</v>
      </c>
      <c r="X584" s="598" t="s">
        <v>950</v>
      </c>
      <c r="Y584" s="624">
        <v>22980</v>
      </c>
      <c r="Z584" s="625">
        <f t="shared" ca="1" si="5"/>
        <v>63</v>
      </c>
      <c r="AA584" s="616" t="s">
        <v>3611</v>
      </c>
      <c r="AB584" s="598"/>
      <c r="AC584" s="598" t="s">
        <v>996</v>
      </c>
      <c r="AD584" s="598" t="s">
        <v>1018</v>
      </c>
      <c r="AE584" s="616" t="s">
        <v>973</v>
      </c>
      <c r="AF584" s="616" t="s">
        <v>973</v>
      </c>
      <c r="AG584" s="616" t="s">
        <v>3612</v>
      </c>
      <c r="AH584" s="598"/>
      <c r="AI584" s="598"/>
      <c r="AJ584" s="598" t="s">
        <v>1452</v>
      </c>
      <c r="AK584" s="598" t="s">
        <v>3510</v>
      </c>
      <c r="AL584" s="626"/>
      <c r="AM584" s="626"/>
    </row>
    <row r="585" spans="3:39" ht="18" customHeight="1">
      <c r="C585" s="598">
        <v>565</v>
      </c>
      <c r="D585" s="598" t="s">
        <v>4335</v>
      </c>
      <c r="E585" s="598">
        <f t="shared" si="4"/>
        <v>531</v>
      </c>
      <c r="F585" s="616" t="s">
        <v>3862</v>
      </c>
      <c r="G585" s="616" t="s">
        <v>4884</v>
      </c>
      <c r="H585" s="618" t="s">
        <v>4208</v>
      </c>
      <c r="I585" s="618" t="s">
        <v>4211</v>
      </c>
      <c r="J585" s="618" t="s">
        <v>4210</v>
      </c>
      <c r="K585" s="618" t="s">
        <v>3985</v>
      </c>
      <c r="L585" s="618" t="s">
        <v>4406</v>
      </c>
      <c r="M585" s="619"/>
      <c r="N585" s="620"/>
      <c r="O585" s="620"/>
      <c r="P585" s="663" t="s">
        <v>1115</v>
      </c>
      <c r="Q585" s="621" t="s">
        <v>319</v>
      </c>
      <c r="R585" s="598"/>
      <c r="S585" s="598"/>
      <c r="T585" s="598"/>
      <c r="U585" s="598" t="s">
        <v>1015</v>
      </c>
      <c r="V585" s="663" t="s">
        <v>557</v>
      </c>
      <c r="W585" s="779" t="s">
        <v>4344</v>
      </c>
      <c r="X585" s="598" t="s">
        <v>950</v>
      </c>
      <c r="Y585" s="624">
        <v>26443</v>
      </c>
      <c r="Z585" s="625">
        <f t="shared" ca="1" si="5"/>
        <v>53</v>
      </c>
      <c r="AA585" s="616" t="s">
        <v>4345</v>
      </c>
      <c r="AB585" s="598"/>
      <c r="AC585" s="598" t="s">
        <v>996</v>
      </c>
      <c r="AD585" s="598" t="s">
        <v>1018</v>
      </c>
      <c r="AE585" s="616" t="s">
        <v>246</v>
      </c>
      <c r="AF585" s="616" t="s">
        <v>246</v>
      </c>
      <c r="AG585" s="653" t="s">
        <v>4347</v>
      </c>
      <c r="AH585" s="598"/>
      <c r="AI585" s="598"/>
      <c r="AJ585" s="598" t="s">
        <v>1452</v>
      </c>
      <c r="AK585" s="598" t="s">
        <v>3510</v>
      </c>
      <c r="AL585" s="626"/>
      <c r="AM585" s="626"/>
    </row>
    <row r="586" spans="3:39" ht="18" customHeight="1">
      <c r="C586" s="598">
        <v>566</v>
      </c>
      <c r="D586" s="598" t="s">
        <v>4354</v>
      </c>
      <c r="E586" s="598">
        <f t="shared" si="4"/>
        <v>532</v>
      </c>
      <c r="F586" s="616" t="s">
        <v>3862</v>
      </c>
      <c r="G586" s="616" t="s">
        <v>4884</v>
      </c>
      <c r="H586" s="618" t="s">
        <v>4208</v>
      </c>
      <c r="I586" s="618" t="s">
        <v>4211</v>
      </c>
      <c r="J586" s="618" t="s">
        <v>4210</v>
      </c>
      <c r="K586" s="618" t="s">
        <v>3985</v>
      </c>
      <c r="L586" s="618" t="s">
        <v>4406</v>
      </c>
      <c r="M586" s="619"/>
      <c r="N586" s="620"/>
      <c r="O586" s="620"/>
      <c r="P586" s="663" t="s">
        <v>1115</v>
      </c>
      <c r="Q586" s="621" t="s">
        <v>319</v>
      </c>
      <c r="R586" s="598"/>
      <c r="S586" s="598"/>
      <c r="T586" s="598"/>
      <c r="U586" s="598" t="s">
        <v>1015</v>
      </c>
      <c r="V586" s="663" t="s">
        <v>563</v>
      </c>
      <c r="W586" s="779" t="s">
        <v>4355</v>
      </c>
      <c r="X586" s="598" t="s">
        <v>950</v>
      </c>
      <c r="Y586" s="624">
        <v>27733</v>
      </c>
      <c r="Z586" s="625">
        <f t="shared" ca="1" si="5"/>
        <v>50</v>
      </c>
      <c r="AA586" s="616" t="s">
        <v>4356</v>
      </c>
      <c r="AB586" s="598"/>
      <c r="AC586" s="598" t="s">
        <v>996</v>
      </c>
      <c r="AD586" s="598" t="s">
        <v>1018</v>
      </c>
      <c r="AE586" s="616" t="s">
        <v>246</v>
      </c>
      <c r="AF586" s="616" t="s">
        <v>246</v>
      </c>
      <c r="AG586" s="616" t="s">
        <v>4358</v>
      </c>
      <c r="AH586" s="598"/>
      <c r="AI586" s="598" t="s">
        <v>4259</v>
      </c>
      <c r="AJ586" s="598" t="s">
        <v>1452</v>
      </c>
      <c r="AK586" s="598" t="s">
        <v>3510</v>
      </c>
      <c r="AL586" s="626"/>
      <c r="AM586" s="626"/>
    </row>
    <row r="587" spans="3:39" ht="18" customHeight="1">
      <c r="C587" s="598">
        <v>567</v>
      </c>
      <c r="D587" s="598" t="s">
        <v>4254</v>
      </c>
      <c r="E587" s="598">
        <f t="shared" si="4"/>
        <v>533</v>
      </c>
      <c r="F587" s="616" t="s">
        <v>3862</v>
      </c>
      <c r="G587" s="616" t="s">
        <v>4884</v>
      </c>
      <c r="H587" s="618" t="s">
        <v>4208</v>
      </c>
      <c r="I587" s="618" t="s">
        <v>4211</v>
      </c>
      <c r="J587" s="618" t="s">
        <v>4210</v>
      </c>
      <c r="K587" s="618" t="s">
        <v>3985</v>
      </c>
      <c r="L587" s="618" t="s">
        <v>4406</v>
      </c>
      <c r="M587" s="619"/>
      <c r="N587" s="620"/>
      <c r="O587" s="620"/>
      <c r="P587" s="663" t="s">
        <v>1115</v>
      </c>
      <c r="Q587" s="621" t="s">
        <v>319</v>
      </c>
      <c r="R587" s="598"/>
      <c r="S587" s="598"/>
      <c r="T587" s="598"/>
      <c r="U587" s="598" t="s">
        <v>1015</v>
      </c>
      <c r="V587" s="663" t="s">
        <v>568</v>
      </c>
      <c r="W587" s="779" t="s">
        <v>4255</v>
      </c>
      <c r="X587" s="598" t="s">
        <v>950</v>
      </c>
      <c r="Y587" s="624">
        <v>32138</v>
      </c>
      <c r="Z587" s="625">
        <f t="shared" ca="1" si="5"/>
        <v>38</v>
      </c>
      <c r="AA587" s="616" t="s">
        <v>4256</v>
      </c>
      <c r="AB587" s="598"/>
      <c r="AC587" s="598" t="s">
        <v>996</v>
      </c>
      <c r="AD587" s="598" t="s">
        <v>1018</v>
      </c>
      <c r="AE587" s="616" t="s">
        <v>246</v>
      </c>
      <c r="AF587" s="616" t="s">
        <v>246</v>
      </c>
      <c r="AG587" s="616" t="s">
        <v>4258</v>
      </c>
      <c r="AH587" s="598"/>
      <c r="AI587" s="598" t="s">
        <v>4259</v>
      </c>
      <c r="AJ587" s="598" t="s">
        <v>1452</v>
      </c>
      <c r="AK587" s="598" t="s">
        <v>3510</v>
      </c>
      <c r="AL587" s="626"/>
      <c r="AM587" s="626"/>
    </row>
    <row r="588" spans="3:39" ht="18" customHeight="1">
      <c r="C588" s="598">
        <v>568</v>
      </c>
      <c r="D588" s="598" t="s">
        <v>4885</v>
      </c>
      <c r="E588" s="598">
        <f t="shared" si="4"/>
        <v>534</v>
      </c>
      <c r="F588" s="616" t="s">
        <v>3862</v>
      </c>
      <c r="G588" s="616" t="s">
        <v>4884</v>
      </c>
      <c r="H588" s="618" t="s">
        <v>4208</v>
      </c>
      <c r="I588" s="618" t="s">
        <v>4211</v>
      </c>
      <c r="J588" s="618" t="s">
        <v>4210</v>
      </c>
      <c r="K588" s="618" t="s">
        <v>3985</v>
      </c>
      <c r="L588" s="618" t="s">
        <v>4406</v>
      </c>
      <c r="M588" s="619"/>
      <c r="N588" s="620"/>
      <c r="O588" s="620"/>
      <c r="P588" s="663" t="s">
        <v>1115</v>
      </c>
      <c r="Q588" s="621" t="s">
        <v>319</v>
      </c>
      <c r="R588" s="598"/>
      <c r="S588" s="598"/>
      <c r="T588" s="598"/>
      <c r="U588" s="598" t="s">
        <v>992</v>
      </c>
      <c r="V588" s="663" t="s">
        <v>572</v>
      </c>
      <c r="W588" s="779" t="s">
        <v>4886</v>
      </c>
      <c r="X588" s="598" t="s">
        <v>950</v>
      </c>
      <c r="Y588" s="624">
        <v>36800</v>
      </c>
      <c r="Z588" s="625">
        <f t="shared" ca="1" si="5"/>
        <v>25</v>
      </c>
      <c r="AA588" s="616" t="s">
        <v>4887</v>
      </c>
      <c r="AB588" s="598"/>
      <c r="AC588" s="598" t="s">
        <v>996</v>
      </c>
      <c r="AD588" s="598" t="s">
        <v>1018</v>
      </c>
      <c r="AE588" s="616" t="s">
        <v>246</v>
      </c>
      <c r="AF588" s="616" t="s">
        <v>246</v>
      </c>
      <c r="AG588" s="616" t="s">
        <v>3815</v>
      </c>
      <c r="AH588" s="598"/>
      <c r="AI588" s="598"/>
      <c r="AJ588" s="598" t="s">
        <v>1452</v>
      </c>
      <c r="AK588" s="598" t="s">
        <v>3510</v>
      </c>
      <c r="AL588" s="626"/>
      <c r="AM588" s="626"/>
    </row>
    <row r="589" spans="3:39" ht="18" customHeight="1">
      <c r="C589" s="598">
        <v>569</v>
      </c>
      <c r="D589" s="598" t="s">
        <v>4888</v>
      </c>
      <c r="E589" s="598">
        <f t="shared" si="4"/>
        <v>535</v>
      </c>
      <c r="F589" s="616" t="s">
        <v>3862</v>
      </c>
      <c r="G589" s="616" t="s">
        <v>4884</v>
      </c>
      <c r="H589" s="618" t="s">
        <v>4208</v>
      </c>
      <c r="I589" s="618" t="s">
        <v>4211</v>
      </c>
      <c r="J589" s="618" t="s">
        <v>4210</v>
      </c>
      <c r="K589" s="618" t="s">
        <v>3985</v>
      </c>
      <c r="L589" s="618" t="s">
        <v>4406</v>
      </c>
      <c r="M589" s="619"/>
      <c r="N589" s="620"/>
      <c r="O589" s="620"/>
      <c r="P589" s="663" t="s">
        <v>1115</v>
      </c>
      <c r="Q589" s="621" t="s">
        <v>319</v>
      </c>
      <c r="R589" s="598"/>
      <c r="S589" s="598"/>
      <c r="T589" s="598"/>
      <c r="U589" s="598" t="s">
        <v>1015</v>
      </c>
      <c r="V589" s="663" t="s">
        <v>537</v>
      </c>
      <c r="W589" s="779" t="s">
        <v>4889</v>
      </c>
      <c r="X589" s="598" t="s">
        <v>950</v>
      </c>
      <c r="Y589" s="624">
        <v>21916</v>
      </c>
      <c r="Z589" s="625">
        <f t="shared" ca="1" si="5"/>
        <v>66</v>
      </c>
      <c r="AA589" s="616" t="s">
        <v>4890</v>
      </c>
      <c r="AB589" s="598"/>
      <c r="AC589" s="598" t="s">
        <v>996</v>
      </c>
      <c r="AD589" s="598" t="s">
        <v>1018</v>
      </c>
      <c r="AE589" s="616" t="s">
        <v>246</v>
      </c>
      <c r="AF589" s="616" t="s">
        <v>246</v>
      </c>
      <c r="AG589" s="616" t="s">
        <v>4891</v>
      </c>
      <c r="AH589" s="598"/>
      <c r="AI589" s="598" t="s">
        <v>4892</v>
      </c>
      <c r="AJ589" s="598" t="s">
        <v>1452</v>
      </c>
      <c r="AK589" s="598" t="s">
        <v>1020</v>
      </c>
      <c r="AL589" s="626"/>
      <c r="AM589" s="626"/>
    </row>
    <row r="590" spans="3:39" ht="18" customHeight="1">
      <c r="C590" s="598">
        <v>570</v>
      </c>
      <c r="D590" s="598" t="s">
        <v>4893</v>
      </c>
      <c r="E590" s="598">
        <f t="shared" si="4"/>
        <v>536</v>
      </c>
      <c r="F590" s="616" t="s">
        <v>3862</v>
      </c>
      <c r="G590" s="616" t="s">
        <v>4884</v>
      </c>
      <c r="H590" s="618" t="s">
        <v>4208</v>
      </c>
      <c r="I590" s="618" t="s">
        <v>4211</v>
      </c>
      <c r="J590" s="618" t="s">
        <v>4210</v>
      </c>
      <c r="K590" s="618" t="s">
        <v>3985</v>
      </c>
      <c r="L590" s="618" t="s">
        <v>4406</v>
      </c>
      <c r="M590" s="619"/>
      <c r="N590" s="620"/>
      <c r="O590" s="620"/>
      <c r="P590" s="673" t="s">
        <v>1115</v>
      </c>
      <c r="Q590" s="621" t="s">
        <v>319</v>
      </c>
      <c r="R590" s="598"/>
      <c r="S590" s="598"/>
      <c r="T590" s="598"/>
      <c r="U590" s="598" t="s">
        <v>1015</v>
      </c>
      <c r="V590" s="673" t="s">
        <v>4894</v>
      </c>
      <c r="W590" s="779" t="s">
        <v>4895</v>
      </c>
      <c r="X590" s="598" t="s">
        <v>950</v>
      </c>
      <c r="Y590" s="624">
        <v>28211</v>
      </c>
      <c r="Z590" s="625">
        <f t="shared" ca="1" si="5"/>
        <v>48</v>
      </c>
      <c r="AA590" s="616" t="s">
        <v>4896</v>
      </c>
      <c r="AB590" s="598"/>
      <c r="AC590" s="598" t="s">
        <v>996</v>
      </c>
      <c r="AD590" s="598" t="s">
        <v>1018</v>
      </c>
      <c r="AE590" s="616" t="s">
        <v>246</v>
      </c>
      <c r="AF590" s="616" t="s">
        <v>246</v>
      </c>
      <c r="AG590" s="616" t="s">
        <v>4898</v>
      </c>
      <c r="AH590" s="598"/>
      <c r="AI590" s="598" t="s">
        <v>4858</v>
      </c>
      <c r="AJ590" s="598" t="s">
        <v>1452</v>
      </c>
      <c r="AK590" s="598" t="s">
        <v>1020</v>
      </c>
      <c r="AL590" s="626"/>
      <c r="AM590" s="626"/>
    </row>
    <row r="591" spans="3:39" ht="18" customHeight="1">
      <c r="C591" s="598">
        <v>571</v>
      </c>
      <c r="D591" s="598" t="s">
        <v>4169</v>
      </c>
      <c r="E591" s="598">
        <f t="shared" si="4"/>
        <v>536</v>
      </c>
      <c r="F591" s="616"/>
      <c r="G591" s="616" t="s">
        <v>4884</v>
      </c>
      <c r="H591" s="618" t="s">
        <v>4208</v>
      </c>
      <c r="I591" s="618" t="s">
        <v>4211</v>
      </c>
      <c r="J591" s="618" t="s">
        <v>4210</v>
      </c>
      <c r="K591" s="618" t="s">
        <v>4169</v>
      </c>
      <c r="L591" s="618" t="s">
        <v>959</v>
      </c>
      <c r="M591" s="619"/>
      <c r="N591" s="620"/>
      <c r="O591" s="620"/>
      <c r="P591" s="667" t="s">
        <v>1127</v>
      </c>
      <c r="Q591" s="621"/>
      <c r="R591" s="598" t="s">
        <v>55</v>
      </c>
      <c r="S591" s="598" t="s">
        <v>178</v>
      </c>
      <c r="T591" s="598"/>
      <c r="U591" s="598"/>
      <c r="V591" s="667" t="s">
        <v>241</v>
      </c>
      <c r="W591" s="779" t="s">
        <v>4170</v>
      </c>
      <c r="X591" s="598" t="s">
        <v>950</v>
      </c>
      <c r="Y591" s="624">
        <v>25211</v>
      </c>
      <c r="Z591" s="625">
        <f t="shared" ca="1" si="5"/>
        <v>57</v>
      </c>
      <c r="AA591" s="616" t="s">
        <v>4171</v>
      </c>
      <c r="AB591" s="598"/>
      <c r="AC591" s="598" t="s">
        <v>966</v>
      </c>
      <c r="AD591" s="598" t="s">
        <v>953</v>
      </c>
      <c r="AE591" s="616" t="s">
        <v>973</v>
      </c>
      <c r="AF591" s="616" t="s">
        <v>973</v>
      </c>
      <c r="AG591" s="616" t="s">
        <v>3509</v>
      </c>
      <c r="AH591" s="598" t="s">
        <v>955</v>
      </c>
      <c r="AI591" s="598"/>
      <c r="AJ591" s="598"/>
      <c r="AK591" s="598"/>
      <c r="AL591" s="626"/>
      <c r="AM591" s="626"/>
    </row>
    <row r="592" spans="3:39" ht="18" customHeight="1">
      <c r="C592" s="598">
        <v>572</v>
      </c>
      <c r="D592" s="598" t="s">
        <v>4260</v>
      </c>
      <c r="E592" s="598">
        <f t="shared" si="4"/>
        <v>537</v>
      </c>
      <c r="F592" s="616" t="s">
        <v>4978</v>
      </c>
      <c r="G592" s="616" t="s">
        <v>4884</v>
      </c>
      <c r="H592" s="618" t="s">
        <v>4208</v>
      </c>
      <c r="I592" s="618" t="s">
        <v>4211</v>
      </c>
      <c r="J592" s="618" t="s">
        <v>4210</v>
      </c>
      <c r="K592" s="618" t="s">
        <v>4169</v>
      </c>
      <c r="L592" s="618" t="s">
        <v>959</v>
      </c>
      <c r="M592" s="619"/>
      <c r="N592" s="620"/>
      <c r="O592" s="620"/>
      <c r="P592" s="663" t="s">
        <v>1127</v>
      </c>
      <c r="Q592" s="621" t="s">
        <v>319</v>
      </c>
      <c r="R592" s="598"/>
      <c r="S592" s="598"/>
      <c r="T592" s="598"/>
      <c r="U592" s="598" t="s">
        <v>1015</v>
      </c>
      <c r="V592" s="663" t="s">
        <v>4261</v>
      </c>
      <c r="W592" s="779" t="s">
        <v>4262</v>
      </c>
      <c r="X592" s="598" t="s">
        <v>950</v>
      </c>
      <c r="Y592" s="624">
        <v>33974</v>
      </c>
      <c r="Z592" s="625">
        <f t="shared" ca="1" si="5"/>
        <v>33</v>
      </c>
      <c r="AA592" s="616" t="s">
        <v>4263</v>
      </c>
      <c r="AB592" s="598"/>
      <c r="AC592" s="598" t="s">
        <v>996</v>
      </c>
      <c r="AD592" s="598" t="s">
        <v>1018</v>
      </c>
      <c r="AE592" s="616" t="s">
        <v>246</v>
      </c>
      <c r="AF592" s="616" t="s">
        <v>246</v>
      </c>
      <c r="AG592" s="616" t="s">
        <v>4265</v>
      </c>
      <c r="AH592" s="598"/>
      <c r="AI592" s="598"/>
      <c r="AJ592" s="598" t="s">
        <v>1107</v>
      </c>
      <c r="AK592" s="598"/>
      <c r="AL592" s="626"/>
      <c r="AM592" s="626"/>
    </row>
    <row r="593" spans="3:39" ht="18" customHeight="1">
      <c r="C593" s="598">
        <v>573</v>
      </c>
      <c r="D593" s="598" t="s">
        <v>4323</v>
      </c>
      <c r="E593" s="598">
        <f t="shared" si="4"/>
        <v>538</v>
      </c>
      <c r="F593" s="616" t="s">
        <v>4978</v>
      </c>
      <c r="G593" s="616" t="s">
        <v>4884</v>
      </c>
      <c r="H593" s="618" t="s">
        <v>4208</v>
      </c>
      <c r="I593" s="618" t="s">
        <v>4211</v>
      </c>
      <c r="J593" s="618" t="s">
        <v>4210</v>
      </c>
      <c r="K593" s="618" t="s">
        <v>4169</v>
      </c>
      <c r="L593" s="618" t="s">
        <v>959</v>
      </c>
      <c r="M593" s="619"/>
      <c r="N593" s="620"/>
      <c r="O593" s="620"/>
      <c r="P593" s="663" t="s">
        <v>1127</v>
      </c>
      <c r="Q593" s="621" t="s">
        <v>319</v>
      </c>
      <c r="R593" s="598"/>
      <c r="S593" s="598"/>
      <c r="T593" s="598"/>
      <c r="U593" s="598" t="s">
        <v>992</v>
      </c>
      <c r="V593" s="663" t="s">
        <v>4324</v>
      </c>
      <c r="W593" s="779" t="s">
        <v>4325</v>
      </c>
      <c r="X593" s="598" t="s">
        <v>950</v>
      </c>
      <c r="Y593" s="624">
        <v>37889</v>
      </c>
      <c r="Z593" s="625">
        <f t="shared" ca="1" si="5"/>
        <v>22</v>
      </c>
      <c r="AA593" s="616" t="s">
        <v>4326</v>
      </c>
      <c r="AB593" s="598"/>
      <c r="AC593" s="598" t="s">
        <v>996</v>
      </c>
      <c r="AD593" s="598" t="s">
        <v>1018</v>
      </c>
      <c r="AE593" s="616" t="s">
        <v>246</v>
      </c>
      <c r="AF593" s="616" t="s">
        <v>246</v>
      </c>
      <c r="AG593" s="616" t="s">
        <v>4312</v>
      </c>
      <c r="AH593" s="598"/>
      <c r="AI593" s="598" t="s">
        <v>4216</v>
      </c>
      <c r="AJ593" s="598" t="s">
        <v>1107</v>
      </c>
      <c r="AK593" s="598"/>
      <c r="AL593" s="626"/>
      <c r="AM593" s="626"/>
    </row>
    <row r="594" spans="3:39" ht="18" customHeight="1">
      <c r="C594" s="598">
        <v>574</v>
      </c>
      <c r="D594" s="598" t="s">
        <v>4304</v>
      </c>
      <c r="E594" s="598">
        <f t="shared" si="4"/>
        <v>539</v>
      </c>
      <c r="F594" s="616" t="s">
        <v>1351</v>
      </c>
      <c r="G594" s="616" t="s">
        <v>4884</v>
      </c>
      <c r="H594" s="618" t="s">
        <v>4208</v>
      </c>
      <c r="I594" s="618" t="s">
        <v>4211</v>
      </c>
      <c r="J594" s="618" t="s">
        <v>4210</v>
      </c>
      <c r="K594" s="618" t="s">
        <v>4169</v>
      </c>
      <c r="L594" s="618" t="s">
        <v>959</v>
      </c>
      <c r="M594" s="619"/>
      <c r="N594" s="620"/>
      <c r="O594" s="620"/>
      <c r="P594" s="663" t="s">
        <v>1127</v>
      </c>
      <c r="Q594" s="621" t="s">
        <v>319</v>
      </c>
      <c r="R594" s="598"/>
      <c r="S594" s="598"/>
      <c r="T594" s="598"/>
      <c r="U594" s="598" t="s">
        <v>992</v>
      </c>
      <c r="V594" s="663" t="s">
        <v>538</v>
      </c>
      <c r="W594" s="779" t="s">
        <v>4309</v>
      </c>
      <c r="X594" s="598" t="s">
        <v>950</v>
      </c>
      <c r="Y594" s="624">
        <v>38551</v>
      </c>
      <c r="Z594" s="625">
        <f t="shared" ca="1" si="5"/>
        <v>20</v>
      </c>
      <c r="AA594" s="616" t="s">
        <v>4310</v>
      </c>
      <c r="AB594" s="598"/>
      <c r="AC594" s="598" t="s">
        <v>996</v>
      </c>
      <c r="AD594" s="598" t="s">
        <v>1018</v>
      </c>
      <c r="AE594" s="616" t="s">
        <v>246</v>
      </c>
      <c r="AF594" s="616" t="s">
        <v>246</v>
      </c>
      <c r="AG594" s="616" t="s">
        <v>4312</v>
      </c>
      <c r="AH594" s="598"/>
      <c r="AI594" s="598" t="s">
        <v>4216</v>
      </c>
      <c r="AJ594" s="598" t="s">
        <v>1107</v>
      </c>
      <c r="AK594" s="598"/>
      <c r="AL594" s="626"/>
      <c r="AM594" s="626"/>
    </row>
    <row r="595" spans="3:39" ht="18" customHeight="1">
      <c r="C595" s="598">
        <v>575</v>
      </c>
      <c r="D595" s="598" t="s">
        <v>4899</v>
      </c>
      <c r="E595" s="598">
        <f t="shared" si="4"/>
        <v>540</v>
      </c>
      <c r="F595" s="616" t="s">
        <v>4978</v>
      </c>
      <c r="G595" s="616" t="s">
        <v>4884</v>
      </c>
      <c r="H595" s="618" t="s">
        <v>4208</v>
      </c>
      <c r="I595" s="618" t="s">
        <v>4211</v>
      </c>
      <c r="J595" s="618" t="s">
        <v>4210</v>
      </c>
      <c r="K595" s="618" t="s">
        <v>4169</v>
      </c>
      <c r="L595" s="618" t="s">
        <v>959</v>
      </c>
      <c r="M595" s="619"/>
      <c r="N595" s="620"/>
      <c r="O595" s="620"/>
      <c r="P595" s="673" t="s">
        <v>1127</v>
      </c>
      <c r="Q595" s="621" t="s">
        <v>319</v>
      </c>
      <c r="R595" s="598"/>
      <c r="S595" s="598"/>
      <c r="T595" s="598"/>
      <c r="U595" s="598" t="s">
        <v>1015</v>
      </c>
      <c r="V595" s="673" t="s">
        <v>4900</v>
      </c>
      <c r="W595" s="779" t="s">
        <v>4901</v>
      </c>
      <c r="X595" s="598" t="s">
        <v>950</v>
      </c>
      <c r="Y595" s="624">
        <v>33117</v>
      </c>
      <c r="Z595" s="625">
        <f t="shared" ca="1" si="5"/>
        <v>35</v>
      </c>
      <c r="AA595" s="616" t="s">
        <v>4902</v>
      </c>
      <c r="AB595" s="598"/>
      <c r="AC595" s="598" t="s">
        <v>996</v>
      </c>
      <c r="AD595" s="598" t="s">
        <v>1018</v>
      </c>
      <c r="AE595" s="616" t="s">
        <v>729</v>
      </c>
      <c r="AF595" s="616" t="s">
        <v>729</v>
      </c>
      <c r="AG595" s="616" t="s">
        <v>4903</v>
      </c>
      <c r="AH595" s="598"/>
      <c r="AI595" s="598" t="s">
        <v>1019</v>
      </c>
      <c r="AJ595" s="598" t="s">
        <v>1107</v>
      </c>
      <c r="AK595" s="598"/>
      <c r="AL595" s="626"/>
      <c r="AM595" s="626"/>
    </row>
    <row r="596" spans="3:39" ht="18" customHeight="1">
      <c r="C596" s="598">
        <v>576</v>
      </c>
      <c r="D596" s="598" t="s">
        <v>1051</v>
      </c>
      <c r="E596" s="598">
        <f t="shared" si="4"/>
        <v>540</v>
      </c>
      <c r="F596" s="616"/>
      <c r="G596" s="616" t="s">
        <v>4904</v>
      </c>
      <c r="H596" s="618"/>
      <c r="I596" s="618" t="s">
        <v>80</v>
      </c>
      <c r="J596" s="618"/>
      <c r="K596" s="618" t="s">
        <v>1051</v>
      </c>
      <c r="L596" s="618"/>
      <c r="M596" s="619"/>
      <c r="N596" s="620"/>
      <c r="O596" s="620"/>
      <c r="P596" s="667" t="s">
        <v>2625</v>
      </c>
      <c r="Q596" s="621"/>
      <c r="R596" s="598" t="s">
        <v>173</v>
      </c>
      <c r="S596" s="598" t="s">
        <v>514</v>
      </c>
      <c r="T596" s="598"/>
      <c r="U596" s="598"/>
      <c r="V596" s="667" t="s">
        <v>80</v>
      </c>
      <c r="W596" s="779" t="s">
        <v>4905</v>
      </c>
      <c r="X596" s="598" t="s">
        <v>950</v>
      </c>
      <c r="Y596" s="624">
        <v>31722</v>
      </c>
      <c r="Z596" s="625">
        <f t="shared" ca="1" si="5"/>
        <v>39</v>
      </c>
      <c r="AA596" s="616" t="s">
        <v>1054</v>
      </c>
      <c r="AB596" s="598"/>
      <c r="AC596" s="598" t="s">
        <v>966</v>
      </c>
      <c r="AD596" s="598" t="s">
        <v>953</v>
      </c>
      <c r="AE596" s="616" t="s">
        <v>729</v>
      </c>
      <c r="AF596" s="616" t="s">
        <v>954</v>
      </c>
      <c r="AG596" s="616" t="s">
        <v>974</v>
      </c>
      <c r="AH596" s="598" t="s">
        <v>955</v>
      </c>
      <c r="AI596" s="598"/>
      <c r="AJ596" s="598"/>
      <c r="AK596" s="598"/>
      <c r="AL596" s="626"/>
      <c r="AM596" s="626"/>
    </row>
    <row r="597" spans="3:39" ht="18" customHeight="1">
      <c r="C597" s="598">
        <v>577</v>
      </c>
      <c r="D597" s="598" t="s">
        <v>2600</v>
      </c>
      <c r="E597" s="598">
        <f t="shared" si="4"/>
        <v>541</v>
      </c>
      <c r="F597" s="616" t="s">
        <v>4978</v>
      </c>
      <c r="G597" s="616" t="s">
        <v>4904</v>
      </c>
      <c r="H597" s="618" t="s">
        <v>1195</v>
      </c>
      <c r="I597" s="618" t="s">
        <v>80</v>
      </c>
      <c r="J597" s="618" t="s">
        <v>1051</v>
      </c>
      <c r="K597" s="618" t="s">
        <v>1051</v>
      </c>
      <c r="L597" s="618" t="s">
        <v>2600</v>
      </c>
      <c r="M597" s="619" t="s">
        <v>1304</v>
      </c>
      <c r="N597" s="620"/>
      <c r="O597" s="620"/>
      <c r="P597" s="663" t="s">
        <v>2625</v>
      </c>
      <c r="Q597" s="621"/>
      <c r="R597" s="598" t="s">
        <v>69</v>
      </c>
      <c r="S597" s="598" t="s">
        <v>562</v>
      </c>
      <c r="T597" s="598"/>
      <c r="U597" s="598" t="s">
        <v>1015</v>
      </c>
      <c r="V597" s="663" t="s">
        <v>610</v>
      </c>
      <c r="W597" s="779" t="s">
        <v>2601</v>
      </c>
      <c r="X597" s="598" t="s">
        <v>950</v>
      </c>
      <c r="Y597" s="624">
        <v>33100</v>
      </c>
      <c r="Z597" s="625">
        <f t="shared" ca="1" si="5"/>
        <v>35</v>
      </c>
      <c r="AA597" s="616" t="s">
        <v>2602</v>
      </c>
      <c r="AB597" s="598"/>
      <c r="AC597" s="598" t="s">
        <v>996</v>
      </c>
      <c r="AD597" s="598" t="s">
        <v>997</v>
      </c>
      <c r="AE597" s="616" t="s">
        <v>729</v>
      </c>
      <c r="AF597" s="640" t="s">
        <v>729</v>
      </c>
      <c r="AG597" s="633" t="s">
        <v>2424</v>
      </c>
      <c r="AH597" s="598"/>
      <c r="AI597" s="598"/>
      <c r="AJ597" s="598" t="s">
        <v>1125</v>
      </c>
      <c r="AK597" s="598"/>
      <c r="AL597" s="626"/>
      <c r="AM597" s="626"/>
    </row>
    <row r="598" spans="3:39" ht="18" customHeight="1">
      <c r="C598" s="598">
        <v>578</v>
      </c>
      <c r="D598" s="598" t="s">
        <v>2425</v>
      </c>
      <c r="E598" s="598">
        <f t="shared" si="4"/>
        <v>542</v>
      </c>
      <c r="F598" s="616" t="s">
        <v>4978</v>
      </c>
      <c r="G598" s="616" t="s">
        <v>4904</v>
      </c>
      <c r="H598" s="618" t="s">
        <v>1195</v>
      </c>
      <c r="I598" s="618" t="s">
        <v>80</v>
      </c>
      <c r="J598" s="618" t="s">
        <v>1051</v>
      </c>
      <c r="K598" s="618" t="s">
        <v>1051</v>
      </c>
      <c r="L598" s="618" t="s">
        <v>2600</v>
      </c>
      <c r="M598" s="619" t="s">
        <v>1304</v>
      </c>
      <c r="N598" s="620"/>
      <c r="O598" s="620"/>
      <c r="P598" s="663" t="s">
        <v>2625</v>
      </c>
      <c r="Q598" s="621"/>
      <c r="R598" s="598"/>
      <c r="S598" s="598"/>
      <c r="T598" s="598"/>
      <c r="U598" s="598" t="s">
        <v>1015</v>
      </c>
      <c r="V598" s="663" t="s">
        <v>4907</v>
      </c>
      <c r="W598" s="779" t="s">
        <v>4908</v>
      </c>
      <c r="X598" s="598" t="s">
        <v>950</v>
      </c>
      <c r="Y598" s="624">
        <v>32267</v>
      </c>
      <c r="Z598" s="625">
        <f t="shared" ca="1" si="5"/>
        <v>37</v>
      </c>
      <c r="AA598" s="616" t="s">
        <v>2428</v>
      </c>
      <c r="AB598" s="598"/>
      <c r="AC598" s="598" t="s">
        <v>996</v>
      </c>
      <c r="AD598" s="598" t="s">
        <v>1018</v>
      </c>
      <c r="AE598" s="616" t="s">
        <v>729</v>
      </c>
      <c r="AF598" s="640" t="s">
        <v>729</v>
      </c>
      <c r="AG598" s="633" t="s">
        <v>2424</v>
      </c>
      <c r="AH598" s="598"/>
      <c r="AI598" s="598" t="s">
        <v>2430</v>
      </c>
      <c r="AJ598" s="598" t="s">
        <v>1125</v>
      </c>
      <c r="AK598" s="598"/>
      <c r="AL598" s="626"/>
      <c r="AM598" s="626"/>
    </row>
    <row r="599" spans="3:39" ht="18" customHeight="1">
      <c r="C599" s="598">
        <v>579</v>
      </c>
      <c r="D599" s="598" t="s">
        <v>2419</v>
      </c>
      <c r="E599" s="598">
        <f t="shared" si="4"/>
        <v>543</v>
      </c>
      <c r="F599" s="616" t="s">
        <v>4978</v>
      </c>
      <c r="G599" s="616" t="s">
        <v>4904</v>
      </c>
      <c r="H599" s="618" t="s">
        <v>1195</v>
      </c>
      <c r="I599" s="618" t="s">
        <v>80</v>
      </c>
      <c r="J599" s="618" t="s">
        <v>1051</v>
      </c>
      <c r="K599" s="618" t="s">
        <v>1051</v>
      </c>
      <c r="L599" s="618" t="s">
        <v>2600</v>
      </c>
      <c r="M599" s="619" t="s">
        <v>1304</v>
      </c>
      <c r="N599" s="620"/>
      <c r="O599" s="620"/>
      <c r="P599" s="663" t="s">
        <v>2625</v>
      </c>
      <c r="Q599" s="621"/>
      <c r="R599" s="598"/>
      <c r="S599" s="598"/>
      <c r="T599" s="598"/>
      <c r="U599" s="598" t="s">
        <v>1015</v>
      </c>
      <c r="V599" s="663" t="s">
        <v>2420</v>
      </c>
      <c r="W599" s="779" t="s">
        <v>2421</v>
      </c>
      <c r="X599" s="598" t="s">
        <v>950</v>
      </c>
      <c r="Y599" s="624">
        <v>35591</v>
      </c>
      <c r="Z599" s="625">
        <f t="shared" ca="1" si="5"/>
        <v>28</v>
      </c>
      <c r="AA599" s="616" t="s">
        <v>2422</v>
      </c>
      <c r="AB599" s="598"/>
      <c r="AC599" s="598" t="s">
        <v>966</v>
      </c>
      <c r="AD599" s="598" t="s">
        <v>953</v>
      </c>
      <c r="AE599" s="616" t="s">
        <v>729</v>
      </c>
      <c r="AF599" s="640" t="s">
        <v>729</v>
      </c>
      <c r="AG599" s="633" t="s">
        <v>2424</v>
      </c>
      <c r="AH599" s="598"/>
      <c r="AI599" s="598"/>
      <c r="AJ599" s="598" t="s">
        <v>1125</v>
      </c>
      <c r="AK599" s="598"/>
      <c r="AL599" s="626"/>
      <c r="AM599" s="626"/>
    </row>
    <row r="600" spans="3:39" ht="18" customHeight="1">
      <c r="C600" s="598">
        <v>580</v>
      </c>
      <c r="D600" s="598" t="s">
        <v>2395</v>
      </c>
      <c r="E600" s="598">
        <f t="shared" si="4"/>
        <v>544</v>
      </c>
      <c r="F600" s="616" t="s">
        <v>4978</v>
      </c>
      <c r="G600" s="616" t="s">
        <v>4904</v>
      </c>
      <c r="H600" s="618" t="s">
        <v>1195</v>
      </c>
      <c r="I600" s="618" t="s">
        <v>80</v>
      </c>
      <c r="J600" s="618" t="s">
        <v>1051</v>
      </c>
      <c r="K600" s="618" t="s">
        <v>1051</v>
      </c>
      <c r="L600" s="618" t="s">
        <v>2600</v>
      </c>
      <c r="M600" s="619" t="s">
        <v>1304</v>
      </c>
      <c r="N600" s="620"/>
      <c r="O600" s="620"/>
      <c r="P600" s="663" t="s">
        <v>2625</v>
      </c>
      <c r="Q600" s="621" t="s">
        <v>319</v>
      </c>
      <c r="R600" s="598"/>
      <c r="S600" s="598"/>
      <c r="T600" s="598"/>
      <c r="U600" s="598" t="s">
        <v>1015</v>
      </c>
      <c r="V600" s="663" t="s">
        <v>2399</v>
      </c>
      <c r="W600" s="779" t="s">
        <v>2400</v>
      </c>
      <c r="X600" s="598" t="s">
        <v>950</v>
      </c>
      <c r="Y600" s="624">
        <v>31113</v>
      </c>
      <c r="Z600" s="625">
        <f t="shared" ca="1" si="5"/>
        <v>40</v>
      </c>
      <c r="AA600" s="616" t="s">
        <v>2401</v>
      </c>
      <c r="AB600" s="598"/>
      <c r="AC600" s="598" t="s">
        <v>996</v>
      </c>
      <c r="AD600" s="598" t="s">
        <v>1018</v>
      </c>
      <c r="AE600" s="616" t="s">
        <v>729</v>
      </c>
      <c r="AF600" s="640" t="s">
        <v>729</v>
      </c>
      <c r="AG600" s="633" t="s">
        <v>2403</v>
      </c>
      <c r="AH600" s="598"/>
      <c r="AI600" s="598"/>
      <c r="AJ600" s="634" t="s">
        <v>1359</v>
      </c>
      <c r="AK600" s="598"/>
      <c r="AL600" s="626"/>
      <c r="AM600" s="626"/>
    </row>
    <row r="601" spans="3:39" ht="18" customHeight="1">
      <c r="C601" s="598">
        <v>581</v>
      </c>
      <c r="D601" s="598" t="s">
        <v>2408</v>
      </c>
      <c r="E601" s="598">
        <f t="shared" si="4"/>
        <v>545</v>
      </c>
      <c r="F601" s="616" t="s">
        <v>4978</v>
      </c>
      <c r="G601" s="616" t="s">
        <v>4904</v>
      </c>
      <c r="H601" s="618" t="s">
        <v>1195</v>
      </c>
      <c r="I601" s="618" t="s">
        <v>80</v>
      </c>
      <c r="J601" s="618" t="s">
        <v>1051</v>
      </c>
      <c r="K601" s="618" t="s">
        <v>1051</v>
      </c>
      <c r="L601" s="618" t="s">
        <v>2600</v>
      </c>
      <c r="M601" s="619" t="s">
        <v>1304</v>
      </c>
      <c r="N601" s="620"/>
      <c r="O601" s="620"/>
      <c r="P601" s="673" t="s">
        <v>2625</v>
      </c>
      <c r="Q601" s="621" t="s">
        <v>319</v>
      </c>
      <c r="R601" s="598"/>
      <c r="S601" s="598"/>
      <c r="T601" s="598"/>
      <c r="U601" s="598" t="s">
        <v>1015</v>
      </c>
      <c r="V601" s="673" t="s">
        <v>2409</v>
      </c>
      <c r="W601" s="779" t="s">
        <v>2410</v>
      </c>
      <c r="X601" s="598" t="s">
        <v>950</v>
      </c>
      <c r="Y601" s="624">
        <v>30783</v>
      </c>
      <c r="Z601" s="625">
        <f t="shared" ca="1" si="5"/>
        <v>41</v>
      </c>
      <c r="AA601" s="616" t="s">
        <v>2411</v>
      </c>
      <c r="AB601" s="598"/>
      <c r="AC601" s="598" t="s">
        <v>996</v>
      </c>
      <c r="AD601" s="598" t="s">
        <v>1018</v>
      </c>
      <c r="AE601" s="616" t="s">
        <v>729</v>
      </c>
      <c r="AF601" s="640" t="s">
        <v>729</v>
      </c>
      <c r="AG601" s="616" t="s">
        <v>2413</v>
      </c>
      <c r="AH601" s="598"/>
      <c r="AI601" s="598"/>
      <c r="AJ601" s="700" t="s">
        <v>1612</v>
      </c>
      <c r="AK601" s="598"/>
      <c r="AL601" s="626"/>
      <c r="AM601" s="626"/>
    </row>
    <row r="602" spans="3:39" ht="18" customHeight="1">
      <c r="C602" s="598">
        <v>582</v>
      </c>
      <c r="D602" s="598" t="s">
        <v>1304</v>
      </c>
      <c r="E602" s="598">
        <f t="shared" ref="E602:E710" si="6">SUBTOTAL(103,$U$21:U602)</f>
        <v>546</v>
      </c>
      <c r="F602" s="616" t="s">
        <v>4978</v>
      </c>
      <c r="G602" s="616" t="s">
        <v>4904</v>
      </c>
      <c r="H602" s="618" t="s">
        <v>1195</v>
      </c>
      <c r="I602" s="618" t="s">
        <v>80</v>
      </c>
      <c r="J602" s="618" t="s">
        <v>1051</v>
      </c>
      <c r="K602" s="618" t="s">
        <v>1051</v>
      </c>
      <c r="L602" s="618" t="s">
        <v>2600</v>
      </c>
      <c r="M602" s="619" t="s">
        <v>1304</v>
      </c>
      <c r="N602" s="620"/>
      <c r="O602" s="620"/>
      <c r="P602" s="667" t="s">
        <v>2668</v>
      </c>
      <c r="Q602" s="621"/>
      <c r="R602" s="598" t="s">
        <v>69</v>
      </c>
      <c r="S602" s="598" t="s">
        <v>562</v>
      </c>
      <c r="T602" s="598"/>
      <c r="U602" s="598" t="s">
        <v>1015</v>
      </c>
      <c r="V602" s="667" t="s">
        <v>1308</v>
      </c>
      <c r="W602" s="779" t="s">
        <v>1309</v>
      </c>
      <c r="X602" s="598" t="s">
        <v>950</v>
      </c>
      <c r="Y602" s="624">
        <v>21995</v>
      </c>
      <c r="Z602" s="625">
        <f t="shared" ca="1" si="5"/>
        <v>65</v>
      </c>
      <c r="AA602" s="616" t="s">
        <v>1310</v>
      </c>
      <c r="AB602" s="598"/>
      <c r="AC602" s="598" t="s">
        <v>966</v>
      </c>
      <c r="AD602" s="598" t="s">
        <v>953</v>
      </c>
      <c r="AE602" s="643" t="s">
        <v>1250</v>
      </c>
      <c r="AF602" s="616" t="s">
        <v>1250</v>
      </c>
      <c r="AG602" s="616" t="s">
        <v>1312</v>
      </c>
      <c r="AH602" s="598"/>
      <c r="AI602" s="598"/>
      <c r="AJ602" s="598" t="s">
        <v>1125</v>
      </c>
      <c r="AK602" s="598"/>
      <c r="AL602" s="626"/>
      <c r="AM602" s="626"/>
    </row>
    <row r="603" spans="3:39" ht="18" customHeight="1">
      <c r="C603" s="598">
        <v>583</v>
      </c>
      <c r="D603" s="598" t="s">
        <v>1361</v>
      </c>
      <c r="E603" s="598">
        <f t="shared" si="6"/>
        <v>547</v>
      </c>
      <c r="F603" s="616" t="s">
        <v>4978</v>
      </c>
      <c r="G603" s="616" t="s">
        <v>4904</v>
      </c>
      <c r="H603" s="618" t="s">
        <v>1195</v>
      </c>
      <c r="I603" s="618" t="s">
        <v>80</v>
      </c>
      <c r="J603" s="618" t="s">
        <v>1051</v>
      </c>
      <c r="K603" s="618" t="s">
        <v>1051</v>
      </c>
      <c r="L603" s="618" t="s">
        <v>2600</v>
      </c>
      <c r="M603" s="619" t="s">
        <v>1304</v>
      </c>
      <c r="N603" s="620"/>
      <c r="O603" s="620"/>
      <c r="P603" s="663" t="s">
        <v>2668</v>
      </c>
      <c r="Q603" s="621"/>
      <c r="R603" s="598"/>
      <c r="S603" s="598"/>
      <c r="T603" s="598" t="s">
        <v>5008</v>
      </c>
      <c r="U603" s="598" t="s">
        <v>1015</v>
      </c>
      <c r="V603" s="663" t="s">
        <v>1365</v>
      </c>
      <c r="W603" s="779" t="s">
        <v>1366</v>
      </c>
      <c r="X603" s="598" t="s">
        <v>950</v>
      </c>
      <c r="Y603" s="624">
        <v>28273</v>
      </c>
      <c r="Z603" s="625">
        <f t="shared" ca="1" si="5"/>
        <v>48</v>
      </c>
      <c r="AA603" s="616" t="s">
        <v>1367</v>
      </c>
      <c r="AB603" s="598"/>
      <c r="AC603" s="598" t="s">
        <v>996</v>
      </c>
      <c r="AD603" s="598" t="s">
        <v>997</v>
      </c>
      <c r="AE603" s="643" t="s">
        <v>1250</v>
      </c>
      <c r="AF603" s="616" t="s">
        <v>1250</v>
      </c>
      <c r="AG603" s="616" t="s">
        <v>1369</v>
      </c>
      <c r="AH603" s="598"/>
      <c r="AI603" s="598"/>
      <c r="AJ603" s="598" t="s">
        <v>1125</v>
      </c>
      <c r="AK603" s="598"/>
      <c r="AL603" s="626"/>
      <c r="AM603" s="626"/>
    </row>
    <row r="604" spans="3:39" ht="18" customHeight="1">
      <c r="C604" s="598">
        <v>584</v>
      </c>
      <c r="D604" s="598" t="s">
        <v>1980</v>
      </c>
      <c r="E604" s="598">
        <f t="shared" si="6"/>
        <v>548</v>
      </c>
      <c r="F604" s="616" t="s">
        <v>4978</v>
      </c>
      <c r="G604" s="616" t="s">
        <v>4904</v>
      </c>
      <c r="H604" s="618" t="s">
        <v>1195</v>
      </c>
      <c r="I604" s="618" t="s">
        <v>80</v>
      </c>
      <c r="J604" s="618" t="s">
        <v>1051</v>
      </c>
      <c r="K604" s="618" t="s">
        <v>1051</v>
      </c>
      <c r="L604" s="618" t="s">
        <v>2600</v>
      </c>
      <c r="M604" s="619" t="s">
        <v>1304</v>
      </c>
      <c r="N604" s="620"/>
      <c r="O604" s="620"/>
      <c r="P604" s="663" t="s">
        <v>2668</v>
      </c>
      <c r="Q604" s="621"/>
      <c r="R604" s="598"/>
      <c r="S604" s="598"/>
      <c r="T604" s="598"/>
      <c r="U604" s="598" t="s">
        <v>1015</v>
      </c>
      <c r="V604" s="663" t="s">
        <v>1981</v>
      </c>
      <c r="W604" s="779" t="s">
        <v>1982</v>
      </c>
      <c r="X604" s="598" t="s">
        <v>950</v>
      </c>
      <c r="Y604" s="624">
        <v>31463</v>
      </c>
      <c r="Z604" s="625">
        <f t="shared" ca="1" si="5"/>
        <v>39</v>
      </c>
      <c r="AA604" s="616" t="s">
        <v>1983</v>
      </c>
      <c r="AB604" s="598"/>
      <c r="AC604" s="598" t="s">
        <v>996</v>
      </c>
      <c r="AD604" s="598" t="s">
        <v>997</v>
      </c>
      <c r="AE604" s="616" t="s">
        <v>729</v>
      </c>
      <c r="AF604" s="616" t="s">
        <v>729</v>
      </c>
      <c r="AG604" s="643" t="s">
        <v>1835</v>
      </c>
      <c r="AH604" s="598"/>
      <c r="AI604" s="598"/>
      <c r="AJ604" s="598" t="s">
        <v>1125</v>
      </c>
      <c r="AK604" s="598"/>
      <c r="AL604" s="626"/>
      <c r="AM604" s="626"/>
    </row>
    <row r="605" spans="3:39" ht="18" customHeight="1">
      <c r="C605" s="598">
        <v>585</v>
      </c>
      <c r="D605" s="598" t="s">
        <v>1370</v>
      </c>
      <c r="E605" s="598">
        <f t="shared" si="6"/>
        <v>549</v>
      </c>
      <c r="F605" s="616" t="s">
        <v>4978</v>
      </c>
      <c r="G605" s="616" t="s">
        <v>4904</v>
      </c>
      <c r="H605" s="618" t="s">
        <v>1195</v>
      </c>
      <c r="I605" s="618" t="s">
        <v>80</v>
      </c>
      <c r="J605" s="618" t="s">
        <v>1051</v>
      </c>
      <c r="K605" s="618" t="s">
        <v>1051</v>
      </c>
      <c r="L605" s="618" t="s">
        <v>2600</v>
      </c>
      <c r="M605" s="619" t="s">
        <v>1304</v>
      </c>
      <c r="N605" s="620"/>
      <c r="O605" s="620"/>
      <c r="P605" s="663" t="s">
        <v>2668</v>
      </c>
      <c r="Q605" s="621"/>
      <c r="R605" s="598"/>
      <c r="S605" s="598"/>
      <c r="T605" s="598"/>
      <c r="U605" s="598" t="s">
        <v>1015</v>
      </c>
      <c r="V605" s="663" t="s">
        <v>1371</v>
      </c>
      <c r="W605" s="779" t="s">
        <v>1372</v>
      </c>
      <c r="X605" s="598" t="s">
        <v>950</v>
      </c>
      <c r="Y605" s="624">
        <v>30230</v>
      </c>
      <c r="Z605" s="625">
        <f t="shared" ca="1" si="5"/>
        <v>43</v>
      </c>
      <c r="AA605" s="616" t="s">
        <v>1373</v>
      </c>
      <c r="AB605" s="598"/>
      <c r="AC605" s="598" t="s">
        <v>996</v>
      </c>
      <c r="AD605" s="598" t="s">
        <v>997</v>
      </c>
      <c r="AE605" s="643" t="s">
        <v>1375</v>
      </c>
      <c r="AF605" s="616" t="s">
        <v>1375</v>
      </c>
      <c r="AG605" s="616" t="s">
        <v>1376</v>
      </c>
      <c r="AH605" s="598"/>
      <c r="AI605" s="598"/>
      <c r="AJ605" s="598" t="s">
        <v>1125</v>
      </c>
      <c r="AK605" s="598"/>
      <c r="AL605" s="626"/>
      <c r="AM605" s="626"/>
    </row>
    <row r="606" spans="3:39" ht="18" customHeight="1">
      <c r="C606" s="598">
        <v>586</v>
      </c>
      <c r="D606" s="598" t="s">
        <v>1377</v>
      </c>
      <c r="E606" s="598">
        <f t="shared" si="6"/>
        <v>550</v>
      </c>
      <c r="F606" s="616" t="s">
        <v>4978</v>
      </c>
      <c r="G606" s="616" t="s">
        <v>4904</v>
      </c>
      <c r="H606" s="618" t="s">
        <v>1195</v>
      </c>
      <c r="I606" s="618" t="s">
        <v>80</v>
      </c>
      <c r="J606" s="618" t="s">
        <v>1051</v>
      </c>
      <c r="K606" s="618" t="s">
        <v>1051</v>
      </c>
      <c r="L606" s="618" t="s">
        <v>2600</v>
      </c>
      <c r="M606" s="619" t="s">
        <v>1304</v>
      </c>
      <c r="N606" s="620"/>
      <c r="O606" s="620"/>
      <c r="P606" s="663" t="s">
        <v>2668</v>
      </c>
      <c r="Q606" s="621"/>
      <c r="R606" s="598"/>
      <c r="S606" s="598"/>
      <c r="T606" s="598"/>
      <c r="U606" s="598" t="s">
        <v>1015</v>
      </c>
      <c r="V606" s="663" t="s">
        <v>1378</v>
      </c>
      <c r="W606" s="779" t="s">
        <v>1379</v>
      </c>
      <c r="X606" s="598" t="s">
        <v>950</v>
      </c>
      <c r="Y606" s="624">
        <v>32894</v>
      </c>
      <c r="Z606" s="625">
        <f t="shared" ca="1" si="5"/>
        <v>36</v>
      </c>
      <c r="AA606" s="616" t="s">
        <v>1380</v>
      </c>
      <c r="AB606" s="598"/>
      <c r="AC606" s="598" t="s">
        <v>996</v>
      </c>
      <c r="AD606" s="598" t="s">
        <v>997</v>
      </c>
      <c r="AE606" s="643" t="s">
        <v>1375</v>
      </c>
      <c r="AF606" s="616" t="s">
        <v>1375</v>
      </c>
      <c r="AG606" s="616" t="s">
        <v>1376</v>
      </c>
      <c r="AH606" s="598"/>
      <c r="AI606" s="598"/>
      <c r="AJ606" s="598" t="s">
        <v>1125</v>
      </c>
      <c r="AK606" s="598"/>
      <c r="AL606" s="626"/>
      <c r="AM606" s="626"/>
    </row>
    <row r="607" spans="3:39" ht="18" customHeight="1">
      <c r="C607" s="598">
        <v>587</v>
      </c>
      <c r="D607" s="598" t="s">
        <v>1383</v>
      </c>
      <c r="E607" s="598">
        <f t="shared" si="6"/>
        <v>551</v>
      </c>
      <c r="F607" s="616" t="s">
        <v>1798</v>
      </c>
      <c r="G607" s="616" t="s">
        <v>4904</v>
      </c>
      <c r="H607" s="618" t="s">
        <v>1195</v>
      </c>
      <c r="I607" s="618" t="s">
        <v>80</v>
      </c>
      <c r="J607" s="618" t="s">
        <v>1051</v>
      </c>
      <c r="K607" s="618" t="s">
        <v>1051</v>
      </c>
      <c r="L607" s="618" t="s">
        <v>2600</v>
      </c>
      <c r="M607" s="619" t="s">
        <v>1304</v>
      </c>
      <c r="N607" s="620"/>
      <c r="O607" s="620"/>
      <c r="P607" s="673" t="s">
        <v>2668</v>
      </c>
      <c r="Q607" s="621" t="s">
        <v>5062</v>
      </c>
      <c r="R607" s="598"/>
      <c r="S607" s="598"/>
      <c r="T607" s="598"/>
      <c r="U607" s="598" t="s">
        <v>1015</v>
      </c>
      <c r="V607" s="673" t="s">
        <v>1384</v>
      </c>
      <c r="W607" s="779" t="s">
        <v>1385</v>
      </c>
      <c r="X607" s="598" t="s">
        <v>950</v>
      </c>
      <c r="Y607" s="624">
        <v>25602</v>
      </c>
      <c r="Z607" s="625">
        <f t="shared" ca="1" si="5"/>
        <v>55</v>
      </c>
      <c r="AA607" s="616"/>
      <c r="AB607" s="598"/>
      <c r="AC607" s="598" t="s">
        <v>996</v>
      </c>
      <c r="AD607" s="598" t="s">
        <v>997</v>
      </c>
      <c r="AE607" s="616" t="s">
        <v>1250</v>
      </c>
      <c r="AF607" s="616" t="s">
        <v>1250</v>
      </c>
      <c r="AG607" s="616" t="s">
        <v>1387</v>
      </c>
      <c r="AH607" s="598"/>
      <c r="AI607" s="598"/>
      <c r="AJ607" s="598" t="s">
        <v>1011</v>
      </c>
      <c r="AK607" s="598"/>
      <c r="AL607" s="626"/>
      <c r="AM607" s="626"/>
    </row>
    <row r="608" spans="3:39" ht="18" customHeight="1">
      <c r="C608" s="598">
        <v>588</v>
      </c>
      <c r="D608" s="598" t="s">
        <v>1991</v>
      </c>
      <c r="E608" s="598">
        <f t="shared" si="6"/>
        <v>551</v>
      </c>
      <c r="F608" s="616"/>
      <c r="G608" s="616" t="s">
        <v>4904</v>
      </c>
      <c r="H608" s="618" t="s">
        <v>1202</v>
      </c>
      <c r="I608" s="618" t="s">
        <v>80</v>
      </c>
      <c r="J608" s="618" t="s">
        <v>1051</v>
      </c>
      <c r="K608" s="618" t="s">
        <v>1991</v>
      </c>
      <c r="L608" s="618" t="s">
        <v>2521</v>
      </c>
      <c r="M608" s="619"/>
      <c r="N608" s="620"/>
      <c r="O608" s="620"/>
      <c r="P608" s="667" t="s">
        <v>1074</v>
      </c>
      <c r="Q608" s="621"/>
      <c r="R608" s="598" t="s">
        <v>55</v>
      </c>
      <c r="S608" s="598" t="s">
        <v>178</v>
      </c>
      <c r="T608" s="598"/>
      <c r="U608" s="598"/>
      <c r="V608" s="667" t="s">
        <v>289</v>
      </c>
      <c r="W608" s="779" t="s">
        <v>1993</v>
      </c>
      <c r="X608" s="598" t="s">
        <v>950</v>
      </c>
      <c r="Y608" s="624">
        <v>28944</v>
      </c>
      <c r="Z608" s="625">
        <f t="shared" ca="1" si="5"/>
        <v>46</v>
      </c>
      <c r="AA608" s="616" t="s">
        <v>1994</v>
      </c>
      <c r="AB608" s="598"/>
      <c r="AC608" s="598" t="s">
        <v>966</v>
      </c>
      <c r="AD608" s="598" t="s">
        <v>953</v>
      </c>
      <c r="AE608" s="616" t="s">
        <v>246</v>
      </c>
      <c r="AF608" s="616" t="s">
        <v>246</v>
      </c>
      <c r="AG608" s="616" t="s">
        <v>4586</v>
      </c>
      <c r="AH608" s="598" t="s">
        <v>955</v>
      </c>
      <c r="AI608" s="598"/>
      <c r="AJ608" s="598"/>
      <c r="AK608" s="598"/>
      <c r="AL608" s="626"/>
      <c r="AM608" s="626"/>
    </row>
    <row r="609" spans="3:39" ht="18" customHeight="1">
      <c r="C609" s="598">
        <v>589</v>
      </c>
      <c r="D609" s="598" t="s">
        <v>2521</v>
      </c>
      <c r="E609" s="598">
        <f t="shared" si="6"/>
        <v>552</v>
      </c>
      <c r="F609" s="616" t="s">
        <v>4978</v>
      </c>
      <c r="G609" s="616" t="s">
        <v>4904</v>
      </c>
      <c r="H609" s="618" t="s">
        <v>1195</v>
      </c>
      <c r="I609" s="618" t="s">
        <v>80</v>
      </c>
      <c r="J609" s="618" t="s">
        <v>1051</v>
      </c>
      <c r="K609" s="618" t="s">
        <v>1991</v>
      </c>
      <c r="L609" s="618" t="s">
        <v>2521</v>
      </c>
      <c r="M609" s="619"/>
      <c r="N609" s="620"/>
      <c r="O609" s="620"/>
      <c r="P609" s="663" t="s">
        <v>1074</v>
      </c>
      <c r="Q609" s="621"/>
      <c r="R609" s="598" t="s">
        <v>69</v>
      </c>
      <c r="S609" s="598" t="s">
        <v>562</v>
      </c>
      <c r="T609" s="598"/>
      <c r="U609" s="598" t="s">
        <v>1015</v>
      </c>
      <c r="V609" s="663" t="s">
        <v>611</v>
      </c>
      <c r="W609" s="779" t="s">
        <v>2522</v>
      </c>
      <c r="X609" s="598" t="s">
        <v>950</v>
      </c>
      <c r="Y609" s="624">
        <v>30933</v>
      </c>
      <c r="Z609" s="625">
        <f t="shared" ca="1" si="5"/>
        <v>41</v>
      </c>
      <c r="AA609" s="616" t="s">
        <v>2523</v>
      </c>
      <c r="AB609" s="598"/>
      <c r="AC609" s="598" t="s">
        <v>996</v>
      </c>
      <c r="AD609" s="598" t="s">
        <v>997</v>
      </c>
      <c r="AE609" s="616" t="s">
        <v>729</v>
      </c>
      <c r="AF609" s="640" t="s">
        <v>729</v>
      </c>
      <c r="AG609" s="616" t="s">
        <v>2525</v>
      </c>
      <c r="AH609" s="598"/>
      <c r="AI609" s="598"/>
      <c r="AJ609" s="598" t="s">
        <v>1025</v>
      </c>
      <c r="AK609" s="598"/>
      <c r="AL609" s="626"/>
      <c r="AM609" s="626"/>
    </row>
    <row r="610" spans="3:39" ht="18" customHeight="1">
      <c r="C610" s="598">
        <v>590</v>
      </c>
      <c r="D610" s="598" t="s">
        <v>1388</v>
      </c>
      <c r="E610" s="598">
        <f t="shared" si="6"/>
        <v>553</v>
      </c>
      <c r="F610" s="616" t="s">
        <v>4978</v>
      </c>
      <c r="G610" s="616" t="s">
        <v>4904</v>
      </c>
      <c r="H610" s="618" t="s">
        <v>1195</v>
      </c>
      <c r="I610" s="618" t="s">
        <v>80</v>
      </c>
      <c r="J610" s="618" t="s">
        <v>1051</v>
      </c>
      <c r="K610" s="618" t="s">
        <v>1991</v>
      </c>
      <c r="L610" s="618" t="s">
        <v>2521</v>
      </c>
      <c r="M610" s="619"/>
      <c r="N610" s="620"/>
      <c r="O610" s="620"/>
      <c r="P610" s="663" t="s">
        <v>1074</v>
      </c>
      <c r="Q610" s="621"/>
      <c r="R610" s="598"/>
      <c r="S610" s="598"/>
      <c r="T610" s="598"/>
      <c r="U610" s="598" t="s">
        <v>1015</v>
      </c>
      <c r="V610" s="663" t="s">
        <v>630</v>
      </c>
      <c r="W610" s="779" t="s">
        <v>1389</v>
      </c>
      <c r="X610" s="598" t="s">
        <v>950</v>
      </c>
      <c r="Y610" s="624">
        <v>26339</v>
      </c>
      <c r="Z610" s="625">
        <f t="shared" ca="1" si="5"/>
        <v>53</v>
      </c>
      <c r="AA610" s="616" t="s">
        <v>1390</v>
      </c>
      <c r="AB610" s="598"/>
      <c r="AC610" s="598" t="s">
        <v>996</v>
      </c>
      <c r="AD610" s="598" t="s">
        <v>997</v>
      </c>
      <c r="AE610" s="616" t="s">
        <v>729</v>
      </c>
      <c r="AF610" s="640" t="s">
        <v>729</v>
      </c>
      <c r="AG610" s="616" t="s">
        <v>1392</v>
      </c>
      <c r="AH610" s="598"/>
      <c r="AI610" s="598"/>
      <c r="AJ610" s="598" t="s">
        <v>1025</v>
      </c>
      <c r="AK610" s="598"/>
      <c r="AL610" s="626"/>
      <c r="AM610" s="626"/>
    </row>
    <row r="611" spans="3:39" ht="18" customHeight="1">
      <c r="C611" s="598">
        <v>591</v>
      </c>
      <c r="D611" s="598" t="s">
        <v>4910</v>
      </c>
      <c r="E611" s="598">
        <f t="shared" si="6"/>
        <v>554</v>
      </c>
      <c r="F611" s="616" t="s">
        <v>4978</v>
      </c>
      <c r="G611" s="616" t="s">
        <v>4904</v>
      </c>
      <c r="H611" s="618" t="s">
        <v>1195</v>
      </c>
      <c r="I611" s="618" t="s">
        <v>80</v>
      </c>
      <c r="J611" s="618" t="s">
        <v>1051</v>
      </c>
      <c r="K611" s="618" t="s">
        <v>1991</v>
      </c>
      <c r="L611" s="618" t="s">
        <v>2521</v>
      </c>
      <c r="M611" s="619"/>
      <c r="N611" s="620"/>
      <c r="O611" s="620"/>
      <c r="P611" s="663" t="s">
        <v>1074</v>
      </c>
      <c r="Q611" s="621"/>
      <c r="R611" s="598"/>
      <c r="S611" s="598"/>
      <c r="T611" s="598"/>
      <c r="U611" s="598" t="s">
        <v>1015</v>
      </c>
      <c r="V611" s="663" t="s">
        <v>648</v>
      </c>
      <c r="W611" s="779" t="s">
        <v>4911</v>
      </c>
      <c r="X611" s="598" t="s">
        <v>950</v>
      </c>
      <c r="Y611" s="624">
        <v>31788</v>
      </c>
      <c r="Z611" s="625">
        <f t="shared" ca="1" si="5"/>
        <v>39</v>
      </c>
      <c r="AA611" s="616" t="s">
        <v>4912</v>
      </c>
      <c r="AB611" s="598"/>
      <c r="AC611" s="598" t="s">
        <v>996</v>
      </c>
      <c r="AD611" s="598" t="s">
        <v>997</v>
      </c>
      <c r="AE611" s="616" t="s">
        <v>729</v>
      </c>
      <c r="AF611" s="640" t="s">
        <v>729</v>
      </c>
      <c r="AG611" s="616" t="s">
        <v>4913</v>
      </c>
      <c r="AH611" s="598" t="s">
        <v>1775</v>
      </c>
      <c r="AI611" s="749" t="s">
        <v>5003</v>
      </c>
      <c r="AJ611" s="598" t="s">
        <v>1025</v>
      </c>
      <c r="AK611" s="598"/>
      <c r="AL611" s="626"/>
      <c r="AM611" s="626"/>
    </row>
    <row r="612" spans="3:39" ht="18" customHeight="1">
      <c r="C612" s="598">
        <v>592</v>
      </c>
      <c r="D612" s="598" t="s">
        <v>4915</v>
      </c>
      <c r="E612" s="598">
        <f t="shared" si="6"/>
        <v>555</v>
      </c>
      <c r="F612" s="616" t="s">
        <v>4978</v>
      </c>
      <c r="G612" s="616" t="s">
        <v>4904</v>
      </c>
      <c r="H612" s="618" t="s">
        <v>1195</v>
      </c>
      <c r="I612" s="618" t="s">
        <v>80</v>
      </c>
      <c r="J612" s="618" t="s">
        <v>1051</v>
      </c>
      <c r="K612" s="618" t="s">
        <v>1991</v>
      </c>
      <c r="L612" s="618" t="s">
        <v>2521</v>
      </c>
      <c r="M612" s="619"/>
      <c r="N612" s="620"/>
      <c r="O612" s="620"/>
      <c r="P612" s="663" t="s">
        <v>1074</v>
      </c>
      <c r="Q612" s="621"/>
      <c r="R612" s="598"/>
      <c r="S612" s="598"/>
      <c r="T612" s="598"/>
      <c r="U612" s="598" t="s">
        <v>1015</v>
      </c>
      <c r="V612" s="663" t="s">
        <v>4916</v>
      </c>
      <c r="W612" s="779" t="s">
        <v>4917</v>
      </c>
      <c r="X612" s="598" t="s">
        <v>950</v>
      </c>
      <c r="Y612" s="624">
        <v>21929</v>
      </c>
      <c r="Z612" s="625">
        <f t="shared" ca="1" si="5"/>
        <v>66</v>
      </c>
      <c r="AA612" s="616" t="s">
        <v>4918</v>
      </c>
      <c r="AB612" s="598"/>
      <c r="AC612" s="598" t="s">
        <v>996</v>
      </c>
      <c r="AD612" s="598" t="s">
        <v>1018</v>
      </c>
      <c r="AE612" s="616" t="s">
        <v>729</v>
      </c>
      <c r="AF612" s="616" t="s">
        <v>729</v>
      </c>
      <c r="AG612" s="616" t="s">
        <v>4919</v>
      </c>
      <c r="AH612" s="598"/>
      <c r="AI612" s="598" t="s">
        <v>1019</v>
      </c>
      <c r="AJ612" s="598" t="s">
        <v>1025</v>
      </c>
      <c r="AK612" s="598"/>
      <c r="AL612" s="626"/>
      <c r="AM612" s="626"/>
    </row>
    <row r="613" spans="3:39" ht="18" customHeight="1">
      <c r="C613" s="598">
        <v>593</v>
      </c>
      <c r="D613" s="598" t="s">
        <v>2384</v>
      </c>
      <c r="E613" s="598">
        <f t="shared" si="6"/>
        <v>556</v>
      </c>
      <c r="F613" s="616" t="s">
        <v>4978</v>
      </c>
      <c r="G613" s="616" t="s">
        <v>4904</v>
      </c>
      <c r="H613" s="618" t="s">
        <v>1195</v>
      </c>
      <c r="I613" s="618" t="s">
        <v>80</v>
      </c>
      <c r="J613" s="618" t="s">
        <v>1051</v>
      </c>
      <c r="K613" s="618" t="s">
        <v>1991</v>
      </c>
      <c r="L613" s="618" t="s">
        <v>2521</v>
      </c>
      <c r="M613" s="619"/>
      <c r="N613" s="620"/>
      <c r="O613" s="620"/>
      <c r="P613" s="673" t="s">
        <v>1074</v>
      </c>
      <c r="Q613" s="621"/>
      <c r="R613" s="598"/>
      <c r="S613" s="598"/>
      <c r="T613" s="598"/>
      <c r="U613" s="598" t="s">
        <v>1015</v>
      </c>
      <c r="V613" s="673" t="s">
        <v>2387</v>
      </c>
      <c r="W613" s="779" t="s">
        <v>2388</v>
      </c>
      <c r="X613" s="598" t="s">
        <v>950</v>
      </c>
      <c r="Y613" s="624">
        <v>32411</v>
      </c>
      <c r="Z613" s="625">
        <f t="shared" ca="1" si="5"/>
        <v>37</v>
      </c>
      <c r="AA613" s="616" t="s">
        <v>2389</v>
      </c>
      <c r="AB613" s="598"/>
      <c r="AC613" s="598" t="s">
        <v>996</v>
      </c>
      <c r="AD613" s="598" t="s">
        <v>1018</v>
      </c>
      <c r="AE613" s="616" t="s">
        <v>729</v>
      </c>
      <c r="AF613" s="616" t="s">
        <v>729</v>
      </c>
      <c r="AG613" s="616" t="s">
        <v>2390</v>
      </c>
      <c r="AH613" s="598"/>
      <c r="AI613" s="598" t="s">
        <v>1019</v>
      </c>
      <c r="AJ613" s="598" t="s">
        <v>1114</v>
      </c>
      <c r="AK613" s="598"/>
      <c r="AL613" s="626"/>
      <c r="AM613" s="626"/>
    </row>
    <row r="614" spans="3:39" ht="18" customHeight="1">
      <c r="C614" s="598">
        <v>594</v>
      </c>
      <c r="D614" s="598" t="s">
        <v>1871</v>
      </c>
      <c r="E614" s="598">
        <f t="shared" si="6"/>
        <v>557</v>
      </c>
      <c r="F614" s="616" t="s">
        <v>4978</v>
      </c>
      <c r="G614" s="616" t="s">
        <v>4904</v>
      </c>
      <c r="H614" s="618" t="s">
        <v>1195</v>
      </c>
      <c r="I614" s="618" t="s">
        <v>80</v>
      </c>
      <c r="J614" s="618" t="s">
        <v>1051</v>
      </c>
      <c r="K614" s="618" t="s">
        <v>1658</v>
      </c>
      <c r="L614" s="618" t="s">
        <v>1871</v>
      </c>
      <c r="M614" s="619"/>
      <c r="N614" s="620"/>
      <c r="O614" s="620"/>
      <c r="P614" s="667" t="s">
        <v>1115</v>
      </c>
      <c r="Q614" s="621"/>
      <c r="R614" s="598" t="s">
        <v>55</v>
      </c>
      <c r="S614" s="598" t="s">
        <v>178</v>
      </c>
      <c r="T614" s="598"/>
      <c r="U614" s="598" t="s">
        <v>1015</v>
      </c>
      <c r="V614" s="667" t="s">
        <v>1878</v>
      </c>
      <c r="W614" s="779" t="s">
        <v>1879</v>
      </c>
      <c r="X614" s="598" t="s">
        <v>950</v>
      </c>
      <c r="Y614" s="624">
        <v>33871</v>
      </c>
      <c r="Z614" s="625">
        <f t="shared" ca="1" si="5"/>
        <v>33</v>
      </c>
      <c r="AA614" s="616" t="s">
        <v>1880</v>
      </c>
      <c r="AB614" s="598" t="s">
        <v>1881</v>
      </c>
      <c r="AC614" s="598" t="s">
        <v>996</v>
      </c>
      <c r="AD614" s="598" t="s">
        <v>997</v>
      </c>
      <c r="AE614" s="616" t="s">
        <v>1494</v>
      </c>
      <c r="AF614" s="616" t="s">
        <v>1494</v>
      </c>
      <c r="AG614" s="616"/>
      <c r="AH614" s="598"/>
      <c r="AI614" s="598"/>
      <c r="AJ614" s="598" t="s">
        <v>1114</v>
      </c>
      <c r="AK614" s="598"/>
      <c r="AL614" s="626"/>
      <c r="AM614" s="626"/>
    </row>
    <row r="615" spans="3:39" ht="18" customHeight="1">
      <c r="C615" s="598">
        <v>595</v>
      </c>
      <c r="D615" s="598" t="s">
        <v>1404</v>
      </c>
      <c r="E615" s="598">
        <f t="shared" si="6"/>
        <v>558</v>
      </c>
      <c r="F615" s="616" t="s">
        <v>4978</v>
      </c>
      <c r="G615" s="616" t="s">
        <v>4904</v>
      </c>
      <c r="H615" s="618" t="s">
        <v>1195</v>
      </c>
      <c r="I615" s="618" t="s">
        <v>80</v>
      </c>
      <c r="J615" s="618" t="s">
        <v>1051</v>
      </c>
      <c r="K615" s="618" t="s">
        <v>1658</v>
      </c>
      <c r="L615" s="618" t="s">
        <v>1871</v>
      </c>
      <c r="M615" s="619"/>
      <c r="N615" s="620"/>
      <c r="O615" s="620"/>
      <c r="P615" s="663" t="s">
        <v>1115</v>
      </c>
      <c r="Q615" s="621"/>
      <c r="R615" s="598" t="s">
        <v>69</v>
      </c>
      <c r="S615" s="598" t="s">
        <v>562</v>
      </c>
      <c r="T615" s="598"/>
      <c r="U615" s="598" t="s">
        <v>1015</v>
      </c>
      <c r="V615" s="663" t="s">
        <v>612</v>
      </c>
      <c r="W615" s="779" t="s">
        <v>1411</v>
      </c>
      <c r="X615" s="598" t="s">
        <v>950</v>
      </c>
      <c r="Y615" s="624">
        <v>35425</v>
      </c>
      <c r="Z615" s="625">
        <f t="shared" ca="1" si="5"/>
        <v>29</v>
      </c>
      <c r="AA615" s="616" t="s">
        <v>1412</v>
      </c>
      <c r="AB615" s="598"/>
      <c r="AC615" s="598" t="s">
        <v>996</v>
      </c>
      <c r="AD615" s="598" t="s">
        <v>997</v>
      </c>
      <c r="AE615" s="616" t="s">
        <v>729</v>
      </c>
      <c r="AF615" s="640" t="s">
        <v>729</v>
      </c>
      <c r="AG615" s="616" t="s">
        <v>1335</v>
      </c>
      <c r="AH615" s="598"/>
      <c r="AI615" s="598"/>
      <c r="AJ615" s="598" t="s">
        <v>1114</v>
      </c>
      <c r="AK615" s="598"/>
      <c r="AL615" s="626"/>
      <c r="AM615" s="626"/>
    </row>
    <row r="616" spans="3:39" ht="18" customHeight="1">
      <c r="C616" s="598">
        <v>596</v>
      </c>
      <c r="D616" s="598" t="s">
        <v>1888</v>
      </c>
      <c r="E616" s="598">
        <f t="shared" si="6"/>
        <v>559</v>
      </c>
      <c r="F616" s="616" t="s">
        <v>4978</v>
      </c>
      <c r="G616" s="616" t="s">
        <v>4904</v>
      </c>
      <c r="H616" s="618" t="s">
        <v>1195</v>
      </c>
      <c r="I616" s="618" t="s">
        <v>80</v>
      </c>
      <c r="J616" s="618" t="s">
        <v>1051</v>
      </c>
      <c r="K616" s="618" t="s">
        <v>1658</v>
      </c>
      <c r="L616" s="618" t="s">
        <v>1871</v>
      </c>
      <c r="M616" s="619"/>
      <c r="N616" s="620"/>
      <c r="O616" s="620"/>
      <c r="P616" s="663" t="s">
        <v>1115</v>
      </c>
      <c r="Q616" s="621"/>
      <c r="R616" s="598"/>
      <c r="S616" s="598"/>
      <c r="T616" s="598"/>
      <c r="U616" s="598" t="s">
        <v>1015</v>
      </c>
      <c r="V616" s="663" t="s">
        <v>631</v>
      </c>
      <c r="W616" s="779" t="s">
        <v>1889</v>
      </c>
      <c r="X616" s="598" t="s">
        <v>950</v>
      </c>
      <c r="Y616" s="624">
        <v>35131</v>
      </c>
      <c r="Z616" s="625">
        <f t="shared" ca="1" si="5"/>
        <v>29</v>
      </c>
      <c r="AA616" s="616" t="s">
        <v>1890</v>
      </c>
      <c r="AB616" s="598"/>
      <c r="AC616" s="598" t="s">
        <v>996</v>
      </c>
      <c r="AD616" s="598" t="s">
        <v>997</v>
      </c>
      <c r="AE616" s="616" t="s">
        <v>1494</v>
      </c>
      <c r="AF616" s="616" t="s">
        <v>1494</v>
      </c>
      <c r="AG616" s="616" t="s">
        <v>1892</v>
      </c>
      <c r="AH616" s="598"/>
      <c r="AI616" s="598"/>
      <c r="AJ616" s="598" t="s">
        <v>1114</v>
      </c>
      <c r="AK616" s="598"/>
      <c r="AL616" s="626"/>
      <c r="AM616" s="626"/>
    </row>
    <row r="617" spans="3:39" ht="18" customHeight="1">
      <c r="C617" s="598">
        <v>597</v>
      </c>
      <c r="D617" s="598" t="s">
        <v>2454</v>
      </c>
      <c r="E617" s="598">
        <f t="shared" si="6"/>
        <v>560</v>
      </c>
      <c r="F617" s="616" t="s">
        <v>4978</v>
      </c>
      <c r="G617" s="616" t="s">
        <v>4904</v>
      </c>
      <c r="H617" s="618" t="s">
        <v>1195</v>
      </c>
      <c r="I617" s="618" t="s">
        <v>80</v>
      </c>
      <c r="J617" s="618" t="s">
        <v>1051</v>
      </c>
      <c r="K617" s="618" t="s">
        <v>1658</v>
      </c>
      <c r="L617" s="618" t="s">
        <v>1871</v>
      </c>
      <c r="M617" s="619"/>
      <c r="N617" s="620"/>
      <c r="O617" s="620"/>
      <c r="P617" s="663" t="s">
        <v>1115</v>
      </c>
      <c r="Q617" s="621"/>
      <c r="R617" s="598"/>
      <c r="S617" s="598"/>
      <c r="T617" s="598"/>
      <c r="U617" s="598" t="s">
        <v>1015</v>
      </c>
      <c r="V617" s="663" t="s">
        <v>649</v>
      </c>
      <c r="W617" s="779" t="s">
        <v>2455</v>
      </c>
      <c r="X617" s="598" t="s">
        <v>950</v>
      </c>
      <c r="Y617" s="624">
        <v>31175</v>
      </c>
      <c r="Z617" s="625">
        <f t="shared" ca="1" si="5"/>
        <v>40</v>
      </c>
      <c r="AA617" s="616" t="s">
        <v>2456</v>
      </c>
      <c r="AB617" s="598"/>
      <c r="AC617" s="598" t="s">
        <v>996</v>
      </c>
      <c r="AD617" s="598" t="s">
        <v>997</v>
      </c>
      <c r="AE617" s="616" t="s">
        <v>729</v>
      </c>
      <c r="AF617" s="640" t="s">
        <v>729</v>
      </c>
      <c r="AG617" s="616" t="s">
        <v>2458</v>
      </c>
      <c r="AH617" s="598"/>
      <c r="AI617" s="598"/>
      <c r="AJ617" s="598" t="s">
        <v>1114</v>
      </c>
      <c r="AK617" s="598"/>
      <c r="AL617" s="626"/>
      <c r="AM617" s="626"/>
    </row>
    <row r="618" spans="3:39" ht="18" customHeight="1">
      <c r="C618" s="598">
        <v>598</v>
      </c>
      <c r="D618" s="598" t="s">
        <v>1426</v>
      </c>
      <c r="E618" s="598">
        <f t="shared" si="6"/>
        <v>561</v>
      </c>
      <c r="F618" s="616" t="s">
        <v>4978</v>
      </c>
      <c r="G618" s="616" t="s">
        <v>4904</v>
      </c>
      <c r="H618" s="618" t="s">
        <v>1195</v>
      </c>
      <c r="I618" s="618" t="s">
        <v>80</v>
      </c>
      <c r="J618" s="618" t="s">
        <v>1051</v>
      </c>
      <c r="K618" s="618" t="s">
        <v>1658</v>
      </c>
      <c r="L618" s="618" t="s">
        <v>1871</v>
      </c>
      <c r="M618" s="619"/>
      <c r="N618" s="620"/>
      <c r="O618" s="620"/>
      <c r="P618" s="663" t="s">
        <v>1115</v>
      </c>
      <c r="Q618" s="621"/>
      <c r="R618" s="598"/>
      <c r="S618" s="598"/>
      <c r="T618" s="598"/>
      <c r="U618" s="598" t="s">
        <v>1015</v>
      </c>
      <c r="V618" s="663" t="s">
        <v>668</v>
      </c>
      <c r="W618" s="779" t="s">
        <v>1427</v>
      </c>
      <c r="X618" s="598" t="s">
        <v>950</v>
      </c>
      <c r="Y618" s="624">
        <v>31279</v>
      </c>
      <c r="Z618" s="625">
        <f t="shared" ca="1" si="5"/>
        <v>40</v>
      </c>
      <c r="AA618" s="616" t="s">
        <v>1428</v>
      </c>
      <c r="AB618" s="598"/>
      <c r="AC618" s="598" t="s">
        <v>996</v>
      </c>
      <c r="AD618" s="598" t="s">
        <v>1018</v>
      </c>
      <c r="AE618" s="616" t="s">
        <v>729</v>
      </c>
      <c r="AF618" s="640" t="s">
        <v>729</v>
      </c>
      <c r="AG618" s="616" t="s">
        <v>1429</v>
      </c>
      <c r="AH618" s="598"/>
      <c r="AI618" s="598"/>
      <c r="AJ618" s="598" t="s">
        <v>1114</v>
      </c>
      <c r="AK618" s="598"/>
      <c r="AL618" s="626"/>
      <c r="AM618" s="626"/>
    </row>
    <row r="619" spans="3:39" ht="18" customHeight="1">
      <c r="C619" s="598">
        <v>599</v>
      </c>
      <c r="D619" s="598" t="s">
        <v>1430</v>
      </c>
      <c r="E619" s="598">
        <f t="shared" si="6"/>
        <v>562</v>
      </c>
      <c r="F619" s="616" t="s">
        <v>4978</v>
      </c>
      <c r="G619" s="616" t="s">
        <v>4904</v>
      </c>
      <c r="H619" s="618" t="s">
        <v>1195</v>
      </c>
      <c r="I619" s="618" t="s">
        <v>80</v>
      </c>
      <c r="J619" s="618" t="s">
        <v>1051</v>
      </c>
      <c r="K619" s="618" t="s">
        <v>1658</v>
      </c>
      <c r="L619" s="618" t="s">
        <v>1871</v>
      </c>
      <c r="M619" s="619"/>
      <c r="N619" s="620"/>
      <c r="O619" s="620"/>
      <c r="P619" s="663" t="s">
        <v>1115</v>
      </c>
      <c r="Q619" s="621"/>
      <c r="R619" s="598"/>
      <c r="S619" s="598"/>
      <c r="T619" s="598"/>
      <c r="U619" s="598" t="s">
        <v>1015</v>
      </c>
      <c r="V619" s="663" t="s">
        <v>686</v>
      </c>
      <c r="W619" s="779" t="s">
        <v>1431</v>
      </c>
      <c r="X619" s="598" t="s">
        <v>950</v>
      </c>
      <c r="Y619" s="624">
        <v>34479</v>
      </c>
      <c r="Z619" s="625">
        <f t="shared" ca="1" si="5"/>
        <v>31</v>
      </c>
      <c r="AA619" s="616" t="s">
        <v>1432</v>
      </c>
      <c r="AB619" s="598"/>
      <c r="AC619" s="598" t="s">
        <v>996</v>
      </c>
      <c r="AD619" s="598" t="s">
        <v>997</v>
      </c>
      <c r="AE619" s="616" t="s">
        <v>729</v>
      </c>
      <c r="AF619" s="640" t="s">
        <v>729</v>
      </c>
      <c r="AG619" s="616" t="s">
        <v>1335</v>
      </c>
      <c r="AH619" s="598"/>
      <c r="AI619" s="598"/>
      <c r="AJ619" s="598" t="s">
        <v>1114</v>
      </c>
      <c r="AK619" s="598"/>
      <c r="AL619" s="626"/>
      <c r="AM619" s="626"/>
    </row>
    <row r="620" spans="3:39" ht="18" customHeight="1">
      <c r="C620" s="598">
        <v>600</v>
      </c>
      <c r="D620" s="598" t="s">
        <v>2431</v>
      </c>
      <c r="E620" s="598">
        <f t="shared" si="6"/>
        <v>563</v>
      </c>
      <c r="F620" s="616" t="s">
        <v>4978</v>
      </c>
      <c r="G620" s="616" t="s">
        <v>4904</v>
      </c>
      <c r="H620" s="618" t="s">
        <v>1195</v>
      </c>
      <c r="I620" s="618" t="s">
        <v>80</v>
      </c>
      <c r="J620" s="618" t="s">
        <v>1051</v>
      </c>
      <c r="K620" s="618" t="s">
        <v>1658</v>
      </c>
      <c r="L620" s="618" t="s">
        <v>1871</v>
      </c>
      <c r="M620" s="619"/>
      <c r="N620" s="620"/>
      <c r="O620" s="620"/>
      <c r="P620" s="673" t="s">
        <v>1115</v>
      </c>
      <c r="Q620" s="621"/>
      <c r="R620" s="598"/>
      <c r="S620" s="598"/>
      <c r="T620" s="598"/>
      <c r="U620" s="598" t="s">
        <v>1015</v>
      </c>
      <c r="V620" s="673" t="s">
        <v>700</v>
      </c>
      <c r="W620" s="779" t="s">
        <v>2432</v>
      </c>
      <c r="X620" s="598" t="s">
        <v>950</v>
      </c>
      <c r="Y620" s="624" t="s">
        <v>2433</v>
      </c>
      <c r="Z620" s="625">
        <f t="shared" ca="1" si="5"/>
        <v>25</v>
      </c>
      <c r="AA620" s="616" t="s">
        <v>2434</v>
      </c>
      <c r="AB620" s="598"/>
      <c r="AC620" s="598" t="s">
        <v>996</v>
      </c>
      <c r="AD620" s="598" t="s">
        <v>997</v>
      </c>
      <c r="AE620" s="616" t="s">
        <v>729</v>
      </c>
      <c r="AF620" s="640" t="s">
        <v>729</v>
      </c>
      <c r="AG620" s="616" t="s">
        <v>2436</v>
      </c>
      <c r="AH620" s="598"/>
      <c r="AI620" s="598"/>
      <c r="AJ620" s="598" t="s">
        <v>1114</v>
      </c>
      <c r="AK620" s="598"/>
      <c r="AL620" s="626"/>
      <c r="AM620" s="626"/>
    </row>
    <row r="621" spans="3:39" ht="18" customHeight="1">
      <c r="C621" s="598">
        <v>601</v>
      </c>
      <c r="D621" s="598" t="s">
        <v>1360</v>
      </c>
      <c r="E621" s="598">
        <f t="shared" si="6"/>
        <v>563</v>
      </c>
      <c r="F621" s="616"/>
      <c r="G621" s="616" t="s">
        <v>4904</v>
      </c>
      <c r="H621" s="618" t="s">
        <v>1195</v>
      </c>
      <c r="I621" s="618" t="s">
        <v>80</v>
      </c>
      <c r="J621" s="618" t="s">
        <v>1051</v>
      </c>
      <c r="K621" s="618" t="s">
        <v>1360</v>
      </c>
      <c r="L621" s="618" t="s">
        <v>2971</v>
      </c>
      <c r="M621" s="619"/>
      <c r="N621" s="620"/>
      <c r="O621" s="620"/>
      <c r="P621" s="667" t="s">
        <v>1127</v>
      </c>
      <c r="Q621" s="621"/>
      <c r="R621" s="598" t="s">
        <v>55</v>
      </c>
      <c r="S621" s="598" t="s">
        <v>178</v>
      </c>
      <c r="T621" s="598"/>
      <c r="U621" s="598"/>
      <c r="V621" s="667" t="s">
        <v>305</v>
      </c>
      <c r="W621" s="779" t="s">
        <v>1362</v>
      </c>
      <c r="X621" s="598" t="s">
        <v>950</v>
      </c>
      <c r="Y621" s="624">
        <v>25307</v>
      </c>
      <c r="Z621" s="625">
        <f t="shared" ca="1" si="5"/>
        <v>56</v>
      </c>
      <c r="AA621" s="616" t="s">
        <v>1363</v>
      </c>
      <c r="AB621" s="598"/>
      <c r="AC621" s="598" t="s">
        <v>966</v>
      </c>
      <c r="AD621" s="598" t="s">
        <v>953</v>
      </c>
      <c r="AE621" s="616" t="s">
        <v>729</v>
      </c>
      <c r="AF621" s="616" t="s">
        <v>1239</v>
      </c>
      <c r="AG621" s="616" t="s">
        <v>1240</v>
      </c>
      <c r="AH621" s="598" t="s">
        <v>955</v>
      </c>
      <c r="AI621" s="598"/>
      <c r="AJ621" s="598"/>
      <c r="AK621" s="598"/>
      <c r="AL621" s="626"/>
      <c r="AM621" s="626"/>
    </row>
    <row r="622" spans="3:39" ht="18" customHeight="1">
      <c r="C622" s="598">
        <v>602</v>
      </c>
      <c r="D622" s="598" t="s">
        <v>2971</v>
      </c>
      <c r="E622" s="598">
        <f t="shared" si="6"/>
        <v>564</v>
      </c>
      <c r="F622" s="616" t="s">
        <v>4978</v>
      </c>
      <c r="G622" s="616" t="s">
        <v>4904</v>
      </c>
      <c r="H622" s="618" t="s">
        <v>1195</v>
      </c>
      <c r="I622" s="618" t="s">
        <v>80</v>
      </c>
      <c r="J622" s="618" t="s">
        <v>1051</v>
      </c>
      <c r="K622" s="618" t="s">
        <v>1360</v>
      </c>
      <c r="L622" s="618" t="s">
        <v>2971</v>
      </c>
      <c r="M622" s="619"/>
      <c r="N622" s="620"/>
      <c r="O622" s="620"/>
      <c r="P622" s="663" t="s">
        <v>1127</v>
      </c>
      <c r="Q622" s="621" t="s">
        <v>319</v>
      </c>
      <c r="R622" s="598" t="s">
        <v>69</v>
      </c>
      <c r="S622" s="598" t="s">
        <v>562</v>
      </c>
      <c r="T622" s="598"/>
      <c r="U622" s="598" t="s">
        <v>1015</v>
      </c>
      <c r="V622" s="663" t="s">
        <v>613</v>
      </c>
      <c r="W622" s="779" t="s">
        <v>2973</v>
      </c>
      <c r="X622" s="598" t="s">
        <v>950</v>
      </c>
      <c r="Y622" s="624">
        <v>27337</v>
      </c>
      <c r="Z622" s="625">
        <f t="shared" ca="1" si="5"/>
        <v>51</v>
      </c>
      <c r="AA622" s="616" t="s">
        <v>2974</v>
      </c>
      <c r="AB622" s="598"/>
      <c r="AC622" s="598" t="s">
        <v>996</v>
      </c>
      <c r="AD622" s="598" t="s">
        <v>997</v>
      </c>
      <c r="AE622" s="616" t="s">
        <v>1041</v>
      </c>
      <c r="AF622" s="721" t="s">
        <v>1041</v>
      </c>
      <c r="AG622" s="616" t="s">
        <v>1473</v>
      </c>
      <c r="AH622" s="598"/>
      <c r="AI622" s="598"/>
      <c r="AJ622" s="598" t="s">
        <v>1107</v>
      </c>
      <c r="AK622" s="598"/>
      <c r="AL622" s="626"/>
      <c r="AM622" s="626"/>
    </row>
    <row r="623" spans="3:39" ht="18" customHeight="1">
      <c r="C623" s="598">
        <v>603</v>
      </c>
      <c r="D623" s="598" t="s">
        <v>2560</v>
      </c>
      <c r="E623" s="598">
        <f t="shared" si="6"/>
        <v>565</v>
      </c>
      <c r="F623" s="616" t="s">
        <v>4978</v>
      </c>
      <c r="G623" s="616" t="s">
        <v>4904</v>
      </c>
      <c r="H623" s="618" t="s">
        <v>1195</v>
      </c>
      <c r="I623" s="618" t="s">
        <v>80</v>
      </c>
      <c r="J623" s="618" t="s">
        <v>1051</v>
      </c>
      <c r="K623" s="618" t="s">
        <v>1360</v>
      </c>
      <c r="L623" s="618" t="s">
        <v>2971</v>
      </c>
      <c r="M623" s="619"/>
      <c r="N623" s="620"/>
      <c r="O623" s="620"/>
      <c r="P623" s="663" t="s">
        <v>1127</v>
      </c>
      <c r="Q623" s="621" t="s">
        <v>319</v>
      </c>
      <c r="R623" s="598"/>
      <c r="S623" s="598"/>
      <c r="T623" s="598"/>
      <c r="U623" s="598" t="s">
        <v>1015</v>
      </c>
      <c r="V623" s="663" t="s">
        <v>632</v>
      </c>
      <c r="W623" s="779" t="s">
        <v>2561</v>
      </c>
      <c r="X623" s="598" t="s">
        <v>950</v>
      </c>
      <c r="Y623" s="624">
        <v>26046</v>
      </c>
      <c r="Z623" s="625">
        <f t="shared" ca="1" si="5"/>
        <v>54</v>
      </c>
      <c r="AA623" s="616" t="s">
        <v>2562</v>
      </c>
      <c r="AB623" s="598"/>
      <c r="AC623" s="598" t="s">
        <v>996</v>
      </c>
      <c r="AD623" s="598" t="s">
        <v>1018</v>
      </c>
      <c r="AE623" s="616" t="s">
        <v>729</v>
      </c>
      <c r="AF623" s="640" t="s">
        <v>729</v>
      </c>
      <c r="AG623" s="616" t="s">
        <v>2563</v>
      </c>
      <c r="AH623" s="598"/>
      <c r="AI623" s="598"/>
      <c r="AJ623" s="598" t="s">
        <v>1107</v>
      </c>
      <c r="AK623" s="598"/>
      <c r="AL623" s="626"/>
      <c r="AM623" s="626"/>
    </row>
    <row r="624" spans="3:39" ht="18" customHeight="1">
      <c r="C624" s="598">
        <v>604</v>
      </c>
      <c r="D624" s="598" t="s">
        <v>2987</v>
      </c>
      <c r="E624" s="598">
        <f t="shared" si="6"/>
        <v>566</v>
      </c>
      <c r="F624" s="616" t="s">
        <v>4978</v>
      </c>
      <c r="G624" s="616" t="s">
        <v>4904</v>
      </c>
      <c r="H624" s="618" t="s">
        <v>1195</v>
      </c>
      <c r="I624" s="618" t="s">
        <v>80</v>
      </c>
      <c r="J624" s="618" t="s">
        <v>1051</v>
      </c>
      <c r="K624" s="618" t="s">
        <v>1360</v>
      </c>
      <c r="L624" s="618" t="s">
        <v>2971</v>
      </c>
      <c r="M624" s="619"/>
      <c r="N624" s="620"/>
      <c r="O624" s="620"/>
      <c r="P624" s="663" t="s">
        <v>1127</v>
      </c>
      <c r="Q624" s="621" t="s">
        <v>319</v>
      </c>
      <c r="R624" s="598"/>
      <c r="S624" s="598"/>
      <c r="T624" s="598"/>
      <c r="U624" s="598" t="s">
        <v>1015</v>
      </c>
      <c r="V624" s="663" t="s">
        <v>650</v>
      </c>
      <c r="W624" s="779" t="s">
        <v>2988</v>
      </c>
      <c r="X624" s="598" t="s">
        <v>950</v>
      </c>
      <c r="Y624" s="624">
        <v>26397</v>
      </c>
      <c r="Z624" s="625">
        <f t="shared" ca="1" si="5"/>
        <v>53</v>
      </c>
      <c r="AA624" s="616" t="s">
        <v>2989</v>
      </c>
      <c r="AB624" s="598"/>
      <c r="AC624" s="598" t="s">
        <v>996</v>
      </c>
      <c r="AD624" s="598" t="s">
        <v>997</v>
      </c>
      <c r="AE624" s="616" t="s">
        <v>729</v>
      </c>
      <c r="AF624" s="721" t="s">
        <v>1041</v>
      </c>
      <c r="AG624" s="616" t="s">
        <v>2991</v>
      </c>
      <c r="AH624" s="598"/>
      <c r="AI624" s="598"/>
      <c r="AJ624" s="598" t="s">
        <v>1107</v>
      </c>
      <c r="AK624" s="598"/>
      <c r="AL624" s="626"/>
      <c r="AM624" s="626"/>
    </row>
    <row r="625" spans="3:39" ht="18" customHeight="1">
      <c r="C625" s="598">
        <v>605</v>
      </c>
      <c r="D625" s="598" t="s">
        <v>1996</v>
      </c>
      <c r="E625" s="598">
        <f t="shared" si="6"/>
        <v>567</v>
      </c>
      <c r="F625" s="616" t="s">
        <v>4978</v>
      </c>
      <c r="G625" s="616" t="s">
        <v>4904</v>
      </c>
      <c r="H625" s="618" t="s">
        <v>1195</v>
      </c>
      <c r="I625" s="618" t="s">
        <v>80</v>
      </c>
      <c r="J625" s="618" t="s">
        <v>1051</v>
      </c>
      <c r="K625" s="618" t="s">
        <v>1360</v>
      </c>
      <c r="L625" s="618" t="s">
        <v>2971</v>
      </c>
      <c r="M625" s="619"/>
      <c r="N625" s="620"/>
      <c r="O625" s="620"/>
      <c r="P625" s="663" t="s">
        <v>1127</v>
      </c>
      <c r="Q625" s="621" t="s">
        <v>319</v>
      </c>
      <c r="R625" s="598"/>
      <c r="S625" s="598"/>
      <c r="T625" s="598"/>
      <c r="U625" s="598" t="s">
        <v>1015</v>
      </c>
      <c r="V625" s="663" t="s">
        <v>669</v>
      </c>
      <c r="W625" s="779" t="s">
        <v>1997</v>
      </c>
      <c r="X625" s="598" t="s">
        <v>950</v>
      </c>
      <c r="Y625" s="624">
        <v>26636</v>
      </c>
      <c r="Z625" s="625">
        <f t="shared" ca="1" si="5"/>
        <v>53</v>
      </c>
      <c r="AA625" s="616" t="s">
        <v>1998</v>
      </c>
      <c r="AB625" s="598"/>
      <c r="AC625" s="598" t="s">
        <v>996</v>
      </c>
      <c r="AD625" s="598" t="s">
        <v>1018</v>
      </c>
      <c r="AE625" s="616" t="s">
        <v>729</v>
      </c>
      <c r="AF625" s="616" t="s">
        <v>729</v>
      </c>
      <c r="AG625" s="616" t="s">
        <v>2000</v>
      </c>
      <c r="AH625" s="598"/>
      <c r="AI625" s="598"/>
      <c r="AJ625" s="598" t="s">
        <v>1107</v>
      </c>
      <c r="AK625" s="598"/>
      <c r="AL625" s="626"/>
      <c r="AM625" s="626"/>
    </row>
    <row r="626" spans="3:39" ht="18" customHeight="1">
      <c r="C626" s="598">
        <v>606</v>
      </c>
      <c r="D626" s="598" t="s">
        <v>1398</v>
      </c>
      <c r="E626" s="598">
        <f t="shared" si="6"/>
        <v>568</v>
      </c>
      <c r="F626" s="616" t="s">
        <v>4978</v>
      </c>
      <c r="G626" s="616" t="s">
        <v>4904</v>
      </c>
      <c r="H626" s="618" t="s">
        <v>1195</v>
      </c>
      <c r="I626" s="618" t="s">
        <v>80</v>
      </c>
      <c r="J626" s="618" t="s">
        <v>1051</v>
      </c>
      <c r="K626" s="618" t="s">
        <v>1360</v>
      </c>
      <c r="L626" s="618" t="s">
        <v>2971</v>
      </c>
      <c r="M626" s="619"/>
      <c r="N626" s="620"/>
      <c r="O626" s="620"/>
      <c r="P626" s="663" t="s">
        <v>1127</v>
      </c>
      <c r="Q626" s="621" t="s">
        <v>319</v>
      </c>
      <c r="R626" s="598"/>
      <c r="S626" s="598"/>
      <c r="T626" s="598"/>
      <c r="U626" s="598" t="s">
        <v>1015</v>
      </c>
      <c r="V626" s="663" t="s">
        <v>701</v>
      </c>
      <c r="W626" s="779" t="s">
        <v>1399</v>
      </c>
      <c r="X626" s="598" t="s">
        <v>950</v>
      </c>
      <c r="Y626" s="624">
        <v>27745</v>
      </c>
      <c r="Z626" s="625">
        <f t="shared" ca="1" si="5"/>
        <v>50</v>
      </c>
      <c r="AA626" s="616" t="s">
        <v>1400</v>
      </c>
      <c r="AB626" s="598"/>
      <c r="AC626" s="598" t="s">
        <v>996</v>
      </c>
      <c r="AD626" s="598" t="s">
        <v>1018</v>
      </c>
      <c r="AE626" s="616" t="s">
        <v>1375</v>
      </c>
      <c r="AF626" s="616" t="s">
        <v>1375</v>
      </c>
      <c r="AG626" s="616" t="s">
        <v>1402</v>
      </c>
      <c r="AH626" s="598"/>
      <c r="AI626" s="598"/>
      <c r="AJ626" s="598" t="s">
        <v>1107</v>
      </c>
      <c r="AK626" s="598"/>
      <c r="AL626" s="626"/>
      <c r="AM626" s="626"/>
    </row>
    <row r="627" spans="3:39" ht="18" customHeight="1">
      <c r="C627" s="598">
        <v>607</v>
      </c>
      <c r="D627" s="598" t="s">
        <v>2023</v>
      </c>
      <c r="E627" s="598">
        <f t="shared" si="6"/>
        <v>569</v>
      </c>
      <c r="F627" s="616" t="s">
        <v>4978</v>
      </c>
      <c r="G627" s="616" t="s">
        <v>4904</v>
      </c>
      <c r="H627" s="618" t="s">
        <v>1195</v>
      </c>
      <c r="I627" s="618" t="s">
        <v>80</v>
      </c>
      <c r="J627" s="618" t="s">
        <v>1051</v>
      </c>
      <c r="K627" s="618" t="s">
        <v>1360</v>
      </c>
      <c r="L627" s="618" t="s">
        <v>2971</v>
      </c>
      <c r="M627" s="619"/>
      <c r="N627" s="620"/>
      <c r="O627" s="620"/>
      <c r="P627" s="663" t="s">
        <v>1127</v>
      </c>
      <c r="Q627" s="621" t="s">
        <v>319</v>
      </c>
      <c r="R627" s="598"/>
      <c r="S627" s="598"/>
      <c r="T627" s="598"/>
      <c r="U627" s="598" t="s">
        <v>1015</v>
      </c>
      <c r="V627" s="663" t="s">
        <v>710</v>
      </c>
      <c r="W627" s="779" t="s">
        <v>2024</v>
      </c>
      <c r="X627" s="598" t="s">
        <v>950</v>
      </c>
      <c r="Y627" s="624">
        <v>28463</v>
      </c>
      <c r="Z627" s="625">
        <f t="shared" ca="1" si="5"/>
        <v>48</v>
      </c>
      <c r="AA627" s="616" t="s">
        <v>2025</v>
      </c>
      <c r="AB627" s="598"/>
      <c r="AC627" s="598" t="s">
        <v>996</v>
      </c>
      <c r="AD627" s="598" t="s">
        <v>997</v>
      </c>
      <c r="AE627" s="616" t="s">
        <v>729</v>
      </c>
      <c r="AF627" s="640" t="s">
        <v>729</v>
      </c>
      <c r="AG627" s="616" t="s">
        <v>2027</v>
      </c>
      <c r="AH627" s="598"/>
      <c r="AI627" s="598"/>
      <c r="AJ627" s="598" t="s">
        <v>1107</v>
      </c>
      <c r="AK627" s="598"/>
      <c r="AL627" s="626"/>
      <c r="AM627" s="626"/>
    </row>
    <row r="628" spans="3:39" ht="18" customHeight="1">
      <c r="C628" s="598">
        <v>608</v>
      </c>
      <c r="D628" s="598" t="s">
        <v>1934</v>
      </c>
      <c r="E628" s="598">
        <f t="shared" si="6"/>
        <v>570</v>
      </c>
      <c r="F628" s="616" t="s">
        <v>4978</v>
      </c>
      <c r="G628" s="616" t="s">
        <v>4904</v>
      </c>
      <c r="H628" s="618" t="s">
        <v>1195</v>
      </c>
      <c r="I628" s="618" t="s">
        <v>80</v>
      </c>
      <c r="J628" s="618" t="s">
        <v>1051</v>
      </c>
      <c r="K628" s="618" t="s">
        <v>1360</v>
      </c>
      <c r="L628" s="618" t="s">
        <v>2971</v>
      </c>
      <c r="M628" s="619"/>
      <c r="N628" s="620"/>
      <c r="O628" s="620"/>
      <c r="P628" s="663" t="s">
        <v>1127</v>
      </c>
      <c r="Q628" s="621" t="s">
        <v>319</v>
      </c>
      <c r="R628" s="598"/>
      <c r="S628" s="598"/>
      <c r="T628" s="598"/>
      <c r="U628" s="598" t="s">
        <v>1015</v>
      </c>
      <c r="V628" s="663" t="s">
        <v>1935</v>
      </c>
      <c r="W628" s="779" t="s">
        <v>1936</v>
      </c>
      <c r="X628" s="598" t="s">
        <v>950</v>
      </c>
      <c r="Y628" s="624">
        <v>29857</v>
      </c>
      <c r="Z628" s="625">
        <f t="shared" ca="1" si="5"/>
        <v>44</v>
      </c>
      <c r="AA628" s="616" t="s">
        <v>1937</v>
      </c>
      <c r="AB628" s="598"/>
      <c r="AC628" s="598" t="s">
        <v>996</v>
      </c>
      <c r="AD628" s="598" t="s">
        <v>997</v>
      </c>
      <c r="AE628" s="616" t="s">
        <v>246</v>
      </c>
      <c r="AF628" s="616" t="s">
        <v>246</v>
      </c>
      <c r="AG628" s="616" t="s">
        <v>1808</v>
      </c>
      <c r="AH628" s="598"/>
      <c r="AI628" s="598"/>
      <c r="AJ628" s="598" t="s">
        <v>1107</v>
      </c>
      <c r="AK628" s="598"/>
      <c r="AL628" s="626"/>
      <c r="AM628" s="626"/>
    </row>
    <row r="629" spans="3:39" ht="18" customHeight="1">
      <c r="C629" s="598">
        <v>609</v>
      </c>
      <c r="D629" s="598" t="s">
        <v>1939</v>
      </c>
      <c r="E629" s="598">
        <f t="shared" si="6"/>
        <v>571</v>
      </c>
      <c r="F629" s="616" t="s">
        <v>4978</v>
      </c>
      <c r="G629" s="616" t="s">
        <v>4904</v>
      </c>
      <c r="H629" s="618" t="s">
        <v>1195</v>
      </c>
      <c r="I629" s="618" t="s">
        <v>80</v>
      </c>
      <c r="J629" s="618" t="s">
        <v>1051</v>
      </c>
      <c r="K629" s="618" t="s">
        <v>1360</v>
      </c>
      <c r="L629" s="618" t="s">
        <v>2971</v>
      </c>
      <c r="M629" s="619"/>
      <c r="N629" s="620"/>
      <c r="O629" s="620"/>
      <c r="P629" s="663" t="s">
        <v>1127</v>
      </c>
      <c r="Q629" s="621" t="s">
        <v>319</v>
      </c>
      <c r="R629" s="598"/>
      <c r="S629" s="598"/>
      <c r="T629" s="598"/>
      <c r="U629" s="598" t="s">
        <v>1015</v>
      </c>
      <c r="V629" s="663" t="s">
        <v>1940</v>
      </c>
      <c r="W629" s="779" t="s">
        <v>1941</v>
      </c>
      <c r="X629" s="598" t="s">
        <v>950</v>
      </c>
      <c r="Y629" s="624">
        <v>30123</v>
      </c>
      <c r="Z629" s="625">
        <f t="shared" ca="1" si="5"/>
        <v>43</v>
      </c>
      <c r="AA629" s="616" t="s">
        <v>1942</v>
      </c>
      <c r="AB629" s="598"/>
      <c r="AC629" s="598" t="s">
        <v>996</v>
      </c>
      <c r="AD629" s="598" t="s">
        <v>1018</v>
      </c>
      <c r="AE629" s="616" t="s">
        <v>729</v>
      </c>
      <c r="AF629" s="640" t="s">
        <v>729</v>
      </c>
      <c r="AG629" s="616" t="s">
        <v>1808</v>
      </c>
      <c r="AH629" s="598"/>
      <c r="AI629" s="598"/>
      <c r="AJ629" s="598" t="s">
        <v>1107</v>
      </c>
      <c r="AK629" s="598"/>
      <c r="AL629" s="626"/>
      <c r="AM629" s="626"/>
    </row>
    <row r="630" spans="3:39" ht="18" customHeight="1">
      <c r="C630" s="598">
        <v>610</v>
      </c>
      <c r="D630" s="598" t="s">
        <v>1944</v>
      </c>
      <c r="E630" s="598">
        <f t="shared" si="6"/>
        <v>572</v>
      </c>
      <c r="F630" s="616" t="s">
        <v>4978</v>
      </c>
      <c r="G630" s="616" t="s">
        <v>4904</v>
      </c>
      <c r="H630" s="618" t="s">
        <v>1195</v>
      </c>
      <c r="I630" s="618" t="s">
        <v>80</v>
      </c>
      <c r="J630" s="618" t="s">
        <v>1051</v>
      </c>
      <c r="K630" s="618" t="s">
        <v>1360</v>
      </c>
      <c r="L630" s="618" t="s">
        <v>2971</v>
      </c>
      <c r="M630" s="619"/>
      <c r="N630" s="620"/>
      <c r="O630" s="620"/>
      <c r="P630" s="673" t="s">
        <v>1127</v>
      </c>
      <c r="Q630" s="621" t="s">
        <v>319</v>
      </c>
      <c r="R630" s="598"/>
      <c r="S630" s="598"/>
      <c r="T630" s="598"/>
      <c r="U630" s="598" t="s">
        <v>1015</v>
      </c>
      <c r="V630" s="673" t="s">
        <v>1945</v>
      </c>
      <c r="W630" s="779" t="s">
        <v>1946</v>
      </c>
      <c r="X630" s="598" t="s">
        <v>950</v>
      </c>
      <c r="Y630" s="624">
        <v>30594</v>
      </c>
      <c r="Z630" s="625">
        <f t="shared" ca="1" si="5"/>
        <v>42</v>
      </c>
      <c r="AA630" s="616" t="s">
        <v>1947</v>
      </c>
      <c r="AB630" s="598"/>
      <c r="AC630" s="598" t="s">
        <v>996</v>
      </c>
      <c r="AD630" s="598" t="s">
        <v>997</v>
      </c>
      <c r="AE630" s="616" t="s">
        <v>729</v>
      </c>
      <c r="AF630" s="640" t="s">
        <v>729</v>
      </c>
      <c r="AG630" s="616" t="s">
        <v>1808</v>
      </c>
      <c r="AH630" s="598"/>
      <c r="AI630" s="598"/>
      <c r="AJ630" s="598" t="s">
        <v>1107</v>
      </c>
      <c r="AK630" s="598"/>
      <c r="AL630" s="626"/>
      <c r="AM630" s="626"/>
    </row>
    <row r="631" spans="3:39" ht="18" customHeight="1">
      <c r="C631" s="598">
        <v>611</v>
      </c>
      <c r="D631" s="598" t="s">
        <v>2168</v>
      </c>
      <c r="E631" s="598">
        <f t="shared" si="6"/>
        <v>573</v>
      </c>
      <c r="F631" s="616" t="s">
        <v>4978</v>
      </c>
      <c r="G631" s="616" t="s">
        <v>4904</v>
      </c>
      <c r="H631" s="618" t="s">
        <v>1195</v>
      </c>
      <c r="I631" s="618" t="s">
        <v>80</v>
      </c>
      <c r="J631" s="618" t="s">
        <v>1051</v>
      </c>
      <c r="K631" s="618" t="s">
        <v>2168</v>
      </c>
      <c r="L631" s="618" t="s">
        <v>1963</v>
      </c>
      <c r="M631" s="619"/>
      <c r="N631" s="620"/>
      <c r="O631" s="620"/>
      <c r="P631" s="667" t="s">
        <v>1157</v>
      </c>
      <c r="Q631" s="621"/>
      <c r="R631" s="598" t="s">
        <v>55</v>
      </c>
      <c r="S631" s="598" t="s">
        <v>178</v>
      </c>
      <c r="T631" s="598"/>
      <c r="U631" s="598" t="s">
        <v>1015</v>
      </c>
      <c r="V631" s="667" t="s">
        <v>605</v>
      </c>
      <c r="W631" s="779" t="s">
        <v>2169</v>
      </c>
      <c r="X631" s="598" t="s">
        <v>950</v>
      </c>
      <c r="Y631" s="624">
        <v>21524</v>
      </c>
      <c r="Z631" s="625">
        <f t="shared" ca="1" si="5"/>
        <v>67</v>
      </c>
      <c r="AA631" s="616" t="s">
        <v>2170</v>
      </c>
      <c r="AB631" s="598" t="s">
        <v>2171</v>
      </c>
      <c r="AC631" s="598" t="s">
        <v>966</v>
      </c>
      <c r="AD631" s="598" t="s">
        <v>953</v>
      </c>
      <c r="AE631" s="616" t="s">
        <v>729</v>
      </c>
      <c r="AF631" s="640" t="s">
        <v>729</v>
      </c>
      <c r="AG631" s="616" t="s">
        <v>2172</v>
      </c>
      <c r="AH631" s="598"/>
      <c r="AI631" s="598"/>
      <c r="AJ631" s="598" t="s">
        <v>1025</v>
      </c>
      <c r="AK631" s="598"/>
      <c r="AL631" s="626"/>
      <c r="AM631" s="626"/>
    </row>
    <row r="632" spans="3:39" ht="18" customHeight="1">
      <c r="C632" s="598">
        <v>612</v>
      </c>
      <c r="D632" s="598" t="s">
        <v>1963</v>
      </c>
      <c r="E632" s="598">
        <f t="shared" si="6"/>
        <v>574</v>
      </c>
      <c r="F632" s="616" t="s">
        <v>4978</v>
      </c>
      <c r="G632" s="616" t="s">
        <v>4904</v>
      </c>
      <c r="H632" s="618" t="s">
        <v>1195</v>
      </c>
      <c r="I632" s="618" t="s">
        <v>80</v>
      </c>
      <c r="J632" s="618" t="s">
        <v>1051</v>
      </c>
      <c r="K632" s="618" t="s">
        <v>2168</v>
      </c>
      <c r="L632" s="618" t="s">
        <v>1963</v>
      </c>
      <c r="M632" s="619"/>
      <c r="N632" s="620"/>
      <c r="O632" s="620"/>
      <c r="P632" s="663" t="s">
        <v>1157</v>
      </c>
      <c r="Q632" s="621" t="s">
        <v>319</v>
      </c>
      <c r="R632" s="598"/>
      <c r="S632" s="598"/>
      <c r="T632" s="598"/>
      <c r="U632" s="598" t="s">
        <v>1015</v>
      </c>
      <c r="V632" s="663" t="s">
        <v>633</v>
      </c>
      <c r="W632" s="779" t="s">
        <v>1964</v>
      </c>
      <c r="X632" s="598" t="s">
        <v>950</v>
      </c>
      <c r="Y632" s="624">
        <v>25485</v>
      </c>
      <c r="Z632" s="625">
        <f t="shared" ca="1" si="5"/>
        <v>56</v>
      </c>
      <c r="AA632" s="616" t="s">
        <v>1965</v>
      </c>
      <c r="AB632" s="598"/>
      <c r="AC632" s="598" t="s">
        <v>996</v>
      </c>
      <c r="AD632" s="598" t="s">
        <v>1018</v>
      </c>
      <c r="AE632" s="616" t="s">
        <v>729</v>
      </c>
      <c r="AF632" s="640" t="s">
        <v>729</v>
      </c>
      <c r="AG632" s="616" t="s">
        <v>1760</v>
      </c>
      <c r="AH632" s="598"/>
      <c r="AI632" s="598"/>
      <c r="AJ632" s="598" t="s">
        <v>1107</v>
      </c>
      <c r="AK632" s="598"/>
      <c r="AL632" s="626"/>
      <c r="AM632" s="626"/>
    </row>
    <row r="633" spans="3:39" ht="18" customHeight="1">
      <c r="C633" s="598">
        <v>614</v>
      </c>
      <c r="D633" s="598" t="s">
        <v>2508</v>
      </c>
      <c r="E633" s="598">
        <f t="shared" si="6"/>
        <v>575</v>
      </c>
      <c r="F633" s="616" t="s">
        <v>4978</v>
      </c>
      <c r="G633" s="616" t="s">
        <v>4904</v>
      </c>
      <c r="H633" s="618" t="s">
        <v>1195</v>
      </c>
      <c r="I633" s="618" t="s">
        <v>80</v>
      </c>
      <c r="J633" s="618" t="s">
        <v>1051</v>
      </c>
      <c r="K633" s="618" t="s">
        <v>2168</v>
      </c>
      <c r="L633" s="618" t="s">
        <v>1963</v>
      </c>
      <c r="M633" s="619"/>
      <c r="N633" s="620"/>
      <c r="O633" s="620"/>
      <c r="P633" s="663" t="s">
        <v>1157</v>
      </c>
      <c r="Q633" s="621" t="s">
        <v>319</v>
      </c>
      <c r="R633" s="598"/>
      <c r="S633" s="598"/>
      <c r="T633" s="598"/>
      <c r="U633" s="598" t="s">
        <v>1015</v>
      </c>
      <c r="V633" s="663" t="s">
        <v>614</v>
      </c>
      <c r="W633" s="779" t="s">
        <v>2509</v>
      </c>
      <c r="X633" s="598" t="s">
        <v>950</v>
      </c>
      <c r="Y633" s="624">
        <v>21286</v>
      </c>
      <c r="Z633" s="625">
        <f t="shared" ca="1" si="5"/>
        <v>67</v>
      </c>
      <c r="AA633" s="616" t="s">
        <v>2510</v>
      </c>
      <c r="AB633" s="598"/>
      <c r="AC633" s="598" t="s">
        <v>996</v>
      </c>
      <c r="AD633" s="598" t="s">
        <v>997</v>
      </c>
      <c r="AE633" s="616" t="s">
        <v>729</v>
      </c>
      <c r="AF633" s="640" t="s">
        <v>729</v>
      </c>
      <c r="AG633" s="616" t="s">
        <v>2512</v>
      </c>
      <c r="AH633" s="598"/>
      <c r="AI633" s="598"/>
      <c r="AJ633" s="598" t="s">
        <v>1107</v>
      </c>
      <c r="AK633" s="598"/>
      <c r="AL633" s="626"/>
      <c r="AM633" s="626"/>
    </row>
    <row r="634" spans="3:39" ht="18" customHeight="1">
      <c r="C634" s="598">
        <v>613</v>
      </c>
      <c r="D634" s="598" t="s">
        <v>2531</v>
      </c>
      <c r="E634" s="598">
        <f t="shared" si="6"/>
        <v>576</v>
      </c>
      <c r="F634" s="616" t="s">
        <v>4978</v>
      </c>
      <c r="G634" s="616" t="s">
        <v>4904</v>
      </c>
      <c r="H634" s="618" t="s">
        <v>1195</v>
      </c>
      <c r="I634" s="618" t="s">
        <v>80</v>
      </c>
      <c r="J634" s="618" t="s">
        <v>1051</v>
      </c>
      <c r="K634" s="618" t="s">
        <v>2168</v>
      </c>
      <c r="L634" s="618" t="s">
        <v>1963</v>
      </c>
      <c r="M634" s="619"/>
      <c r="N634" s="620"/>
      <c r="O634" s="620"/>
      <c r="P634" s="673" t="s">
        <v>1157</v>
      </c>
      <c r="Q634" s="621" t="s">
        <v>319</v>
      </c>
      <c r="R634" s="598"/>
      <c r="S634" s="598"/>
      <c r="T634" s="598"/>
      <c r="U634" s="598" t="s">
        <v>1015</v>
      </c>
      <c r="V634" s="673" t="s">
        <v>651</v>
      </c>
      <c r="W634" s="779" t="s">
        <v>2532</v>
      </c>
      <c r="X634" s="598" t="s">
        <v>950</v>
      </c>
      <c r="Y634" s="624">
        <v>26525</v>
      </c>
      <c r="Z634" s="625">
        <f t="shared" ca="1" si="5"/>
        <v>53</v>
      </c>
      <c r="AA634" s="616" t="s">
        <v>2533</v>
      </c>
      <c r="AB634" s="598"/>
      <c r="AC634" s="598" t="s">
        <v>996</v>
      </c>
      <c r="AD634" s="598" t="s">
        <v>1018</v>
      </c>
      <c r="AE634" s="616" t="s">
        <v>729</v>
      </c>
      <c r="AF634" s="640" t="s">
        <v>729</v>
      </c>
      <c r="AG634" s="616" t="s">
        <v>2535</v>
      </c>
      <c r="AH634" s="598"/>
      <c r="AI634" s="598"/>
      <c r="AJ634" s="598" t="s">
        <v>1107</v>
      </c>
      <c r="AK634" s="598"/>
      <c r="AL634" s="626"/>
      <c r="AM634" s="626"/>
    </row>
    <row r="635" spans="3:39" ht="18" customHeight="1">
      <c r="C635" s="598">
        <v>615</v>
      </c>
      <c r="D635" s="598" t="s">
        <v>1241</v>
      </c>
      <c r="E635" s="598">
        <f t="shared" si="6"/>
        <v>576</v>
      </c>
      <c r="F635" s="616"/>
      <c r="G635" s="616" t="s">
        <v>4921</v>
      </c>
      <c r="H635" s="618" t="s">
        <v>1195</v>
      </c>
      <c r="I635" s="618" t="s">
        <v>254</v>
      </c>
      <c r="J635" s="618" t="s">
        <v>1241</v>
      </c>
      <c r="K635" s="618" t="s">
        <v>1241</v>
      </c>
      <c r="L635" s="618" t="s">
        <v>2214</v>
      </c>
      <c r="M635" s="619"/>
      <c r="N635" s="620"/>
      <c r="O635" s="620"/>
      <c r="P635" s="667" t="s">
        <v>1480</v>
      </c>
      <c r="Q635" s="621"/>
      <c r="R635" s="598" t="s">
        <v>173</v>
      </c>
      <c r="S635" s="598" t="s">
        <v>514</v>
      </c>
      <c r="T635" s="598"/>
      <c r="U635" s="598"/>
      <c r="V635" s="667" t="s">
        <v>254</v>
      </c>
      <c r="W635" s="779" t="s">
        <v>4922</v>
      </c>
      <c r="X635" s="598" t="s">
        <v>950</v>
      </c>
      <c r="Y635" s="624">
        <v>20283</v>
      </c>
      <c r="Z635" s="625">
        <f t="shared" ca="1" si="5"/>
        <v>70</v>
      </c>
      <c r="AA635" s="616" t="s">
        <v>1243</v>
      </c>
      <c r="AB635" s="598"/>
      <c r="AC635" s="598" t="s">
        <v>966</v>
      </c>
      <c r="AD635" s="598" t="s">
        <v>953</v>
      </c>
      <c r="AE635" s="616" t="s">
        <v>729</v>
      </c>
      <c r="AF635" s="616" t="s">
        <v>1239</v>
      </c>
      <c r="AG635" s="616" t="s">
        <v>1240</v>
      </c>
      <c r="AH635" s="598" t="s">
        <v>955</v>
      </c>
      <c r="AI635" s="598"/>
      <c r="AJ635" s="598"/>
      <c r="AK635" s="598"/>
      <c r="AL635" s="626"/>
      <c r="AM635" s="626"/>
    </row>
    <row r="636" spans="3:39" ht="18" customHeight="1">
      <c r="C636" s="598">
        <v>616</v>
      </c>
      <c r="D636" s="598" t="s">
        <v>2214</v>
      </c>
      <c r="E636" s="598">
        <f t="shared" si="6"/>
        <v>577</v>
      </c>
      <c r="F636" s="616" t="s">
        <v>4978</v>
      </c>
      <c r="G636" s="616" t="s">
        <v>4921</v>
      </c>
      <c r="H636" s="618" t="s">
        <v>1195</v>
      </c>
      <c r="I636" s="618" t="s">
        <v>254</v>
      </c>
      <c r="J636" s="618" t="s">
        <v>1241</v>
      </c>
      <c r="K636" s="618" t="s">
        <v>1241</v>
      </c>
      <c r="L636" s="618" t="s">
        <v>2214</v>
      </c>
      <c r="M636" s="619"/>
      <c r="N636" s="620"/>
      <c r="O636" s="620"/>
      <c r="P636" s="663" t="s">
        <v>1480</v>
      </c>
      <c r="Q636" s="621" t="s">
        <v>319</v>
      </c>
      <c r="R636" s="598" t="s">
        <v>69</v>
      </c>
      <c r="S636" s="598" t="s">
        <v>562</v>
      </c>
      <c r="T636" s="598"/>
      <c r="U636" s="598" t="s">
        <v>1015</v>
      </c>
      <c r="V636" s="663" t="s">
        <v>615</v>
      </c>
      <c r="W636" s="779" t="s">
        <v>2216</v>
      </c>
      <c r="X636" s="598" t="s">
        <v>950</v>
      </c>
      <c r="Y636" s="624">
        <v>26069</v>
      </c>
      <c r="Z636" s="625">
        <f t="shared" ref="Z636:Z710" ca="1" si="7">DATEDIF(Y636,TODAY(),"Y")</f>
        <v>54</v>
      </c>
      <c r="AA636" s="616" t="s">
        <v>2217</v>
      </c>
      <c r="AB636" s="598"/>
      <c r="AC636" s="598" t="s">
        <v>996</v>
      </c>
      <c r="AD636" s="598" t="s">
        <v>997</v>
      </c>
      <c r="AE636" s="616" t="s">
        <v>729</v>
      </c>
      <c r="AF636" s="640" t="s">
        <v>729</v>
      </c>
      <c r="AG636" s="640" t="s">
        <v>1252</v>
      </c>
      <c r="AH636" s="598"/>
      <c r="AI636" s="598"/>
      <c r="AJ636" s="598" t="s">
        <v>1318</v>
      </c>
      <c r="AK636" s="598"/>
      <c r="AL636" s="626"/>
      <c r="AM636" s="626"/>
    </row>
    <row r="637" spans="3:39" ht="18" customHeight="1">
      <c r="C637" s="598">
        <v>617</v>
      </c>
      <c r="D637" s="598" t="s">
        <v>1319</v>
      </c>
      <c r="E637" s="598">
        <f t="shared" si="6"/>
        <v>578</v>
      </c>
      <c r="F637" s="616" t="s">
        <v>4978</v>
      </c>
      <c r="G637" s="616" t="s">
        <v>4921</v>
      </c>
      <c r="H637" s="618" t="s">
        <v>1195</v>
      </c>
      <c r="I637" s="618" t="s">
        <v>254</v>
      </c>
      <c r="J637" s="618" t="s">
        <v>1241</v>
      </c>
      <c r="K637" s="618" t="s">
        <v>1241</v>
      </c>
      <c r="L637" s="618" t="s">
        <v>2214</v>
      </c>
      <c r="M637" s="619"/>
      <c r="N637" s="620"/>
      <c r="O637" s="620"/>
      <c r="P637" s="663" t="s">
        <v>1480</v>
      </c>
      <c r="Q637" s="621" t="s">
        <v>319</v>
      </c>
      <c r="R637" s="598"/>
      <c r="S637" s="598"/>
      <c r="T637" s="598"/>
      <c r="U637" s="598" t="s">
        <v>1015</v>
      </c>
      <c r="V637" s="663" t="s">
        <v>634</v>
      </c>
      <c r="W637" s="779" t="s">
        <v>1320</v>
      </c>
      <c r="X637" s="598" t="s">
        <v>950</v>
      </c>
      <c r="Y637" s="624">
        <v>21767</v>
      </c>
      <c r="Z637" s="625">
        <f t="shared" ca="1" si="7"/>
        <v>66</v>
      </c>
      <c r="AA637" s="616" t="s">
        <v>1321</v>
      </c>
      <c r="AB637" s="598"/>
      <c r="AC637" s="598" t="s">
        <v>996</v>
      </c>
      <c r="AD637" s="598" t="s">
        <v>997</v>
      </c>
      <c r="AE637" s="616" t="s">
        <v>729</v>
      </c>
      <c r="AF637" s="640" t="s">
        <v>729</v>
      </c>
      <c r="AG637" s="616" t="s">
        <v>1323</v>
      </c>
      <c r="AH637" s="598"/>
      <c r="AI637" s="598"/>
      <c r="AJ637" s="598" t="s">
        <v>1318</v>
      </c>
      <c r="AK637" s="598"/>
      <c r="AL637" s="626"/>
      <c r="AM637" s="626"/>
    </row>
    <row r="638" spans="3:39" ht="18" customHeight="1">
      <c r="C638" s="598">
        <v>618</v>
      </c>
      <c r="D638" s="598" t="s">
        <v>2037</v>
      </c>
      <c r="E638" s="598">
        <f t="shared" si="6"/>
        <v>579</v>
      </c>
      <c r="F638" s="616" t="s">
        <v>4978</v>
      </c>
      <c r="G638" s="616" t="s">
        <v>4921</v>
      </c>
      <c r="H638" s="618" t="s">
        <v>1195</v>
      </c>
      <c r="I638" s="618" t="s">
        <v>254</v>
      </c>
      <c r="J638" s="618" t="s">
        <v>1241</v>
      </c>
      <c r="K638" s="618" t="s">
        <v>1241</v>
      </c>
      <c r="L638" s="618" t="s">
        <v>2214</v>
      </c>
      <c r="M638" s="619"/>
      <c r="N638" s="620"/>
      <c r="O638" s="620"/>
      <c r="P638" s="663" t="s">
        <v>1480</v>
      </c>
      <c r="Q638" s="621" t="s">
        <v>319</v>
      </c>
      <c r="R638" s="598"/>
      <c r="S638" s="598"/>
      <c r="T638" s="598"/>
      <c r="U638" s="598" t="s">
        <v>1015</v>
      </c>
      <c r="V638" s="663" t="s">
        <v>652</v>
      </c>
      <c r="W638" s="779" t="s">
        <v>2038</v>
      </c>
      <c r="X638" s="598" t="s">
        <v>950</v>
      </c>
      <c r="Y638" s="624">
        <v>21805</v>
      </c>
      <c r="Z638" s="625">
        <f t="shared" ca="1" si="7"/>
        <v>66</v>
      </c>
      <c r="AA638" s="616" t="s">
        <v>2039</v>
      </c>
      <c r="AB638" s="598"/>
      <c r="AC638" s="598" t="s">
        <v>996</v>
      </c>
      <c r="AD638" s="598" t="s">
        <v>1018</v>
      </c>
      <c r="AE638" s="616" t="s">
        <v>729</v>
      </c>
      <c r="AF638" s="640" t="s">
        <v>729</v>
      </c>
      <c r="AG638" s="640" t="s">
        <v>1252</v>
      </c>
      <c r="AH638" s="598"/>
      <c r="AI638" s="598"/>
      <c r="AJ638" s="598" t="s">
        <v>1318</v>
      </c>
      <c r="AK638" s="598"/>
      <c r="AL638" s="626"/>
      <c r="AM638" s="626"/>
    </row>
    <row r="639" spans="3:39" ht="18" customHeight="1">
      <c r="C639" s="598">
        <v>619</v>
      </c>
      <c r="D639" s="598" t="s">
        <v>2046</v>
      </c>
      <c r="E639" s="598">
        <f t="shared" si="6"/>
        <v>580</v>
      </c>
      <c r="F639" s="616" t="s">
        <v>4978</v>
      </c>
      <c r="G639" s="616" t="s">
        <v>4921</v>
      </c>
      <c r="H639" s="618" t="s">
        <v>1195</v>
      </c>
      <c r="I639" s="618" t="s">
        <v>254</v>
      </c>
      <c r="J639" s="618" t="s">
        <v>1241</v>
      </c>
      <c r="K639" s="618" t="s">
        <v>1241</v>
      </c>
      <c r="L639" s="618" t="s">
        <v>2214</v>
      </c>
      <c r="M639" s="619"/>
      <c r="N639" s="620"/>
      <c r="O639" s="620"/>
      <c r="P639" s="663" t="s">
        <v>1480</v>
      </c>
      <c r="Q639" s="621" t="s">
        <v>319</v>
      </c>
      <c r="R639" s="598"/>
      <c r="S639" s="598"/>
      <c r="T639" s="598"/>
      <c r="U639" s="598" t="s">
        <v>1015</v>
      </c>
      <c r="V639" s="663" t="s">
        <v>671</v>
      </c>
      <c r="W639" s="779" t="s">
        <v>2047</v>
      </c>
      <c r="X639" s="598" t="s">
        <v>950</v>
      </c>
      <c r="Y639" s="624">
        <v>22122</v>
      </c>
      <c r="Z639" s="625">
        <f t="shared" ca="1" si="7"/>
        <v>65</v>
      </c>
      <c r="AA639" s="616" t="s">
        <v>2048</v>
      </c>
      <c r="AB639" s="598"/>
      <c r="AC639" s="598" t="s">
        <v>996</v>
      </c>
      <c r="AD639" s="598" t="s">
        <v>997</v>
      </c>
      <c r="AE639" s="616" t="s">
        <v>729</v>
      </c>
      <c r="AF639" s="640" t="s">
        <v>729</v>
      </c>
      <c r="AG639" s="616" t="s">
        <v>1764</v>
      </c>
      <c r="AH639" s="598"/>
      <c r="AI639" s="598"/>
      <c r="AJ639" s="598" t="s">
        <v>1318</v>
      </c>
      <c r="AK639" s="598"/>
      <c r="AL639" s="626"/>
      <c r="AM639" s="626"/>
    </row>
    <row r="640" spans="3:39" ht="18" customHeight="1">
      <c r="C640" s="598">
        <v>620</v>
      </c>
      <c r="D640" s="598" t="s">
        <v>1325</v>
      </c>
      <c r="E640" s="598">
        <f t="shared" si="6"/>
        <v>581</v>
      </c>
      <c r="F640" s="616" t="s">
        <v>4978</v>
      </c>
      <c r="G640" s="616" t="s">
        <v>4921</v>
      </c>
      <c r="H640" s="618" t="s">
        <v>1195</v>
      </c>
      <c r="I640" s="618" t="s">
        <v>254</v>
      </c>
      <c r="J640" s="618" t="s">
        <v>1241</v>
      </c>
      <c r="K640" s="618" t="s">
        <v>1241</v>
      </c>
      <c r="L640" s="618" t="s">
        <v>2214</v>
      </c>
      <c r="M640" s="619"/>
      <c r="N640" s="620"/>
      <c r="O640" s="620"/>
      <c r="P640" s="663" t="s">
        <v>1480</v>
      </c>
      <c r="Q640" s="621" t="s">
        <v>319</v>
      </c>
      <c r="R640" s="598"/>
      <c r="S640" s="598"/>
      <c r="T640" s="598"/>
      <c r="U640" s="598" t="s">
        <v>1015</v>
      </c>
      <c r="V640" s="663" t="s">
        <v>688</v>
      </c>
      <c r="W640" s="779" t="s">
        <v>1326</v>
      </c>
      <c r="X640" s="598" t="s">
        <v>950</v>
      </c>
      <c r="Y640" s="624">
        <v>23390</v>
      </c>
      <c r="Z640" s="625">
        <f t="shared" ca="1" si="7"/>
        <v>62</v>
      </c>
      <c r="AA640" s="616" t="s">
        <v>1327</v>
      </c>
      <c r="AB640" s="598"/>
      <c r="AC640" s="598" t="s">
        <v>996</v>
      </c>
      <c r="AD640" s="598" t="s">
        <v>1018</v>
      </c>
      <c r="AE640" s="616" t="s">
        <v>729</v>
      </c>
      <c r="AF640" s="640" t="s">
        <v>729</v>
      </c>
      <c r="AG640" s="616" t="s">
        <v>1329</v>
      </c>
      <c r="AH640" s="598"/>
      <c r="AI640" s="598"/>
      <c r="AJ640" s="598" t="s">
        <v>1318</v>
      </c>
      <c r="AK640" s="598"/>
      <c r="AL640" s="626"/>
      <c r="AM640" s="626"/>
    </row>
    <row r="641" spans="3:39" ht="18" customHeight="1">
      <c r="C641" s="598">
        <v>621</v>
      </c>
      <c r="D641" s="598" t="s">
        <v>2028</v>
      </c>
      <c r="E641" s="598">
        <f t="shared" si="6"/>
        <v>582</v>
      </c>
      <c r="F641" s="616" t="s">
        <v>4978</v>
      </c>
      <c r="G641" s="616" t="s">
        <v>4921</v>
      </c>
      <c r="H641" s="618" t="s">
        <v>1195</v>
      </c>
      <c r="I641" s="618" t="s">
        <v>254</v>
      </c>
      <c r="J641" s="618" t="s">
        <v>1241</v>
      </c>
      <c r="K641" s="618" t="s">
        <v>1241</v>
      </c>
      <c r="L641" s="618" t="s">
        <v>2214</v>
      </c>
      <c r="M641" s="619"/>
      <c r="N641" s="620"/>
      <c r="O641" s="620"/>
      <c r="P641" s="663" t="s">
        <v>1480</v>
      </c>
      <c r="Q641" s="621" t="s">
        <v>319</v>
      </c>
      <c r="R641" s="598"/>
      <c r="S641" s="598"/>
      <c r="T641" s="598"/>
      <c r="U641" s="598" t="s">
        <v>1015</v>
      </c>
      <c r="V641" s="663" t="s">
        <v>703</v>
      </c>
      <c r="W641" s="779" t="s">
        <v>2030</v>
      </c>
      <c r="X641" s="598" t="s">
        <v>950</v>
      </c>
      <c r="Y641" s="624">
        <v>26671</v>
      </c>
      <c r="Z641" s="625">
        <f t="shared" ca="1" si="7"/>
        <v>53</v>
      </c>
      <c r="AA641" s="616" t="s">
        <v>2031</v>
      </c>
      <c r="AB641" s="598"/>
      <c r="AC641" s="598" t="s">
        <v>996</v>
      </c>
      <c r="AD641" s="598" t="s">
        <v>997</v>
      </c>
      <c r="AE641" s="616" t="s">
        <v>729</v>
      </c>
      <c r="AF641" s="640" t="s">
        <v>729</v>
      </c>
      <c r="AG641" s="640" t="s">
        <v>1252</v>
      </c>
      <c r="AH641" s="598"/>
      <c r="AI641" s="598"/>
      <c r="AJ641" s="598" t="s">
        <v>1318</v>
      </c>
      <c r="AK641" s="598"/>
      <c r="AL641" s="626"/>
      <c r="AM641" s="626"/>
    </row>
    <row r="642" spans="3:39" ht="18" customHeight="1">
      <c r="C642" s="598">
        <v>622</v>
      </c>
      <c r="D642" s="598" t="s">
        <v>2241</v>
      </c>
      <c r="E642" s="598">
        <f t="shared" si="6"/>
        <v>583</v>
      </c>
      <c r="F642" s="616" t="s">
        <v>1351</v>
      </c>
      <c r="G642" s="616" t="s">
        <v>4921</v>
      </c>
      <c r="H642" s="618" t="s">
        <v>1195</v>
      </c>
      <c r="I642" s="618" t="s">
        <v>254</v>
      </c>
      <c r="J642" s="618" t="s">
        <v>1241</v>
      </c>
      <c r="K642" s="618" t="s">
        <v>1241</v>
      </c>
      <c r="L642" s="618" t="s">
        <v>2214</v>
      </c>
      <c r="M642" s="619"/>
      <c r="N642" s="620"/>
      <c r="O642" s="620"/>
      <c r="P642" s="663" t="s">
        <v>1480</v>
      </c>
      <c r="Q642" s="621" t="s">
        <v>319</v>
      </c>
      <c r="R642" s="598"/>
      <c r="S642" s="598"/>
      <c r="T642" s="598"/>
      <c r="U642" s="598" t="s">
        <v>1015</v>
      </c>
      <c r="V642" s="663" t="s">
        <v>2242</v>
      </c>
      <c r="W642" s="779" t="s">
        <v>2243</v>
      </c>
      <c r="X642" s="598" t="s">
        <v>950</v>
      </c>
      <c r="Y642" s="624">
        <v>23348</v>
      </c>
      <c r="Z642" s="625">
        <f t="shared" ca="1" si="7"/>
        <v>62</v>
      </c>
      <c r="AA642" s="616" t="s">
        <v>2244</v>
      </c>
      <c r="AB642" s="598"/>
      <c r="AC642" s="598" t="s">
        <v>996</v>
      </c>
      <c r="AD642" s="598" t="s">
        <v>1018</v>
      </c>
      <c r="AE642" s="616" t="s">
        <v>729</v>
      </c>
      <c r="AF642" s="616" t="s">
        <v>729</v>
      </c>
      <c r="AG642" s="640" t="s">
        <v>1252</v>
      </c>
      <c r="AH642" s="598"/>
      <c r="AI642" s="598"/>
      <c r="AJ642" s="700" t="s">
        <v>1446</v>
      </c>
      <c r="AK642" s="598"/>
      <c r="AL642" s="626"/>
      <c r="AM642" s="626"/>
    </row>
    <row r="643" spans="3:39" ht="18" customHeight="1">
      <c r="C643" s="598">
        <v>623</v>
      </c>
      <c r="D643" s="598" t="s">
        <v>2379</v>
      </c>
      <c r="E643" s="598">
        <f t="shared" si="6"/>
        <v>584</v>
      </c>
      <c r="F643" s="616" t="s">
        <v>4978</v>
      </c>
      <c r="G643" s="616" t="s">
        <v>4921</v>
      </c>
      <c r="H643" s="618" t="s">
        <v>1195</v>
      </c>
      <c r="I643" s="618" t="s">
        <v>254</v>
      </c>
      <c r="J643" s="618" t="s">
        <v>1241</v>
      </c>
      <c r="K643" s="618" t="s">
        <v>1241</v>
      </c>
      <c r="L643" s="618" t="s">
        <v>2214</v>
      </c>
      <c r="M643" s="619"/>
      <c r="N643" s="620"/>
      <c r="O643" s="620"/>
      <c r="P643" s="673" t="s">
        <v>1480</v>
      </c>
      <c r="Q643" s="621" t="s">
        <v>319</v>
      </c>
      <c r="R643" s="598"/>
      <c r="S643" s="598"/>
      <c r="T643" s="598"/>
      <c r="U643" s="598" t="s">
        <v>1015</v>
      </c>
      <c r="V643" s="673" t="s">
        <v>2380</v>
      </c>
      <c r="W643" s="779" t="s">
        <v>2381</v>
      </c>
      <c r="X643" s="598" t="s">
        <v>950</v>
      </c>
      <c r="Y643" s="624">
        <v>25538</v>
      </c>
      <c r="Z643" s="625">
        <f t="shared" ca="1" si="7"/>
        <v>56</v>
      </c>
      <c r="AA643" s="616" t="s">
        <v>2382</v>
      </c>
      <c r="AB643" s="598"/>
      <c r="AC643" s="598" t="s">
        <v>996</v>
      </c>
      <c r="AD643" s="598" t="s">
        <v>1018</v>
      </c>
      <c r="AE643" s="616" t="s">
        <v>729</v>
      </c>
      <c r="AF643" s="616" t="s">
        <v>729</v>
      </c>
      <c r="AG643" s="616" t="s">
        <v>1899</v>
      </c>
      <c r="AH643" s="598" t="s">
        <v>1775</v>
      </c>
      <c r="AI643" s="598" t="s">
        <v>2383</v>
      </c>
      <c r="AJ643" s="598" t="s">
        <v>1114</v>
      </c>
      <c r="AK643" s="598"/>
      <c r="AL643" s="626"/>
      <c r="AM643" s="626"/>
    </row>
    <row r="644" spans="3:39" ht="18" customHeight="1">
      <c r="C644" s="598">
        <v>624</v>
      </c>
      <c r="D644" s="598" t="s">
        <v>1403</v>
      </c>
      <c r="E644" s="598">
        <f t="shared" si="6"/>
        <v>585</v>
      </c>
      <c r="F644" s="616" t="s">
        <v>4978</v>
      </c>
      <c r="G644" s="616" t="s">
        <v>4921</v>
      </c>
      <c r="H644" s="618" t="s">
        <v>1195</v>
      </c>
      <c r="I644" s="618" t="s">
        <v>254</v>
      </c>
      <c r="J644" s="618" t="s">
        <v>1241</v>
      </c>
      <c r="K644" s="618" t="s">
        <v>1403</v>
      </c>
      <c r="L644" s="618"/>
      <c r="M644" s="619"/>
      <c r="N644" s="620"/>
      <c r="O644" s="620"/>
      <c r="P644" s="667" t="s">
        <v>1515</v>
      </c>
      <c r="Q644" s="621"/>
      <c r="R644" s="598" t="s">
        <v>55</v>
      </c>
      <c r="S644" s="598" t="s">
        <v>178</v>
      </c>
      <c r="T644" s="598"/>
      <c r="U644" s="598" t="s">
        <v>1015</v>
      </c>
      <c r="V644" s="667" t="s">
        <v>606</v>
      </c>
      <c r="W644" s="779" t="s">
        <v>1406</v>
      </c>
      <c r="X644" s="598" t="s">
        <v>950</v>
      </c>
      <c r="Y644" s="624">
        <v>28783</v>
      </c>
      <c r="Z644" s="625">
        <f t="shared" ca="1" si="7"/>
        <v>47</v>
      </c>
      <c r="AA644" s="616" t="s">
        <v>1407</v>
      </c>
      <c r="AB644" s="742"/>
      <c r="AC644" s="598" t="s">
        <v>996</v>
      </c>
      <c r="AD644" s="598" t="s">
        <v>997</v>
      </c>
      <c r="AE644" s="616" t="s">
        <v>729</v>
      </c>
      <c r="AF644" s="616" t="s">
        <v>1250</v>
      </c>
      <c r="AG644" s="616" t="s">
        <v>1409</v>
      </c>
      <c r="AH644" s="598"/>
      <c r="AI644" s="598"/>
      <c r="AJ644" s="598" t="s">
        <v>1114</v>
      </c>
      <c r="AK644" s="598"/>
      <c r="AL644" s="626"/>
      <c r="AM644" s="626"/>
    </row>
    <row r="645" spans="3:39" ht="18" customHeight="1">
      <c r="C645" s="598">
        <v>625</v>
      </c>
      <c r="D645" s="598" t="s">
        <v>2065</v>
      </c>
      <c r="E645" s="598">
        <f t="shared" si="6"/>
        <v>586</v>
      </c>
      <c r="F645" s="616" t="s">
        <v>4978</v>
      </c>
      <c r="G645" s="616" t="s">
        <v>4921</v>
      </c>
      <c r="H645" s="618" t="s">
        <v>1195</v>
      </c>
      <c r="I645" s="618" t="s">
        <v>254</v>
      </c>
      <c r="J645" s="618" t="s">
        <v>1241</v>
      </c>
      <c r="K645" s="618" t="s">
        <v>1403</v>
      </c>
      <c r="L645" s="618"/>
      <c r="M645" s="619"/>
      <c r="N645" s="620"/>
      <c r="O645" s="620"/>
      <c r="P645" s="663" t="s">
        <v>1515</v>
      </c>
      <c r="Q645" s="621"/>
      <c r="R645" s="598"/>
      <c r="S645" s="598"/>
      <c r="T645" s="598"/>
      <c r="U645" s="598" t="s">
        <v>1090</v>
      </c>
      <c r="V645" s="663" t="s">
        <v>616</v>
      </c>
      <c r="W645" s="779" t="s">
        <v>5004</v>
      </c>
      <c r="X645" s="598" t="s">
        <v>950</v>
      </c>
      <c r="Y645" s="624">
        <v>19196</v>
      </c>
      <c r="Z645" s="625">
        <f t="shared" ca="1" si="7"/>
        <v>73</v>
      </c>
      <c r="AA645" s="616" t="s">
        <v>2067</v>
      </c>
      <c r="AB645" s="598"/>
      <c r="AC645" s="598" t="s">
        <v>996</v>
      </c>
      <c r="AD645" s="598" t="s">
        <v>997</v>
      </c>
      <c r="AE645" s="616" t="s">
        <v>2069</v>
      </c>
      <c r="AF645" s="616" t="s">
        <v>2069</v>
      </c>
      <c r="AG645" s="616" t="s">
        <v>2070</v>
      </c>
      <c r="AH645" s="598"/>
      <c r="AI645" s="598"/>
      <c r="AJ645" s="598" t="s">
        <v>1114</v>
      </c>
      <c r="AK645" s="598"/>
      <c r="AL645" s="626"/>
      <c r="AM645" s="626"/>
    </row>
    <row r="646" spans="3:39" ht="18" customHeight="1">
      <c r="C646" s="598">
        <v>626</v>
      </c>
      <c r="D646" s="598" t="s">
        <v>2041</v>
      </c>
      <c r="E646" s="598">
        <f t="shared" si="6"/>
        <v>587</v>
      </c>
      <c r="F646" s="616" t="s">
        <v>4978</v>
      </c>
      <c r="G646" s="616" t="s">
        <v>4921</v>
      </c>
      <c r="H646" s="618" t="s">
        <v>1195</v>
      </c>
      <c r="I646" s="618" t="s">
        <v>254</v>
      </c>
      <c r="J646" s="618" t="s">
        <v>1241</v>
      </c>
      <c r="K646" s="618" t="s">
        <v>1403</v>
      </c>
      <c r="L646" s="618"/>
      <c r="M646" s="619"/>
      <c r="N646" s="620"/>
      <c r="O646" s="620"/>
      <c r="P646" s="663" t="s">
        <v>1515</v>
      </c>
      <c r="Q646" s="621"/>
      <c r="R646" s="598"/>
      <c r="S646" s="598"/>
      <c r="T646" s="598"/>
      <c r="U646" s="598" t="s">
        <v>1015</v>
      </c>
      <c r="V646" s="663" t="s">
        <v>635</v>
      </c>
      <c r="W646" s="779" t="s">
        <v>2042</v>
      </c>
      <c r="X646" s="598" t="s">
        <v>950</v>
      </c>
      <c r="Y646" s="624">
        <v>22484</v>
      </c>
      <c r="Z646" s="625">
        <f t="shared" ca="1" si="7"/>
        <v>64</v>
      </c>
      <c r="AA646" s="616" t="s">
        <v>2043</v>
      </c>
      <c r="AB646" s="598"/>
      <c r="AC646" s="598" t="s">
        <v>996</v>
      </c>
      <c r="AD646" s="598" t="s">
        <v>997</v>
      </c>
      <c r="AE646" s="616" t="s">
        <v>729</v>
      </c>
      <c r="AF646" s="616" t="s">
        <v>1494</v>
      </c>
      <c r="AG646" s="616" t="s">
        <v>2045</v>
      </c>
      <c r="AH646" s="598"/>
      <c r="AI646" s="598"/>
      <c r="AJ646" s="598" t="s">
        <v>1114</v>
      </c>
      <c r="AK646" s="598"/>
      <c r="AL646" s="626"/>
      <c r="AM646" s="626"/>
    </row>
    <row r="647" spans="3:39" ht="18" customHeight="1">
      <c r="C647" s="598">
        <v>627</v>
      </c>
      <c r="D647" s="598" t="s">
        <v>4923</v>
      </c>
      <c r="E647" s="598">
        <f t="shared" si="6"/>
        <v>588</v>
      </c>
      <c r="F647" s="616" t="s">
        <v>4978</v>
      </c>
      <c r="G647" s="616" t="s">
        <v>4921</v>
      </c>
      <c r="H647" s="618" t="s">
        <v>1195</v>
      </c>
      <c r="I647" s="618" t="s">
        <v>254</v>
      </c>
      <c r="J647" s="618" t="s">
        <v>1241</v>
      </c>
      <c r="K647" s="618" t="s">
        <v>1403</v>
      </c>
      <c r="L647" s="618"/>
      <c r="M647" s="619"/>
      <c r="N647" s="620"/>
      <c r="O647" s="620"/>
      <c r="P647" s="673" t="s">
        <v>1515</v>
      </c>
      <c r="Q647" s="621"/>
      <c r="R647" s="598"/>
      <c r="S647" s="598"/>
      <c r="T647" s="598"/>
      <c r="U647" s="598" t="s">
        <v>1015</v>
      </c>
      <c r="V647" s="673" t="s">
        <v>672</v>
      </c>
      <c r="W647" s="779" t="s">
        <v>4924</v>
      </c>
      <c r="X647" s="598" t="s">
        <v>950</v>
      </c>
      <c r="Y647" s="624">
        <v>26250</v>
      </c>
      <c r="Z647" s="625">
        <f t="shared" ca="1" si="7"/>
        <v>54</v>
      </c>
      <c r="AA647" s="616" t="s">
        <v>4925</v>
      </c>
      <c r="AB647" s="598"/>
      <c r="AC647" s="598" t="s">
        <v>996</v>
      </c>
      <c r="AD647" s="598" t="s">
        <v>1018</v>
      </c>
      <c r="AE647" s="616" t="s">
        <v>729</v>
      </c>
      <c r="AF647" s="640" t="s">
        <v>729</v>
      </c>
      <c r="AG647" s="616" t="s">
        <v>1962</v>
      </c>
      <c r="AH647" s="598"/>
      <c r="AI647" s="598" t="s">
        <v>4702</v>
      </c>
      <c r="AJ647" s="598" t="s">
        <v>1114</v>
      </c>
      <c r="AK647" s="598"/>
      <c r="AL647" s="626"/>
      <c r="AM647" s="626"/>
    </row>
    <row r="648" spans="3:39" ht="18" customHeight="1">
      <c r="C648" s="598">
        <v>628</v>
      </c>
      <c r="D648" s="598" t="s">
        <v>1923</v>
      </c>
      <c r="E648" s="598">
        <f t="shared" si="6"/>
        <v>588</v>
      </c>
      <c r="F648" s="616"/>
      <c r="G648" s="616" t="s">
        <v>4921</v>
      </c>
      <c r="H648" s="618" t="s">
        <v>1195</v>
      </c>
      <c r="I648" s="618" t="s">
        <v>254</v>
      </c>
      <c r="J648" s="618" t="s">
        <v>1241</v>
      </c>
      <c r="K648" s="618" t="s">
        <v>1923</v>
      </c>
      <c r="L648" s="618" t="s">
        <v>959</v>
      </c>
      <c r="M648" s="619"/>
      <c r="N648" s="620"/>
      <c r="O648" s="620"/>
      <c r="P648" s="667" t="s">
        <v>1529</v>
      </c>
      <c r="Q648" s="621"/>
      <c r="R648" s="598" t="s">
        <v>55</v>
      </c>
      <c r="S648" s="598" t="s">
        <v>178</v>
      </c>
      <c r="T648" s="598"/>
      <c r="U648" s="598"/>
      <c r="V648" s="667" t="s">
        <v>299</v>
      </c>
      <c r="W648" s="779" t="s">
        <v>1925</v>
      </c>
      <c r="X648" s="598" t="s">
        <v>950</v>
      </c>
      <c r="Y648" s="624">
        <v>22549</v>
      </c>
      <c r="Z648" s="625">
        <f t="shared" ca="1" si="7"/>
        <v>64</v>
      </c>
      <c r="AA648" s="654" t="s">
        <v>1926</v>
      </c>
      <c r="AB648" s="598"/>
      <c r="AC648" s="598" t="s">
        <v>966</v>
      </c>
      <c r="AD648" s="598" t="s">
        <v>953</v>
      </c>
      <c r="AE648" s="616" t="s">
        <v>729</v>
      </c>
      <c r="AF648" s="616" t="s">
        <v>729</v>
      </c>
      <c r="AG648" s="616" t="s">
        <v>1928</v>
      </c>
      <c r="AH648" s="598" t="s">
        <v>955</v>
      </c>
      <c r="AI648" s="598"/>
      <c r="AJ648" s="598"/>
      <c r="AK648" s="598"/>
      <c r="AL648" s="626"/>
      <c r="AM648" s="626"/>
    </row>
    <row r="649" spans="3:39" ht="18" customHeight="1">
      <c r="C649" s="598">
        <v>629</v>
      </c>
      <c r="D649" s="598" t="s">
        <v>2474</v>
      </c>
      <c r="E649" s="598">
        <f t="shared" si="6"/>
        <v>589</v>
      </c>
      <c r="F649" s="616" t="s">
        <v>4978</v>
      </c>
      <c r="G649" s="616" t="s">
        <v>4921</v>
      </c>
      <c r="H649" s="618" t="s">
        <v>1195</v>
      </c>
      <c r="I649" s="618" t="s">
        <v>254</v>
      </c>
      <c r="J649" s="618" t="s">
        <v>1241</v>
      </c>
      <c r="K649" s="618" t="s">
        <v>1923</v>
      </c>
      <c r="L649" s="618" t="s">
        <v>2474</v>
      </c>
      <c r="M649" s="619" t="s">
        <v>4928</v>
      </c>
      <c r="N649" s="620"/>
      <c r="O649" s="620"/>
      <c r="P649" s="663" t="s">
        <v>1529</v>
      </c>
      <c r="Q649" s="621"/>
      <c r="R649" s="598" t="s">
        <v>69</v>
      </c>
      <c r="S649" s="598" t="s">
        <v>562</v>
      </c>
      <c r="T649" s="598"/>
      <c r="U649" s="598" t="s">
        <v>1090</v>
      </c>
      <c r="V649" s="663" t="s">
        <v>617</v>
      </c>
      <c r="W649" s="779" t="s">
        <v>2475</v>
      </c>
      <c r="X649" s="598" t="s">
        <v>950</v>
      </c>
      <c r="Y649" s="624">
        <v>20098</v>
      </c>
      <c r="Z649" s="625">
        <f t="shared" ca="1" si="7"/>
        <v>71</v>
      </c>
      <c r="AA649" s="616" t="s">
        <v>2476</v>
      </c>
      <c r="AB649" s="598"/>
      <c r="AC649" s="598" t="s">
        <v>996</v>
      </c>
      <c r="AD649" s="598" t="s">
        <v>997</v>
      </c>
      <c r="AE649" s="616" t="s">
        <v>729</v>
      </c>
      <c r="AF649" s="640" t="s">
        <v>729</v>
      </c>
      <c r="AG649" s="616" t="s">
        <v>2478</v>
      </c>
      <c r="AH649" s="598"/>
      <c r="AI649" s="598"/>
      <c r="AJ649" s="598" t="s">
        <v>1452</v>
      </c>
      <c r="AK649" s="598"/>
      <c r="AL649" s="626"/>
      <c r="AM649" s="626"/>
    </row>
    <row r="650" spans="3:39" ht="18" customHeight="1">
      <c r="C650" s="598">
        <v>630</v>
      </c>
      <c r="D650" s="598" t="s">
        <v>4928</v>
      </c>
      <c r="E650" s="598">
        <f t="shared" si="6"/>
        <v>590</v>
      </c>
      <c r="F650" s="616" t="s">
        <v>4978</v>
      </c>
      <c r="G650" s="616" t="s">
        <v>4921</v>
      </c>
      <c r="H650" s="618" t="s">
        <v>1195</v>
      </c>
      <c r="I650" s="618" t="s">
        <v>254</v>
      </c>
      <c r="J650" s="618" t="s">
        <v>1241</v>
      </c>
      <c r="K650" s="618" t="s">
        <v>1923</v>
      </c>
      <c r="L650" s="618" t="s">
        <v>2474</v>
      </c>
      <c r="M650" s="619" t="s">
        <v>4928</v>
      </c>
      <c r="N650" s="620"/>
      <c r="O650" s="620"/>
      <c r="P650" s="663" t="s">
        <v>1529</v>
      </c>
      <c r="Q650" s="621"/>
      <c r="R650" s="598" t="s">
        <v>69</v>
      </c>
      <c r="S650" s="598" t="s">
        <v>562</v>
      </c>
      <c r="T650" s="598"/>
      <c r="U650" s="598" t="s">
        <v>1015</v>
      </c>
      <c r="V650" s="663" t="s">
        <v>636</v>
      </c>
      <c r="W650" s="779" t="s">
        <v>4929</v>
      </c>
      <c r="X650" s="598" t="s">
        <v>950</v>
      </c>
      <c r="Y650" s="624">
        <v>27355</v>
      </c>
      <c r="Z650" s="625">
        <f t="shared" ca="1" si="7"/>
        <v>51</v>
      </c>
      <c r="AA650" s="616" t="s">
        <v>4930</v>
      </c>
      <c r="AB650" s="598"/>
      <c r="AC650" s="598" t="s">
        <v>996</v>
      </c>
      <c r="AD650" s="598" t="s">
        <v>997</v>
      </c>
      <c r="AE650" s="616" t="s">
        <v>729</v>
      </c>
      <c r="AF650" s="640" t="s">
        <v>729</v>
      </c>
      <c r="AG650" s="616" t="s">
        <v>4932</v>
      </c>
      <c r="AH650" s="598"/>
      <c r="AI650" s="598"/>
      <c r="AJ650" s="598" t="s">
        <v>1452</v>
      </c>
      <c r="AK650" s="598"/>
      <c r="AL650" s="626"/>
      <c r="AM650" s="626"/>
    </row>
    <row r="651" spans="3:39" ht="18" customHeight="1">
      <c r="C651" s="598">
        <v>631</v>
      </c>
      <c r="D651" s="598" t="s">
        <v>2479</v>
      </c>
      <c r="E651" s="598">
        <f t="shared" si="6"/>
        <v>591</v>
      </c>
      <c r="F651" s="616" t="s">
        <v>4978</v>
      </c>
      <c r="G651" s="616" t="s">
        <v>4921</v>
      </c>
      <c r="H651" s="618" t="s">
        <v>1195</v>
      </c>
      <c r="I651" s="618" t="s">
        <v>254</v>
      </c>
      <c r="J651" s="618" t="s">
        <v>1241</v>
      </c>
      <c r="K651" s="618" t="s">
        <v>1923</v>
      </c>
      <c r="L651" s="618" t="s">
        <v>2474</v>
      </c>
      <c r="M651" s="619" t="s">
        <v>4928</v>
      </c>
      <c r="N651" s="620"/>
      <c r="O651" s="620"/>
      <c r="P651" s="663" t="s">
        <v>1529</v>
      </c>
      <c r="Q651" s="621"/>
      <c r="R651" s="598"/>
      <c r="S651" s="598"/>
      <c r="T651" s="598"/>
      <c r="U651" s="598" t="s">
        <v>1090</v>
      </c>
      <c r="V651" s="663" t="s">
        <v>654</v>
      </c>
      <c r="W651" s="779" t="s">
        <v>2480</v>
      </c>
      <c r="X651" s="598" t="s">
        <v>950</v>
      </c>
      <c r="Y651" s="624">
        <v>15828</v>
      </c>
      <c r="Z651" s="625">
        <f t="shared" ca="1" si="7"/>
        <v>82</v>
      </c>
      <c r="AA651" s="616" t="s">
        <v>2481</v>
      </c>
      <c r="AB651" s="598"/>
      <c r="AC651" s="598" t="s">
        <v>996</v>
      </c>
      <c r="AD651" s="598" t="s">
        <v>997</v>
      </c>
      <c r="AE651" s="616" t="s">
        <v>729</v>
      </c>
      <c r="AF651" s="640" t="s">
        <v>729</v>
      </c>
      <c r="AG651" s="616" t="s">
        <v>2483</v>
      </c>
      <c r="AH651" s="598"/>
      <c r="AI651" s="598"/>
      <c r="AJ651" s="598" t="s">
        <v>1452</v>
      </c>
      <c r="AK651" s="598"/>
      <c r="AL651" s="626"/>
      <c r="AM651" s="626"/>
    </row>
    <row r="652" spans="3:39" ht="18" customHeight="1">
      <c r="C652" s="598">
        <v>632</v>
      </c>
      <c r="D652" s="598" t="s">
        <v>2493</v>
      </c>
      <c r="E652" s="598">
        <f t="shared" si="6"/>
        <v>592</v>
      </c>
      <c r="F652" s="616" t="s">
        <v>4978</v>
      </c>
      <c r="G652" s="616" t="s">
        <v>4921</v>
      </c>
      <c r="H652" s="618" t="s">
        <v>1195</v>
      </c>
      <c r="I652" s="618" t="s">
        <v>254</v>
      </c>
      <c r="J652" s="618" t="s">
        <v>1241</v>
      </c>
      <c r="K652" s="618" t="s">
        <v>1923</v>
      </c>
      <c r="L652" s="618" t="s">
        <v>2474</v>
      </c>
      <c r="M652" s="619" t="s">
        <v>4928</v>
      </c>
      <c r="N652" s="620"/>
      <c r="O652" s="620"/>
      <c r="P652" s="663" t="s">
        <v>1529</v>
      </c>
      <c r="Q652" s="621"/>
      <c r="R652" s="598"/>
      <c r="S652" s="598"/>
      <c r="T652" s="598"/>
      <c r="U652" s="598" t="s">
        <v>1015</v>
      </c>
      <c r="V652" s="663" t="s">
        <v>673</v>
      </c>
      <c r="W652" s="779" t="s">
        <v>2494</v>
      </c>
      <c r="X652" s="598" t="s">
        <v>950</v>
      </c>
      <c r="Y652" s="624">
        <v>21451</v>
      </c>
      <c r="Z652" s="625">
        <f t="shared" ca="1" si="7"/>
        <v>67</v>
      </c>
      <c r="AA652" s="616" t="s">
        <v>2495</v>
      </c>
      <c r="AB652" s="598"/>
      <c r="AC652" s="598" t="s">
        <v>996</v>
      </c>
      <c r="AD652" s="598" t="s">
        <v>997</v>
      </c>
      <c r="AE652" s="616" t="s">
        <v>729</v>
      </c>
      <c r="AF652" s="640" t="s">
        <v>729</v>
      </c>
      <c r="AG652" s="616" t="s">
        <v>2497</v>
      </c>
      <c r="AH652" s="598"/>
      <c r="AI652" s="598"/>
      <c r="AJ652" s="598" t="s">
        <v>1452</v>
      </c>
      <c r="AK652" s="598"/>
      <c r="AL652" s="626"/>
      <c r="AM652" s="626"/>
    </row>
    <row r="653" spans="3:39" ht="18" customHeight="1">
      <c r="C653" s="598">
        <v>633</v>
      </c>
      <c r="D653" s="598" t="s">
        <v>2550</v>
      </c>
      <c r="E653" s="598">
        <f t="shared" si="6"/>
        <v>593</v>
      </c>
      <c r="F653" s="616" t="s">
        <v>4978</v>
      </c>
      <c r="G653" s="616" t="s">
        <v>4921</v>
      </c>
      <c r="H653" s="618" t="s">
        <v>1195</v>
      </c>
      <c r="I653" s="618" t="s">
        <v>254</v>
      </c>
      <c r="J653" s="618" t="s">
        <v>1241</v>
      </c>
      <c r="K653" s="618" t="s">
        <v>1923</v>
      </c>
      <c r="L653" s="618" t="s">
        <v>2474</v>
      </c>
      <c r="M653" s="619" t="s">
        <v>4928</v>
      </c>
      <c r="N653" s="620"/>
      <c r="O653" s="620"/>
      <c r="P653" s="663" t="s">
        <v>1529</v>
      </c>
      <c r="Q653" s="621"/>
      <c r="R653" s="598"/>
      <c r="S653" s="598"/>
      <c r="T653" s="598"/>
      <c r="U653" s="598" t="s">
        <v>1015</v>
      </c>
      <c r="V653" s="663" t="s">
        <v>689</v>
      </c>
      <c r="W653" s="779" t="s">
        <v>2551</v>
      </c>
      <c r="X653" s="598" t="s">
        <v>950</v>
      </c>
      <c r="Y653" s="624">
        <v>25299</v>
      </c>
      <c r="Z653" s="625">
        <f t="shared" ca="1" si="7"/>
        <v>56</v>
      </c>
      <c r="AA653" s="616" t="s">
        <v>2552</v>
      </c>
      <c r="AB653" s="598"/>
      <c r="AC653" s="598" t="s">
        <v>996</v>
      </c>
      <c r="AD653" s="598" t="s">
        <v>997</v>
      </c>
      <c r="AE653" s="616" t="s">
        <v>729</v>
      </c>
      <c r="AF653" s="640" t="s">
        <v>729</v>
      </c>
      <c r="AG653" s="616" t="s">
        <v>2554</v>
      </c>
      <c r="AH653" s="598"/>
      <c r="AI653" s="598"/>
      <c r="AJ653" s="598" t="s">
        <v>1452</v>
      </c>
      <c r="AK653" s="598"/>
      <c r="AL653" s="626"/>
      <c r="AM653" s="626"/>
    </row>
    <row r="654" spans="3:39" ht="18" customHeight="1">
      <c r="C654" s="598">
        <v>634</v>
      </c>
      <c r="D654" s="598" t="s">
        <v>2469</v>
      </c>
      <c r="E654" s="598">
        <f t="shared" si="6"/>
        <v>594</v>
      </c>
      <c r="F654" s="616" t="s">
        <v>4978</v>
      </c>
      <c r="G654" s="616" t="s">
        <v>4921</v>
      </c>
      <c r="H654" s="618" t="s">
        <v>1195</v>
      </c>
      <c r="I654" s="618" t="s">
        <v>254</v>
      </c>
      <c r="J654" s="618" t="s">
        <v>1241</v>
      </c>
      <c r="K654" s="618" t="s">
        <v>1923</v>
      </c>
      <c r="L654" s="618" t="s">
        <v>2474</v>
      </c>
      <c r="M654" s="619" t="s">
        <v>4928</v>
      </c>
      <c r="N654" s="620"/>
      <c r="O654" s="620"/>
      <c r="P654" s="663" t="s">
        <v>1529</v>
      </c>
      <c r="Q654" s="621"/>
      <c r="R654" s="598"/>
      <c r="S654" s="598"/>
      <c r="T654" s="598"/>
      <c r="U654" s="598" t="s">
        <v>1015</v>
      </c>
      <c r="V654" s="663" t="s">
        <v>704</v>
      </c>
      <c r="W654" s="779" t="s">
        <v>2470</v>
      </c>
      <c r="X654" s="598" t="s">
        <v>950</v>
      </c>
      <c r="Y654" s="624">
        <v>29981</v>
      </c>
      <c r="Z654" s="625">
        <f t="shared" ca="1" si="7"/>
        <v>44</v>
      </c>
      <c r="AA654" s="616" t="s">
        <v>2471</v>
      </c>
      <c r="AB654" s="598"/>
      <c r="AC654" s="598" t="s">
        <v>996</v>
      </c>
      <c r="AD654" s="598" t="s">
        <v>997</v>
      </c>
      <c r="AE654" s="616" t="s">
        <v>729</v>
      </c>
      <c r="AF654" s="640" t="s">
        <v>729</v>
      </c>
      <c r="AG654" s="616" t="s">
        <v>2473</v>
      </c>
      <c r="AH654" s="598"/>
      <c r="AI654" s="598"/>
      <c r="AJ654" s="598" t="s">
        <v>1452</v>
      </c>
      <c r="AK654" s="598"/>
      <c r="AL654" s="626"/>
      <c r="AM654" s="626"/>
    </row>
    <row r="655" spans="3:39" ht="18" customHeight="1">
      <c r="C655" s="598">
        <v>635</v>
      </c>
      <c r="D655" s="598" t="s">
        <v>2464</v>
      </c>
      <c r="E655" s="598">
        <f t="shared" si="6"/>
        <v>595</v>
      </c>
      <c r="F655" s="616" t="s">
        <v>4978</v>
      </c>
      <c r="G655" s="616" t="s">
        <v>4921</v>
      </c>
      <c r="H655" s="618" t="s">
        <v>1195</v>
      </c>
      <c r="I655" s="618" t="s">
        <v>254</v>
      </c>
      <c r="J655" s="618" t="s">
        <v>1241</v>
      </c>
      <c r="K655" s="618" t="s">
        <v>1923</v>
      </c>
      <c r="L655" s="618" t="s">
        <v>2474</v>
      </c>
      <c r="M655" s="619" t="s">
        <v>4928</v>
      </c>
      <c r="N655" s="620"/>
      <c r="O655" s="620"/>
      <c r="P655" s="663" t="s">
        <v>1529</v>
      </c>
      <c r="Q655" s="621"/>
      <c r="R655" s="598"/>
      <c r="S655" s="598"/>
      <c r="T655" s="598"/>
      <c r="U655" s="598" t="s">
        <v>1015</v>
      </c>
      <c r="V655" s="663" t="s">
        <v>712</v>
      </c>
      <c r="W655" s="779" t="s">
        <v>2465</v>
      </c>
      <c r="X655" s="598" t="s">
        <v>950</v>
      </c>
      <c r="Y655" s="624">
        <v>30203</v>
      </c>
      <c r="Z655" s="625">
        <f t="shared" ca="1" si="7"/>
        <v>43</v>
      </c>
      <c r="AA655" s="616" t="s">
        <v>2466</v>
      </c>
      <c r="AB655" s="598"/>
      <c r="AC655" s="598" t="s">
        <v>996</v>
      </c>
      <c r="AD655" s="598" t="s">
        <v>997</v>
      </c>
      <c r="AE655" s="616" t="s">
        <v>729</v>
      </c>
      <c r="AF655" s="640" t="s">
        <v>729</v>
      </c>
      <c r="AG655" s="616" t="s">
        <v>2468</v>
      </c>
      <c r="AH655" s="598"/>
      <c r="AI655" s="598"/>
      <c r="AJ655" s="598" t="s">
        <v>1452</v>
      </c>
      <c r="AK655" s="598"/>
      <c r="AL655" s="626"/>
      <c r="AM655" s="626"/>
    </row>
    <row r="656" spans="3:39" ht="18" customHeight="1">
      <c r="C656" s="598">
        <v>636</v>
      </c>
      <c r="D656" s="598" t="s">
        <v>4933</v>
      </c>
      <c r="E656" s="598">
        <f t="shared" si="6"/>
        <v>596</v>
      </c>
      <c r="F656" s="616" t="s">
        <v>4978</v>
      </c>
      <c r="G656" s="616" t="s">
        <v>4921</v>
      </c>
      <c r="H656" s="618" t="s">
        <v>1195</v>
      </c>
      <c r="I656" s="618" t="s">
        <v>254</v>
      </c>
      <c r="J656" s="618" t="s">
        <v>1241</v>
      </c>
      <c r="K656" s="618" t="s">
        <v>1923</v>
      </c>
      <c r="L656" s="618" t="s">
        <v>2474</v>
      </c>
      <c r="M656" s="619" t="s">
        <v>4928</v>
      </c>
      <c r="N656" s="620"/>
      <c r="O656" s="620"/>
      <c r="P656" s="673" t="s">
        <v>1529</v>
      </c>
      <c r="Q656" s="621"/>
      <c r="R656" s="598"/>
      <c r="S656" s="598"/>
      <c r="T656" s="598"/>
      <c r="U656" s="598" t="s">
        <v>1015</v>
      </c>
      <c r="V656" s="673" t="s">
        <v>4934</v>
      </c>
      <c r="W656" s="779" t="s">
        <v>4935</v>
      </c>
      <c r="X656" s="598" t="s">
        <v>950</v>
      </c>
      <c r="Y656" s="624">
        <v>21232</v>
      </c>
      <c r="Z656" s="625">
        <f t="shared" ca="1" si="7"/>
        <v>67</v>
      </c>
      <c r="AA656" s="616" t="s">
        <v>4936</v>
      </c>
      <c r="AB656" s="598"/>
      <c r="AC656" s="598" t="s">
        <v>996</v>
      </c>
      <c r="AD656" s="598" t="s">
        <v>1018</v>
      </c>
      <c r="AE656" s="616" t="s">
        <v>729</v>
      </c>
      <c r="AF656" s="616" t="s">
        <v>729</v>
      </c>
      <c r="AG656" s="616" t="s">
        <v>4938</v>
      </c>
      <c r="AH656" s="598"/>
      <c r="AI656" s="598" t="s">
        <v>1019</v>
      </c>
      <c r="AJ656" s="598" t="s">
        <v>1452</v>
      </c>
      <c r="AK656" s="598"/>
      <c r="AL656" s="626"/>
      <c r="AM656" s="626"/>
    </row>
    <row r="657" spans="3:39" ht="18" customHeight="1">
      <c r="C657" s="598">
        <v>637</v>
      </c>
      <c r="D657" s="598" t="s">
        <v>2775</v>
      </c>
      <c r="E657" s="598">
        <f t="shared" si="6"/>
        <v>596</v>
      </c>
      <c r="F657" s="616"/>
      <c r="G657" s="616" t="s">
        <v>4921</v>
      </c>
      <c r="H657" s="618" t="s">
        <v>1195</v>
      </c>
      <c r="I657" s="618" t="s">
        <v>254</v>
      </c>
      <c r="J657" s="618" t="s">
        <v>1241</v>
      </c>
      <c r="K657" s="618" t="s">
        <v>2775</v>
      </c>
      <c r="L657" s="618" t="s">
        <v>2082</v>
      </c>
      <c r="M657" s="619"/>
      <c r="N657" s="620"/>
      <c r="O657" s="620"/>
      <c r="P657" s="667" t="s">
        <v>2057</v>
      </c>
      <c r="Q657" s="621"/>
      <c r="R657" s="598" t="s">
        <v>55</v>
      </c>
      <c r="S657" s="598" t="s">
        <v>178</v>
      </c>
      <c r="T657" s="598"/>
      <c r="U657" s="598"/>
      <c r="V657" s="667" t="s">
        <v>207</v>
      </c>
      <c r="W657" s="779" t="s">
        <v>2776</v>
      </c>
      <c r="X657" s="598" t="s">
        <v>950</v>
      </c>
      <c r="Y657" s="624">
        <v>28739</v>
      </c>
      <c r="Z657" s="625">
        <f t="shared" ca="1" si="7"/>
        <v>47</v>
      </c>
      <c r="AA657" s="616"/>
      <c r="AB657" s="598"/>
      <c r="AC657" s="598" t="s">
        <v>966</v>
      </c>
      <c r="AD657" s="598" t="s">
        <v>953</v>
      </c>
      <c r="AE657" s="616" t="s">
        <v>2737</v>
      </c>
      <c r="AF657" s="616" t="s">
        <v>2737</v>
      </c>
      <c r="AG657" s="616" t="s">
        <v>2779</v>
      </c>
      <c r="AH657" s="598" t="s">
        <v>955</v>
      </c>
      <c r="AI657" s="598"/>
      <c r="AJ657" s="598"/>
      <c r="AK657" s="598"/>
      <c r="AL657" s="626"/>
      <c r="AM657" s="626"/>
    </row>
    <row r="658" spans="3:39" ht="18" customHeight="1">
      <c r="C658" s="598">
        <v>638</v>
      </c>
      <c r="D658" s="598" t="s">
        <v>2082</v>
      </c>
      <c r="E658" s="598">
        <f t="shared" si="6"/>
        <v>597</v>
      </c>
      <c r="F658" s="616" t="s">
        <v>4978</v>
      </c>
      <c r="G658" s="616" t="s">
        <v>4921</v>
      </c>
      <c r="H658" s="618" t="s">
        <v>1195</v>
      </c>
      <c r="I658" s="618" t="s">
        <v>254</v>
      </c>
      <c r="J658" s="618" t="s">
        <v>1241</v>
      </c>
      <c r="K658" s="618" t="s">
        <v>2775</v>
      </c>
      <c r="L658" s="618" t="s">
        <v>2082</v>
      </c>
      <c r="M658" s="619"/>
      <c r="N658" s="620"/>
      <c r="O658" s="620"/>
      <c r="P658" s="663" t="s">
        <v>2057</v>
      </c>
      <c r="Q658" s="621"/>
      <c r="R658" s="598" t="s">
        <v>69</v>
      </c>
      <c r="S658" s="598" t="s">
        <v>562</v>
      </c>
      <c r="T658" s="598"/>
      <c r="U658" s="598" t="s">
        <v>1015</v>
      </c>
      <c r="V658" s="663" t="s">
        <v>618</v>
      </c>
      <c r="W658" s="779" t="s">
        <v>2083</v>
      </c>
      <c r="X658" s="598" t="s">
        <v>950</v>
      </c>
      <c r="Y658" s="624">
        <v>24860</v>
      </c>
      <c r="Z658" s="625">
        <f t="shared" ca="1" si="7"/>
        <v>58</v>
      </c>
      <c r="AA658" s="616" t="s">
        <v>2084</v>
      </c>
      <c r="AB658" s="598"/>
      <c r="AC658" s="598" t="s">
        <v>996</v>
      </c>
      <c r="AD658" s="598" t="s">
        <v>997</v>
      </c>
      <c r="AE658" s="616" t="s">
        <v>729</v>
      </c>
      <c r="AF658" s="640" t="s">
        <v>729</v>
      </c>
      <c r="AG658" s="616" t="s">
        <v>2086</v>
      </c>
      <c r="AH658" s="598"/>
      <c r="AI658" s="598"/>
      <c r="AJ658" s="598" t="s">
        <v>1452</v>
      </c>
      <c r="AK658" s="598"/>
      <c r="AL658" s="626"/>
      <c r="AM658" s="626"/>
    </row>
    <row r="659" spans="3:39" ht="18" customHeight="1">
      <c r="C659" s="598">
        <v>639</v>
      </c>
      <c r="D659" s="598" t="s">
        <v>2029</v>
      </c>
      <c r="E659" s="598">
        <f t="shared" si="6"/>
        <v>598</v>
      </c>
      <c r="F659" s="616" t="s">
        <v>4978</v>
      </c>
      <c r="G659" s="616" t="s">
        <v>4921</v>
      </c>
      <c r="H659" s="618" t="s">
        <v>1195</v>
      </c>
      <c r="I659" s="618" t="s">
        <v>254</v>
      </c>
      <c r="J659" s="618" t="s">
        <v>1241</v>
      </c>
      <c r="K659" s="618" t="s">
        <v>2775</v>
      </c>
      <c r="L659" s="618" t="s">
        <v>2082</v>
      </c>
      <c r="M659" s="619"/>
      <c r="N659" s="620"/>
      <c r="O659" s="620"/>
      <c r="P659" s="663" t="s">
        <v>2057</v>
      </c>
      <c r="Q659" s="621"/>
      <c r="R659" s="598"/>
      <c r="S659" s="598"/>
      <c r="T659" s="598"/>
      <c r="U659" s="598" t="s">
        <v>1015</v>
      </c>
      <c r="V659" s="663" t="s">
        <v>637</v>
      </c>
      <c r="W659" s="779" t="s">
        <v>2033</v>
      </c>
      <c r="X659" s="598" t="s">
        <v>950</v>
      </c>
      <c r="Y659" s="624">
        <v>23911</v>
      </c>
      <c r="Z659" s="625">
        <f t="shared" ca="1" si="7"/>
        <v>60</v>
      </c>
      <c r="AA659" s="616" t="s">
        <v>2034</v>
      </c>
      <c r="AB659" s="598"/>
      <c r="AC659" s="598" t="s">
        <v>996</v>
      </c>
      <c r="AD659" s="598" t="s">
        <v>997</v>
      </c>
      <c r="AE659" s="616" t="s">
        <v>729</v>
      </c>
      <c r="AF659" s="640" t="s">
        <v>729</v>
      </c>
      <c r="AG659" s="616" t="s">
        <v>2036</v>
      </c>
      <c r="AH659" s="598"/>
      <c r="AI659" s="598"/>
      <c r="AJ659" s="598" t="s">
        <v>1452</v>
      </c>
      <c r="AK659" s="598"/>
      <c r="AL659" s="626"/>
      <c r="AM659" s="626"/>
    </row>
    <row r="660" spans="3:39" ht="18" customHeight="1">
      <c r="C660" s="598">
        <v>640</v>
      </c>
      <c r="D660" s="598" t="s">
        <v>2050</v>
      </c>
      <c r="E660" s="598">
        <f t="shared" si="6"/>
        <v>599</v>
      </c>
      <c r="F660" s="616" t="s">
        <v>4978</v>
      </c>
      <c r="G660" s="616" t="s">
        <v>4921</v>
      </c>
      <c r="H660" s="618" t="s">
        <v>1195</v>
      </c>
      <c r="I660" s="618" t="s">
        <v>254</v>
      </c>
      <c r="J660" s="618" t="s">
        <v>1241</v>
      </c>
      <c r="K660" s="618" t="s">
        <v>2775</v>
      </c>
      <c r="L660" s="618" t="s">
        <v>2082</v>
      </c>
      <c r="M660" s="619"/>
      <c r="N660" s="620"/>
      <c r="O660" s="620"/>
      <c r="P660" s="663" t="s">
        <v>2057</v>
      </c>
      <c r="Q660" s="621"/>
      <c r="R660" s="598"/>
      <c r="S660" s="598"/>
      <c r="T660" s="598"/>
      <c r="U660" s="598" t="s">
        <v>1015</v>
      </c>
      <c r="V660" s="663" t="s">
        <v>655</v>
      </c>
      <c r="W660" s="779" t="s">
        <v>2051</v>
      </c>
      <c r="X660" s="598" t="s">
        <v>950</v>
      </c>
      <c r="Y660" s="624">
        <v>24181</v>
      </c>
      <c r="Z660" s="625">
        <f t="shared" ca="1" si="7"/>
        <v>59</v>
      </c>
      <c r="AA660" s="616" t="s">
        <v>2052</v>
      </c>
      <c r="AB660" s="598"/>
      <c r="AC660" s="598" t="s">
        <v>996</v>
      </c>
      <c r="AD660" s="598" t="s">
        <v>997</v>
      </c>
      <c r="AE660" s="616" t="s">
        <v>729</v>
      </c>
      <c r="AF660" s="640" t="s">
        <v>729</v>
      </c>
      <c r="AG660" s="616" t="s">
        <v>2054</v>
      </c>
      <c r="AH660" s="598"/>
      <c r="AI660" s="598"/>
      <c r="AJ660" s="598" t="s">
        <v>1452</v>
      </c>
      <c r="AK660" s="598"/>
      <c r="AL660" s="626"/>
      <c r="AM660" s="626"/>
    </row>
    <row r="661" spans="3:39" ht="18" customHeight="1">
      <c r="C661" s="598">
        <v>641</v>
      </c>
      <c r="D661" s="598" t="s">
        <v>2006</v>
      </c>
      <c r="E661" s="598">
        <f t="shared" si="6"/>
        <v>600</v>
      </c>
      <c r="F661" s="616" t="s">
        <v>4978</v>
      </c>
      <c r="G661" s="616" t="s">
        <v>4921</v>
      </c>
      <c r="H661" s="618" t="s">
        <v>1195</v>
      </c>
      <c r="I661" s="618" t="s">
        <v>254</v>
      </c>
      <c r="J661" s="618" t="s">
        <v>1241</v>
      </c>
      <c r="K661" s="618" t="s">
        <v>2775</v>
      </c>
      <c r="L661" s="618" t="s">
        <v>2082</v>
      </c>
      <c r="M661" s="619"/>
      <c r="N661" s="620"/>
      <c r="O661" s="620"/>
      <c r="P661" s="663" t="s">
        <v>2057</v>
      </c>
      <c r="Q661" s="621"/>
      <c r="R661" s="598"/>
      <c r="S661" s="598"/>
      <c r="T661" s="598"/>
      <c r="U661" s="598" t="s">
        <v>1015</v>
      </c>
      <c r="V661" s="663" t="s">
        <v>674</v>
      </c>
      <c r="W661" s="779" t="s">
        <v>2007</v>
      </c>
      <c r="X661" s="598" t="s">
        <v>950</v>
      </c>
      <c r="Y661" s="624">
        <v>29947</v>
      </c>
      <c r="Z661" s="625">
        <f t="shared" ca="1" si="7"/>
        <v>44</v>
      </c>
      <c r="AA661" s="616" t="s">
        <v>2008</v>
      </c>
      <c r="AB661" s="598"/>
      <c r="AC661" s="598" t="s">
        <v>996</v>
      </c>
      <c r="AD661" s="598" t="s">
        <v>997</v>
      </c>
      <c r="AE661" s="616" t="s">
        <v>1494</v>
      </c>
      <c r="AF661" s="616" t="s">
        <v>1494</v>
      </c>
      <c r="AG661" s="616" t="s">
        <v>2010</v>
      </c>
      <c r="AH661" s="598"/>
      <c r="AI661" s="598"/>
      <c r="AJ661" s="598" t="s">
        <v>1452</v>
      </c>
      <c r="AK661" s="598"/>
      <c r="AL661" s="626"/>
      <c r="AM661" s="626"/>
    </row>
    <row r="662" spans="3:39" ht="18" customHeight="1">
      <c r="C662" s="598">
        <v>642</v>
      </c>
      <c r="D662" s="598" t="s">
        <v>1929</v>
      </c>
      <c r="E662" s="598">
        <f t="shared" si="6"/>
        <v>601</v>
      </c>
      <c r="F662" s="616" t="s">
        <v>4978</v>
      </c>
      <c r="G662" s="616" t="s">
        <v>4921</v>
      </c>
      <c r="H662" s="618" t="s">
        <v>1195</v>
      </c>
      <c r="I662" s="618" t="s">
        <v>254</v>
      </c>
      <c r="J662" s="618" t="s">
        <v>1241</v>
      </c>
      <c r="K662" s="618" t="s">
        <v>2775</v>
      </c>
      <c r="L662" s="618" t="s">
        <v>2082</v>
      </c>
      <c r="M662" s="619"/>
      <c r="N662" s="620"/>
      <c r="O662" s="620"/>
      <c r="P662" s="663" t="s">
        <v>2057</v>
      </c>
      <c r="Q662" s="621"/>
      <c r="R662" s="598"/>
      <c r="S662" s="598"/>
      <c r="T662" s="598"/>
      <c r="U662" s="598" t="s">
        <v>1015</v>
      </c>
      <c r="V662" s="663" t="s">
        <v>690</v>
      </c>
      <c r="W662" s="779" t="s">
        <v>1930</v>
      </c>
      <c r="X662" s="598" t="s">
        <v>950</v>
      </c>
      <c r="Y662" s="624">
        <v>30310</v>
      </c>
      <c r="Z662" s="625">
        <f t="shared" ca="1" si="7"/>
        <v>43</v>
      </c>
      <c r="AA662" s="616" t="s">
        <v>1931</v>
      </c>
      <c r="AB662" s="598"/>
      <c r="AC662" s="598" t="s">
        <v>996</v>
      </c>
      <c r="AD662" s="598" t="s">
        <v>1018</v>
      </c>
      <c r="AE662" s="616" t="s">
        <v>729</v>
      </c>
      <c r="AF662" s="640" t="s">
        <v>729</v>
      </c>
      <c r="AG662" s="616" t="s">
        <v>4939</v>
      </c>
      <c r="AH662" s="598"/>
      <c r="AI662" s="598"/>
      <c r="AJ662" s="598" t="s">
        <v>1452</v>
      </c>
      <c r="AK662" s="598"/>
      <c r="AL662" s="626"/>
      <c r="AM662" s="626"/>
    </row>
    <row r="663" spans="3:39" ht="18" customHeight="1">
      <c r="C663" s="598">
        <v>643</v>
      </c>
      <c r="D663" s="598" t="s">
        <v>1447</v>
      </c>
      <c r="E663" s="598">
        <f t="shared" si="6"/>
        <v>602</v>
      </c>
      <c r="F663" s="616" t="s">
        <v>4978</v>
      </c>
      <c r="G663" s="616" t="s">
        <v>4921</v>
      </c>
      <c r="H663" s="618" t="s">
        <v>1195</v>
      </c>
      <c r="I663" s="618" t="s">
        <v>254</v>
      </c>
      <c r="J663" s="618" t="s">
        <v>1241</v>
      </c>
      <c r="K663" s="618" t="s">
        <v>2775</v>
      </c>
      <c r="L663" s="618" t="s">
        <v>2082</v>
      </c>
      <c r="M663" s="619"/>
      <c r="N663" s="620"/>
      <c r="O663" s="620"/>
      <c r="P663" s="663" t="s">
        <v>2057</v>
      </c>
      <c r="Q663" s="621"/>
      <c r="R663" s="598"/>
      <c r="S663" s="598"/>
      <c r="T663" s="598"/>
      <c r="U663" s="598" t="s">
        <v>1015</v>
      </c>
      <c r="V663" s="663" t="s">
        <v>705</v>
      </c>
      <c r="W663" s="779" t="s">
        <v>1449</v>
      </c>
      <c r="X663" s="598" t="s">
        <v>950</v>
      </c>
      <c r="Y663" s="624">
        <v>32130</v>
      </c>
      <c r="Z663" s="625">
        <f t="shared" ca="1" si="7"/>
        <v>38</v>
      </c>
      <c r="AA663" s="616" t="s">
        <v>1450</v>
      </c>
      <c r="AB663" s="598"/>
      <c r="AC663" s="598" t="s">
        <v>996</v>
      </c>
      <c r="AD663" s="598" t="s">
        <v>1018</v>
      </c>
      <c r="AE663" s="616" t="s">
        <v>729</v>
      </c>
      <c r="AF663" s="640" t="s">
        <v>729</v>
      </c>
      <c r="AG663" s="616" t="s">
        <v>1451</v>
      </c>
      <c r="AH663" s="598"/>
      <c r="AI663" s="598"/>
      <c r="AJ663" s="598" t="s">
        <v>1452</v>
      </c>
      <c r="AK663" s="598"/>
      <c r="AL663" s="626"/>
      <c r="AM663" s="626"/>
    </row>
    <row r="664" spans="3:39" ht="18" customHeight="1">
      <c r="C664" s="598">
        <v>644</v>
      </c>
      <c r="D664" s="598" t="s">
        <v>1350</v>
      </c>
      <c r="E664" s="598">
        <f t="shared" si="6"/>
        <v>603</v>
      </c>
      <c r="F664" s="616" t="s">
        <v>4978</v>
      </c>
      <c r="G664" s="616" t="s">
        <v>4921</v>
      </c>
      <c r="H664" s="618" t="s">
        <v>1195</v>
      </c>
      <c r="I664" s="618" t="s">
        <v>254</v>
      </c>
      <c r="J664" s="618" t="s">
        <v>1241</v>
      </c>
      <c r="K664" s="618" t="s">
        <v>2775</v>
      </c>
      <c r="L664" s="618" t="s">
        <v>2082</v>
      </c>
      <c r="M664" s="619"/>
      <c r="N664" s="620"/>
      <c r="O664" s="620"/>
      <c r="P664" s="663" t="s">
        <v>2057</v>
      </c>
      <c r="Q664" s="621" t="s">
        <v>319</v>
      </c>
      <c r="R664" s="598"/>
      <c r="S664" s="598"/>
      <c r="T664" s="598"/>
      <c r="U664" s="598" t="s">
        <v>1015</v>
      </c>
      <c r="V664" s="663" t="s">
        <v>1353</v>
      </c>
      <c r="W664" s="779" t="s">
        <v>1354</v>
      </c>
      <c r="X664" s="598" t="s">
        <v>950</v>
      </c>
      <c r="Y664" s="624">
        <v>22724</v>
      </c>
      <c r="Z664" s="625">
        <f t="shared" ca="1" si="7"/>
        <v>63</v>
      </c>
      <c r="AA664" s="616" t="s">
        <v>1355</v>
      </c>
      <c r="AB664" s="598"/>
      <c r="AC664" s="598" t="s">
        <v>996</v>
      </c>
      <c r="AD664" s="598" t="s">
        <v>1018</v>
      </c>
      <c r="AE664" s="616" t="s">
        <v>729</v>
      </c>
      <c r="AF664" s="616" t="s">
        <v>1357</v>
      </c>
      <c r="AG664" s="616" t="s">
        <v>1358</v>
      </c>
      <c r="AH664" s="598"/>
      <c r="AI664" s="598"/>
      <c r="AJ664" s="634" t="s">
        <v>1359</v>
      </c>
      <c r="AK664" s="598"/>
      <c r="AL664" s="626"/>
      <c r="AM664" s="626"/>
    </row>
    <row r="665" spans="3:39" ht="18" customHeight="1">
      <c r="C665" s="598">
        <v>645</v>
      </c>
      <c r="D665" s="598" t="s">
        <v>2372</v>
      </c>
      <c r="E665" s="598">
        <f t="shared" si="6"/>
        <v>604</v>
      </c>
      <c r="F665" s="616" t="s">
        <v>4978</v>
      </c>
      <c r="G665" s="616" t="s">
        <v>4921</v>
      </c>
      <c r="H665" s="618" t="s">
        <v>1195</v>
      </c>
      <c r="I665" s="618" t="s">
        <v>254</v>
      </c>
      <c r="J665" s="618" t="s">
        <v>1241</v>
      </c>
      <c r="K665" s="618" t="s">
        <v>2775</v>
      </c>
      <c r="L665" s="618" t="s">
        <v>2082</v>
      </c>
      <c r="M665" s="619"/>
      <c r="N665" s="620"/>
      <c r="O665" s="620"/>
      <c r="P665" s="663" t="s">
        <v>2057</v>
      </c>
      <c r="Q665" s="621" t="s">
        <v>319</v>
      </c>
      <c r="R665" s="598"/>
      <c r="S665" s="598"/>
      <c r="T665" s="598"/>
      <c r="U665" s="598" t="s">
        <v>1015</v>
      </c>
      <c r="V665" s="663" t="s">
        <v>2374</v>
      </c>
      <c r="W665" s="779" t="s">
        <v>2375</v>
      </c>
      <c r="X665" s="598" t="s">
        <v>950</v>
      </c>
      <c r="Y665" s="624">
        <v>22873</v>
      </c>
      <c r="Z665" s="625">
        <f t="shared" ca="1" si="7"/>
        <v>63</v>
      </c>
      <c r="AA665" s="616" t="s">
        <v>2376</v>
      </c>
      <c r="AB665" s="598"/>
      <c r="AC665" s="598" t="s">
        <v>996</v>
      </c>
      <c r="AD665" s="598" t="s">
        <v>1018</v>
      </c>
      <c r="AE665" s="616" t="s">
        <v>729</v>
      </c>
      <c r="AF665" s="616" t="s">
        <v>729</v>
      </c>
      <c r="AG665" s="616" t="s">
        <v>2377</v>
      </c>
      <c r="AH665" s="598" t="s">
        <v>1775</v>
      </c>
      <c r="AI665" s="598" t="s">
        <v>4940</v>
      </c>
      <c r="AJ665" s="634" t="s">
        <v>1359</v>
      </c>
      <c r="AK665" s="598"/>
      <c r="AL665" s="626"/>
      <c r="AM665" s="626"/>
    </row>
    <row r="666" spans="3:39" ht="18" customHeight="1">
      <c r="C666" s="598">
        <v>646</v>
      </c>
      <c r="D666" s="598" t="s">
        <v>2001</v>
      </c>
      <c r="E666" s="598">
        <f t="shared" si="6"/>
        <v>605</v>
      </c>
      <c r="F666" s="616" t="s">
        <v>4978</v>
      </c>
      <c r="G666" s="616" t="s">
        <v>4921</v>
      </c>
      <c r="H666" s="618" t="s">
        <v>1195</v>
      </c>
      <c r="I666" s="618" t="s">
        <v>254</v>
      </c>
      <c r="J666" s="618" t="s">
        <v>1241</v>
      </c>
      <c r="K666" s="618" t="s">
        <v>2775</v>
      </c>
      <c r="L666" s="618" t="s">
        <v>2082</v>
      </c>
      <c r="M666" s="619"/>
      <c r="N666" s="620"/>
      <c r="O666" s="620"/>
      <c r="P666" s="673" t="s">
        <v>2057</v>
      </c>
      <c r="Q666" s="621" t="s">
        <v>319</v>
      </c>
      <c r="R666" s="598"/>
      <c r="S666" s="598"/>
      <c r="T666" s="598"/>
      <c r="U666" s="598" t="s">
        <v>1015</v>
      </c>
      <c r="V666" s="673" t="s">
        <v>2002</v>
      </c>
      <c r="W666" s="779" t="s">
        <v>2003</v>
      </c>
      <c r="X666" s="598" t="s">
        <v>950</v>
      </c>
      <c r="Y666" s="624">
        <v>25028</v>
      </c>
      <c r="Z666" s="625">
        <f t="shared" ca="1" si="7"/>
        <v>57</v>
      </c>
      <c r="AA666" s="616" t="s">
        <v>2004</v>
      </c>
      <c r="AB666" s="598"/>
      <c r="AC666" s="598" t="s">
        <v>996</v>
      </c>
      <c r="AD666" s="598" t="s">
        <v>1018</v>
      </c>
      <c r="AE666" s="616" t="s">
        <v>729</v>
      </c>
      <c r="AF666" s="640" t="s">
        <v>729</v>
      </c>
      <c r="AG666" s="616" t="s">
        <v>2000</v>
      </c>
      <c r="AH666" s="598"/>
      <c r="AI666" s="598"/>
      <c r="AJ666" s="634" t="s">
        <v>1359</v>
      </c>
      <c r="AK666" s="598"/>
      <c r="AL666" s="626"/>
      <c r="AM666" s="626"/>
    </row>
    <row r="667" spans="3:39" ht="18" customHeight="1">
      <c r="C667" s="598">
        <v>647</v>
      </c>
      <c r="D667" s="598" t="s">
        <v>986</v>
      </c>
      <c r="E667" s="598">
        <f t="shared" si="6"/>
        <v>605</v>
      </c>
      <c r="F667" s="616"/>
      <c r="G667" s="616" t="s">
        <v>991</v>
      </c>
      <c r="H667" s="618" t="s">
        <v>1195</v>
      </c>
      <c r="I667" s="618" t="s">
        <v>78</v>
      </c>
      <c r="J667" s="618" t="s">
        <v>986</v>
      </c>
      <c r="K667" s="618" t="s">
        <v>986</v>
      </c>
      <c r="L667" s="618"/>
      <c r="M667" s="619"/>
      <c r="N667" s="620"/>
      <c r="O667" s="620"/>
      <c r="P667" s="667" t="s">
        <v>4941</v>
      </c>
      <c r="Q667" s="621"/>
      <c r="R667" s="598" t="s">
        <v>55</v>
      </c>
      <c r="S667" s="598" t="s">
        <v>178</v>
      </c>
      <c r="T667" s="598"/>
      <c r="U667" s="598"/>
      <c r="V667" s="667" t="s">
        <v>78</v>
      </c>
      <c r="W667" s="779" t="s">
        <v>987</v>
      </c>
      <c r="X667" s="598" t="s">
        <v>963</v>
      </c>
      <c r="Y667" s="624">
        <v>33031</v>
      </c>
      <c r="Z667" s="625">
        <f t="shared" ca="1" si="7"/>
        <v>35</v>
      </c>
      <c r="AA667" s="616" t="s">
        <v>988</v>
      </c>
      <c r="AB667" s="598"/>
      <c r="AC667" s="598" t="s">
        <v>966</v>
      </c>
      <c r="AD667" s="598" t="s">
        <v>953</v>
      </c>
      <c r="AE667" s="616"/>
      <c r="AF667" s="616"/>
      <c r="AG667" s="616"/>
      <c r="AH667" s="598" t="s">
        <v>955</v>
      </c>
      <c r="AI667" s="598"/>
      <c r="AJ667" s="598"/>
      <c r="AK667" s="598"/>
      <c r="AL667" s="626"/>
      <c r="AM667" s="626"/>
    </row>
    <row r="668" spans="3:39" ht="18" customHeight="1">
      <c r="C668" s="598">
        <v>648</v>
      </c>
      <c r="D668" s="598" t="s">
        <v>4942</v>
      </c>
      <c r="E668" s="598">
        <f t="shared" si="6"/>
        <v>606</v>
      </c>
      <c r="F668" s="616" t="s">
        <v>4978</v>
      </c>
      <c r="G668" s="616" t="s">
        <v>991</v>
      </c>
      <c r="H668" s="618" t="s">
        <v>1195</v>
      </c>
      <c r="I668" s="618" t="s">
        <v>78</v>
      </c>
      <c r="J668" s="618" t="s">
        <v>986</v>
      </c>
      <c r="K668" s="618" t="s">
        <v>986</v>
      </c>
      <c r="L668" s="618" t="s">
        <v>959</v>
      </c>
      <c r="M668" s="619"/>
      <c r="N668" s="620"/>
      <c r="O668" s="620"/>
      <c r="P668" s="663" t="s">
        <v>4941</v>
      </c>
      <c r="Q668" s="621" t="s">
        <v>319</v>
      </c>
      <c r="R668" s="598"/>
      <c r="S668" s="598"/>
      <c r="T668" s="598"/>
      <c r="U668" s="598" t="s">
        <v>992</v>
      </c>
      <c r="V668" s="663" t="s">
        <v>4943</v>
      </c>
      <c r="W668" s="779" t="s">
        <v>4944</v>
      </c>
      <c r="X668" s="598" t="s">
        <v>963</v>
      </c>
      <c r="Y668" s="624">
        <v>34371</v>
      </c>
      <c r="Z668" s="625">
        <f t="shared" ca="1" si="7"/>
        <v>31</v>
      </c>
      <c r="AA668" s="616" t="s">
        <v>4945</v>
      </c>
      <c r="AB668" s="598"/>
      <c r="AC668" s="598" t="s">
        <v>996</v>
      </c>
      <c r="AD668" s="598" t="s">
        <v>1018</v>
      </c>
      <c r="AE668" s="616" t="s">
        <v>729</v>
      </c>
      <c r="AF668" s="640" t="s">
        <v>729</v>
      </c>
      <c r="AG668" s="616" t="s">
        <v>4947</v>
      </c>
      <c r="AH668" s="598"/>
      <c r="AI668" s="598"/>
      <c r="AJ668" s="598" t="s">
        <v>1107</v>
      </c>
      <c r="AK668" s="598"/>
      <c r="AL668" s="626"/>
      <c r="AM668" s="626"/>
    </row>
    <row r="669" spans="3:39" ht="18" customHeight="1">
      <c r="C669" s="598">
        <v>649</v>
      </c>
      <c r="D669" s="598" t="s">
        <v>990</v>
      </c>
      <c r="E669" s="598">
        <f t="shared" si="6"/>
        <v>607</v>
      </c>
      <c r="F669" s="616" t="s">
        <v>957</v>
      </c>
      <c r="G669" s="616" t="s">
        <v>991</v>
      </c>
      <c r="H669" s="618" t="s">
        <v>1195</v>
      </c>
      <c r="I669" s="618" t="s">
        <v>78</v>
      </c>
      <c r="J669" s="618" t="s">
        <v>986</v>
      </c>
      <c r="K669" s="618" t="s">
        <v>986</v>
      </c>
      <c r="L669" s="618" t="s">
        <v>959</v>
      </c>
      <c r="M669" s="619"/>
      <c r="N669" s="620"/>
      <c r="O669" s="620"/>
      <c r="P669" s="663" t="s">
        <v>4941</v>
      </c>
      <c r="Q669" s="621" t="s">
        <v>319</v>
      </c>
      <c r="R669" s="598"/>
      <c r="S669" s="598"/>
      <c r="T669" s="598"/>
      <c r="U669" s="598" t="s">
        <v>992</v>
      </c>
      <c r="V669" s="663" t="s">
        <v>908</v>
      </c>
      <c r="W669" s="779" t="s">
        <v>993</v>
      </c>
      <c r="X669" s="598" t="s">
        <v>963</v>
      </c>
      <c r="Y669" s="624">
        <v>32741</v>
      </c>
      <c r="Z669" s="625">
        <f t="shared" ca="1" si="7"/>
        <v>36</v>
      </c>
      <c r="AA669" s="616" t="s">
        <v>994</v>
      </c>
      <c r="AB669" s="598"/>
      <c r="AC669" s="598" t="s">
        <v>996</v>
      </c>
      <c r="AD669" s="598" t="s">
        <v>997</v>
      </c>
      <c r="AE669" s="616" t="s">
        <v>729</v>
      </c>
      <c r="AF669" s="616" t="s">
        <v>954</v>
      </c>
      <c r="AG669" s="616" t="s">
        <v>4979</v>
      </c>
      <c r="AH669" s="598"/>
      <c r="AI669" s="598"/>
      <c r="AJ669" s="634" t="s">
        <v>999</v>
      </c>
      <c r="AK669" s="598"/>
      <c r="AL669" s="626"/>
      <c r="AM669" s="626"/>
    </row>
    <row r="670" spans="3:39" ht="18" customHeight="1">
      <c r="C670" s="598">
        <v>650</v>
      </c>
      <c r="D670" s="598" t="s">
        <v>2727</v>
      </c>
      <c r="E670" s="598">
        <f t="shared" si="6"/>
        <v>608</v>
      </c>
      <c r="F670" s="616" t="s">
        <v>4978</v>
      </c>
      <c r="G670" s="616" t="s">
        <v>991</v>
      </c>
      <c r="H670" s="618" t="s">
        <v>1195</v>
      </c>
      <c r="I670" s="618" t="s">
        <v>78</v>
      </c>
      <c r="J670" s="618" t="s">
        <v>986</v>
      </c>
      <c r="K670" s="618" t="s">
        <v>986</v>
      </c>
      <c r="L670" s="618" t="s">
        <v>959</v>
      </c>
      <c r="M670" s="619"/>
      <c r="N670" s="620"/>
      <c r="O670" s="620"/>
      <c r="P670" s="673" t="s">
        <v>4941</v>
      </c>
      <c r="Q670" s="621" t="s">
        <v>319</v>
      </c>
      <c r="R670" s="598"/>
      <c r="S670" s="598"/>
      <c r="T670" s="598"/>
      <c r="U670" s="598" t="s">
        <v>962</v>
      </c>
      <c r="V670" s="673" t="s">
        <v>2728</v>
      </c>
      <c r="W670" s="779" t="s">
        <v>2729</v>
      </c>
      <c r="X670" s="598" t="s">
        <v>963</v>
      </c>
      <c r="Y670" s="624">
        <v>30717</v>
      </c>
      <c r="Z670" s="625">
        <f t="shared" ca="1" si="7"/>
        <v>41</v>
      </c>
      <c r="AA670" s="616" t="s">
        <v>2730</v>
      </c>
      <c r="AB670" s="598"/>
      <c r="AC670" s="598" t="s">
        <v>996</v>
      </c>
      <c r="AD670" s="598" t="s">
        <v>1018</v>
      </c>
      <c r="AE670" s="616" t="s">
        <v>1041</v>
      </c>
      <c r="AF670" s="616" t="s">
        <v>1041</v>
      </c>
      <c r="AG670" s="616" t="s">
        <v>2672</v>
      </c>
      <c r="AH670" s="598" t="s">
        <v>1775</v>
      </c>
      <c r="AI670" s="598" t="s">
        <v>2731</v>
      </c>
      <c r="AJ670" s="598" t="s">
        <v>1107</v>
      </c>
      <c r="AK670" s="598"/>
      <c r="AL670" s="626"/>
      <c r="AM670" s="626"/>
    </row>
    <row r="671" spans="3:39" ht="18" customHeight="1">
      <c r="C671" s="598">
        <v>651</v>
      </c>
      <c r="D671" s="598" t="s">
        <v>956</v>
      </c>
      <c r="E671" s="598">
        <f t="shared" si="6"/>
        <v>608</v>
      </c>
      <c r="F671" s="616"/>
      <c r="G671" s="616" t="s">
        <v>991</v>
      </c>
      <c r="H671" s="618" t="s">
        <v>1195</v>
      </c>
      <c r="I671" s="618" t="s">
        <v>78</v>
      </c>
      <c r="J671" s="618" t="s">
        <v>986</v>
      </c>
      <c r="K671" s="618" t="s">
        <v>956</v>
      </c>
      <c r="L671" s="618" t="s">
        <v>3825</v>
      </c>
      <c r="M671" s="619" t="s">
        <v>3963</v>
      </c>
      <c r="N671" s="620"/>
      <c r="O671" s="620"/>
      <c r="P671" s="667" t="s">
        <v>4948</v>
      </c>
      <c r="Q671" s="621"/>
      <c r="R671" s="598" t="s">
        <v>173</v>
      </c>
      <c r="S671" s="598" t="s">
        <v>173</v>
      </c>
      <c r="T671" s="598" t="s">
        <v>178</v>
      </c>
      <c r="U671" s="598"/>
      <c r="V671" s="667" t="s">
        <v>64</v>
      </c>
      <c r="W671" s="779" t="s">
        <v>4949</v>
      </c>
      <c r="X671" s="598" t="s">
        <v>963</v>
      </c>
      <c r="Y671" s="624">
        <v>32431</v>
      </c>
      <c r="Z671" s="625">
        <f t="shared" ca="1" si="7"/>
        <v>37</v>
      </c>
      <c r="AA671" s="616" t="s">
        <v>964</v>
      </c>
      <c r="AB671" s="598"/>
      <c r="AC671" s="598" t="s">
        <v>966</v>
      </c>
      <c r="AD671" s="598" t="s">
        <v>953</v>
      </c>
      <c r="AE671" s="616" t="s">
        <v>967</v>
      </c>
      <c r="AF671" s="616" t="s">
        <v>954</v>
      </c>
      <c r="AG671" s="616" t="s">
        <v>974</v>
      </c>
      <c r="AH671" s="598" t="s">
        <v>955</v>
      </c>
      <c r="AI671" s="598"/>
      <c r="AJ671" s="598"/>
      <c r="AK671" s="598"/>
      <c r="AL671" s="626"/>
      <c r="AM671" s="626"/>
    </row>
    <row r="672" spans="3:39" ht="18" customHeight="1">
      <c r="C672" s="598">
        <v>652</v>
      </c>
      <c r="D672" s="598" t="s">
        <v>3825</v>
      </c>
      <c r="E672" s="598">
        <f t="shared" si="6"/>
        <v>609</v>
      </c>
      <c r="F672" s="616" t="s">
        <v>4978</v>
      </c>
      <c r="G672" s="616" t="s">
        <v>991</v>
      </c>
      <c r="H672" s="618" t="s">
        <v>1195</v>
      </c>
      <c r="I672" s="618" t="s">
        <v>78</v>
      </c>
      <c r="J672" s="618" t="s">
        <v>986</v>
      </c>
      <c r="K672" s="618" t="s">
        <v>956</v>
      </c>
      <c r="L672" s="618" t="s">
        <v>3825</v>
      </c>
      <c r="M672" s="619" t="s">
        <v>3963</v>
      </c>
      <c r="N672" s="620"/>
      <c r="O672" s="620"/>
      <c r="P672" s="663" t="s">
        <v>4948</v>
      </c>
      <c r="Q672" s="621" t="s">
        <v>319</v>
      </c>
      <c r="R672" s="598" t="s">
        <v>69</v>
      </c>
      <c r="S672" s="598" t="s">
        <v>562</v>
      </c>
      <c r="T672" s="598"/>
      <c r="U672" s="598" t="s">
        <v>962</v>
      </c>
      <c r="V672" s="663" t="s">
        <v>620</v>
      </c>
      <c r="W672" s="779" t="s">
        <v>3826</v>
      </c>
      <c r="X672" s="598" t="s">
        <v>963</v>
      </c>
      <c r="Y672" s="624">
        <v>22474</v>
      </c>
      <c r="Z672" s="625">
        <f t="shared" ca="1" si="7"/>
        <v>64</v>
      </c>
      <c r="AA672" s="616" t="s">
        <v>3827</v>
      </c>
      <c r="AB672" s="598"/>
      <c r="AC672" s="598" t="s">
        <v>996</v>
      </c>
      <c r="AD672" s="598" t="s">
        <v>1018</v>
      </c>
      <c r="AE672" s="616" t="s">
        <v>246</v>
      </c>
      <c r="AF672" s="616" t="s">
        <v>246</v>
      </c>
      <c r="AG672" s="653" t="s">
        <v>3829</v>
      </c>
      <c r="AH672" s="598"/>
      <c r="AI672" s="598"/>
      <c r="AJ672" s="598" t="s">
        <v>1114</v>
      </c>
      <c r="AK672" s="598"/>
      <c r="AL672" s="626"/>
      <c r="AM672" s="626"/>
    </row>
    <row r="673" spans="3:39" ht="18" customHeight="1">
      <c r="C673" s="598">
        <v>653</v>
      </c>
      <c r="D673" s="598" t="s">
        <v>3963</v>
      </c>
      <c r="E673" s="598">
        <f t="shared" si="6"/>
        <v>610</v>
      </c>
      <c r="F673" s="616" t="s">
        <v>4978</v>
      </c>
      <c r="G673" s="616" t="s">
        <v>991</v>
      </c>
      <c r="H673" s="618" t="s">
        <v>1195</v>
      </c>
      <c r="I673" s="618" t="s">
        <v>78</v>
      </c>
      <c r="J673" s="618" t="s">
        <v>986</v>
      </c>
      <c r="K673" s="618" t="s">
        <v>956</v>
      </c>
      <c r="L673" s="618" t="s">
        <v>3825</v>
      </c>
      <c r="M673" s="619" t="s">
        <v>3963</v>
      </c>
      <c r="N673" s="620"/>
      <c r="O673" s="620"/>
      <c r="P673" s="663" t="s">
        <v>4948</v>
      </c>
      <c r="Q673" s="621" t="s">
        <v>319</v>
      </c>
      <c r="R673" s="598" t="s">
        <v>69</v>
      </c>
      <c r="S673" s="598" t="s">
        <v>562</v>
      </c>
      <c r="T673" s="598"/>
      <c r="U673" s="598" t="s">
        <v>1015</v>
      </c>
      <c r="V673" s="663" t="s">
        <v>639</v>
      </c>
      <c r="W673" s="779" t="s">
        <v>3964</v>
      </c>
      <c r="X673" s="598" t="s">
        <v>950</v>
      </c>
      <c r="Y673" s="624">
        <v>26681</v>
      </c>
      <c r="Z673" s="625">
        <f t="shared" ca="1" si="7"/>
        <v>53</v>
      </c>
      <c r="AA673" s="616" t="s">
        <v>3965</v>
      </c>
      <c r="AB673" s="598"/>
      <c r="AC673" s="598" t="s">
        <v>996</v>
      </c>
      <c r="AD673" s="598" t="s">
        <v>997</v>
      </c>
      <c r="AE673" s="616" t="s">
        <v>246</v>
      </c>
      <c r="AF673" s="616" t="s">
        <v>246</v>
      </c>
      <c r="AG673" s="653" t="s">
        <v>3829</v>
      </c>
      <c r="AH673" s="598"/>
      <c r="AI673" s="598"/>
      <c r="AJ673" s="598" t="s">
        <v>1114</v>
      </c>
      <c r="AK673" s="598"/>
      <c r="AL673" s="626"/>
      <c r="AM673" s="626"/>
    </row>
    <row r="674" spans="3:39" ht="18" customHeight="1">
      <c r="C674" s="598">
        <v>654</v>
      </c>
      <c r="D674" s="598" t="s">
        <v>3851</v>
      </c>
      <c r="E674" s="598">
        <f t="shared" si="6"/>
        <v>611</v>
      </c>
      <c r="F674" s="616" t="s">
        <v>4978</v>
      </c>
      <c r="G674" s="616" t="s">
        <v>991</v>
      </c>
      <c r="H674" s="618" t="s">
        <v>1195</v>
      </c>
      <c r="I674" s="618" t="s">
        <v>78</v>
      </c>
      <c r="J674" s="618" t="s">
        <v>986</v>
      </c>
      <c r="K674" s="618" t="s">
        <v>956</v>
      </c>
      <c r="L674" s="618" t="s">
        <v>3825</v>
      </c>
      <c r="M674" s="619" t="s">
        <v>3963</v>
      </c>
      <c r="N674" s="620"/>
      <c r="O674" s="620"/>
      <c r="P674" s="663" t="s">
        <v>4948</v>
      </c>
      <c r="Q674" s="621" t="s">
        <v>319</v>
      </c>
      <c r="R674" s="598"/>
      <c r="S674" s="598"/>
      <c r="T674" s="598"/>
      <c r="U674" s="598" t="s">
        <v>962</v>
      </c>
      <c r="V674" s="663" t="s">
        <v>3852</v>
      </c>
      <c r="W674" s="779" t="s">
        <v>3853</v>
      </c>
      <c r="X674" s="598" t="s">
        <v>963</v>
      </c>
      <c r="Y674" s="624">
        <v>26062</v>
      </c>
      <c r="Z674" s="625">
        <f t="shared" ca="1" si="7"/>
        <v>54</v>
      </c>
      <c r="AA674" s="616" t="s">
        <v>3854</v>
      </c>
      <c r="AB674" s="598"/>
      <c r="AC674" s="598" t="s">
        <v>996</v>
      </c>
      <c r="AD674" s="598" t="s">
        <v>1018</v>
      </c>
      <c r="AE674" s="616" t="s">
        <v>246</v>
      </c>
      <c r="AF674" s="616" t="s">
        <v>246</v>
      </c>
      <c r="AG674" s="616" t="s">
        <v>3856</v>
      </c>
      <c r="AH674" s="598"/>
      <c r="AI674" s="598"/>
      <c r="AJ674" s="598" t="s">
        <v>1107</v>
      </c>
      <c r="AK674" s="598"/>
      <c r="AL674" s="626"/>
      <c r="AM674" s="626"/>
    </row>
    <row r="675" spans="3:39" ht="18" customHeight="1">
      <c r="C675" s="598">
        <v>655</v>
      </c>
      <c r="D675" s="598" t="s">
        <v>3515</v>
      </c>
      <c r="E675" s="598">
        <f t="shared" si="6"/>
        <v>612</v>
      </c>
      <c r="F675" s="616" t="s">
        <v>1810</v>
      </c>
      <c r="G675" s="616" t="s">
        <v>991</v>
      </c>
      <c r="H675" s="618" t="s">
        <v>1195</v>
      </c>
      <c r="I675" s="618" t="s">
        <v>78</v>
      </c>
      <c r="J675" s="618" t="s">
        <v>986</v>
      </c>
      <c r="K675" s="618" t="s">
        <v>956</v>
      </c>
      <c r="L675" s="618" t="s">
        <v>3825</v>
      </c>
      <c r="M675" s="619" t="s">
        <v>3963</v>
      </c>
      <c r="N675" s="620"/>
      <c r="O675" s="620"/>
      <c r="P675" s="663" t="s">
        <v>4948</v>
      </c>
      <c r="Q675" s="621" t="s">
        <v>319</v>
      </c>
      <c r="R675" s="598"/>
      <c r="S675" s="598"/>
      <c r="T675" s="598"/>
      <c r="U675" s="598" t="s">
        <v>962</v>
      </c>
      <c r="V675" s="663" t="s">
        <v>675</v>
      </c>
      <c r="W675" s="779" t="s">
        <v>3516</v>
      </c>
      <c r="X675" s="598" t="s">
        <v>963</v>
      </c>
      <c r="Y675" s="624">
        <v>24209</v>
      </c>
      <c r="Z675" s="625">
        <f t="shared" ca="1" si="7"/>
        <v>59</v>
      </c>
      <c r="AA675" s="616" t="s">
        <v>3517</v>
      </c>
      <c r="AB675" s="598"/>
      <c r="AC675" s="598" t="s">
        <v>996</v>
      </c>
      <c r="AD675" s="598" t="s">
        <v>1018</v>
      </c>
      <c r="AE675" s="616" t="s">
        <v>973</v>
      </c>
      <c r="AF675" s="616" t="s">
        <v>973</v>
      </c>
      <c r="AG675" s="616" t="s">
        <v>3519</v>
      </c>
      <c r="AH675" s="598"/>
      <c r="AI675" s="598"/>
      <c r="AJ675" s="598" t="s">
        <v>1114</v>
      </c>
      <c r="AK675" s="598" t="s">
        <v>3510</v>
      </c>
      <c r="AL675" s="626"/>
      <c r="AM675" s="626"/>
    </row>
    <row r="676" spans="3:39" ht="18" customHeight="1">
      <c r="C676" s="598">
        <v>656</v>
      </c>
      <c r="D676" s="598" t="s">
        <v>3520</v>
      </c>
      <c r="E676" s="598">
        <f t="shared" si="6"/>
        <v>613</v>
      </c>
      <c r="F676" s="616" t="s">
        <v>1810</v>
      </c>
      <c r="G676" s="616" t="s">
        <v>991</v>
      </c>
      <c r="H676" s="618" t="s">
        <v>1195</v>
      </c>
      <c r="I676" s="618" t="s">
        <v>78</v>
      </c>
      <c r="J676" s="618" t="s">
        <v>986</v>
      </c>
      <c r="K676" s="618" t="s">
        <v>956</v>
      </c>
      <c r="L676" s="618" t="s">
        <v>3825</v>
      </c>
      <c r="M676" s="619" t="s">
        <v>3963</v>
      </c>
      <c r="N676" s="620"/>
      <c r="O676" s="620"/>
      <c r="P676" s="663" t="s">
        <v>4948</v>
      </c>
      <c r="Q676" s="621" t="s">
        <v>319</v>
      </c>
      <c r="R676" s="598"/>
      <c r="S676" s="598"/>
      <c r="T676" s="598"/>
      <c r="U676" s="598" t="s">
        <v>962</v>
      </c>
      <c r="V676" s="663" t="s">
        <v>691</v>
      </c>
      <c r="W676" s="779" t="s">
        <v>3521</v>
      </c>
      <c r="X676" s="598" t="s">
        <v>963</v>
      </c>
      <c r="Y676" s="624">
        <v>26119</v>
      </c>
      <c r="Z676" s="625">
        <f t="shared" ca="1" si="7"/>
        <v>54</v>
      </c>
      <c r="AA676" s="616"/>
      <c r="AB676" s="598"/>
      <c r="AC676" s="598" t="s">
        <v>996</v>
      </c>
      <c r="AD676" s="598" t="s">
        <v>1018</v>
      </c>
      <c r="AE676" s="616" t="s">
        <v>973</v>
      </c>
      <c r="AF676" s="616" t="s">
        <v>973</v>
      </c>
      <c r="AG676" s="616" t="s">
        <v>3519</v>
      </c>
      <c r="AH676" s="598"/>
      <c r="AI676" s="598"/>
      <c r="AJ676" s="598" t="s">
        <v>1114</v>
      </c>
      <c r="AK676" s="598" t="s">
        <v>3510</v>
      </c>
      <c r="AL676" s="626"/>
      <c r="AM676" s="626"/>
    </row>
    <row r="677" spans="3:39" ht="18" customHeight="1">
      <c r="C677" s="598">
        <v>657</v>
      </c>
      <c r="D677" s="598" t="s">
        <v>4951</v>
      </c>
      <c r="E677" s="598">
        <f t="shared" si="6"/>
        <v>614</v>
      </c>
      <c r="F677" s="616" t="s">
        <v>1810</v>
      </c>
      <c r="G677" s="616" t="s">
        <v>991</v>
      </c>
      <c r="H677" s="618" t="s">
        <v>1195</v>
      </c>
      <c r="I677" s="618" t="s">
        <v>78</v>
      </c>
      <c r="J677" s="618" t="s">
        <v>986</v>
      </c>
      <c r="K677" s="618" t="s">
        <v>956</v>
      </c>
      <c r="L677" s="618" t="s">
        <v>3825</v>
      </c>
      <c r="M677" s="619" t="s">
        <v>3963</v>
      </c>
      <c r="N677" s="620"/>
      <c r="O677" s="620"/>
      <c r="P677" s="673" t="s">
        <v>4948</v>
      </c>
      <c r="Q677" s="621" t="s">
        <v>319</v>
      </c>
      <c r="R677" s="598"/>
      <c r="S677" s="598"/>
      <c r="T677" s="598"/>
      <c r="U677" s="598" t="s">
        <v>1015</v>
      </c>
      <c r="V677" s="673" t="s">
        <v>4952</v>
      </c>
      <c r="W677" s="779" t="s">
        <v>4953</v>
      </c>
      <c r="X677" s="598" t="s">
        <v>950</v>
      </c>
      <c r="Y677" s="624">
        <v>22399</v>
      </c>
      <c r="Z677" s="625">
        <f t="shared" ca="1" si="7"/>
        <v>64</v>
      </c>
      <c r="AA677" s="616" t="s">
        <v>4954</v>
      </c>
      <c r="AB677" s="598"/>
      <c r="AC677" s="598" t="s">
        <v>996</v>
      </c>
      <c r="AD677" s="598" t="s">
        <v>1018</v>
      </c>
      <c r="AE677" s="616" t="s">
        <v>973</v>
      </c>
      <c r="AF677" s="616" t="s">
        <v>973</v>
      </c>
      <c r="AG677" s="616" t="s">
        <v>3519</v>
      </c>
      <c r="AH677" s="598"/>
      <c r="AI677" s="598" t="s">
        <v>4955</v>
      </c>
      <c r="AJ677" s="598" t="s">
        <v>1114</v>
      </c>
      <c r="AK677" s="598" t="s">
        <v>1020</v>
      </c>
      <c r="AL677" s="626" t="s">
        <v>1121</v>
      </c>
      <c r="AM677" s="626"/>
    </row>
    <row r="678" spans="3:39" ht="18" customHeight="1">
      <c r="C678" s="598">
        <v>658</v>
      </c>
      <c r="D678" s="598" t="s">
        <v>1514</v>
      </c>
      <c r="E678" s="598">
        <f t="shared" si="6"/>
        <v>614</v>
      </c>
      <c r="F678" s="616"/>
      <c r="G678" s="616" t="s">
        <v>991</v>
      </c>
      <c r="H678" s="618" t="s">
        <v>1195</v>
      </c>
      <c r="I678" s="618" t="s">
        <v>78</v>
      </c>
      <c r="J678" s="618" t="s">
        <v>986</v>
      </c>
      <c r="K678" s="618" t="s">
        <v>1514</v>
      </c>
      <c r="L678" s="618" t="s">
        <v>959</v>
      </c>
      <c r="M678" s="619"/>
      <c r="N678" s="620"/>
      <c r="O678" s="620"/>
      <c r="P678" s="667" t="s">
        <v>4956</v>
      </c>
      <c r="Q678" s="621"/>
      <c r="R678" s="598" t="s">
        <v>55</v>
      </c>
      <c r="S678" s="598" t="s">
        <v>178</v>
      </c>
      <c r="T678" s="598"/>
      <c r="U678" s="598"/>
      <c r="V678" s="667" t="s">
        <v>191</v>
      </c>
      <c r="W678" s="779" t="s">
        <v>1516</v>
      </c>
      <c r="X678" s="598" t="s">
        <v>963</v>
      </c>
      <c r="Y678" s="624">
        <v>19232</v>
      </c>
      <c r="Z678" s="625">
        <f t="shared" ca="1" si="7"/>
        <v>73</v>
      </c>
      <c r="AA678" s="616" t="s">
        <v>1517</v>
      </c>
      <c r="AB678" s="598"/>
      <c r="AC678" s="598" t="s">
        <v>966</v>
      </c>
      <c r="AD678" s="598" t="s">
        <v>953</v>
      </c>
      <c r="AE678" s="616" t="s">
        <v>729</v>
      </c>
      <c r="AF678" s="616" t="s">
        <v>1239</v>
      </c>
      <c r="AG678" s="616" t="s">
        <v>1240</v>
      </c>
      <c r="AH678" s="598" t="s">
        <v>955</v>
      </c>
      <c r="AI678" s="598"/>
      <c r="AJ678" s="598"/>
      <c r="AK678" s="598"/>
      <c r="AL678" s="626"/>
      <c r="AM678" s="626"/>
    </row>
    <row r="679" spans="3:39" ht="18" customHeight="1">
      <c r="C679" s="598">
        <v>659</v>
      </c>
      <c r="D679" s="598" t="s">
        <v>1765</v>
      </c>
      <c r="E679" s="598">
        <f t="shared" si="6"/>
        <v>615</v>
      </c>
      <c r="F679" s="616" t="s">
        <v>4978</v>
      </c>
      <c r="G679" s="616" t="s">
        <v>991</v>
      </c>
      <c r="H679" s="618" t="s">
        <v>1195</v>
      </c>
      <c r="I679" s="618" t="s">
        <v>78</v>
      </c>
      <c r="J679" s="618" t="s">
        <v>986</v>
      </c>
      <c r="K679" s="618" t="s">
        <v>1514</v>
      </c>
      <c r="L679" s="618" t="s">
        <v>959</v>
      </c>
      <c r="M679" s="619"/>
      <c r="N679" s="620"/>
      <c r="O679" s="620"/>
      <c r="P679" s="663" t="s">
        <v>4956</v>
      </c>
      <c r="Q679" s="621" t="s">
        <v>319</v>
      </c>
      <c r="R679" s="598"/>
      <c r="S679" s="598"/>
      <c r="T679" s="598"/>
      <c r="U679" s="598" t="s">
        <v>962</v>
      </c>
      <c r="V679" s="663" t="s">
        <v>621</v>
      </c>
      <c r="W679" s="779" t="s">
        <v>1766</v>
      </c>
      <c r="X679" s="598" t="s">
        <v>963</v>
      </c>
      <c r="Y679" s="624">
        <v>22720</v>
      </c>
      <c r="Z679" s="625">
        <f t="shared" ca="1" si="7"/>
        <v>63</v>
      </c>
      <c r="AA679" s="616" t="s">
        <v>1767</v>
      </c>
      <c r="AB679" s="598"/>
      <c r="AC679" s="598" t="s">
        <v>996</v>
      </c>
      <c r="AD679" s="598" t="s">
        <v>997</v>
      </c>
      <c r="AE679" s="616" t="s">
        <v>729</v>
      </c>
      <c r="AF679" s="640" t="s">
        <v>729</v>
      </c>
      <c r="AG679" s="616" t="s">
        <v>1769</v>
      </c>
      <c r="AH679" s="598"/>
      <c r="AI679" s="598"/>
      <c r="AJ679" s="598" t="s">
        <v>1452</v>
      </c>
      <c r="AK679" s="598"/>
      <c r="AL679" s="626"/>
      <c r="AM679" s="626"/>
    </row>
    <row r="680" spans="3:39" ht="18" customHeight="1">
      <c r="C680" s="598">
        <v>660</v>
      </c>
      <c r="D680" s="598" t="s">
        <v>2577</v>
      </c>
      <c r="E680" s="598">
        <f t="shared" si="6"/>
        <v>616</v>
      </c>
      <c r="F680" s="616" t="s">
        <v>4978</v>
      </c>
      <c r="G680" s="616" t="s">
        <v>991</v>
      </c>
      <c r="H680" s="618" t="s">
        <v>1195</v>
      </c>
      <c r="I680" s="618" t="s">
        <v>78</v>
      </c>
      <c r="J680" s="618" t="s">
        <v>986</v>
      </c>
      <c r="K680" s="618" t="s">
        <v>1514</v>
      </c>
      <c r="L680" s="618" t="s">
        <v>959</v>
      </c>
      <c r="M680" s="619"/>
      <c r="N680" s="620"/>
      <c r="O680" s="620"/>
      <c r="P680" s="663" t="s">
        <v>4956</v>
      </c>
      <c r="Q680" s="621" t="s">
        <v>319</v>
      </c>
      <c r="R680" s="598"/>
      <c r="S680" s="598"/>
      <c r="T680" s="598"/>
      <c r="U680" s="598" t="s">
        <v>962</v>
      </c>
      <c r="V680" s="663" t="s">
        <v>657</v>
      </c>
      <c r="W680" s="779" t="s">
        <v>2578</v>
      </c>
      <c r="X680" s="598" t="s">
        <v>963</v>
      </c>
      <c r="Y680" s="624">
        <v>35402</v>
      </c>
      <c r="Z680" s="625">
        <f t="shared" ca="1" si="7"/>
        <v>29</v>
      </c>
      <c r="AA680" s="616" t="s">
        <v>2579</v>
      </c>
      <c r="AB680" s="598"/>
      <c r="AC680" s="598" t="s">
        <v>996</v>
      </c>
      <c r="AD680" s="598" t="s">
        <v>997</v>
      </c>
      <c r="AE680" s="616" t="s">
        <v>729</v>
      </c>
      <c r="AF680" s="640" t="s">
        <v>729</v>
      </c>
      <c r="AG680" s="616" t="s">
        <v>2580</v>
      </c>
      <c r="AH680" s="598"/>
      <c r="AI680" s="598"/>
      <c r="AJ680" s="598" t="s">
        <v>1452</v>
      </c>
      <c r="AK680" s="598"/>
      <c r="AL680" s="626"/>
      <c r="AM680" s="626"/>
    </row>
    <row r="681" spans="3:39" ht="18" customHeight="1">
      <c r="C681" s="598">
        <v>661</v>
      </c>
      <c r="D681" s="598" t="s">
        <v>2581</v>
      </c>
      <c r="E681" s="598">
        <f t="shared" si="6"/>
        <v>617</v>
      </c>
      <c r="F681" s="616" t="s">
        <v>4978</v>
      </c>
      <c r="G681" s="616" t="s">
        <v>991</v>
      </c>
      <c r="H681" s="618" t="s">
        <v>1195</v>
      </c>
      <c r="I681" s="618" t="s">
        <v>78</v>
      </c>
      <c r="J681" s="618" t="s">
        <v>986</v>
      </c>
      <c r="K681" s="618" t="s">
        <v>1514</v>
      </c>
      <c r="L681" s="618" t="s">
        <v>959</v>
      </c>
      <c r="M681" s="619"/>
      <c r="N681" s="620"/>
      <c r="O681" s="620"/>
      <c r="P681" s="663" t="s">
        <v>4956</v>
      </c>
      <c r="Q681" s="621" t="s">
        <v>319</v>
      </c>
      <c r="R681" s="598"/>
      <c r="S681" s="598"/>
      <c r="T681" s="598"/>
      <c r="U681" s="598" t="s">
        <v>962</v>
      </c>
      <c r="V681" s="663" t="s">
        <v>676</v>
      </c>
      <c r="W681" s="779" t="s">
        <v>2582</v>
      </c>
      <c r="X681" s="598" t="s">
        <v>963</v>
      </c>
      <c r="Y681" s="624">
        <v>35555</v>
      </c>
      <c r="Z681" s="625">
        <f t="shared" ca="1" si="7"/>
        <v>28</v>
      </c>
      <c r="AA681" s="616" t="s">
        <v>2583</v>
      </c>
      <c r="AB681" s="598"/>
      <c r="AC681" s="598" t="s">
        <v>996</v>
      </c>
      <c r="AD681" s="598" t="s">
        <v>1018</v>
      </c>
      <c r="AE681" s="616" t="s">
        <v>729</v>
      </c>
      <c r="AF681" s="640" t="s">
        <v>729</v>
      </c>
      <c r="AG681" s="616" t="s">
        <v>2580</v>
      </c>
      <c r="AH681" s="598"/>
      <c r="AI681" s="598"/>
      <c r="AJ681" s="598" t="s">
        <v>1452</v>
      </c>
      <c r="AK681" s="598"/>
      <c r="AL681" s="626"/>
      <c r="AM681" s="626"/>
    </row>
    <row r="682" spans="3:39" ht="18" customHeight="1">
      <c r="C682" s="598">
        <v>662</v>
      </c>
      <c r="D682" s="598" t="s">
        <v>1746</v>
      </c>
      <c r="E682" s="598">
        <f t="shared" si="6"/>
        <v>618</v>
      </c>
      <c r="F682" s="616" t="s">
        <v>4978</v>
      </c>
      <c r="G682" s="616" t="s">
        <v>991</v>
      </c>
      <c r="H682" s="618" t="s">
        <v>1195</v>
      </c>
      <c r="I682" s="618" t="s">
        <v>78</v>
      </c>
      <c r="J682" s="618" t="s">
        <v>986</v>
      </c>
      <c r="K682" s="618" t="s">
        <v>1514</v>
      </c>
      <c r="L682" s="618" t="s">
        <v>959</v>
      </c>
      <c r="M682" s="619"/>
      <c r="N682" s="620"/>
      <c r="O682" s="620"/>
      <c r="P682" s="663" t="s">
        <v>4956</v>
      </c>
      <c r="Q682" s="621" t="s">
        <v>319</v>
      </c>
      <c r="R682" s="598"/>
      <c r="S682" s="598"/>
      <c r="T682" s="598"/>
      <c r="U682" s="598" t="s">
        <v>1090</v>
      </c>
      <c r="V682" s="663" t="s">
        <v>707</v>
      </c>
      <c r="W682" s="779" t="s">
        <v>1747</v>
      </c>
      <c r="X682" s="598" t="s">
        <v>963</v>
      </c>
      <c r="Y682" s="624">
        <v>18218</v>
      </c>
      <c r="Z682" s="625">
        <f t="shared" ca="1" si="7"/>
        <v>76</v>
      </c>
      <c r="AA682" s="616" t="s">
        <v>1748</v>
      </c>
      <c r="AB682" s="598"/>
      <c r="AC682" s="598" t="s">
        <v>996</v>
      </c>
      <c r="AD682" s="598" t="s">
        <v>1018</v>
      </c>
      <c r="AE682" s="616" t="s">
        <v>729</v>
      </c>
      <c r="AF682" s="640" t="s">
        <v>729</v>
      </c>
      <c r="AG682" s="616" t="s">
        <v>1750</v>
      </c>
      <c r="AH682" s="598"/>
      <c r="AI682" s="598"/>
      <c r="AJ682" s="598" t="s">
        <v>1107</v>
      </c>
      <c r="AK682" s="598"/>
      <c r="AL682" s="626"/>
      <c r="AM682" s="626"/>
    </row>
    <row r="683" spans="3:39" ht="18" customHeight="1">
      <c r="C683" s="598">
        <v>663</v>
      </c>
      <c r="D683" s="598" t="s">
        <v>2739</v>
      </c>
      <c r="E683" s="598">
        <f t="shared" si="6"/>
        <v>619</v>
      </c>
      <c r="F683" s="616" t="s">
        <v>4978</v>
      </c>
      <c r="G683" s="616" t="s">
        <v>991</v>
      </c>
      <c r="H683" s="618" t="s">
        <v>1195</v>
      </c>
      <c r="I683" s="618" t="s">
        <v>78</v>
      </c>
      <c r="J683" s="618" t="s">
        <v>986</v>
      </c>
      <c r="K683" s="618" t="s">
        <v>1514</v>
      </c>
      <c r="L683" s="618" t="s">
        <v>959</v>
      </c>
      <c r="M683" s="619"/>
      <c r="N683" s="620"/>
      <c r="O683" s="620"/>
      <c r="P683" s="663" t="s">
        <v>4956</v>
      </c>
      <c r="Q683" s="621" t="s">
        <v>319</v>
      </c>
      <c r="R683" s="598"/>
      <c r="S683" s="598"/>
      <c r="T683" s="598"/>
      <c r="U683" s="598" t="s">
        <v>962</v>
      </c>
      <c r="V683" s="663" t="s">
        <v>2740</v>
      </c>
      <c r="W683" s="779" t="s">
        <v>2741</v>
      </c>
      <c r="X683" s="598" t="s">
        <v>963</v>
      </c>
      <c r="Y683" s="624">
        <v>22220</v>
      </c>
      <c r="Z683" s="625">
        <f t="shared" ca="1" si="7"/>
        <v>65</v>
      </c>
      <c r="AA683" s="616" t="s">
        <v>2742</v>
      </c>
      <c r="AB683" s="598"/>
      <c r="AC683" s="598" t="s">
        <v>996</v>
      </c>
      <c r="AD683" s="598" t="s">
        <v>997</v>
      </c>
      <c r="AE683" s="616" t="s">
        <v>729</v>
      </c>
      <c r="AF683" s="616" t="s">
        <v>2737</v>
      </c>
      <c r="AG683" s="616" t="s">
        <v>2744</v>
      </c>
      <c r="AH683" s="598"/>
      <c r="AI683" s="598"/>
      <c r="AJ683" s="598" t="s">
        <v>1107</v>
      </c>
      <c r="AK683" s="598"/>
      <c r="AL683" s="626"/>
      <c r="AM683" s="626"/>
    </row>
    <row r="684" spans="3:39" ht="18" customHeight="1">
      <c r="C684" s="598">
        <v>664</v>
      </c>
      <c r="D684" s="598" t="s">
        <v>2732</v>
      </c>
      <c r="E684" s="598">
        <f t="shared" si="6"/>
        <v>620</v>
      </c>
      <c r="F684" s="616" t="s">
        <v>4978</v>
      </c>
      <c r="G684" s="616" t="s">
        <v>991</v>
      </c>
      <c r="H684" s="618" t="s">
        <v>1195</v>
      </c>
      <c r="I684" s="618" t="s">
        <v>78</v>
      </c>
      <c r="J684" s="618" t="s">
        <v>986</v>
      </c>
      <c r="K684" s="618" t="s">
        <v>1514</v>
      </c>
      <c r="L684" s="618" t="s">
        <v>959</v>
      </c>
      <c r="M684" s="619"/>
      <c r="N684" s="620"/>
      <c r="O684" s="620"/>
      <c r="P684" s="663" t="s">
        <v>4956</v>
      </c>
      <c r="Q684" s="621" t="s">
        <v>319</v>
      </c>
      <c r="R684" s="598"/>
      <c r="S684" s="598"/>
      <c r="T684" s="598"/>
      <c r="U684" s="598" t="s">
        <v>1090</v>
      </c>
      <c r="V684" s="663" t="s">
        <v>2733</v>
      </c>
      <c r="W684" s="779" t="s">
        <v>2734</v>
      </c>
      <c r="X684" s="598" t="s">
        <v>963</v>
      </c>
      <c r="Y684" s="624">
        <v>18796</v>
      </c>
      <c r="Z684" s="625">
        <f t="shared" ca="1" si="7"/>
        <v>74</v>
      </c>
      <c r="AA684" s="616" t="s">
        <v>2735</v>
      </c>
      <c r="AB684" s="598"/>
      <c r="AC684" s="598" t="s">
        <v>996</v>
      </c>
      <c r="AD684" s="598" t="s">
        <v>1018</v>
      </c>
      <c r="AE684" s="616" t="s">
        <v>1041</v>
      </c>
      <c r="AF684" s="616" t="s">
        <v>2737</v>
      </c>
      <c r="AG684" s="616" t="s">
        <v>2738</v>
      </c>
      <c r="AH684" s="598"/>
      <c r="AI684" s="598"/>
      <c r="AJ684" s="598" t="s">
        <v>1318</v>
      </c>
      <c r="AK684" s="598"/>
      <c r="AL684" s="626"/>
      <c r="AM684" s="626"/>
    </row>
    <row r="685" spans="3:39" ht="18" customHeight="1">
      <c r="C685" s="598">
        <v>665</v>
      </c>
      <c r="D685" s="598" t="s">
        <v>1523</v>
      </c>
      <c r="E685" s="598">
        <f t="shared" si="6"/>
        <v>621</v>
      </c>
      <c r="F685" s="616" t="s">
        <v>4978</v>
      </c>
      <c r="G685" s="616" t="s">
        <v>991</v>
      </c>
      <c r="H685" s="618" t="s">
        <v>1195</v>
      </c>
      <c r="I685" s="618" t="s">
        <v>78</v>
      </c>
      <c r="J685" s="618" t="s">
        <v>986</v>
      </c>
      <c r="K685" s="618" t="s">
        <v>1514</v>
      </c>
      <c r="L685" s="618" t="s">
        <v>959</v>
      </c>
      <c r="M685" s="619"/>
      <c r="N685" s="620"/>
      <c r="O685" s="620"/>
      <c r="P685" s="663" t="s">
        <v>4956</v>
      </c>
      <c r="Q685" s="621" t="s">
        <v>319</v>
      </c>
      <c r="R685" s="598"/>
      <c r="S685" s="598"/>
      <c r="T685" s="598"/>
      <c r="U685" s="598" t="s">
        <v>962</v>
      </c>
      <c r="V685" s="663" t="s">
        <v>1524</v>
      </c>
      <c r="W685" s="779" t="s">
        <v>1525</v>
      </c>
      <c r="X685" s="598" t="s">
        <v>963</v>
      </c>
      <c r="Y685" s="624">
        <v>21313</v>
      </c>
      <c r="Z685" s="625">
        <f t="shared" ca="1" si="7"/>
        <v>67</v>
      </c>
      <c r="AA685" s="616" t="s">
        <v>1526</v>
      </c>
      <c r="AB685" s="598"/>
      <c r="AC685" s="598" t="s">
        <v>996</v>
      </c>
      <c r="AD685" s="598" t="s">
        <v>1018</v>
      </c>
      <c r="AE685" s="616" t="s">
        <v>729</v>
      </c>
      <c r="AF685" s="616" t="s">
        <v>729</v>
      </c>
      <c r="AG685" s="616" t="s">
        <v>1323</v>
      </c>
      <c r="AH685" s="598"/>
      <c r="AI685" s="598"/>
      <c r="AJ685" s="598" t="s">
        <v>1318</v>
      </c>
      <c r="AK685" s="598"/>
      <c r="AL685" s="626"/>
      <c r="AM685" s="626"/>
    </row>
    <row r="686" spans="3:39" ht="18" customHeight="1">
      <c r="C686" s="598">
        <v>666</v>
      </c>
      <c r="D686" s="598" t="s">
        <v>4958</v>
      </c>
      <c r="E686" s="598">
        <f t="shared" si="6"/>
        <v>622</v>
      </c>
      <c r="F686" s="616" t="s">
        <v>4978</v>
      </c>
      <c r="G686" s="616" t="s">
        <v>991</v>
      </c>
      <c r="H686" s="618" t="s">
        <v>1195</v>
      </c>
      <c r="I686" s="618" t="s">
        <v>78</v>
      </c>
      <c r="J686" s="618" t="s">
        <v>986</v>
      </c>
      <c r="K686" s="618" t="s">
        <v>1514</v>
      </c>
      <c r="L686" s="618" t="s">
        <v>959</v>
      </c>
      <c r="M686" s="619"/>
      <c r="N686" s="620"/>
      <c r="O686" s="620"/>
      <c r="P686" s="673" t="s">
        <v>4956</v>
      </c>
      <c r="Q686" s="621" t="s">
        <v>319</v>
      </c>
      <c r="R686" s="598"/>
      <c r="S686" s="598"/>
      <c r="T686" s="598"/>
      <c r="U686" s="598" t="s">
        <v>962</v>
      </c>
      <c r="V686" s="673" t="s">
        <v>4959</v>
      </c>
      <c r="W686" s="779" t="s">
        <v>4960</v>
      </c>
      <c r="X686" s="598" t="s">
        <v>963</v>
      </c>
      <c r="Y686" s="624">
        <v>26711</v>
      </c>
      <c r="Z686" s="625">
        <f t="shared" ca="1" si="7"/>
        <v>52</v>
      </c>
      <c r="AA686" s="616" t="s">
        <v>4961</v>
      </c>
      <c r="AB686" s="598"/>
      <c r="AC686" s="598" t="s">
        <v>996</v>
      </c>
      <c r="AD686" s="598" t="s">
        <v>1018</v>
      </c>
      <c r="AE686" s="616" t="s">
        <v>729</v>
      </c>
      <c r="AF686" s="616" t="s">
        <v>729</v>
      </c>
      <c r="AG686" s="616" t="s">
        <v>4962</v>
      </c>
      <c r="AH686" s="598"/>
      <c r="AI686" s="598" t="s">
        <v>1019</v>
      </c>
      <c r="AJ686" s="598" t="s">
        <v>1452</v>
      </c>
      <c r="AK686" s="598"/>
      <c r="AL686" s="626"/>
      <c r="AM686" s="626"/>
    </row>
    <row r="687" spans="3:39" ht="18" customHeight="1">
      <c r="C687" s="598">
        <v>667</v>
      </c>
      <c r="D687" s="598" t="s">
        <v>1658</v>
      </c>
      <c r="E687" s="598">
        <f t="shared" si="6"/>
        <v>622</v>
      </c>
      <c r="F687" s="616"/>
      <c r="G687" s="616" t="s">
        <v>4963</v>
      </c>
      <c r="H687" s="618" t="s">
        <v>1195</v>
      </c>
      <c r="I687" s="618" t="s">
        <v>87</v>
      </c>
      <c r="J687" s="618" t="s">
        <v>1043</v>
      </c>
      <c r="K687" s="618" t="s">
        <v>1658</v>
      </c>
      <c r="L687" s="618"/>
      <c r="M687" s="619"/>
      <c r="N687" s="620"/>
      <c r="O687" s="620"/>
      <c r="P687" s="667" t="s">
        <v>4964</v>
      </c>
      <c r="Q687" s="621"/>
      <c r="R687" s="598" t="s">
        <v>55</v>
      </c>
      <c r="S687" s="598" t="s">
        <v>178</v>
      </c>
      <c r="T687" s="598"/>
      <c r="U687" s="598"/>
      <c r="V687" s="667" t="s">
        <v>286</v>
      </c>
      <c r="W687" s="779" t="s">
        <v>4965</v>
      </c>
      <c r="X687" s="598" t="s">
        <v>950</v>
      </c>
      <c r="Y687" s="624">
        <v>29090</v>
      </c>
      <c r="Z687" s="625">
        <f t="shared" ca="1" si="7"/>
        <v>46</v>
      </c>
      <c r="AA687" s="616" t="s">
        <v>1661</v>
      </c>
      <c r="AB687" s="598"/>
      <c r="AC687" s="598" t="s">
        <v>966</v>
      </c>
      <c r="AD687" s="598" t="s">
        <v>953</v>
      </c>
      <c r="AE687" s="616" t="s">
        <v>729</v>
      </c>
      <c r="AF687" s="616" t="s">
        <v>1239</v>
      </c>
      <c r="AG687" s="616" t="s">
        <v>1258</v>
      </c>
      <c r="AH687" s="598" t="s">
        <v>955</v>
      </c>
      <c r="AI687" s="598"/>
      <c r="AJ687" s="598"/>
      <c r="AK687" s="598"/>
      <c r="AL687" s="626"/>
      <c r="AM687" s="626"/>
    </row>
    <row r="688" spans="3:39" ht="18" customHeight="1">
      <c r="C688" s="598">
        <v>668</v>
      </c>
      <c r="D688" s="598" t="s">
        <v>1663</v>
      </c>
      <c r="E688" s="598">
        <f t="shared" si="6"/>
        <v>623</v>
      </c>
      <c r="F688" s="616" t="s">
        <v>4978</v>
      </c>
      <c r="G688" s="616" t="s">
        <v>4963</v>
      </c>
      <c r="H688" s="618" t="s">
        <v>1195</v>
      </c>
      <c r="I688" s="618" t="s">
        <v>87</v>
      </c>
      <c r="J688" s="618" t="s">
        <v>1202</v>
      </c>
      <c r="K688" s="618" t="s">
        <v>1658</v>
      </c>
      <c r="L688" s="618"/>
      <c r="M688" s="619"/>
      <c r="N688" s="620"/>
      <c r="O688" s="620"/>
      <c r="P688" s="663" t="s">
        <v>4964</v>
      </c>
      <c r="Q688" s="621" t="s">
        <v>319</v>
      </c>
      <c r="R688" s="598"/>
      <c r="S688" s="598"/>
      <c r="T688" s="598"/>
      <c r="U688" s="598" t="s">
        <v>1015</v>
      </c>
      <c r="V688" s="663" t="s">
        <v>622</v>
      </c>
      <c r="W688" s="779" t="s">
        <v>1664</v>
      </c>
      <c r="X688" s="598" t="s">
        <v>950</v>
      </c>
      <c r="Y688" s="624">
        <v>24600</v>
      </c>
      <c r="Z688" s="625">
        <f t="shared" ca="1" si="7"/>
        <v>58</v>
      </c>
      <c r="AA688" s="616" t="s">
        <v>1665</v>
      </c>
      <c r="AB688" s="598"/>
      <c r="AC688" s="598" t="s">
        <v>996</v>
      </c>
      <c r="AD688" s="598" t="s">
        <v>1018</v>
      </c>
      <c r="AE688" s="616" t="s">
        <v>729</v>
      </c>
      <c r="AF688" s="616" t="s">
        <v>729</v>
      </c>
      <c r="AG688" s="616" t="s">
        <v>1323</v>
      </c>
      <c r="AH688" s="598"/>
      <c r="AI688" s="598"/>
      <c r="AJ688" s="647" t="s">
        <v>1513</v>
      </c>
      <c r="AK688" s="598"/>
      <c r="AL688" s="626"/>
      <c r="AM688" s="626"/>
    </row>
    <row r="689" spans="3:39" ht="18" customHeight="1">
      <c r="C689" s="598">
        <v>669</v>
      </c>
      <c r="D689" s="598" t="s">
        <v>2391</v>
      </c>
      <c r="E689" s="598">
        <f t="shared" si="6"/>
        <v>624</v>
      </c>
      <c r="F689" s="616" t="s">
        <v>4978</v>
      </c>
      <c r="G689" s="616" t="s">
        <v>4963</v>
      </c>
      <c r="H689" s="618" t="s">
        <v>1195</v>
      </c>
      <c r="I689" s="618" t="s">
        <v>87</v>
      </c>
      <c r="J689" s="618" t="s">
        <v>1195</v>
      </c>
      <c r="K689" s="618" t="s">
        <v>1658</v>
      </c>
      <c r="L689" s="618"/>
      <c r="M689" s="619"/>
      <c r="N689" s="620"/>
      <c r="O689" s="620"/>
      <c r="P689" s="663" t="s">
        <v>4964</v>
      </c>
      <c r="Q689" s="621" t="s">
        <v>319</v>
      </c>
      <c r="R689" s="598"/>
      <c r="S689" s="598"/>
      <c r="T689" s="598"/>
      <c r="U689" s="598" t="s">
        <v>1015</v>
      </c>
      <c r="V689" s="663" t="s">
        <v>641</v>
      </c>
      <c r="W689" s="779" t="s">
        <v>2392</v>
      </c>
      <c r="X689" s="598" t="s">
        <v>950</v>
      </c>
      <c r="Y689" s="624">
        <v>26817</v>
      </c>
      <c r="Z689" s="625">
        <f t="shared" ca="1" si="7"/>
        <v>52</v>
      </c>
      <c r="AA689" s="616" t="s">
        <v>2393</v>
      </c>
      <c r="AB689" s="598"/>
      <c r="AC689" s="598" t="s">
        <v>996</v>
      </c>
      <c r="AD689" s="598" t="s">
        <v>1018</v>
      </c>
      <c r="AE689" s="616" t="s">
        <v>729</v>
      </c>
      <c r="AF689" s="616" t="s">
        <v>729</v>
      </c>
      <c r="AG689" s="616" t="s">
        <v>2142</v>
      </c>
      <c r="AH689" s="598"/>
      <c r="AI689" s="598"/>
      <c r="AJ689" s="647" t="s">
        <v>1513</v>
      </c>
      <c r="AK689" s="598"/>
      <c r="AL689" s="626"/>
      <c r="AM689" s="626"/>
    </row>
    <row r="690" spans="3:39" ht="18" customHeight="1">
      <c r="C690" s="598">
        <v>670</v>
      </c>
      <c r="D690" s="598" t="s">
        <v>1992</v>
      </c>
      <c r="E690" s="598">
        <f t="shared" si="6"/>
        <v>625</v>
      </c>
      <c r="F690" s="616" t="s">
        <v>4978</v>
      </c>
      <c r="G690" s="616" t="s">
        <v>4963</v>
      </c>
      <c r="H690" s="618" t="s">
        <v>1195</v>
      </c>
      <c r="I690" s="618" t="s">
        <v>87</v>
      </c>
      <c r="J690" s="618" t="s">
        <v>1195</v>
      </c>
      <c r="K690" s="618" t="s">
        <v>1658</v>
      </c>
      <c r="L690" s="618"/>
      <c r="M690" s="619"/>
      <c r="N690" s="620"/>
      <c r="O690" s="620"/>
      <c r="P690" s="663" t="s">
        <v>4964</v>
      </c>
      <c r="Q690" s="621" t="s">
        <v>319</v>
      </c>
      <c r="R690" s="598"/>
      <c r="S690" s="598"/>
      <c r="T690" s="598"/>
      <c r="U690" s="598" t="s">
        <v>1015</v>
      </c>
      <c r="V690" s="663" t="s">
        <v>658</v>
      </c>
      <c r="W690" s="779" t="s">
        <v>5005</v>
      </c>
      <c r="X690" s="598" t="s">
        <v>950</v>
      </c>
      <c r="Y690" s="624">
        <v>27630</v>
      </c>
      <c r="Z690" s="625">
        <f t="shared" ca="1" si="7"/>
        <v>50</v>
      </c>
      <c r="AA690" s="616" t="s">
        <v>2263</v>
      </c>
      <c r="AB690" s="598"/>
      <c r="AC690" s="598" t="s">
        <v>996</v>
      </c>
      <c r="AD690" s="598" t="s">
        <v>1018</v>
      </c>
      <c r="AE690" s="616" t="s">
        <v>729</v>
      </c>
      <c r="AF690" s="616" t="s">
        <v>729</v>
      </c>
      <c r="AG690" s="616" t="s">
        <v>2265</v>
      </c>
      <c r="AH690" s="598"/>
      <c r="AI690" s="598"/>
      <c r="AJ690" s="647" t="s">
        <v>1513</v>
      </c>
      <c r="AK690" s="598"/>
      <c r="AL690" s="626"/>
      <c r="AM690" s="626"/>
    </row>
    <row r="691" spans="3:39" ht="18" customHeight="1">
      <c r="C691" s="598">
        <v>671</v>
      </c>
      <c r="D691" s="598" t="s">
        <v>1667</v>
      </c>
      <c r="E691" s="598">
        <f t="shared" si="6"/>
        <v>626</v>
      </c>
      <c r="F691" s="616" t="s">
        <v>4978</v>
      </c>
      <c r="G691" s="616" t="s">
        <v>4963</v>
      </c>
      <c r="H691" s="618" t="s">
        <v>1195</v>
      </c>
      <c r="I691" s="618" t="s">
        <v>87</v>
      </c>
      <c r="J691" s="618" t="s">
        <v>1195</v>
      </c>
      <c r="K691" s="618" t="s">
        <v>1658</v>
      </c>
      <c r="L691" s="618"/>
      <c r="M691" s="619"/>
      <c r="N691" s="620"/>
      <c r="O691" s="620"/>
      <c r="P691" s="663" t="s">
        <v>4964</v>
      </c>
      <c r="Q691" s="621" t="s">
        <v>319</v>
      </c>
      <c r="R691" s="598"/>
      <c r="S691" s="598"/>
      <c r="T691" s="598"/>
      <c r="U691" s="598" t="s">
        <v>1015</v>
      </c>
      <c r="V691" s="663" t="s">
        <v>677</v>
      </c>
      <c r="W691" s="779" t="s">
        <v>1668</v>
      </c>
      <c r="X691" s="598" t="s">
        <v>950</v>
      </c>
      <c r="Y691" s="624">
        <v>29536</v>
      </c>
      <c r="Z691" s="625">
        <f t="shared" ca="1" si="7"/>
        <v>45</v>
      </c>
      <c r="AA691" s="616" t="s">
        <v>1669</v>
      </c>
      <c r="AB691" s="598"/>
      <c r="AC691" s="598" t="s">
        <v>996</v>
      </c>
      <c r="AD691" s="598" t="s">
        <v>1018</v>
      </c>
      <c r="AE691" s="616" t="s">
        <v>1670</v>
      </c>
      <c r="AF691" s="616" t="s">
        <v>1670</v>
      </c>
      <c r="AG691" s="616" t="s">
        <v>1671</v>
      </c>
      <c r="AH691" s="598"/>
      <c r="AI691" s="598"/>
      <c r="AJ691" s="647" t="s">
        <v>1513</v>
      </c>
      <c r="AK691" s="598"/>
      <c r="AL691" s="626"/>
      <c r="AM691" s="626"/>
    </row>
    <row r="692" spans="3:39" ht="18" customHeight="1">
      <c r="C692" s="598">
        <v>672</v>
      </c>
      <c r="D692" s="598" t="s">
        <v>1672</v>
      </c>
      <c r="E692" s="598">
        <f t="shared" si="6"/>
        <v>627</v>
      </c>
      <c r="F692" s="616" t="s">
        <v>4978</v>
      </c>
      <c r="G692" s="616" t="s">
        <v>4963</v>
      </c>
      <c r="H692" s="618" t="s">
        <v>1195</v>
      </c>
      <c r="I692" s="618" t="s">
        <v>87</v>
      </c>
      <c r="J692" s="618" t="s">
        <v>1195</v>
      </c>
      <c r="K692" s="618" t="s">
        <v>1658</v>
      </c>
      <c r="L692" s="618"/>
      <c r="M692" s="619"/>
      <c r="N692" s="620"/>
      <c r="O692" s="620"/>
      <c r="P692" s="673" t="s">
        <v>4964</v>
      </c>
      <c r="Q692" s="621" t="s">
        <v>319</v>
      </c>
      <c r="R692" s="598"/>
      <c r="S692" s="598"/>
      <c r="T692" s="598"/>
      <c r="U692" s="598" t="s">
        <v>1015</v>
      </c>
      <c r="V692" s="673" t="s">
        <v>693</v>
      </c>
      <c r="W692" s="779" t="s">
        <v>1673</v>
      </c>
      <c r="X692" s="598" t="s">
        <v>950</v>
      </c>
      <c r="Y692" s="624">
        <v>31881</v>
      </c>
      <c r="Z692" s="625">
        <f t="shared" ca="1" si="7"/>
        <v>38</v>
      </c>
      <c r="AA692" s="616" t="s">
        <v>1674</v>
      </c>
      <c r="AB692" s="598"/>
      <c r="AC692" s="598" t="s">
        <v>996</v>
      </c>
      <c r="AD692" s="598" t="s">
        <v>1018</v>
      </c>
      <c r="AE692" s="616" t="s">
        <v>1670</v>
      </c>
      <c r="AF692" s="616" t="s">
        <v>729</v>
      </c>
      <c r="AG692" s="616" t="s">
        <v>1323</v>
      </c>
      <c r="AH692" s="598"/>
      <c r="AI692" s="598"/>
      <c r="AJ692" s="647" t="s">
        <v>1513</v>
      </c>
      <c r="AK692" s="598"/>
      <c r="AL692" s="626"/>
      <c r="AM692" s="626"/>
    </row>
    <row r="693" spans="3:39" ht="18" customHeight="1">
      <c r="C693" s="598">
        <v>673</v>
      </c>
      <c r="D693" s="598" t="s">
        <v>2168</v>
      </c>
      <c r="E693" s="598">
        <f t="shared" si="6"/>
        <v>627</v>
      </c>
      <c r="F693" s="616"/>
      <c r="G693" s="616" t="s">
        <v>4963</v>
      </c>
      <c r="H693" s="618" t="s">
        <v>1195</v>
      </c>
      <c r="I693" s="618" t="s">
        <v>87</v>
      </c>
      <c r="J693" s="618" t="s">
        <v>1195</v>
      </c>
      <c r="K693" s="618" t="s">
        <v>2168</v>
      </c>
      <c r="L693" s="618"/>
      <c r="M693" s="619"/>
      <c r="N693" s="620"/>
      <c r="O693" s="620"/>
      <c r="P693" s="667" t="s">
        <v>4966</v>
      </c>
      <c r="Q693" s="621"/>
      <c r="R693" s="598" t="s">
        <v>55</v>
      </c>
      <c r="S693" s="598" t="s">
        <v>178</v>
      </c>
      <c r="T693" s="598"/>
      <c r="U693" s="598"/>
      <c r="V693" s="667" t="s">
        <v>605</v>
      </c>
      <c r="W693" s="779" t="s">
        <v>2169</v>
      </c>
      <c r="X693" s="598" t="s">
        <v>950</v>
      </c>
      <c r="Y693" s="624">
        <v>21524</v>
      </c>
      <c r="Z693" s="625">
        <f t="shared" ca="1" si="7"/>
        <v>67</v>
      </c>
      <c r="AA693" s="616" t="s">
        <v>2170</v>
      </c>
      <c r="AB693" s="598"/>
      <c r="AC693" s="598" t="s">
        <v>966</v>
      </c>
      <c r="AD693" s="598" t="s">
        <v>953</v>
      </c>
      <c r="AE693" s="616"/>
      <c r="AF693" s="616"/>
      <c r="AG693" s="616"/>
      <c r="AH693" s="598" t="s">
        <v>955</v>
      </c>
      <c r="AI693" s="598"/>
      <c r="AJ693" s="598"/>
      <c r="AK693" s="598"/>
      <c r="AL693" s="626"/>
      <c r="AM693" s="626"/>
    </row>
    <row r="694" spans="3:39" ht="18" customHeight="1">
      <c r="C694" s="598">
        <v>674</v>
      </c>
      <c r="D694" s="598" t="s">
        <v>2536</v>
      </c>
      <c r="E694" s="598">
        <f t="shared" si="6"/>
        <v>628</v>
      </c>
      <c r="F694" s="616" t="s">
        <v>4978</v>
      </c>
      <c r="G694" s="616" t="s">
        <v>4963</v>
      </c>
      <c r="H694" s="618" t="s">
        <v>1195</v>
      </c>
      <c r="I694" s="618" t="s">
        <v>87</v>
      </c>
      <c r="J694" s="618" t="s">
        <v>1195</v>
      </c>
      <c r="K694" s="618" t="s">
        <v>2168</v>
      </c>
      <c r="L694" s="618"/>
      <c r="M694" s="619"/>
      <c r="N694" s="620"/>
      <c r="O694" s="620"/>
      <c r="P694" s="663" t="s">
        <v>4966</v>
      </c>
      <c r="Q694" s="621" t="s">
        <v>319</v>
      </c>
      <c r="R694" s="598"/>
      <c r="S694" s="598"/>
      <c r="T694" s="598"/>
      <c r="U694" s="598" t="s">
        <v>1015</v>
      </c>
      <c r="V694" s="663" t="s">
        <v>623</v>
      </c>
      <c r="W694" s="779" t="s">
        <v>2537</v>
      </c>
      <c r="X694" s="598" t="s">
        <v>950</v>
      </c>
      <c r="Y694" s="624">
        <v>22993</v>
      </c>
      <c r="Z694" s="625">
        <f t="shared" ca="1" si="7"/>
        <v>63</v>
      </c>
      <c r="AA694" s="616" t="s">
        <v>2538</v>
      </c>
      <c r="AB694" s="598"/>
      <c r="AC694" s="598" t="s">
        <v>996</v>
      </c>
      <c r="AD694" s="598" t="s">
        <v>1018</v>
      </c>
      <c r="AE694" s="616" t="s">
        <v>729</v>
      </c>
      <c r="AF694" s="616" t="s">
        <v>729</v>
      </c>
      <c r="AG694" s="616" t="s">
        <v>2463</v>
      </c>
      <c r="AH694" s="598"/>
      <c r="AI694" s="598"/>
      <c r="AJ694" s="647" t="s">
        <v>1513</v>
      </c>
      <c r="AK694" s="598"/>
      <c r="AL694" s="626"/>
      <c r="AM694" s="626"/>
    </row>
    <row r="695" spans="3:39" ht="18" customHeight="1">
      <c r="C695" s="598">
        <v>675</v>
      </c>
      <c r="D695" s="598" t="s">
        <v>2181</v>
      </c>
      <c r="E695" s="598">
        <f t="shared" si="6"/>
        <v>629</v>
      </c>
      <c r="F695" s="616" t="s">
        <v>4978</v>
      </c>
      <c r="G695" s="616" t="s">
        <v>4963</v>
      </c>
      <c r="H695" s="618" t="s">
        <v>1195</v>
      </c>
      <c r="I695" s="618" t="s">
        <v>87</v>
      </c>
      <c r="J695" s="618" t="s">
        <v>1195</v>
      </c>
      <c r="K695" s="618" t="s">
        <v>2168</v>
      </c>
      <c r="L695" s="618"/>
      <c r="M695" s="619"/>
      <c r="N695" s="620"/>
      <c r="O695" s="620"/>
      <c r="P695" s="663" t="s">
        <v>4966</v>
      </c>
      <c r="Q695" s="621" t="s">
        <v>319</v>
      </c>
      <c r="R695" s="598"/>
      <c r="S695" s="598"/>
      <c r="T695" s="598"/>
      <c r="U695" s="598" t="s">
        <v>1015</v>
      </c>
      <c r="V695" s="663" t="s">
        <v>642</v>
      </c>
      <c r="W695" s="779" t="s">
        <v>2182</v>
      </c>
      <c r="X695" s="598" t="s">
        <v>950</v>
      </c>
      <c r="Y695" s="624">
        <v>24691</v>
      </c>
      <c r="Z695" s="625">
        <f t="shared" ca="1" si="7"/>
        <v>58</v>
      </c>
      <c r="AA695" s="616" t="s">
        <v>2183</v>
      </c>
      <c r="AB695" s="598"/>
      <c r="AC695" s="598" t="s">
        <v>996</v>
      </c>
      <c r="AD695" s="598" t="s">
        <v>1018</v>
      </c>
      <c r="AE695" s="616" t="s">
        <v>729</v>
      </c>
      <c r="AF695" s="616" t="s">
        <v>729</v>
      </c>
      <c r="AG695" s="616" t="s">
        <v>2185</v>
      </c>
      <c r="AH695" s="598"/>
      <c r="AI695" s="598"/>
      <c r="AJ695" s="647" t="s">
        <v>1513</v>
      </c>
      <c r="AK695" s="598"/>
      <c r="AL695" s="626"/>
      <c r="AM695" s="626"/>
    </row>
    <row r="696" spans="3:39" ht="18" customHeight="1">
      <c r="C696" s="598">
        <v>676</v>
      </c>
      <c r="D696" s="598" t="s">
        <v>2173</v>
      </c>
      <c r="E696" s="598">
        <f t="shared" si="6"/>
        <v>630</v>
      </c>
      <c r="F696" s="616" t="s">
        <v>4978</v>
      </c>
      <c r="G696" s="616" t="s">
        <v>4963</v>
      </c>
      <c r="H696" s="618" t="s">
        <v>1195</v>
      </c>
      <c r="I696" s="618" t="s">
        <v>87</v>
      </c>
      <c r="J696" s="618" t="s">
        <v>1195</v>
      </c>
      <c r="K696" s="618" t="s">
        <v>2168</v>
      </c>
      <c r="L696" s="618"/>
      <c r="M696" s="619"/>
      <c r="N696" s="620"/>
      <c r="O696" s="620"/>
      <c r="P696" s="663" t="s">
        <v>4966</v>
      </c>
      <c r="Q696" s="621" t="s">
        <v>319</v>
      </c>
      <c r="R696" s="598"/>
      <c r="S696" s="598"/>
      <c r="T696" s="598"/>
      <c r="U696" s="598" t="s">
        <v>1015</v>
      </c>
      <c r="V696" s="663" t="s">
        <v>659</v>
      </c>
      <c r="W696" s="779" t="s">
        <v>2174</v>
      </c>
      <c r="X696" s="598" t="s">
        <v>950</v>
      </c>
      <c r="Y696" s="624">
        <v>24929</v>
      </c>
      <c r="Z696" s="625">
        <f t="shared" ca="1" si="7"/>
        <v>57</v>
      </c>
      <c r="AA696" s="616" t="s">
        <v>2175</v>
      </c>
      <c r="AB696" s="598"/>
      <c r="AC696" s="598" t="s">
        <v>996</v>
      </c>
      <c r="AD696" s="598" t="s">
        <v>1018</v>
      </c>
      <c r="AE696" s="616" t="s">
        <v>729</v>
      </c>
      <c r="AF696" s="616" t="s">
        <v>729</v>
      </c>
      <c r="AG696" s="616" t="s">
        <v>1760</v>
      </c>
      <c r="AH696" s="598"/>
      <c r="AI696" s="598"/>
      <c r="AJ696" s="647" t="s">
        <v>1513</v>
      </c>
      <c r="AK696" s="598"/>
      <c r="AL696" s="626"/>
      <c r="AM696" s="626"/>
    </row>
    <row r="697" spans="3:39" ht="18" customHeight="1">
      <c r="C697" s="598">
        <v>677</v>
      </c>
      <c r="D697" s="598" t="s">
        <v>2540</v>
      </c>
      <c r="E697" s="598">
        <f t="shared" si="6"/>
        <v>631</v>
      </c>
      <c r="F697" s="616" t="s">
        <v>4978</v>
      </c>
      <c r="G697" s="616" t="s">
        <v>4963</v>
      </c>
      <c r="H697" s="618" t="s">
        <v>1195</v>
      </c>
      <c r="I697" s="618" t="s">
        <v>87</v>
      </c>
      <c r="J697" s="618" t="s">
        <v>1195</v>
      </c>
      <c r="K697" s="618" t="s">
        <v>2168</v>
      </c>
      <c r="L697" s="618"/>
      <c r="M697" s="619"/>
      <c r="N697" s="620"/>
      <c r="O697" s="620"/>
      <c r="P697" s="663" t="s">
        <v>4966</v>
      </c>
      <c r="Q697" s="621" t="s">
        <v>319</v>
      </c>
      <c r="R697" s="598"/>
      <c r="S697" s="598"/>
      <c r="T697" s="598"/>
      <c r="U697" s="598" t="s">
        <v>1015</v>
      </c>
      <c r="V697" s="663" t="s">
        <v>678</v>
      </c>
      <c r="W697" s="779" t="s">
        <v>2541</v>
      </c>
      <c r="X697" s="598" t="s">
        <v>950</v>
      </c>
      <c r="Y697" s="624">
        <v>26306</v>
      </c>
      <c r="Z697" s="625">
        <f t="shared" ca="1" si="7"/>
        <v>54</v>
      </c>
      <c r="AA697" s="616" t="s">
        <v>2542</v>
      </c>
      <c r="AB697" s="598"/>
      <c r="AC697" s="598" t="s">
        <v>996</v>
      </c>
      <c r="AD697" s="598" t="s">
        <v>1018</v>
      </c>
      <c r="AE697" s="616" t="s">
        <v>729</v>
      </c>
      <c r="AF697" s="616" t="s">
        <v>729</v>
      </c>
      <c r="AG697" s="616" t="s">
        <v>2544</v>
      </c>
      <c r="AH697" s="598"/>
      <c r="AI697" s="598"/>
      <c r="AJ697" s="647" t="s">
        <v>1513</v>
      </c>
      <c r="AK697" s="598"/>
      <c r="AL697" s="626"/>
      <c r="AM697" s="626"/>
    </row>
    <row r="698" spans="3:39" ht="18" customHeight="1">
      <c r="C698" s="598">
        <v>678</v>
      </c>
      <c r="D698" s="598" t="s">
        <v>2545</v>
      </c>
      <c r="E698" s="598">
        <f t="shared" si="6"/>
        <v>632</v>
      </c>
      <c r="F698" s="616" t="s">
        <v>4978</v>
      </c>
      <c r="G698" s="616" t="s">
        <v>4963</v>
      </c>
      <c r="H698" s="618" t="s">
        <v>1195</v>
      </c>
      <c r="I698" s="618" t="s">
        <v>87</v>
      </c>
      <c r="J698" s="618" t="s">
        <v>1195</v>
      </c>
      <c r="K698" s="618" t="s">
        <v>2168</v>
      </c>
      <c r="L698" s="618"/>
      <c r="M698" s="619"/>
      <c r="N698" s="620"/>
      <c r="O698" s="620"/>
      <c r="P698" s="673" t="s">
        <v>4966</v>
      </c>
      <c r="Q698" s="621" t="s">
        <v>319</v>
      </c>
      <c r="R698" s="598"/>
      <c r="S698" s="598"/>
      <c r="T698" s="598"/>
      <c r="U698" s="598" t="s">
        <v>1015</v>
      </c>
      <c r="V698" s="673" t="s">
        <v>694</v>
      </c>
      <c r="W698" s="779" t="s">
        <v>2546</v>
      </c>
      <c r="X698" s="598" t="s">
        <v>950</v>
      </c>
      <c r="Y698" s="624">
        <v>28381</v>
      </c>
      <c r="Z698" s="625">
        <f t="shared" ca="1" si="7"/>
        <v>48</v>
      </c>
      <c r="AA698" s="616" t="s">
        <v>2547</v>
      </c>
      <c r="AB698" s="598"/>
      <c r="AC698" s="598" t="s">
        <v>996</v>
      </c>
      <c r="AD698" s="598" t="s">
        <v>1018</v>
      </c>
      <c r="AE698" s="616" t="s">
        <v>729</v>
      </c>
      <c r="AF698" s="616" t="s">
        <v>729</v>
      </c>
      <c r="AG698" s="616" t="s">
        <v>2549</v>
      </c>
      <c r="AH698" s="598"/>
      <c r="AI698" s="598"/>
      <c r="AJ698" s="647" t="s">
        <v>1513</v>
      </c>
      <c r="AK698" s="598"/>
      <c r="AL698" s="626"/>
      <c r="AM698" s="626"/>
    </row>
    <row r="699" spans="3:39" ht="18" customHeight="1">
      <c r="C699" s="598">
        <v>679</v>
      </c>
      <c r="D699" s="598" t="s">
        <v>2926</v>
      </c>
      <c r="E699" s="598">
        <f t="shared" si="6"/>
        <v>632</v>
      </c>
      <c r="F699" s="616"/>
      <c r="G699" s="616" t="s">
        <v>4963</v>
      </c>
      <c r="H699" s="618" t="s">
        <v>1195</v>
      </c>
      <c r="I699" s="618" t="s">
        <v>87</v>
      </c>
      <c r="J699" s="618" t="s">
        <v>1195</v>
      </c>
      <c r="K699" s="618" t="s">
        <v>2926</v>
      </c>
      <c r="L699" s="618" t="s">
        <v>959</v>
      </c>
      <c r="M699" s="619"/>
      <c r="N699" s="620"/>
      <c r="O699" s="620"/>
      <c r="P699" s="667" t="s">
        <v>4968</v>
      </c>
      <c r="Q699" s="621"/>
      <c r="R699" s="598"/>
      <c r="S699" s="598" t="s">
        <v>178</v>
      </c>
      <c r="T699" s="598"/>
      <c r="U699" s="598"/>
      <c r="V699" s="667" t="s">
        <v>190</v>
      </c>
      <c r="W699" s="779" t="s">
        <v>2928</v>
      </c>
      <c r="X699" s="598" t="s">
        <v>950</v>
      </c>
      <c r="Y699" s="624">
        <v>25699</v>
      </c>
      <c r="Z699" s="625">
        <f t="shared" ca="1" si="7"/>
        <v>55</v>
      </c>
      <c r="AA699" s="616" t="s">
        <v>2929</v>
      </c>
      <c r="AB699" s="598"/>
      <c r="AC699" s="598" t="s">
        <v>966</v>
      </c>
      <c r="AD699" s="598" t="s">
        <v>953</v>
      </c>
      <c r="AE699" s="616" t="s">
        <v>1041</v>
      </c>
      <c r="AF699" s="616" t="s">
        <v>1041</v>
      </c>
      <c r="AG699" s="616" t="s">
        <v>2784</v>
      </c>
      <c r="AH699" s="598" t="s">
        <v>955</v>
      </c>
      <c r="AI699" s="598"/>
      <c r="AJ699" s="598"/>
      <c r="AK699" s="598"/>
      <c r="AL699" s="626"/>
      <c r="AM699" s="626"/>
    </row>
    <row r="700" spans="3:39" ht="18" customHeight="1">
      <c r="C700" s="598">
        <v>680</v>
      </c>
      <c r="D700" s="598" t="s">
        <v>2950</v>
      </c>
      <c r="E700" s="598">
        <f t="shared" si="6"/>
        <v>633</v>
      </c>
      <c r="F700" s="616" t="s">
        <v>4978</v>
      </c>
      <c r="G700" s="616" t="s">
        <v>4963</v>
      </c>
      <c r="H700" s="618" t="s">
        <v>1195</v>
      </c>
      <c r="I700" s="618" t="s">
        <v>87</v>
      </c>
      <c r="J700" s="618" t="s">
        <v>1195</v>
      </c>
      <c r="K700" s="618" t="s">
        <v>2926</v>
      </c>
      <c r="L700" s="618"/>
      <c r="M700" s="619"/>
      <c r="N700" s="620"/>
      <c r="O700" s="620"/>
      <c r="P700" s="663" t="s">
        <v>4968</v>
      </c>
      <c r="Q700" s="621" t="s">
        <v>319</v>
      </c>
      <c r="R700" s="598"/>
      <c r="S700" s="598"/>
      <c r="T700" s="598"/>
      <c r="U700" s="598" t="s">
        <v>1015</v>
      </c>
      <c r="V700" s="663" t="s">
        <v>2951</v>
      </c>
      <c r="W700" s="779" t="s">
        <v>2952</v>
      </c>
      <c r="X700" s="598" t="s">
        <v>950</v>
      </c>
      <c r="Y700" s="624">
        <v>20919</v>
      </c>
      <c r="Z700" s="625">
        <f t="shared" ca="1" si="7"/>
        <v>68</v>
      </c>
      <c r="AA700" s="616" t="s">
        <v>2953</v>
      </c>
      <c r="AB700" s="598"/>
      <c r="AC700" s="598" t="s">
        <v>996</v>
      </c>
      <c r="AD700" s="598" t="s">
        <v>1018</v>
      </c>
      <c r="AE700" s="616" t="s">
        <v>1041</v>
      </c>
      <c r="AF700" s="616" t="s">
        <v>1250</v>
      </c>
      <c r="AG700" s="616" t="s">
        <v>1684</v>
      </c>
      <c r="AH700" s="598"/>
      <c r="AI700" s="598"/>
      <c r="AJ700" s="647" t="s">
        <v>1513</v>
      </c>
      <c r="AK700" s="598"/>
      <c r="AL700" s="626"/>
      <c r="AM700" s="626"/>
    </row>
    <row r="701" spans="3:39" ht="18" customHeight="1">
      <c r="C701" s="598">
        <v>681</v>
      </c>
      <c r="D701" s="598" t="s">
        <v>2955</v>
      </c>
      <c r="E701" s="598">
        <f t="shared" si="6"/>
        <v>634</v>
      </c>
      <c r="F701" s="616" t="s">
        <v>4978</v>
      </c>
      <c r="G701" s="616" t="s">
        <v>4963</v>
      </c>
      <c r="H701" s="618" t="s">
        <v>1195</v>
      </c>
      <c r="I701" s="618" t="s">
        <v>87</v>
      </c>
      <c r="J701" s="618" t="s">
        <v>1195</v>
      </c>
      <c r="K701" s="618" t="s">
        <v>2926</v>
      </c>
      <c r="L701" s="618"/>
      <c r="M701" s="619"/>
      <c r="N701" s="620"/>
      <c r="O701" s="620"/>
      <c r="P701" s="663" t="s">
        <v>4968</v>
      </c>
      <c r="Q701" s="621" t="s">
        <v>319</v>
      </c>
      <c r="R701" s="598"/>
      <c r="S701" s="598"/>
      <c r="T701" s="598"/>
      <c r="U701" s="598" t="s">
        <v>1015</v>
      </c>
      <c r="V701" s="663" t="s">
        <v>643</v>
      </c>
      <c r="W701" s="779" t="s">
        <v>2956</v>
      </c>
      <c r="X701" s="598" t="s">
        <v>950</v>
      </c>
      <c r="Y701" s="624">
        <v>22040</v>
      </c>
      <c r="Z701" s="625">
        <f t="shared" ca="1" si="7"/>
        <v>65</v>
      </c>
      <c r="AA701" s="616" t="s">
        <v>2957</v>
      </c>
      <c r="AB701" s="598"/>
      <c r="AC701" s="598" t="s">
        <v>996</v>
      </c>
      <c r="AD701" s="598" t="s">
        <v>1018</v>
      </c>
      <c r="AE701" s="616" t="s">
        <v>1041</v>
      </c>
      <c r="AF701" s="616" t="s">
        <v>1041</v>
      </c>
      <c r="AG701" s="616" t="s">
        <v>2761</v>
      </c>
      <c r="AH701" s="598"/>
      <c r="AI701" s="598"/>
      <c r="AJ701" s="647" t="s">
        <v>1513</v>
      </c>
      <c r="AK701" s="598"/>
      <c r="AL701" s="626"/>
      <c r="AM701" s="626"/>
    </row>
    <row r="702" spans="3:39" ht="18" customHeight="1">
      <c r="C702" s="598">
        <v>682</v>
      </c>
      <c r="D702" s="598" t="s">
        <v>2959</v>
      </c>
      <c r="E702" s="598">
        <f t="shared" si="6"/>
        <v>635</v>
      </c>
      <c r="F702" s="616" t="s">
        <v>4978</v>
      </c>
      <c r="G702" s="616" t="s">
        <v>4963</v>
      </c>
      <c r="H702" s="618" t="s">
        <v>1195</v>
      </c>
      <c r="I702" s="618" t="s">
        <v>87</v>
      </c>
      <c r="J702" s="618" t="s">
        <v>1195</v>
      </c>
      <c r="K702" s="618" t="s">
        <v>2926</v>
      </c>
      <c r="L702" s="618"/>
      <c r="M702" s="619"/>
      <c r="N702" s="620"/>
      <c r="O702" s="620"/>
      <c r="P702" s="663" t="s">
        <v>4968</v>
      </c>
      <c r="Q702" s="621" t="s">
        <v>319</v>
      </c>
      <c r="R702" s="598"/>
      <c r="S702" s="598"/>
      <c r="T702" s="598"/>
      <c r="U702" s="598" t="s">
        <v>1015</v>
      </c>
      <c r="V702" s="663" t="s">
        <v>5010</v>
      </c>
      <c r="W702" s="779" t="s">
        <v>2960</v>
      </c>
      <c r="X702" s="598" t="s">
        <v>950</v>
      </c>
      <c r="Y702" s="624">
        <v>26478</v>
      </c>
      <c r="Z702" s="625">
        <f t="shared" ca="1" si="7"/>
        <v>53</v>
      </c>
      <c r="AA702" s="616" t="s">
        <v>2961</v>
      </c>
      <c r="AB702" s="598"/>
      <c r="AC702" s="598" t="s">
        <v>996</v>
      </c>
      <c r="AD702" s="598" t="s">
        <v>1018</v>
      </c>
      <c r="AE702" s="616" t="s">
        <v>1041</v>
      </c>
      <c r="AF702" s="616" t="s">
        <v>1041</v>
      </c>
      <c r="AG702" s="616" t="s">
        <v>2761</v>
      </c>
      <c r="AH702" s="598"/>
      <c r="AI702" s="598"/>
      <c r="AJ702" s="647" t="s">
        <v>1513</v>
      </c>
      <c r="AK702" s="598"/>
      <c r="AL702" s="626"/>
      <c r="AM702" s="626"/>
    </row>
    <row r="703" spans="3:39" ht="18" customHeight="1">
      <c r="C703" s="598">
        <v>683</v>
      </c>
      <c r="D703" s="598" t="s">
        <v>2963</v>
      </c>
      <c r="E703" s="598">
        <f t="shared" si="6"/>
        <v>636</v>
      </c>
      <c r="F703" s="616" t="s">
        <v>4978</v>
      </c>
      <c r="G703" s="616" t="s">
        <v>4963</v>
      </c>
      <c r="H703" s="618" t="s">
        <v>1195</v>
      </c>
      <c r="I703" s="618" t="s">
        <v>87</v>
      </c>
      <c r="J703" s="618" t="s">
        <v>1195</v>
      </c>
      <c r="K703" s="618" t="s">
        <v>2926</v>
      </c>
      <c r="L703" s="618"/>
      <c r="M703" s="619"/>
      <c r="N703" s="620"/>
      <c r="O703" s="620"/>
      <c r="P703" s="663" t="s">
        <v>4968</v>
      </c>
      <c r="Q703" s="621" t="s">
        <v>319</v>
      </c>
      <c r="R703" s="598"/>
      <c r="S703" s="598"/>
      <c r="T703" s="598"/>
      <c r="U703" s="598" t="s">
        <v>1015</v>
      </c>
      <c r="V703" s="663" t="s">
        <v>679</v>
      </c>
      <c r="W703" s="779" t="s">
        <v>2964</v>
      </c>
      <c r="X703" s="598" t="s">
        <v>950</v>
      </c>
      <c r="Y703" s="624">
        <v>27186</v>
      </c>
      <c r="Z703" s="625">
        <f t="shared" ca="1" si="7"/>
        <v>51</v>
      </c>
      <c r="AA703" s="616" t="s">
        <v>2965</v>
      </c>
      <c r="AB703" s="598"/>
      <c r="AC703" s="598" t="s">
        <v>996</v>
      </c>
      <c r="AD703" s="598" t="s">
        <v>1018</v>
      </c>
      <c r="AE703" s="616" t="s">
        <v>1041</v>
      </c>
      <c r="AF703" s="616" t="s">
        <v>1041</v>
      </c>
      <c r="AG703" s="616" t="s">
        <v>1473</v>
      </c>
      <c r="AH703" s="598"/>
      <c r="AI703" s="598"/>
      <c r="AJ703" s="647" t="s">
        <v>1513</v>
      </c>
      <c r="AK703" s="598"/>
      <c r="AL703" s="626"/>
      <c r="AM703" s="626"/>
    </row>
    <row r="704" spans="3:39" ht="18" customHeight="1">
      <c r="C704" s="598">
        <v>684</v>
      </c>
      <c r="D704" s="598" t="s">
        <v>2967</v>
      </c>
      <c r="E704" s="598">
        <f t="shared" si="6"/>
        <v>637</v>
      </c>
      <c r="F704" s="616" t="s">
        <v>4978</v>
      </c>
      <c r="G704" s="616" t="s">
        <v>4963</v>
      </c>
      <c r="H704" s="618" t="s">
        <v>1195</v>
      </c>
      <c r="I704" s="618" t="s">
        <v>87</v>
      </c>
      <c r="J704" s="618" t="s">
        <v>1195</v>
      </c>
      <c r="K704" s="618" t="s">
        <v>2926</v>
      </c>
      <c r="L704" s="618"/>
      <c r="M704" s="619"/>
      <c r="N704" s="620"/>
      <c r="O704" s="620"/>
      <c r="P704" s="673" t="s">
        <v>4968</v>
      </c>
      <c r="Q704" s="621" t="s">
        <v>319</v>
      </c>
      <c r="R704" s="598"/>
      <c r="S704" s="598"/>
      <c r="T704" s="598"/>
      <c r="U704" s="598" t="s">
        <v>1015</v>
      </c>
      <c r="V704" s="673" t="s">
        <v>695</v>
      </c>
      <c r="W704" s="779" t="s">
        <v>2968</v>
      </c>
      <c r="X704" s="598" t="s">
        <v>950</v>
      </c>
      <c r="Y704" s="624">
        <v>28887</v>
      </c>
      <c r="Z704" s="625">
        <f t="shared" ca="1" si="7"/>
        <v>46</v>
      </c>
      <c r="AA704" s="616" t="s">
        <v>2969</v>
      </c>
      <c r="AB704" s="598"/>
      <c r="AC704" s="598" t="s">
        <v>996</v>
      </c>
      <c r="AD704" s="598" t="s">
        <v>1018</v>
      </c>
      <c r="AE704" s="616" t="s">
        <v>1041</v>
      </c>
      <c r="AF704" s="616" t="s">
        <v>1041</v>
      </c>
      <c r="AG704" s="616" t="s">
        <v>2774</v>
      </c>
      <c r="AH704" s="598"/>
      <c r="AI704" s="598"/>
      <c r="AJ704" s="647" t="s">
        <v>1513</v>
      </c>
      <c r="AK704" s="598"/>
      <c r="AL704" s="626"/>
      <c r="AM704" s="626"/>
    </row>
    <row r="705" spans="3:39" ht="18" customHeight="1">
      <c r="C705" s="598">
        <v>685</v>
      </c>
      <c r="D705" s="598" t="s">
        <v>3811</v>
      </c>
      <c r="E705" s="598">
        <f t="shared" si="6"/>
        <v>637</v>
      </c>
      <c r="F705" s="616"/>
      <c r="G705" s="616" t="s">
        <v>4963</v>
      </c>
      <c r="H705" s="618" t="s">
        <v>1195</v>
      </c>
      <c r="I705" s="618" t="s">
        <v>87</v>
      </c>
      <c r="J705" s="618" t="s">
        <v>1043</v>
      </c>
      <c r="K705" s="618" t="s">
        <v>3811</v>
      </c>
      <c r="L705" s="618" t="s">
        <v>959</v>
      </c>
      <c r="M705" s="619"/>
      <c r="N705" s="620"/>
      <c r="O705" s="620"/>
      <c r="P705" s="667" t="s">
        <v>4970</v>
      </c>
      <c r="Q705" s="621"/>
      <c r="R705" s="598" t="s">
        <v>173</v>
      </c>
      <c r="S705" s="598" t="s">
        <v>514</v>
      </c>
      <c r="T705" s="598" t="s">
        <v>55</v>
      </c>
      <c r="U705" s="598"/>
      <c r="V705" s="667" t="s">
        <v>512</v>
      </c>
      <c r="W705" s="779" t="s">
        <v>4173</v>
      </c>
      <c r="X705" s="598" t="s">
        <v>950</v>
      </c>
      <c r="Y705" s="624">
        <v>22147</v>
      </c>
      <c r="Z705" s="625">
        <f t="shared" ca="1" si="7"/>
        <v>65</v>
      </c>
      <c r="AA705" s="616" t="s">
        <v>4174</v>
      </c>
      <c r="AB705" s="598"/>
      <c r="AC705" s="598" t="s">
        <v>996</v>
      </c>
      <c r="AD705" s="598" t="s">
        <v>953</v>
      </c>
      <c r="AE705" s="616" t="s">
        <v>246</v>
      </c>
      <c r="AF705" s="616" t="s">
        <v>246</v>
      </c>
      <c r="AG705" s="616" t="s">
        <v>3815</v>
      </c>
      <c r="AH705" s="598" t="s">
        <v>955</v>
      </c>
      <c r="AI705" s="598"/>
      <c r="AJ705" s="598"/>
      <c r="AK705" s="598"/>
      <c r="AL705" s="626"/>
      <c r="AM705" s="626"/>
    </row>
    <row r="706" spans="3:39" ht="18" customHeight="1">
      <c r="C706" s="598">
        <v>686</v>
      </c>
      <c r="D706" s="598" t="s">
        <v>4123</v>
      </c>
      <c r="E706" s="598">
        <f t="shared" si="6"/>
        <v>638</v>
      </c>
      <c r="F706" s="616" t="s">
        <v>3808</v>
      </c>
      <c r="G706" s="616" t="s">
        <v>4963</v>
      </c>
      <c r="H706" s="618" t="s">
        <v>1195</v>
      </c>
      <c r="I706" s="618" t="s">
        <v>87</v>
      </c>
      <c r="J706" s="618" t="s">
        <v>1202</v>
      </c>
      <c r="K706" s="618" t="s">
        <v>3811</v>
      </c>
      <c r="L706" s="618" t="s">
        <v>959</v>
      </c>
      <c r="M706" s="619"/>
      <c r="N706" s="620"/>
      <c r="O706" s="620"/>
      <c r="P706" s="663" t="s">
        <v>4970</v>
      </c>
      <c r="Q706" s="621" t="s">
        <v>319</v>
      </c>
      <c r="R706" s="598"/>
      <c r="S706" s="598"/>
      <c r="T706" s="598"/>
      <c r="U706" s="598" t="s">
        <v>1015</v>
      </c>
      <c r="V706" s="663" t="s">
        <v>625</v>
      </c>
      <c r="W706" s="779" t="s">
        <v>4124</v>
      </c>
      <c r="X706" s="598" t="s">
        <v>950</v>
      </c>
      <c r="Y706" s="624">
        <v>20956</v>
      </c>
      <c r="Z706" s="625">
        <f t="shared" ca="1" si="7"/>
        <v>68</v>
      </c>
      <c r="AA706" s="616" t="s">
        <v>4125</v>
      </c>
      <c r="AB706" s="598"/>
      <c r="AC706" s="598" t="s">
        <v>996</v>
      </c>
      <c r="AD706" s="598" t="s">
        <v>1018</v>
      </c>
      <c r="AE706" s="616" t="s">
        <v>246</v>
      </c>
      <c r="AF706" s="616" t="s">
        <v>246</v>
      </c>
      <c r="AG706" s="616" t="s">
        <v>3815</v>
      </c>
      <c r="AH706" s="598"/>
      <c r="AI706" s="598"/>
      <c r="AJ706" s="647" t="s">
        <v>4127</v>
      </c>
      <c r="AK706" s="598"/>
      <c r="AL706" s="626"/>
      <c r="AM706" s="626"/>
    </row>
    <row r="707" spans="3:39" ht="18" customHeight="1">
      <c r="C707" s="598">
        <v>687</v>
      </c>
      <c r="D707" s="598" t="s">
        <v>4418</v>
      </c>
      <c r="E707" s="598">
        <f t="shared" si="6"/>
        <v>639</v>
      </c>
      <c r="F707" s="616" t="s">
        <v>4978</v>
      </c>
      <c r="G707" s="616" t="s">
        <v>4963</v>
      </c>
      <c r="H707" s="618" t="s">
        <v>1195</v>
      </c>
      <c r="I707" s="618" t="s">
        <v>87</v>
      </c>
      <c r="J707" s="618" t="s">
        <v>1195</v>
      </c>
      <c r="K707" s="618" t="s">
        <v>3811</v>
      </c>
      <c r="L707" s="618" t="s">
        <v>959</v>
      </c>
      <c r="M707" s="619"/>
      <c r="N707" s="620"/>
      <c r="O707" s="620"/>
      <c r="P707" s="663" t="s">
        <v>4970</v>
      </c>
      <c r="Q707" s="621" t="s">
        <v>319</v>
      </c>
      <c r="R707" s="598"/>
      <c r="S707" s="598"/>
      <c r="T707" s="598"/>
      <c r="U707" s="598" t="s">
        <v>1015</v>
      </c>
      <c r="V707" s="663" t="s">
        <v>644</v>
      </c>
      <c r="W707" s="779" t="s">
        <v>4419</v>
      </c>
      <c r="X707" s="598" t="s">
        <v>950</v>
      </c>
      <c r="Y707" s="624">
        <v>23295</v>
      </c>
      <c r="Z707" s="625">
        <f t="shared" ca="1" si="7"/>
        <v>62</v>
      </c>
      <c r="AA707" s="616" t="s">
        <v>4420</v>
      </c>
      <c r="AB707" s="598"/>
      <c r="AC707" s="598" t="s">
        <v>996</v>
      </c>
      <c r="AD707" s="598" t="s">
        <v>1018</v>
      </c>
      <c r="AE707" s="616" t="s">
        <v>246</v>
      </c>
      <c r="AF707" s="616" t="s">
        <v>246</v>
      </c>
      <c r="AG707" s="616" t="s">
        <v>4393</v>
      </c>
      <c r="AH707" s="598"/>
      <c r="AI707" s="598"/>
      <c r="AJ707" s="647" t="s">
        <v>1513</v>
      </c>
      <c r="AK707" s="598"/>
      <c r="AL707" s="626"/>
      <c r="AM707" s="626"/>
    </row>
    <row r="708" spans="3:39" ht="18" customHeight="1">
      <c r="C708" s="598">
        <v>688</v>
      </c>
      <c r="D708" s="598" t="s">
        <v>4422</v>
      </c>
      <c r="E708" s="598">
        <f t="shared" si="6"/>
        <v>640</v>
      </c>
      <c r="F708" s="616" t="s">
        <v>4978</v>
      </c>
      <c r="G708" s="616" t="s">
        <v>4963</v>
      </c>
      <c r="H708" s="618" t="s">
        <v>1195</v>
      </c>
      <c r="I708" s="618" t="s">
        <v>87</v>
      </c>
      <c r="J708" s="618" t="s">
        <v>1195</v>
      </c>
      <c r="K708" s="618" t="s">
        <v>3811</v>
      </c>
      <c r="L708" s="618" t="s">
        <v>959</v>
      </c>
      <c r="M708" s="619"/>
      <c r="N708" s="620"/>
      <c r="O708" s="620"/>
      <c r="P708" s="663" t="s">
        <v>4970</v>
      </c>
      <c r="Q708" s="621" t="s">
        <v>319</v>
      </c>
      <c r="R708" s="598"/>
      <c r="S708" s="598"/>
      <c r="T708" s="598"/>
      <c r="U708" s="598" t="s">
        <v>1015</v>
      </c>
      <c r="V708" s="663" t="s">
        <v>661</v>
      </c>
      <c r="W708" s="779" t="s">
        <v>4423</v>
      </c>
      <c r="X708" s="598" t="s">
        <v>950</v>
      </c>
      <c r="Y708" s="624">
        <v>23392</v>
      </c>
      <c r="Z708" s="625">
        <f t="shared" ca="1" si="7"/>
        <v>62</v>
      </c>
      <c r="AA708" s="616" t="s">
        <v>4424</v>
      </c>
      <c r="AB708" s="598"/>
      <c r="AC708" s="598" t="s">
        <v>996</v>
      </c>
      <c r="AD708" s="598" t="s">
        <v>1018</v>
      </c>
      <c r="AE708" s="616" t="s">
        <v>246</v>
      </c>
      <c r="AF708" s="616" t="s">
        <v>246</v>
      </c>
      <c r="AG708" s="616" t="s">
        <v>3824</v>
      </c>
      <c r="AH708" s="598"/>
      <c r="AI708" s="598"/>
      <c r="AJ708" s="647" t="s">
        <v>1513</v>
      </c>
      <c r="AK708" s="598"/>
      <c r="AL708" s="626"/>
      <c r="AM708" s="626"/>
    </row>
    <row r="709" spans="3:39" ht="18" customHeight="1">
      <c r="C709" s="598">
        <v>689</v>
      </c>
      <c r="D709" s="598" t="s">
        <v>4060</v>
      </c>
      <c r="E709" s="598">
        <f t="shared" si="6"/>
        <v>641</v>
      </c>
      <c r="F709" s="616" t="s">
        <v>4978</v>
      </c>
      <c r="G709" s="616" t="s">
        <v>4963</v>
      </c>
      <c r="H709" s="618" t="s">
        <v>1195</v>
      </c>
      <c r="I709" s="618" t="s">
        <v>87</v>
      </c>
      <c r="J709" s="618" t="s">
        <v>1195</v>
      </c>
      <c r="K709" s="618" t="s">
        <v>3811</v>
      </c>
      <c r="L709" s="618" t="s">
        <v>959</v>
      </c>
      <c r="M709" s="619"/>
      <c r="N709" s="620"/>
      <c r="O709" s="620"/>
      <c r="P709" s="663" t="s">
        <v>4970</v>
      </c>
      <c r="Q709" s="621" t="s">
        <v>319</v>
      </c>
      <c r="R709" s="598"/>
      <c r="S709" s="598"/>
      <c r="T709" s="598"/>
      <c r="U709" s="598" t="s">
        <v>1015</v>
      </c>
      <c r="V709" s="663" t="s">
        <v>680</v>
      </c>
      <c r="W709" s="779" t="s">
        <v>4061</v>
      </c>
      <c r="X709" s="598" t="s">
        <v>950</v>
      </c>
      <c r="Y709" s="624">
        <v>23701</v>
      </c>
      <c r="Z709" s="625">
        <f t="shared" ca="1" si="7"/>
        <v>61</v>
      </c>
      <c r="AA709" s="616" t="s">
        <v>4062</v>
      </c>
      <c r="AB709" s="598"/>
      <c r="AC709" s="598" t="s">
        <v>996</v>
      </c>
      <c r="AD709" s="598" t="s">
        <v>1018</v>
      </c>
      <c r="AE709" s="616" t="s">
        <v>246</v>
      </c>
      <c r="AF709" s="616" t="s">
        <v>246</v>
      </c>
      <c r="AG709" s="616" t="s">
        <v>4064</v>
      </c>
      <c r="AH709" s="598"/>
      <c r="AI709" s="598"/>
      <c r="AJ709" s="647" t="s">
        <v>1513</v>
      </c>
      <c r="AK709" s="598"/>
      <c r="AL709" s="626"/>
      <c r="AM709" s="626"/>
    </row>
    <row r="710" spans="3:39" ht="18" customHeight="1">
      <c r="C710" s="598">
        <v>690</v>
      </c>
      <c r="D710" s="598" t="s">
        <v>3743</v>
      </c>
      <c r="E710" s="598">
        <f t="shared" si="6"/>
        <v>642</v>
      </c>
      <c r="F710" s="616" t="s">
        <v>4978</v>
      </c>
      <c r="G710" s="616" t="s">
        <v>4963</v>
      </c>
      <c r="H710" s="618" t="s">
        <v>1195</v>
      </c>
      <c r="I710" s="618" t="s">
        <v>87</v>
      </c>
      <c r="J710" s="618" t="s">
        <v>1195</v>
      </c>
      <c r="K710" s="618" t="s">
        <v>3811</v>
      </c>
      <c r="L710" s="618" t="s">
        <v>959</v>
      </c>
      <c r="M710" s="619"/>
      <c r="N710" s="620"/>
      <c r="O710" s="620"/>
      <c r="P710" s="673" t="s">
        <v>4970</v>
      </c>
      <c r="Q710" s="621" t="s">
        <v>319</v>
      </c>
      <c r="R710" s="598"/>
      <c r="S710" s="598"/>
      <c r="T710" s="598"/>
      <c r="U710" s="598" t="s">
        <v>1015</v>
      </c>
      <c r="V710" s="673" t="s">
        <v>696</v>
      </c>
      <c r="W710" s="779" t="s">
        <v>3744</v>
      </c>
      <c r="X710" s="598" t="s">
        <v>950</v>
      </c>
      <c r="Y710" s="624">
        <v>24508</v>
      </c>
      <c r="Z710" s="625">
        <f t="shared" ca="1" si="7"/>
        <v>58</v>
      </c>
      <c r="AA710" s="616" t="s">
        <v>3745</v>
      </c>
      <c r="AB710" s="598"/>
      <c r="AC710" s="598" t="s">
        <v>996</v>
      </c>
      <c r="AD710" s="598" t="s">
        <v>1018</v>
      </c>
      <c r="AE710" s="616" t="s">
        <v>1078</v>
      </c>
      <c r="AF710" s="616" t="s">
        <v>1078</v>
      </c>
      <c r="AG710" s="616" t="s">
        <v>3746</v>
      </c>
      <c r="AH710" s="598"/>
      <c r="AI710" s="598"/>
      <c r="AJ710" s="647" t="s">
        <v>1513</v>
      </c>
      <c r="AK710" s="598"/>
      <c r="AL710" s="626"/>
      <c r="AM710" s="626"/>
    </row>
    <row r="711" spans="3:39" ht="18" customHeight="1">
      <c r="C711" s="585"/>
      <c r="D711" s="585"/>
      <c r="E711" s="585"/>
      <c r="F711" s="592"/>
      <c r="G711" s="592"/>
      <c r="H711" s="655"/>
      <c r="I711" s="655"/>
      <c r="J711" s="655"/>
      <c r="K711" s="655"/>
      <c r="L711" s="655"/>
      <c r="M711" s="656"/>
      <c r="N711" s="656"/>
      <c r="O711" s="656"/>
      <c r="P711" s="592"/>
      <c r="Q711" s="585"/>
      <c r="R711" s="585"/>
      <c r="S711" s="585"/>
      <c r="T711" s="585"/>
      <c r="U711" s="585"/>
      <c r="V711" s="592"/>
      <c r="W711" s="808"/>
      <c r="X711" s="585"/>
      <c r="Y711" s="657"/>
      <c r="Z711" s="658"/>
      <c r="AA711" s="592"/>
      <c r="AB711" s="585"/>
      <c r="AC711" s="585"/>
      <c r="AD711" s="585"/>
      <c r="AE711" s="592"/>
      <c r="AF711" s="592"/>
      <c r="AG711" s="592"/>
      <c r="AH711" s="585"/>
      <c r="AI711" s="585"/>
      <c r="AJ711" s="828"/>
      <c r="AK711" s="585"/>
      <c r="AL711" s="651"/>
      <c r="AM711" s="651"/>
    </row>
    <row r="712" spans="3:39" ht="18" customHeight="1">
      <c r="C712" s="585"/>
      <c r="D712" s="585"/>
      <c r="E712" s="585"/>
      <c r="F712" s="592"/>
      <c r="G712" s="592"/>
      <c r="H712" s="655"/>
      <c r="I712" s="655"/>
      <c r="J712" s="655"/>
      <c r="K712" s="655"/>
      <c r="L712" s="655"/>
      <c r="M712" s="656"/>
      <c r="N712" s="656"/>
      <c r="O712" s="656"/>
      <c r="P712" s="592"/>
      <c r="Q712" s="585"/>
      <c r="R712" s="585"/>
      <c r="S712" s="585"/>
      <c r="T712" s="585"/>
      <c r="U712" s="585"/>
      <c r="V712" s="592"/>
      <c r="W712" s="808"/>
      <c r="X712" s="585"/>
      <c r="Y712" s="657"/>
      <c r="Z712" s="658"/>
      <c r="AA712" s="592"/>
      <c r="AB712" s="585"/>
      <c r="AC712" s="585"/>
      <c r="AD712" s="585"/>
      <c r="AE712" s="592"/>
      <c r="AF712" s="592"/>
      <c r="AG712" s="592"/>
      <c r="AH712" s="585"/>
      <c r="AI712" s="585"/>
      <c r="AJ712" s="828"/>
      <c r="AK712" s="585"/>
      <c r="AL712" s="651"/>
      <c r="AM712" s="651"/>
    </row>
    <row r="713" spans="3:39" ht="18" customHeight="1">
      <c r="C713" s="585"/>
      <c r="D713" s="585"/>
      <c r="E713" s="585"/>
      <c r="F713" s="592"/>
      <c r="G713" s="592"/>
      <c r="H713" s="655"/>
      <c r="I713" s="655"/>
      <c r="J713" s="655"/>
      <c r="K713" s="655"/>
      <c r="L713" s="655"/>
      <c r="M713" s="656"/>
      <c r="N713" s="656"/>
      <c r="O713" s="656"/>
      <c r="P713" s="592"/>
      <c r="Q713" s="585"/>
      <c r="R713" s="585"/>
      <c r="S713" s="585"/>
      <c r="T713" s="585"/>
      <c r="U713" s="585"/>
      <c r="V713" s="592"/>
      <c r="W713" s="808"/>
      <c r="X713" s="585"/>
      <c r="Y713" s="657"/>
      <c r="Z713" s="658"/>
      <c r="AA713" s="592"/>
      <c r="AB713" s="585"/>
      <c r="AC713" s="585"/>
      <c r="AD713" s="585"/>
      <c r="AE713" s="592"/>
      <c r="AF713" s="592"/>
      <c r="AG713" s="592"/>
      <c r="AH713" s="585"/>
      <c r="AI713" s="585"/>
      <c r="AJ713" s="828"/>
      <c r="AK713" s="585"/>
      <c r="AL713" s="651"/>
      <c r="AM713" s="651"/>
    </row>
    <row r="714" spans="3:39" ht="18" customHeight="1">
      <c r="C714" s="585"/>
      <c r="D714" s="585"/>
      <c r="E714" s="585"/>
      <c r="F714" s="592"/>
      <c r="G714" s="592"/>
      <c r="H714" s="655"/>
      <c r="I714" s="655"/>
      <c r="J714" s="655"/>
      <c r="K714" s="655"/>
      <c r="L714" s="655"/>
      <c r="M714" s="656"/>
      <c r="N714" s="656"/>
      <c r="O714" s="656"/>
      <c r="P714" s="592"/>
      <c r="Q714" s="585"/>
      <c r="R714" s="585"/>
      <c r="S714" s="585"/>
      <c r="T714" s="585"/>
      <c r="U714" s="585"/>
      <c r="V714" s="592"/>
      <c r="W714" s="808"/>
      <c r="X714" s="585"/>
      <c r="Y714" s="657"/>
      <c r="Z714" s="658"/>
      <c r="AA714" s="592"/>
      <c r="AB714" s="585"/>
      <c r="AC714" s="585"/>
      <c r="AD714" s="585"/>
      <c r="AE714" s="592"/>
      <c r="AF714" s="592"/>
      <c r="AG714" s="592"/>
      <c r="AH714" s="585"/>
      <c r="AI714" s="585"/>
      <c r="AJ714" s="828"/>
      <c r="AK714" s="585"/>
      <c r="AL714" s="651"/>
      <c r="AM714" s="651"/>
    </row>
    <row r="715" spans="3:39" ht="18" customHeight="1">
      <c r="C715" s="585"/>
      <c r="D715" s="585"/>
      <c r="E715" s="585"/>
      <c r="F715" s="592"/>
      <c r="G715" s="592"/>
      <c r="H715" s="655"/>
      <c r="I715" s="655"/>
      <c r="J715" s="655"/>
      <c r="K715" s="655"/>
      <c r="L715" s="655"/>
      <c r="M715" s="656"/>
      <c r="N715" s="656"/>
      <c r="O715" s="656"/>
      <c r="P715" s="592"/>
      <c r="Q715" s="585"/>
      <c r="R715" s="585"/>
      <c r="S715" s="585"/>
      <c r="T715" s="585"/>
      <c r="U715" s="585"/>
      <c r="V715" s="592"/>
      <c r="W715" s="808"/>
      <c r="X715" s="585"/>
      <c r="Y715" s="657"/>
      <c r="Z715" s="658"/>
      <c r="AA715" s="592"/>
      <c r="AB715" s="585"/>
      <c r="AC715" s="585"/>
      <c r="AD715" s="585"/>
      <c r="AE715" s="592"/>
      <c r="AF715" s="592"/>
      <c r="AG715" s="592"/>
      <c r="AH715" s="585"/>
      <c r="AI715" s="585"/>
      <c r="AJ715" s="828"/>
      <c r="AK715" s="585"/>
      <c r="AL715" s="651"/>
      <c r="AM715" s="651"/>
    </row>
    <row r="716" spans="3:39" ht="18" customHeight="1">
      <c r="C716" s="585"/>
      <c r="D716" s="585"/>
      <c r="E716" s="585"/>
      <c r="F716" s="592"/>
      <c r="G716" s="592"/>
      <c r="H716" s="655"/>
      <c r="I716" s="655"/>
      <c r="J716" s="655"/>
      <c r="K716" s="655"/>
      <c r="L716" s="655"/>
      <c r="M716" s="656"/>
      <c r="N716" s="656"/>
      <c r="O716" s="656"/>
      <c r="P716" s="592"/>
      <c r="Q716" s="585"/>
      <c r="R716" s="585"/>
      <c r="S716" s="585"/>
      <c r="T716" s="585"/>
      <c r="U716" s="585"/>
      <c r="V716" s="592"/>
      <c r="W716" s="808"/>
      <c r="X716" s="585"/>
      <c r="Y716" s="657"/>
      <c r="Z716" s="658"/>
      <c r="AA716" s="592"/>
      <c r="AB716" s="585"/>
      <c r="AC716" s="585"/>
      <c r="AD716" s="585"/>
      <c r="AE716" s="592"/>
      <c r="AF716" s="592"/>
      <c r="AG716" s="592"/>
      <c r="AH716" s="585"/>
      <c r="AI716" s="585"/>
      <c r="AJ716" s="828"/>
      <c r="AK716" s="585"/>
      <c r="AL716" s="651"/>
      <c r="AM716" s="651"/>
    </row>
  </sheetData>
  <autoFilter ref="C20:AM710" xr:uid="{00000000-0009-0000-0000-000008000000}"/>
  <phoneticPr fontId="154" type="noConversion"/>
  <conditionalFormatting sqref="C20:E716">
    <cfRule type="expression" dxfId="79" priority="4">
      <formula>$AH20="중복"</formula>
    </cfRule>
    <cfRule type="containsText" dxfId="78" priority="5" operator="containsText" text="출결제외">
      <formula>NOT(ISERROR(SEARCH(("출결제외"),(C20))))</formula>
    </cfRule>
  </conditionalFormatting>
  <conditionalFormatting sqref="D19">
    <cfRule type="expression" dxfId="77" priority="2">
      <formula>$AI19="출결제외"</formula>
    </cfRule>
    <cfRule type="containsText" dxfId="76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75" priority="1">
      <formula>$AH20="출결제외"</formula>
    </cfRule>
  </conditionalFormatting>
  <conditionalFormatting sqref="E21">
    <cfRule type="expression" dxfId="74" priority="6">
      <formula>$AH21="출결제외"</formula>
    </cfRule>
  </conditionalFormatting>
  <conditionalFormatting sqref="F21:F716">
    <cfRule type="containsText" dxfId="73" priority="7" operator="containsText" text="카자흐스탄(악토베)">
      <formula>NOT(ISERROR(SEARCH(("카자흐스탄(악토베)"),(F21))))</formula>
    </cfRule>
    <cfRule type="containsText" dxfId="72" priority="8" operator="containsText" text="우즈베키스탄(타슈켄트)">
      <formula>NOT(ISERROR(SEARCH(("우즈베키스탄(타슈켄트)"),(F21))))</formula>
    </cfRule>
    <cfRule type="containsText" dxfId="71" priority="9" operator="containsText" text="러시아(모스크바)">
      <formula>NOT(ISERROR(SEARCH(("러시아(모스크바)"),(F21))))</formula>
    </cfRule>
    <cfRule type="containsText" dxfId="70" priority="10" operator="containsText" text="카자흐스탄(알마티)">
      <formula>NOT(ISERROR(SEARCH(("카자흐스탄(알마티)"),(F21))))</formula>
    </cfRule>
    <cfRule type="containsText" dxfId="69" priority="11" operator="containsText" text="우크라이나(키이우)">
      <formula>NOT(ISERROR(SEARCH(("우크라이나(키이우)"),(F21))))</formula>
    </cfRule>
    <cfRule type="containsText" dxfId="68" priority="12" operator="containsText" text="크림공화국">
      <formula>NOT(ISERROR(SEARCH(("크림공화국"),(F21))))</formula>
    </cfRule>
    <cfRule type="containsText" dxfId="67" priority="13" operator="containsText" text="해외개척">
      <formula>NOT(ISERROR(SEARCH(("해외개척"),(F21))))</formula>
    </cfRule>
    <cfRule type="containsText" dxfId="66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65" priority="15">
      <formula>$AH20="중복"</formula>
    </cfRule>
  </conditionalFormatting>
  <conditionalFormatting sqref="U21:U716">
    <cfRule type="containsText" dxfId="64" priority="17" operator="containsText" text="6유년">
      <formula>NOT(ISERROR(SEARCH(("6유년"),(U21))))</formula>
    </cfRule>
    <cfRule type="containsText" dxfId="63" priority="18" operator="containsText" text="5학생">
      <formula>NOT(ISERROR(SEARCH(("5학생"),(U21))))</formula>
    </cfRule>
    <cfRule type="containsText" dxfId="62" priority="19" operator="containsText" text="4청년">
      <formula>NOT(ISERROR(SEARCH(("4청년"),(U21))))</formula>
    </cfRule>
    <cfRule type="containsText" dxfId="61" priority="20" operator="containsText" text="3부녀">
      <formula>NOT(ISERROR(SEARCH(("3부녀"),(U21))))</formula>
    </cfRule>
    <cfRule type="containsText" dxfId="60" priority="21" operator="containsText" text="2장년">
      <formula>NOT(ISERROR(SEARCH(("2장년"),(U21))))</formula>
    </cfRule>
    <cfRule type="containsText" dxfId="59" priority="22" operator="containsText" text="1자문">
      <formula>NOT(ISERROR(SEARCH(("1자문"),(U21))))</formula>
    </cfRule>
  </conditionalFormatting>
  <conditionalFormatting sqref="AI20:AI382 F20:AH716 AJ20:AK716 AI384:AI716">
    <cfRule type="containsText" dxfId="58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8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BX1000"/>
  <sheetViews>
    <sheetView showGridLines="0" workbookViewId="0"/>
  </sheetViews>
  <sheetFormatPr defaultColWidth="14.44140625" defaultRowHeight="15" customHeight="1"/>
  <cols>
    <col min="1" max="2" width="8.6640625" customWidth="1"/>
    <col min="3" max="3" width="23.88671875" customWidth="1"/>
    <col min="4" max="4" width="11" customWidth="1"/>
    <col min="5" max="5" width="10.109375" customWidth="1"/>
    <col min="6" max="6" width="9.88671875" customWidth="1"/>
    <col min="7" max="7" width="11.6640625" customWidth="1"/>
    <col min="8" max="8" width="10" customWidth="1"/>
    <col min="9" max="9" width="8.6640625" customWidth="1"/>
    <col min="10" max="10" width="10.109375" customWidth="1"/>
    <col min="11" max="11" width="9.6640625" customWidth="1"/>
    <col min="12" max="12" width="8.6640625" customWidth="1"/>
    <col min="13" max="13" width="10.5546875" customWidth="1"/>
    <col min="14" max="14" width="10.88671875" customWidth="1"/>
    <col min="15" max="15" width="9.6640625" customWidth="1"/>
    <col min="16" max="16" width="10.88671875" customWidth="1"/>
    <col min="17" max="17" width="10.109375" customWidth="1"/>
    <col min="18" max="18" width="11.44140625" customWidth="1"/>
    <col min="19" max="19" width="10.88671875" customWidth="1"/>
    <col min="20" max="20" width="11.6640625" customWidth="1"/>
    <col min="21" max="22" width="10.44140625" customWidth="1"/>
    <col min="23" max="35" width="8.6640625" customWidth="1"/>
    <col min="36" max="36" width="14.6640625" customWidth="1"/>
    <col min="37" max="69" width="8.6640625" customWidth="1"/>
    <col min="70" max="76" width="8.6640625" hidden="1" customWidth="1"/>
  </cols>
  <sheetData>
    <row r="1" spans="2:76" ht="19.5" customHeight="1">
      <c r="B1" s="968">
        <f ca="1">NOW()</f>
        <v>46053.008165856481</v>
      </c>
      <c r="C1" s="935"/>
      <c r="D1" s="810"/>
      <c r="E1" s="810"/>
      <c r="F1" s="810"/>
      <c r="G1" s="810"/>
      <c r="M1" s="593"/>
      <c r="N1" s="593"/>
    </row>
    <row r="2" spans="2:76" ht="31.5" customHeight="1">
      <c r="D2" s="833"/>
      <c r="E2" s="810"/>
      <c r="F2" s="810"/>
      <c r="G2" s="829"/>
      <c r="M2" s="593"/>
      <c r="N2" s="593"/>
    </row>
    <row r="3" spans="2:76" ht="30" customHeight="1">
      <c r="C3" s="834" t="s">
        <v>5063</v>
      </c>
      <c r="D3" s="835" t="s">
        <v>5064</v>
      </c>
      <c r="E3" s="836" t="s">
        <v>5065</v>
      </c>
      <c r="F3" s="813"/>
      <c r="G3" s="837" t="s">
        <v>5066</v>
      </c>
      <c r="H3" s="832"/>
      <c r="I3" s="830"/>
      <c r="J3" s="838" t="s">
        <v>5067</v>
      </c>
      <c r="K3" s="831"/>
      <c r="M3" s="593"/>
      <c r="N3" s="593"/>
    </row>
    <row r="4" spans="2:76" ht="19.5" customHeight="1">
      <c r="C4" s="839" t="s">
        <v>911</v>
      </c>
      <c r="D4" s="840">
        <v>45687</v>
      </c>
      <c r="E4" s="841" t="s">
        <v>5068</v>
      </c>
      <c r="F4" s="813"/>
      <c r="G4" s="842"/>
      <c r="H4" s="843" t="s">
        <v>5069</v>
      </c>
      <c r="I4" s="844" t="s">
        <v>319</v>
      </c>
      <c r="J4" s="845" t="s">
        <v>5070</v>
      </c>
      <c r="M4" s="593"/>
      <c r="N4" s="593"/>
      <c r="BR4" s="969" t="s">
        <v>5071</v>
      </c>
      <c r="BS4" s="970"/>
      <c r="BT4" s="970"/>
      <c r="BU4" s="970"/>
      <c r="BV4" s="970"/>
      <c r="BW4" s="970"/>
      <c r="BX4" s="971"/>
    </row>
    <row r="5" spans="2:76" ht="19.5" customHeight="1">
      <c r="C5" s="846" t="s">
        <v>957</v>
      </c>
      <c r="D5" s="847">
        <v>65</v>
      </c>
      <c r="E5" s="848" t="e">
        <f t="shared" ref="E5:E15" si="0">IF(D5=J5,"일치","불일치")</f>
        <v>#REF!</v>
      </c>
      <c r="F5" s="813"/>
      <c r="G5" s="849" t="s">
        <v>957</v>
      </c>
      <c r="H5" s="812">
        <v>69</v>
      </c>
      <c r="I5" s="850"/>
      <c r="J5" s="851" t="e">
        <f>COUNTIF(#REF!,'총인원 누적관리_(총서기만작성)'!$G5)</f>
        <v>#REF!</v>
      </c>
      <c r="M5" s="593"/>
      <c r="N5" s="593"/>
      <c r="BR5" s="852" t="s">
        <v>5072</v>
      </c>
      <c r="BX5" s="853"/>
    </row>
    <row r="6" spans="2:76" ht="19.5" customHeight="1">
      <c r="C6" s="846" t="s">
        <v>1351</v>
      </c>
      <c r="D6" s="847">
        <v>179</v>
      </c>
      <c r="E6" s="848" t="e">
        <f t="shared" si="0"/>
        <v>#REF!</v>
      </c>
      <c r="F6" s="813"/>
      <c r="G6" s="849" t="s">
        <v>1351</v>
      </c>
      <c r="H6" s="812">
        <v>73</v>
      </c>
      <c r="I6" s="850">
        <v>1</v>
      </c>
      <c r="J6" s="851" t="e">
        <f>COUNTIF(#REF!,'총인원 누적관리_(총서기만작성)'!$G6)</f>
        <v>#REF!</v>
      </c>
      <c r="M6" s="593"/>
      <c r="N6" s="593"/>
      <c r="BR6" s="854" t="s">
        <v>5073</v>
      </c>
      <c r="BS6" s="730" t="s">
        <v>5074</v>
      </c>
      <c r="BX6" s="853"/>
    </row>
    <row r="7" spans="2:76" ht="19.5" customHeight="1">
      <c r="C7" s="846" t="s">
        <v>3808</v>
      </c>
      <c r="D7" s="847">
        <v>95</v>
      </c>
      <c r="E7" s="848" t="e">
        <f t="shared" si="0"/>
        <v>#REF!</v>
      </c>
      <c r="F7" s="813"/>
      <c r="G7" s="849" t="s">
        <v>3808</v>
      </c>
      <c r="H7" s="812">
        <v>60</v>
      </c>
      <c r="I7" s="850">
        <v>1</v>
      </c>
      <c r="J7" s="851" t="e">
        <f>COUNTIF(#REF!,'총인원 누적관리_(총서기만작성)'!$G7)</f>
        <v>#REF!</v>
      </c>
      <c r="M7" s="593"/>
      <c r="N7" s="593"/>
      <c r="BR7" s="855"/>
      <c r="BX7" s="853"/>
    </row>
    <row r="8" spans="2:76" ht="19.5" customHeight="1">
      <c r="C8" s="846" t="s">
        <v>1798</v>
      </c>
      <c r="D8" s="847">
        <v>151</v>
      </c>
      <c r="E8" s="848" t="e">
        <f t="shared" si="0"/>
        <v>#REF!</v>
      </c>
      <c r="F8" s="810"/>
      <c r="G8" s="849" t="s">
        <v>1798</v>
      </c>
      <c r="H8" s="812">
        <v>55</v>
      </c>
      <c r="I8" s="850"/>
      <c r="J8" s="851" t="e">
        <f>COUNTIF(#REF!,'총인원 누적관리_(총서기만작성)'!$G8)</f>
        <v>#REF!</v>
      </c>
      <c r="M8" s="593"/>
      <c r="N8" s="593"/>
      <c r="BR8" s="852" t="s">
        <v>5075</v>
      </c>
      <c r="BX8" s="853"/>
    </row>
    <row r="9" spans="2:76" ht="19.5" customHeight="1">
      <c r="C9" s="846" t="s">
        <v>1233</v>
      </c>
      <c r="D9" s="847">
        <v>90</v>
      </c>
      <c r="E9" s="848" t="e">
        <f t="shared" si="0"/>
        <v>#REF!</v>
      </c>
      <c r="F9" s="810"/>
      <c r="G9" s="849" t="s">
        <v>1233</v>
      </c>
      <c r="H9" s="812">
        <v>50</v>
      </c>
      <c r="I9" s="850"/>
      <c r="J9" s="851" t="e">
        <f>COUNTIF(#REF!,'총인원 누적관리_(총서기만작성)'!$G9)</f>
        <v>#REF!</v>
      </c>
      <c r="M9" s="593"/>
      <c r="N9" s="593"/>
      <c r="BR9" s="856"/>
      <c r="BS9" s="857"/>
      <c r="BT9" s="857"/>
      <c r="BU9" s="857"/>
      <c r="BV9" s="857"/>
      <c r="BW9" s="857"/>
      <c r="BX9" s="858"/>
    </row>
    <row r="10" spans="2:76" ht="19.5" customHeight="1">
      <c r="C10" s="846" t="s">
        <v>1810</v>
      </c>
      <c r="D10" s="847">
        <v>68</v>
      </c>
      <c r="E10" s="848" t="e">
        <f t="shared" si="0"/>
        <v>#REF!</v>
      </c>
      <c r="F10" s="810"/>
      <c r="G10" s="849" t="s">
        <v>1810</v>
      </c>
      <c r="H10" s="812">
        <v>51</v>
      </c>
      <c r="I10" s="850"/>
      <c r="J10" s="851" t="e">
        <f>COUNTIF(#REF!,'총인원 누적관리_(총서기만작성)'!$G10)</f>
        <v>#REF!</v>
      </c>
      <c r="M10" s="593"/>
      <c r="N10" s="593"/>
    </row>
    <row r="11" spans="2:76" ht="19.5" customHeight="1">
      <c r="C11" s="846" t="s">
        <v>3862</v>
      </c>
      <c r="D11" s="847">
        <v>50</v>
      </c>
      <c r="E11" s="848" t="e">
        <f t="shared" si="0"/>
        <v>#REF!</v>
      </c>
      <c r="F11" s="810"/>
      <c r="G11" s="849" t="s">
        <v>3862</v>
      </c>
      <c r="H11" s="812">
        <v>49</v>
      </c>
      <c r="I11" s="850"/>
      <c r="J11" s="851" t="e">
        <f>COUNTIF(#REF!,'총인원 누적관리_(총서기만작성)'!$G11)</f>
        <v>#REF!</v>
      </c>
      <c r="M11" s="593"/>
      <c r="N11" s="593"/>
    </row>
    <row r="12" spans="2:76" ht="19.5" hidden="1" customHeight="1">
      <c r="C12" s="850"/>
      <c r="D12" s="847">
        <v>0</v>
      </c>
      <c r="E12" s="848" t="e">
        <f t="shared" si="0"/>
        <v>#REF!</v>
      </c>
      <c r="F12" s="810"/>
      <c r="G12" s="859"/>
      <c r="H12" s="812"/>
      <c r="I12" s="850"/>
      <c r="J12" s="851" t="e">
        <f>COUNTIF(#REF!,'총인원 누적관리_(총서기만작성)'!$G12)</f>
        <v>#REF!</v>
      </c>
      <c r="M12" s="593"/>
      <c r="N12" s="593"/>
    </row>
    <row r="13" spans="2:76" ht="19.5" hidden="1" customHeight="1">
      <c r="C13" s="850"/>
      <c r="D13" s="847">
        <v>0</v>
      </c>
      <c r="E13" s="848" t="e">
        <f t="shared" si="0"/>
        <v>#REF!</v>
      </c>
      <c r="F13" s="810"/>
      <c r="G13" s="859"/>
      <c r="H13" s="812"/>
      <c r="I13" s="850"/>
      <c r="J13" s="851" t="e">
        <f>COUNTIF(#REF!,'총인원 누적관리_(총서기만작성)'!$G13)</f>
        <v>#REF!</v>
      </c>
      <c r="M13" s="593"/>
      <c r="N13" s="593"/>
    </row>
    <row r="14" spans="2:76" ht="19.5" hidden="1" customHeight="1">
      <c r="C14" s="846" t="s">
        <v>4978</v>
      </c>
      <c r="D14" s="847">
        <v>0</v>
      </c>
      <c r="E14" s="848" t="e">
        <f t="shared" si="0"/>
        <v>#REF!</v>
      </c>
      <c r="F14" s="810"/>
      <c r="G14" s="860" t="s">
        <v>4978</v>
      </c>
      <c r="H14" s="861">
        <v>235</v>
      </c>
      <c r="I14" s="862">
        <v>29</v>
      </c>
      <c r="J14" s="851" t="e">
        <f>COUNTIF(#REF!,'총인원 누적관리_(총서기만작성)'!$G14)</f>
        <v>#REF!</v>
      </c>
      <c r="M14" s="593"/>
      <c r="N14" s="593"/>
    </row>
    <row r="15" spans="2:76" ht="19.5" customHeight="1">
      <c r="C15" s="850" t="s">
        <v>5076</v>
      </c>
      <c r="D15" s="863">
        <v>698</v>
      </c>
      <c r="E15" s="848" t="e">
        <f t="shared" si="0"/>
        <v>#REF!</v>
      </c>
      <c r="F15" s="810"/>
      <c r="G15" s="864" t="s">
        <v>5076</v>
      </c>
      <c r="H15" s="865">
        <v>642</v>
      </c>
      <c r="I15" s="866">
        <v>35</v>
      </c>
      <c r="J15" s="867" t="e">
        <f>SUM(J5:J14)</f>
        <v>#REF!</v>
      </c>
      <c r="M15" s="593"/>
      <c r="N15" s="593"/>
    </row>
    <row r="16" spans="2:76" ht="19.5" customHeight="1">
      <c r="D16" s="868" t="s">
        <v>5077</v>
      </c>
      <c r="E16" s="810"/>
      <c r="F16" s="810"/>
      <c r="G16" s="810"/>
      <c r="H16" s="868" t="s">
        <v>5077</v>
      </c>
      <c r="J16" s="869" t="s">
        <v>5078</v>
      </c>
      <c r="M16" s="593"/>
      <c r="N16" s="593"/>
    </row>
    <row r="17" spans="3:32" ht="19.5" customHeight="1">
      <c r="D17" s="810"/>
      <c r="E17" s="810"/>
      <c r="F17" s="810"/>
      <c r="G17" s="810"/>
      <c r="M17" s="593"/>
      <c r="N17" s="593"/>
    </row>
    <row r="18" spans="3:32" ht="19.5" customHeight="1">
      <c r="D18" s="810"/>
      <c r="E18" s="810"/>
      <c r="F18" s="810"/>
      <c r="G18" s="810"/>
      <c r="M18" s="593"/>
      <c r="N18" s="593"/>
    </row>
    <row r="19" spans="3:32" ht="19.5" customHeight="1">
      <c r="C19" s="730" t="s">
        <v>5079</v>
      </c>
      <c r="D19" s="870" t="s">
        <v>5080</v>
      </c>
      <c r="E19" s="810"/>
      <c r="F19" s="810"/>
      <c r="G19" s="810"/>
      <c r="M19" s="593"/>
      <c r="N19" s="593"/>
    </row>
    <row r="20" spans="3:32" ht="24" customHeight="1">
      <c r="C20" s="871" t="s">
        <v>5081</v>
      </c>
      <c r="D20" s="872">
        <v>45677</v>
      </c>
      <c r="E20" s="872">
        <v>45713</v>
      </c>
      <c r="F20" s="872">
        <v>45722</v>
      </c>
      <c r="G20" s="872">
        <v>45730</v>
      </c>
      <c r="H20" s="872">
        <v>45736</v>
      </c>
      <c r="I20" s="872">
        <v>45758</v>
      </c>
      <c r="J20" s="872">
        <v>45772</v>
      </c>
      <c r="K20" s="872">
        <v>45773</v>
      </c>
      <c r="L20" s="872">
        <v>45801</v>
      </c>
      <c r="M20" s="872">
        <v>45810</v>
      </c>
      <c r="N20" s="872">
        <v>45821</v>
      </c>
      <c r="O20" s="872">
        <v>45839</v>
      </c>
      <c r="P20" s="872">
        <v>45846</v>
      </c>
      <c r="Q20" s="872">
        <v>45862</v>
      </c>
      <c r="R20" s="872">
        <v>45887</v>
      </c>
      <c r="S20" s="872">
        <v>45888</v>
      </c>
      <c r="T20" s="872">
        <v>45891</v>
      </c>
      <c r="U20" s="872">
        <v>45905</v>
      </c>
      <c r="V20" s="872">
        <v>45913</v>
      </c>
      <c r="W20" s="873"/>
      <c r="X20" s="873"/>
      <c r="Y20" s="873"/>
      <c r="Z20" s="873"/>
      <c r="AA20" s="873"/>
      <c r="AB20" s="873"/>
      <c r="AC20" s="873"/>
      <c r="AD20" s="874"/>
      <c r="AE20" s="875"/>
      <c r="AF20" s="776"/>
    </row>
    <row r="21" spans="3:32" ht="19.5" customHeight="1">
      <c r="C21" s="876" t="s">
        <v>957</v>
      </c>
      <c r="D21" s="877">
        <v>69</v>
      </c>
      <c r="E21" s="877">
        <v>69</v>
      </c>
      <c r="F21" s="877">
        <v>69</v>
      </c>
      <c r="G21" s="811">
        <v>69</v>
      </c>
      <c r="H21" s="878">
        <v>69</v>
      </c>
      <c r="I21" s="878">
        <v>69</v>
      </c>
      <c r="J21" s="879">
        <v>67</v>
      </c>
      <c r="K21" s="880">
        <v>68</v>
      </c>
      <c r="L21" s="880">
        <v>70</v>
      </c>
      <c r="M21" s="880">
        <v>71</v>
      </c>
      <c r="N21" s="877">
        <v>71</v>
      </c>
      <c r="O21" s="880">
        <v>70</v>
      </c>
      <c r="P21" s="881">
        <v>69</v>
      </c>
      <c r="Q21" s="881">
        <v>67</v>
      </c>
      <c r="R21" s="811">
        <v>67</v>
      </c>
      <c r="S21" s="811">
        <v>67</v>
      </c>
      <c r="T21" s="811">
        <v>67</v>
      </c>
      <c r="U21" s="881">
        <v>66</v>
      </c>
      <c r="V21" s="881">
        <v>65</v>
      </c>
      <c r="W21" s="811"/>
      <c r="X21" s="811"/>
      <c r="Y21" s="811"/>
      <c r="Z21" s="811"/>
      <c r="AA21" s="811"/>
      <c r="AB21" s="811"/>
      <c r="AC21" s="811"/>
      <c r="AD21" s="882"/>
      <c r="AE21" s="776"/>
      <c r="AF21" s="776"/>
    </row>
    <row r="22" spans="3:32" ht="19.5" customHeight="1">
      <c r="C22" s="883" t="s">
        <v>1351</v>
      </c>
      <c r="D22" s="809">
        <v>73</v>
      </c>
      <c r="E22" s="809">
        <v>73</v>
      </c>
      <c r="F22" s="884">
        <v>74</v>
      </c>
      <c r="G22" s="885">
        <v>74</v>
      </c>
      <c r="H22" s="886">
        <v>76</v>
      </c>
      <c r="I22" s="812">
        <v>76</v>
      </c>
      <c r="J22" s="887">
        <v>76</v>
      </c>
      <c r="K22" s="809">
        <v>76</v>
      </c>
      <c r="L22" s="809">
        <v>76</v>
      </c>
      <c r="M22" s="809">
        <v>76</v>
      </c>
      <c r="N22" s="884">
        <v>85</v>
      </c>
      <c r="O22" s="809">
        <v>85</v>
      </c>
      <c r="P22" s="885">
        <v>85</v>
      </c>
      <c r="Q22" s="885">
        <v>85</v>
      </c>
      <c r="R22" s="888">
        <v>193</v>
      </c>
      <c r="S22" s="888">
        <v>195</v>
      </c>
      <c r="T22" s="888">
        <v>179</v>
      </c>
      <c r="U22" s="885">
        <v>179</v>
      </c>
      <c r="V22" s="885">
        <v>179</v>
      </c>
      <c r="W22" s="885"/>
      <c r="X22" s="885"/>
      <c r="Y22" s="885"/>
      <c r="Z22" s="885"/>
      <c r="AA22" s="885"/>
      <c r="AB22" s="885"/>
      <c r="AC22" s="885"/>
      <c r="AD22" s="889"/>
      <c r="AE22" s="776"/>
      <c r="AF22" s="776"/>
    </row>
    <row r="23" spans="3:32" ht="19.5" customHeight="1">
      <c r="C23" s="883" t="s">
        <v>3808</v>
      </c>
      <c r="D23" s="809">
        <v>60</v>
      </c>
      <c r="E23" s="809">
        <v>60</v>
      </c>
      <c r="F23" s="884">
        <v>61</v>
      </c>
      <c r="G23" s="885">
        <v>61</v>
      </c>
      <c r="H23" s="812">
        <v>61</v>
      </c>
      <c r="I23" s="886">
        <v>74</v>
      </c>
      <c r="J23" s="887">
        <v>74</v>
      </c>
      <c r="K23" s="809">
        <v>74</v>
      </c>
      <c r="L23" s="809">
        <v>74</v>
      </c>
      <c r="M23" s="809">
        <v>74</v>
      </c>
      <c r="N23" s="884">
        <v>79</v>
      </c>
      <c r="O23" s="809">
        <v>79</v>
      </c>
      <c r="P23" s="885">
        <v>79</v>
      </c>
      <c r="Q23" s="888">
        <v>81</v>
      </c>
      <c r="R23" s="885">
        <v>81</v>
      </c>
      <c r="S23" s="885">
        <v>81</v>
      </c>
      <c r="T23" s="888">
        <v>95</v>
      </c>
      <c r="U23" s="885">
        <v>95</v>
      </c>
      <c r="V23" s="885">
        <v>95</v>
      </c>
      <c r="W23" s="885"/>
      <c r="X23" s="885"/>
      <c r="Y23" s="885"/>
      <c r="Z23" s="885"/>
      <c r="AA23" s="885"/>
      <c r="AB23" s="885"/>
      <c r="AC23" s="885"/>
      <c r="AD23" s="889"/>
      <c r="AE23" s="776"/>
      <c r="AF23" s="776"/>
    </row>
    <row r="24" spans="3:32" ht="19.5" customHeight="1">
      <c r="C24" s="883" t="s">
        <v>1798</v>
      </c>
      <c r="D24" s="809">
        <v>55</v>
      </c>
      <c r="E24" s="809">
        <v>55</v>
      </c>
      <c r="F24" s="809">
        <v>55</v>
      </c>
      <c r="G24" s="885">
        <v>55</v>
      </c>
      <c r="H24" s="812">
        <v>55</v>
      </c>
      <c r="I24" s="886">
        <v>127</v>
      </c>
      <c r="J24" s="887">
        <v>127</v>
      </c>
      <c r="K24" s="809">
        <v>127</v>
      </c>
      <c r="L24" s="809">
        <v>127</v>
      </c>
      <c r="M24" s="809">
        <v>127</v>
      </c>
      <c r="N24" s="884">
        <v>132</v>
      </c>
      <c r="O24" s="809">
        <v>132</v>
      </c>
      <c r="P24" s="885">
        <v>132</v>
      </c>
      <c r="Q24" s="885">
        <v>132</v>
      </c>
      <c r="R24" s="888">
        <v>140</v>
      </c>
      <c r="S24" s="888">
        <v>142</v>
      </c>
      <c r="T24" s="888">
        <v>151</v>
      </c>
      <c r="U24" s="885">
        <v>151</v>
      </c>
      <c r="V24" s="885">
        <v>151</v>
      </c>
      <c r="W24" s="885"/>
      <c r="X24" s="885"/>
      <c r="Y24" s="885"/>
      <c r="Z24" s="885"/>
      <c r="AA24" s="885"/>
      <c r="AB24" s="885"/>
      <c r="AC24" s="885"/>
      <c r="AD24" s="889"/>
      <c r="AE24" s="776"/>
      <c r="AF24" s="776"/>
    </row>
    <row r="25" spans="3:32" ht="19.5" customHeight="1">
      <c r="C25" s="883" t="s">
        <v>1233</v>
      </c>
      <c r="D25" s="809">
        <v>50</v>
      </c>
      <c r="E25" s="809">
        <v>50</v>
      </c>
      <c r="F25" s="809">
        <v>50</v>
      </c>
      <c r="G25" s="885">
        <v>50</v>
      </c>
      <c r="H25" s="812">
        <v>50</v>
      </c>
      <c r="I25" s="812">
        <v>50</v>
      </c>
      <c r="J25" s="887">
        <v>50</v>
      </c>
      <c r="K25" s="809">
        <v>50</v>
      </c>
      <c r="L25" s="809">
        <v>50</v>
      </c>
      <c r="M25" s="809">
        <v>50</v>
      </c>
      <c r="N25" s="809">
        <v>50</v>
      </c>
      <c r="O25" s="809">
        <v>50</v>
      </c>
      <c r="P25" s="885">
        <v>50</v>
      </c>
      <c r="Q25" s="885">
        <v>50</v>
      </c>
      <c r="R25" s="888">
        <v>87</v>
      </c>
      <c r="S25" s="888">
        <v>88</v>
      </c>
      <c r="T25" s="888">
        <v>90</v>
      </c>
      <c r="U25" s="885">
        <v>90</v>
      </c>
      <c r="V25" s="885">
        <v>90</v>
      </c>
      <c r="W25" s="885"/>
      <c r="X25" s="885"/>
      <c r="Y25" s="885"/>
      <c r="Z25" s="885"/>
      <c r="AA25" s="885"/>
      <c r="AB25" s="885"/>
      <c r="AC25" s="885"/>
      <c r="AD25" s="889"/>
      <c r="AE25" s="776"/>
      <c r="AF25" s="776"/>
    </row>
    <row r="26" spans="3:32" ht="19.5" customHeight="1">
      <c r="C26" s="883" t="s">
        <v>1810</v>
      </c>
      <c r="D26" s="809">
        <v>51</v>
      </c>
      <c r="E26" s="809">
        <v>51</v>
      </c>
      <c r="F26" s="809">
        <v>51</v>
      </c>
      <c r="G26" s="885">
        <v>51</v>
      </c>
      <c r="H26" s="812">
        <v>51</v>
      </c>
      <c r="I26" s="812">
        <v>51</v>
      </c>
      <c r="J26" s="887">
        <v>51</v>
      </c>
      <c r="K26" s="809">
        <v>51</v>
      </c>
      <c r="L26" s="809">
        <v>51</v>
      </c>
      <c r="M26" s="809">
        <v>51</v>
      </c>
      <c r="N26" s="809">
        <v>51</v>
      </c>
      <c r="O26" s="809">
        <v>51</v>
      </c>
      <c r="P26" s="885">
        <v>51</v>
      </c>
      <c r="Q26" s="885">
        <v>51</v>
      </c>
      <c r="R26" s="888">
        <v>67</v>
      </c>
      <c r="S26" s="888">
        <v>67</v>
      </c>
      <c r="T26" s="888">
        <v>68</v>
      </c>
      <c r="U26" s="885">
        <v>68</v>
      </c>
      <c r="V26" s="885">
        <v>68</v>
      </c>
      <c r="W26" s="885"/>
      <c r="X26" s="885"/>
      <c r="Y26" s="885"/>
      <c r="Z26" s="885"/>
      <c r="AA26" s="885"/>
      <c r="AB26" s="885"/>
      <c r="AC26" s="885"/>
      <c r="AD26" s="889"/>
      <c r="AE26" s="776"/>
      <c r="AF26" s="776"/>
    </row>
    <row r="27" spans="3:32" ht="19.5" customHeight="1">
      <c r="C27" s="883" t="s">
        <v>3862</v>
      </c>
      <c r="D27" s="809">
        <v>49</v>
      </c>
      <c r="E27" s="809">
        <v>49</v>
      </c>
      <c r="F27" s="809">
        <v>49</v>
      </c>
      <c r="G27" s="888">
        <v>48</v>
      </c>
      <c r="H27" s="812">
        <v>48</v>
      </c>
      <c r="I27" s="886">
        <v>60</v>
      </c>
      <c r="J27" s="887">
        <v>60</v>
      </c>
      <c r="K27" s="809">
        <v>60</v>
      </c>
      <c r="L27" s="809">
        <v>60</v>
      </c>
      <c r="M27" s="809">
        <v>60</v>
      </c>
      <c r="N27" s="809">
        <v>60</v>
      </c>
      <c r="O27" s="809">
        <v>60</v>
      </c>
      <c r="P27" s="885">
        <v>60</v>
      </c>
      <c r="Q27" s="885">
        <v>60</v>
      </c>
      <c r="R27" s="885">
        <v>60</v>
      </c>
      <c r="S27" s="885">
        <v>60</v>
      </c>
      <c r="T27" s="888">
        <v>50</v>
      </c>
      <c r="U27" s="885">
        <v>50</v>
      </c>
      <c r="V27" s="885">
        <v>50</v>
      </c>
      <c r="W27" s="885"/>
      <c r="X27" s="885"/>
      <c r="Y27" s="885"/>
      <c r="Z27" s="885"/>
      <c r="AA27" s="885"/>
      <c r="AB27" s="885"/>
      <c r="AC27" s="885"/>
      <c r="AD27" s="889"/>
      <c r="AE27" s="776"/>
      <c r="AF27" s="776"/>
    </row>
    <row r="28" spans="3:32" ht="19.5" hidden="1" customHeight="1">
      <c r="C28" s="890"/>
      <c r="D28" s="885"/>
      <c r="E28" s="885"/>
      <c r="F28" s="885"/>
      <c r="G28" s="885"/>
      <c r="H28" s="885"/>
      <c r="I28" s="885"/>
      <c r="J28" s="885"/>
      <c r="K28" s="885"/>
      <c r="L28" s="885"/>
      <c r="M28" s="885"/>
      <c r="N28" s="885"/>
      <c r="O28" s="885"/>
      <c r="P28" s="885"/>
      <c r="Q28" s="885"/>
      <c r="R28" s="885"/>
      <c r="S28" s="885"/>
      <c r="T28" s="885"/>
      <c r="U28" s="885">
        <v>0</v>
      </c>
      <c r="V28" s="885">
        <v>0</v>
      </c>
      <c r="W28" s="885"/>
      <c r="X28" s="885"/>
      <c r="Y28" s="885"/>
      <c r="Z28" s="885"/>
      <c r="AA28" s="885"/>
      <c r="AB28" s="885"/>
      <c r="AC28" s="885"/>
      <c r="AD28" s="889"/>
      <c r="AE28" s="776"/>
      <c r="AF28" s="776"/>
    </row>
    <row r="29" spans="3:32" ht="19.5" hidden="1" customHeight="1">
      <c r="C29" s="890"/>
      <c r="D29" s="885"/>
      <c r="E29" s="885"/>
      <c r="F29" s="885"/>
      <c r="G29" s="885"/>
      <c r="H29" s="885"/>
      <c r="I29" s="885"/>
      <c r="J29" s="885"/>
      <c r="K29" s="885"/>
      <c r="L29" s="885"/>
      <c r="M29" s="885"/>
      <c r="N29" s="885"/>
      <c r="O29" s="885"/>
      <c r="P29" s="885"/>
      <c r="Q29" s="885"/>
      <c r="R29" s="885"/>
      <c r="S29" s="885"/>
      <c r="T29" s="885"/>
      <c r="U29" s="885">
        <v>0</v>
      </c>
      <c r="V29" s="885">
        <v>0</v>
      </c>
      <c r="W29" s="885"/>
      <c r="X29" s="885"/>
      <c r="Y29" s="885"/>
      <c r="Z29" s="885"/>
      <c r="AA29" s="885"/>
      <c r="AB29" s="885"/>
      <c r="AC29" s="885"/>
      <c r="AD29" s="889"/>
      <c r="AE29" s="776"/>
      <c r="AF29" s="776"/>
    </row>
    <row r="30" spans="3:32" ht="19.5" customHeight="1">
      <c r="C30" s="891" t="s">
        <v>4978</v>
      </c>
      <c r="D30" s="892">
        <v>236</v>
      </c>
      <c r="E30" s="893">
        <v>235</v>
      </c>
      <c r="F30" s="893">
        <v>264</v>
      </c>
      <c r="G30" s="894">
        <v>264</v>
      </c>
      <c r="H30" s="895">
        <v>262</v>
      </c>
      <c r="I30" s="896">
        <v>165</v>
      </c>
      <c r="J30" s="897">
        <v>165</v>
      </c>
      <c r="K30" s="892">
        <v>165</v>
      </c>
      <c r="L30" s="892">
        <v>165</v>
      </c>
      <c r="M30" s="892">
        <v>165</v>
      </c>
      <c r="N30" s="893">
        <v>174</v>
      </c>
      <c r="O30" s="892">
        <v>174</v>
      </c>
      <c r="P30" s="894">
        <v>174</v>
      </c>
      <c r="Q30" s="894">
        <v>174</v>
      </c>
      <c r="R30" s="898">
        <v>5</v>
      </c>
      <c r="S30" s="898">
        <v>0</v>
      </c>
      <c r="T30" s="899"/>
      <c r="U30" s="899"/>
      <c r="V30" s="899">
        <v>0</v>
      </c>
      <c r="W30" s="899"/>
      <c r="X30" s="899"/>
      <c r="Y30" s="899"/>
      <c r="Z30" s="899"/>
      <c r="AA30" s="899"/>
      <c r="AB30" s="899"/>
      <c r="AC30" s="899"/>
      <c r="AD30" s="900"/>
      <c r="AE30" s="776"/>
      <c r="AF30" s="776"/>
    </row>
    <row r="31" spans="3:32" ht="19.5" customHeight="1">
      <c r="C31" s="901" t="s">
        <v>5076</v>
      </c>
      <c r="D31" s="902">
        <v>643</v>
      </c>
      <c r="E31" s="902">
        <v>642</v>
      </c>
      <c r="F31" s="902">
        <v>673</v>
      </c>
      <c r="G31" s="903">
        <v>672</v>
      </c>
      <c r="H31" s="904">
        <v>672</v>
      </c>
      <c r="I31" s="904">
        <f t="shared" ref="I31:L31" si="1">SUM(I21:I30)</f>
        <v>672</v>
      </c>
      <c r="J31" s="904">
        <f t="shared" si="1"/>
        <v>670</v>
      </c>
      <c r="K31" s="904">
        <f t="shared" si="1"/>
        <v>671</v>
      </c>
      <c r="L31" s="904">
        <f t="shared" si="1"/>
        <v>673</v>
      </c>
      <c r="M31" s="903">
        <f t="shared" ref="M31:S31" si="2">SUM(M21:M30)</f>
        <v>674</v>
      </c>
      <c r="N31" s="903">
        <f t="shared" si="2"/>
        <v>702</v>
      </c>
      <c r="O31" s="903">
        <f t="shared" si="2"/>
        <v>701</v>
      </c>
      <c r="P31" s="903">
        <f t="shared" si="2"/>
        <v>700</v>
      </c>
      <c r="Q31" s="903">
        <f t="shared" si="2"/>
        <v>700</v>
      </c>
      <c r="R31" s="903">
        <f t="shared" si="2"/>
        <v>700</v>
      </c>
      <c r="S31" s="903">
        <f t="shared" si="2"/>
        <v>700</v>
      </c>
      <c r="T31" s="903">
        <v>700</v>
      </c>
      <c r="U31" s="903">
        <v>699</v>
      </c>
      <c r="V31" s="903">
        <v>698</v>
      </c>
      <c r="W31" s="903"/>
      <c r="X31" s="903"/>
      <c r="Y31" s="903"/>
      <c r="Z31" s="903"/>
      <c r="AA31" s="903"/>
      <c r="AB31" s="903"/>
      <c r="AC31" s="903"/>
      <c r="AD31" s="905"/>
      <c r="AE31" s="776"/>
      <c r="AF31" s="776"/>
    </row>
    <row r="32" spans="3:32" ht="19.5" customHeight="1">
      <c r="D32" s="813"/>
      <c r="E32" s="813"/>
      <c r="F32" s="813"/>
      <c r="G32" s="813"/>
      <c r="H32" s="776"/>
      <c r="I32" s="776"/>
      <c r="J32" s="776"/>
      <c r="K32" s="776"/>
      <c r="L32" s="776"/>
      <c r="M32" s="813"/>
      <c r="N32" s="813"/>
      <c r="O32" s="776"/>
      <c r="P32" s="776"/>
      <c r="Q32" s="776"/>
      <c r="R32" s="776"/>
      <c r="S32" s="776"/>
      <c r="T32" s="776"/>
      <c r="U32" s="776"/>
      <c r="V32" s="776"/>
      <c r="W32" s="776"/>
      <c r="X32" s="776"/>
      <c r="Y32" s="776"/>
      <c r="Z32" s="776"/>
      <c r="AA32" s="776"/>
      <c r="AB32" s="776"/>
      <c r="AC32" s="776"/>
      <c r="AD32" s="776"/>
      <c r="AE32" s="776"/>
      <c r="AF32" s="776"/>
    </row>
    <row r="33" spans="4:32" ht="19.5" customHeight="1">
      <c r="D33" s="813"/>
      <c r="E33" s="813"/>
      <c r="F33" s="813"/>
      <c r="G33" s="813"/>
      <c r="H33" s="776"/>
      <c r="I33" s="776"/>
      <c r="J33" s="776"/>
      <c r="K33" s="776"/>
      <c r="L33" s="776"/>
      <c r="M33" s="813"/>
      <c r="N33" s="813"/>
      <c r="O33" s="776"/>
      <c r="P33" s="776"/>
      <c r="Q33" s="776"/>
      <c r="R33" s="776"/>
      <c r="S33" s="776"/>
      <c r="T33" s="776"/>
      <c r="U33" s="776"/>
      <c r="V33" s="776"/>
      <c r="W33" s="776"/>
      <c r="X33" s="776"/>
      <c r="Y33" s="776"/>
      <c r="Z33" s="776"/>
      <c r="AA33" s="776"/>
      <c r="AB33" s="776"/>
      <c r="AC33" s="776"/>
      <c r="AD33" s="776"/>
      <c r="AE33" s="776"/>
      <c r="AF33" s="776"/>
    </row>
    <row r="34" spans="4:32" ht="19.5" customHeight="1">
      <c r="D34" s="813"/>
      <c r="E34" s="813"/>
      <c r="F34" s="813"/>
      <c r="G34" s="813"/>
      <c r="H34" s="776"/>
      <c r="I34" s="776"/>
      <c r="J34" s="776"/>
      <c r="K34" s="776"/>
      <c r="L34" s="776"/>
      <c r="M34" s="813"/>
      <c r="N34" s="813"/>
      <c r="O34" s="776"/>
      <c r="P34" s="776"/>
      <c r="Q34" s="776"/>
      <c r="R34" s="776"/>
      <c r="S34" s="776"/>
      <c r="T34" s="776"/>
      <c r="U34" s="776"/>
      <c r="V34" s="776"/>
      <c r="W34" s="776"/>
      <c r="X34" s="776"/>
      <c r="Y34" s="776"/>
      <c r="Z34" s="776"/>
      <c r="AA34" s="776"/>
      <c r="AB34" s="776"/>
      <c r="AC34" s="776"/>
      <c r="AD34" s="776"/>
      <c r="AE34" s="776"/>
      <c r="AF34" s="776"/>
    </row>
    <row r="35" spans="4:32" ht="19.5" customHeight="1">
      <c r="D35" s="813"/>
      <c r="E35" s="813"/>
      <c r="F35" s="813"/>
      <c r="G35" s="813"/>
      <c r="H35" s="776"/>
      <c r="I35" s="776"/>
      <c r="J35" s="776"/>
      <c r="K35" s="776"/>
      <c r="L35" s="776"/>
      <c r="M35" s="813"/>
      <c r="N35" s="813"/>
      <c r="O35" s="776"/>
      <c r="P35" s="776"/>
      <c r="Q35" s="776"/>
      <c r="R35" s="776"/>
      <c r="S35" s="776"/>
      <c r="T35" s="776"/>
      <c r="U35" s="776"/>
      <c r="V35" s="776"/>
      <c r="W35" s="776"/>
      <c r="X35" s="776"/>
      <c r="Y35" s="776"/>
      <c r="Z35" s="776"/>
      <c r="AA35" s="776"/>
      <c r="AB35" s="776"/>
      <c r="AC35" s="776"/>
      <c r="AD35" s="776"/>
      <c r="AE35" s="776"/>
      <c r="AF35" s="776"/>
    </row>
    <row r="36" spans="4:32" ht="19.5" customHeight="1">
      <c r="D36" s="810"/>
      <c r="E36" s="810"/>
      <c r="F36" s="810"/>
      <c r="G36" s="810"/>
      <c r="M36" s="593"/>
      <c r="N36" s="593"/>
    </row>
    <row r="37" spans="4:32" ht="19.5" customHeight="1">
      <c r="D37" s="810"/>
      <c r="E37" s="810"/>
      <c r="F37" s="810"/>
      <c r="G37" s="810"/>
      <c r="M37" s="593"/>
      <c r="N37" s="593"/>
    </row>
    <row r="38" spans="4:32" ht="19.5" customHeight="1">
      <c r="D38" s="810"/>
      <c r="E38" s="810"/>
      <c r="F38" s="810"/>
      <c r="G38" s="810"/>
      <c r="M38" s="593"/>
      <c r="N38" s="593"/>
    </row>
    <row r="39" spans="4:32" ht="19.5" customHeight="1">
      <c r="D39" s="810"/>
      <c r="E39" s="810"/>
      <c r="F39" s="810"/>
      <c r="G39" s="810"/>
      <c r="M39" s="593"/>
      <c r="N39" s="593"/>
    </row>
    <row r="40" spans="4:32" ht="19.5" customHeight="1">
      <c r="D40" s="810"/>
      <c r="E40" s="810"/>
      <c r="F40" s="810"/>
      <c r="G40" s="810"/>
      <c r="M40" s="593"/>
      <c r="N40" s="593"/>
    </row>
    <row r="41" spans="4:32" ht="19.5" customHeight="1">
      <c r="D41" s="810"/>
      <c r="E41" s="810"/>
      <c r="F41" s="810"/>
      <c r="G41" s="810"/>
      <c r="M41" s="593"/>
      <c r="N41" s="593"/>
    </row>
    <row r="42" spans="4:32" ht="19.5" customHeight="1">
      <c r="D42" s="810"/>
      <c r="E42" s="810"/>
      <c r="F42" s="810"/>
      <c r="G42" s="810"/>
      <c r="M42" s="593"/>
      <c r="N42" s="593"/>
    </row>
    <row r="43" spans="4:32" ht="19.5" customHeight="1">
      <c r="D43" s="810"/>
      <c r="E43" s="810"/>
      <c r="F43" s="810"/>
      <c r="G43" s="810"/>
      <c r="M43" s="593"/>
      <c r="N43" s="593"/>
    </row>
    <row r="44" spans="4:32" ht="19.5" customHeight="1">
      <c r="D44" s="810"/>
      <c r="E44" s="810"/>
      <c r="F44" s="810"/>
      <c r="G44" s="810"/>
      <c r="M44" s="593"/>
      <c r="N44" s="593"/>
    </row>
    <row r="45" spans="4:32" ht="19.5" customHeight="1">
      <c r="D45" s="810"/>
      <c r="E45" s="810"/>
      <c r="F45" s="810"/>
      <c r="G45" s="810"/>
      <c r="M45" s="593"/>
      <c r="N45" s="593"/>
    </row>
    <row r="46" spans="4:32" ht="19.5" customHeight="1">
      <c r="D46" s="810"/>
      <c r="E46" s="810"/>
      <c r="F46" s="810"/>
      <c r="G46" s="810"/>
      <c r="M46" s="593"/>
      <c r="N46" s="593"/>
    </row>
    <row r="47" spans="4:32" ht="19.5" customHeight="1">
      <c r="D47" s="810"/>
      <c r="E47" s="810"/>
      <c r="F47" s="810"/>
      <c r="G47" s="810"/>
      <c r="M47" s="593"/>
      <c r="N47" s="593"/>
    </row>
    <row r="48" spans="4:32" ht="19.5" customHeight="1">
      <c r="D48" s="810"/>
      <c r="E48" s="810"/>
      <c r="F48" s="810"/>
      <c r="G48" s="810"/>
      <c r="M48" s="593"/>
      <c r="N48" s="593"/>
    </row>
    <row r="49" spans="4:14" ht="19.5" customHeight="1">
      <c r="D49" s="810"/>
      <c r="E49" s="810"/>
      <c r="F49" s="810"/>
      <c r="G49" s="810"/>
      <c r="M49" s="593"/>
      <c r="N49" s="593"/>
    </row>
    <row r="50" spans="4:14" ht="19.5" customHeight="1">
      <c r="D50" s="810"/>
      <c r="E50" s="810"/>
      <c r="F50" s="810"/>
      <c r="G50" s="810"/>
      <c r="M50" s="593"/>
      <c r="N50" s="593"/>
    </row>
    <row r="51" spans="4:14" ht="19.5" customHeight="1">
      <c r="D51" s="810"/>
      <c r="E51" s="810"/>
      <c r="F51" s="810"/>
      <c r="G51" s="810"/>
      <c r="M51" s="593"/>
      <c r="N51" s="593"/>
    </row>
    <row r="52" spans="4:14" ht="19.5" customHeight="1">
      <c r="D52" s="810"/>
      <c r="E52" s="810"/>
      <c r="F52" s="810"/>
      <c r="G52" s="810"/>
      <c r="M52" s="593"/>
      <c r="N52" s="593"/>
    </row>
    <row r="53" spans="4:14" ht="19.5" customHeight="1">
      <c r="D53" s="810"/>
      <c r="E53" s="810"/>
      <c r="F53" s="810"/>
      <c r="G53" s="810"/>
      <c r="M53" s="593"/>
      <c r="N53" s="593"/>
    </row>
    <row r="54" spans="4:14" ht="19.5" customHeight="1">
      <c r="D54" s="810"/>
      <c r="E54" s="810"/>
      <c r="F54" s="810"/>
      <c r="G54" s="810"/>
      <c r="M54" s="593"/>
      <c r="N54" s="593"/>
    </row>
    <row r="55" spans="4:14" ht="19.5" customHeight="1">
      <c r="D55" s="810"/>
      <c r="E55" s="810"/>
      <c r="F55" s="810"/>
      <c r="G55" s="810"/>
      <c r="M55" s="593"/>
      <c r="N55" s="593"/>
    </row>
    <row r="56" spans="4:14" ht="19.5" customHeight="1">
      <c r="D56" s="810"/>
      <c r="E56" s="810"/>
      <c r="F56" s="810"/>
      <c r="G56" s="810"/>
      <c r="M56" s="593"/>
      <c r="N56" s="593"/>
    </row>
    <row r="57" spans="4:14" ht="19.5" customHeight="1">
      <c r="D57" s="810"/>
      <c r="E57" s="810"/>
      <c r="F57" s="810"/>
      <c r="G57" s="810"/>
      <c r="M57" s="593"/>
      <c r="N57" s="593"/>
    </row>
    <row r="58" spans="4:14" ht="19.5" customHeight="1">
      <c r="D58" s="810"/>
      <c r="E58" s="810"/>
      <c r="F58" s="810"/>
      <c r="G58" s="810"/>
      <c r="M58" s="593"/>
      <c r="N58" s="593"/>
    </row>
    <row r="59" spans="4:14" ht="19.5" customHeight="1">
      <c r="D59" s="810"/>
      <c r="E59" s="810"/>
      <c r="F59" s="810"/>
      <c r="G59" s="810"/>
      <c r="M59" s="593"/>
      <c r="N59" s="593"/>
    </row>
    <row r="60" spans="4:14" ht="19.5" customHeight="1">
      <c r="D60" s="810"/>
      <c r="E60" s="810"/>
      <c r="F60" s="810"/>
      <c r="G60" s="810"/>
      <c r="M60" s="593"/>
      <c r="N60" s="593"/>
    </row>
    <row r="61" spans="4:14" ht="19.5" customHeight="1">
      <c r="D61" s="810"/>
      <c r="E61" s="810"/>
      <c r="F61" s="810"/>
      <c r="G61" s="810"/>
      <c r="M61" s="593"/>
      <c r="N61" s="593"/>
    </row>
    <row r="62" spans="4:14" ht="19.5" customHeight="1">
      <c r="D62" s="810"/>
      <c r="E62" s="810"/>
      <c r="F62" s="810"/>
      <c r="G62" s="810"/>
      <c r="M62" s="593"/>
      <c r="N62" s="593"/>
    </row>
    <row r="63" spans="4:14" ht="19.5" customHeight="1">
      <c r="D63" s="810"/>
      <c r="E63" s="810"/>
      <c r="F63" s="810"/>
      <c r="G63" s="810"/>
      <c r="M63" s="593"/>
      <c r="N63" s="593"/>
    </row>
    <row r="64" spans="4:14" ht="19.5" customHeight="1">
      <c r="D64" s="810"/>
      <c r="E64" s="810"/>
      <c r="F64" s="810"/>
      <c r="G64" s="810"/>
      <c r="M64" s="593"/>
      <c r="N64" s="593"/>
    </row>
    <row r="65" spans="4:14" ht="19.5" customHeight="1">
      <c r="D65" s="810"/>
      <c r="E65" s="810"/>
      <c r="F65" s="810"/>
      <c r="G65" s="810"/>
      <c r="M65" s="593"/>
      <c r="N65" s="593"/>
    </row>
    <row r="66" spans="4:14" ht="19.5" customHeight="1">
      <c r="D66" s="810"/>
      <c r="E66" s="810"/>
      <c r="F66" s="810"/>
      <c r="G66" s="810"/>
      <c r="M66" s="593"/>
      <c r="N66" s="593"/>
    </row>
    <row r="67" spans="4:14" ht="19.5" customHeight="1">
      <c r="D67" s="810"/>
      <c r="E67" s="810"/>
      <c r="F67" s="810"/>
      <c r="G67" s="810"/>
      <c r="M67" s="593"/>
      <c r="N67" s="593"/>
    </row>
    <row r="68" spans="4:14" ht="19.5" customHeight="1">
      <c r="D68" s="810"/>
      <c r="E68" s="810"/>
      <c r="F68" s="810"/>
      <c r="G68" s="810"/>
      <c r="M68" s="593"/>
      <c r="N68" s="593"/>
    </row>
    <row r="69" spans="4:14" ht="19.5" customHeight="1">
      <c r="D69" s="810"/>
      <c r="E69" s="810"/>
      <c r="F69" s="810"/>
      <c r="G69" s="810"/>
      <c r="M69" s="593"/>
      <c r="N69" s="593"/>
    </row>
    <row r="70" spans="4:14" ht="19.5" customHeight="1">
      <c r="D70" s="810"/>
      <c r="E70" s="810"/>
      <c r="F70" s="810"/>
      <c r="G70" s="810"/>
      <c r="M70" s="593"/>
      <c r="N70" s="593"/>
    </row>
    <row r="71" spans="4:14" ht="19.5" customHeight="1">
      <c r="D71" s="810"/>
      <c r="E71" s="810"/>
      <c r="F71" s="810"/>
      <c r="G71" s="810"/>
      <c r="M71" s="593"/>
      <c r="N71" s="593"/>
    </row>
    <row r="72" spans="4:14" ht="19.5" customHeight="1">
      <c r="D72" s="810"/>
      <c r="E72" s="810"/>
      <c r="F72" s="810"/>
      <c r="G72" s="810"/>
      <c r="M72" s="593"/>
      <c r="N72" s="593"/>
    </row>
    <row r="73" spans="4:14" ht="19.5" customHeight="1">
      <c r="D73" s="810"/>
      <c r="E73" s="810"/>
      <c r="F73" s="810"/>
      <c r="G73" s="810"/>
      <c r="M73" s="593"/>
      <c r="N73" s="593"/>
    </row>
    <row r="74" spans="4:14" ht="19.5" customHeight="1">
      <c r="D74" s="810"/>
      <c r="E74" s="810"/>
      <c r="F74" s="810"/>
      <c r="G74" s="810"/>
      <c r="M74" s="593"/>
      <c r="N74" s="593"/>
    </row>
    <row r="75" spans="4:14" ht="19.5" customHeight="1">
      <c r="D75" s="810"/>
      <c r="E75" s="810"/>
      <c r="F75" s="810"/>
      <c r="G75" s="810"/>
      <c r="M75" s="593"/>
      <c r="N75" s="593"/>
    </row>
    <row r="76" spans="4:14" ht="19.5" customHeight="1">
      <c r="D76" s="810"/>
      <c r="E76" s="810"/>
      <c r="F76" s="810"/>
      <c r="G76" s="810"/>
      <c r="M76" s="593"/>
      <c r="N76" s="593"/>
    </row>
    <row r="77" spans="4:14" ht="19.5" customHeight="1">
      <c r="D77" s="810"/>
      <c r="E77" s="810"/>
      <c r="F77" s="810"/>
      <c r="G77" s="810"/>
      <c r="M77" s="593"/>
      <c r="N77" s="593"/>
    </row>
    <row r="78" spans="4:14" ht="19.5" customHeight="1">
      <c r="D78" s="810"/>
      <c r="E78" s="810"/>
      <c r="F78" s="810"/>
      <c r="G78" s="810"/>
      <c r="M78" s="593"/>
      <c r="N78" s="593"/>
    </row>
    <row r="79" spans="4:14" ht="19.5" customHeight="1">
      <c r="D79" s="810"/>
      <c r="E79" s="810"/>
      <c r="F79" s="810"/>
      <c r="G79" s="810"/>
      <c r="M79" s="593"/>
      <c r="N79" s="593"/>
    </row>
    <row r="80" spans="4:14" ht="19.5" customHeight="1">
      <c r="D80" s="810"/>
      <c r="E80" s="810"/>
      <c r="F80" s="810"/>
      <c r="G80" s="810"/>
      <c r="M80" s="593"/>
      <c r="N80" s="593"/>
    </row>
    <row r="81" spans="4:14" ht="19.5" customHeight="1">
      <c r="D81" s="810"/>
      <c r="E81" s="810"/>
      <c r="F81" s="810"/>
      <c r="G81" s="810"/>
      <c r="M81" s="593"/>
      <c r="N81" s="593"/>
    </row>
    <row r="82" spans="4:14" ht="19.5" customHeight="1">
      <c r="D82" s="810"/>
      <c r="E82" s="810"/>
      <c r="F82" s="810"/>
      <c r="G82" s="810"/>
      <c r="M82" s="593"/>
      <c r="N82" s="593"/>
    </row>
    <row r="83" spans="4:14" ht="19.5" customHeight="1">
      <c r="D83" s="810"/>
      <c r="E83" s="810"/>
      <c r="F83" s="810"/>
      <c r="G83" s="810"/>
      <c r="M83" s="593"/>
      <c r="N83" s="593"/>
    </row>
    <row r="84" spans="4:14" ht="19.5" customHeight="1">
      <c r="D84" s="810"/>
      <c r="E84" s="810"/>
      <c r="F84" s="810"/>
      <c r="G84" s="810"/>
      <c r="M84" s="593"/>
      <c r="N84" s="593"/>
    </row>
    <row r="85" spans="4:14" ht="19.5" customHeight="1">
      <c r="D85" s="810"/>
      <c r="E85" s="810"/>
      <c r="F85" s="810"/>
      <c r="G85" s="810"/>
      <c r="M85" s="593"/>
      <c r="N85" s="593"/>
    </row>
    <row r="86" spans="4:14" ht="19.5" customHeight="1">
      <c r="D86" s="810"/>
      <c r="E86" s="810"/>
      <c r="F86" s="810"/>
      <c r="G86" s="810"/>
      <c r="M86" s="593"/>
      <c r="N86" s="593"/>
    </row>
    <row r="87" spans="4:14" ht="19.5" customHeight="1">
      <c r="D87" s="810"/>
      <c r="E87" s="810"/>
      <c r="F87" s="810"/>
      <c r="G87" s="810"/>
      <c r="M87" s="593"/>
      <c r="N87" s="593"/>
    </row>
    <row r="88" spans="4:14" ht="19.5" customHeight="1">
      <c r="D88" s="810"/>
      <c r="E88" s="810"/>
      <c r="F88" s="810"/>
      <c r="G88" s="810"/>
      <c r="M88" s="593"/>
      <c r="N88" s="593"/>
    </row>
    <row r="89" spans="4:14" ht="19.5" customHeight="1">
      <c r="D89" s="810"/>
      <c r="E89" s="810"/>
      <c r="F89" s="810"/>
      <c r="G89" s="810"/>
      <c r="M89" s="593"/>
      <c r="N89" s="593"/>
    </row>
    <row r="90" spans="4:14" ht="19.5" customHeight="1">
      <c r="D90" s="810"/>
      <c r="E90" s="810"/>
      <c r="F90" s="810"/>
      <c r="G90" s="810"/>
      <c r="M90" s="593"/>
      <c r="N90" s="593"/>
    </row>
    <row r="91" spans="4:14" ht="19.5" customHeight="1">
      <c r="D91" s="810"/>
      <c r="E91" s="810"/>
      <c r="F91" s="810"/>
      <c r="G91" s="810"/>
      <c r="M91" s="593"/>
      <c r="N91" s="593"/>
    </row>
    <row r="92" spans="4:14" ht="19.5" customHeight="1">
      <c r="D92" s="810"/>
      <c r="E92" s="810"/>
      <c r="F92" s="810"/>
      <c r="G92" s="810"/>
      <c r="M92" s="593"/>
      <c r="N92" s="593"/>
    </row>
    <row r="93" spans="4:14" ht="19.5" customHeight="1">
      <c r="D93" s="810"/>
      <c r="E93" s="810"/>
      <c r="F93" s="810"/>
      <c r="G93" s="810"/>
      <c r="M93" s="593"/>
      <c r="N93" s="593"/>
    </row>
    <row r="94" spans="4:14" ht="19.5" customHeight="1">
      <c r="D94" s="810"/>
      <c r="E94" s="810"/>
      <c r="F94" s="810"/>
      <c r="G94" s="810"/>
      <c r="M94" s="593"/>
      <c r="N94" s="593"/>
    </row>
    <row r="95" spans="4:14" ht="19.5" customHeight="1">
      <c r="D95" s="810"/>
      <c r="E95" s="810"/>
      <c r="F95" s="810"/>
      <c r="G95" s="810"/>
      <c r="M95" s="593"/>
      <c r="N95" s="593"/>
    </row>
    <row r="96" spans="4:14" ht="19.5" customHeight="1">
      <c r="D96" s="810"/>
      <c r="E96" s="810"/>
      <c r="F96" s="810"/>
      <c r="G96" s="810"/>
      <c r="M96" s="593"/>
      <c r="N96" s="593"/>
    </row>
    <row r="97" spans="4:14" ht="19.5" customHeight="1">
      <c r="D97" s="810"/>
      <c r="E97" s="810"/>
      <c r="F97" s="810"/>
      <c r="G97" s="810"/>
      <c r="M97" s="593"/>
      <c r="N97" s="593"/>
    </row>
    <row r="98" spans="4:14" ht="19.5" customHeight="1">
      <c r="D98" s="810"/>
      <c r="E98" s="810"/>
      <c r="F98" s="810"/>
      <c r="G98" s="810"/>
      <c r="M98" s="593"/>
      <c r="N98" s="593"/>
    </row>
    <row r="99" spans="4:14" ht="19.5" customHeight="1">
      <c r="D99" s="810"/>
      <c r="E99" s="810"/>
      <c r="F99" s="810"/>
      <c r="G99" s="810"/>
      <c r="M99" s="593"/>
      <c r="N99" s="593"/>
    </row>
    <row r="100" spans="4:14" ht="19.5" customHeight="1">
      <c r="D100" s="810"/>
      <c r="E100" s="810"/>
      <c r="F100" s="810"/>
      <c r="G100" s="810"/>
      <c r="M100" s="593"/>
      <c r="N100" s="593"/>
    </row>
    <row r="101" spans="4:14" ht="19.5" customHeight="1">
      <c r="D101" s="810"/>
      <c r="E101" s="810"/>
      <c r="F101" s="810"/>
      <c r="G101" s="810"/>
      <c r="M101" s="593"/>
      <c r="N101" s="593"/>
    </row>
    <row r="102" spans="4:14" ht="19.5" customHeight="1">
      <c r="D102" s="810"/>
      <c r="E102" s="810"/>
      <c r="F102" s="810"/>
      <c r="G102" s="810"/>
      <c r="M102" s="593"/>
      <c r="N102" s="593"/>
    </row>
    <row r="103" spans="4:14" ht="19.5" customHeight="1">
      <c r="D103" s="810"/>
      <c r="E103" s="810"/>
      <c r="F103" s="810"/>
      <c r="G103" s="810"/>
      <c r="M103" s="593"/>
      <c r="N103" s="593"/>
    </row>
    <row r="104" spans="4:14" ht="19.5" customHeight="1">
      <c r="D104" s="810"/>
      <c r="E104" s="810"/>
      <c r="F104" s="810"/>
      <c r="G104" s="810"/>
      <c r="M104" s="593"/>
      <c r="N104" s="593"/>
    </row>
    <row r="105" spans="4:14" ht="19.5" customHeight="1">
      <c r="D105" s="810"/>
      <c r="E105" s="810"/>
      <c r="F105" s="810"/>
      <c r="G105" s="810"/>
      <c r="M105" s="593"/>
      <c r="N105" s="593"/>
    </row>
    <row r="106" spans="4:14" ht="19.5" customHeight="1">
      <c r="D106" s="810"/>
      <c r="E106" s="810"/>
      <c r="F106" s="810"/>
      <c r="G106" s="810"/>
      <c r="M106" s="593"/>
      <c r="N106" s="593"/>
    </row>
    <row r="107" spans="4:14" ht="19.5" customHeight="1">
      <c r="D107" s="810"/>
      <c r="E107" s="810"/>
      <c r="F107" s="810"/>
      <c r="G107" s="810"/>
      <c r="M107" s="593"/>
      <c r="N107" s="593"/>
    </row>
    <row r="108" spans="4:14" ht="19.5" customHeight="1">
      <c r="D108" s="810"/>
      <c r="E108" s="810"/>
      <c r="F108" s="810"/>
      <c r="G108" s="810"/>
      <c r="M108" s="593"/>
      <c r="N108" s="593"/>
    </row>
    <row r="109" spans="4:14" ht="19.5" customHeight="1">
      <c r="D109" s="810"/>
      <c r="E109" s="810"/>
      <c r="F109" s="810"/>
      <c r="G109" s="810"/>
      <c r="M109" s="593"/>
      <c r="N109" s="593"/>
    </row>
    <row r="110" spans="4:14" ht="19.5" customHeight="1">
      <c r="D110" s="810"/>
      <c r="E110" s="810"/>
      <c r="F110" s="810"/>
      <c r="G110" s="810"/>
      <c r="M110" s="593"/>
      <c r="N110" s="593"/>
    </row>
    <row r="111" spans="4:14" ht="19.5" customHeight="1">
      <c r="D111" s="810"/>
      <c r="E111" s="810"/>
      <c r="F111" s="810"/>
      <c r="G111" s="810"/>
      <c r="M111" s="593"/>
      <c r="N111" s="593"/>
    </row>
    <row r="112" spans="4:14" ht="19.5" customHeight="1">
      <c r="D112" s="810"/>
      <c r="E112" s="810"/>
      <c r="F112" s="810"/>
      <c r="G112" s="810"/>
      <c r="M112" s="593"/>
      <c r="N112" s="593"/>
    </row>
    <row r="113" spans="4:14" ht="19.5" customHeight="1">
      <c r="D113" s="810"/>
      <c r="E113" s="810"/>
      <c r="F113" s="810"/>
      <c r="G113" s="810"/>
      <c r="M113" s="593"/>
      <c r="N113" s="593"/>
    </row>
    <row r="114" spans="4:14" ht="19.5" customHeight="1">
      <c r="D114" s="810"/>
      <c r="E114" s="810"/>
      <c r="F114" s="810"/>
      <c r="G114" s="810"/>
      <c r="M114" s="593"/>
      <c r="N114" s="593"/>
    </row>
    <row r="115" spans="4:14" ht="19.5" customHeight="1">
      <c r="D115" s="810"/>
      <c r="E115" s="810"/>
      <c r="F115" s="810"/>
      <c r="G115" s="810"/>
      <c r="M115" s="593"/>
      <c r="N115" s="593"/>
    </row>
    <row r="116" spans="4:14" ht="19.5" customHeight="1">
      <c r="D116" s="810"/>
      <c r="E116" s="810"/>
      <c r="F116" s="810"/>
      <c r="G116" s="810"/>
      <c r="M116" s="593"/>
      <c r="N116" s="593"/>
    </row>
    <row r="117" spans="4:14" ht="19.5" customHeight="1">
      <c r="D117" s="810"/>
      <c r="E117" s="810"/>
      <c r="F117" s="810"/>
      <c r="G117" s="810"/>
      <c r="M117" s="593"/>
      <c r="N117" s="593"/>
    </row>
    <row r="118" spans="4:14" ht="19.5" customHeight="1">
      <c r="D118" s="810"/>
      <c r="E118" s="810"/>
      <c r="F118" s="810"/>
      <c r="G118" s="810"/>
      <c r="M118" s="593"/>
      <c r="N118" s="593"/>
    </row>
    <row r="119" spans="4:14" ht="19.5" customHeight="1">
      <c r="D119" s="810"/>
      <c r="E119" s="810"/>
      <c r="F119" s="810"/>
      <c r="G119" s="810"/>
      <c r="M119" s="593"/>
      <c r="N119" s="593"/>
    </row>
    <row r="120" spans="4:14" ht="19.5" customHeight="1">
      <c r="D120" s="810"/>
      <c r="E120" s="810"/>
      <c r="F120" s="810"/>
      <c r="G120" s="810"/>
      <c r="M120" s="593"/>
      <c r="N120" s="593"/>
    </row>
    <row r="121" spans="4:14" ht="19.5" customHeight="1">
      <c r="D121" s="810"/>
      <c r="E121" s="810"/>
      <c r="F121" s="810"/>
      <c r="G121" s="810"/>
      <c r="M121" s="593"/>
      <c r="N121" s="593"/>
    </row>
    <row r="122" spans="4:14" ht="19.5" customHeight="1">
      <c r="D122" s="810"/>
      <c r="E122" s="810"/>
      <c r="F122" s="810"/>
      <c r="G122" s="810"/>
      <c r="M122" s="593"/>
      <c r="N122" s="593"/>
    </row>
    <row r="123" spans="4:14" ht="19.5" customHeight="1">
      <c r="D123" s="810"/>
      <c r="E123" s="810"/>
      <c r="F123" s="810"/>
      <c r="G123" s="810"/>
      <c r="M123" s="593"/>
      <c r="N123" s="593"/>
    </row>
    <row r="124" spans="4:14" ht="19.5" customHeight="1">
      <c r="D124" s="810"/>
      <c r="E124" s="810"/>
      <c r="F124" s="810"/>
      <c r="G124" s="810"/>
      <c r="M124" s="593"/>
      <c r="N124" s="593"/>
    </row>
    <row r="125" spans="4:14" ht="19.5" customHeight="1">
      <c r="D125" s="810"/>
      <c r="E125" s="810"/>
      <c r="F125" s="810"/>
      <c r="G125" s="810"/>
      <c r="M125" s="593"/>
      <c r="N125" s="593"/>
    </row>
    <row r="126" spans="4:14" ht="19.5" customHeight="1">
      <c r="D126" s="810"/>
      <c r="E126" s="810"/>
      <c r="F126" s="810"/>
      <c r="G126" s="810"/>
      <c r="M126" s="593"/>
      <c r="N126" s="593"/>
    </row>
    <row r="127" spans="4:14" ht="19.5" customHeight="1">
      <c r="D127" s="810"/>
      <c r="E127" s="810"/>
      <c r="F127" s="810"/>
      <c r="G127" s="810"/>
      <c r="M127" s="593"/>
      <c r="N127" s="593"/>
    </row>
    <row r="128" spans="4:14" ht="19.5" customHeight="1">
      <c r="D128" s="810"/>
      <c r="E128" s="810"/>
      <c r="F128" s="810"/>
      <c r="G128" s="810"/>
      <c r="M128" s="593"/>
      <c r="N128" s="593"/>
    </row>
    <row r="129" spans="4:14" ht="19.5" customHeight="1">
      <c r="D129" s="810"/>
      <c r="E129" s="810"/>
      <c r="F129" s="810"/>
      <c r="G129" s="810"/>
      <c r="M129" s="593"/>
      <c r="N129" s="593"/>
    </row>
    <row r="130" spans="4:14" ht="19.5" customHeight="1">
      <c r="D130" s="810"/>
      <c r="E130" s="810"/>
      <c r="F130" s="810"/>
      <c r="G130" s="810"/>
      <c r="M130" s="593"/>
      <c r="N130" s="593"/>
    </row>
    <row r="131" spans="4:14" ht="19.5" customHeight="1">
      <c r="D131" s="810"/>
      <c r="E131" s="810"/>
      <c r="F131" s="810"/>
      <c r="G131" s="810"/>
      <c r="M131" s="593"/>
      <c r="N131" s="593"/>
    </row>
    <row r="132" spans="4:14" ht="19.5" customHeight="1">
      <c r="D132" s="810"/>
      <c r="E132" s="810"/>
      <c r="F132" s="810"/>
      <c r="G132" s="810"/>
      <c r="M132" s="593"/>
      <c r="N132" s="593"/>
    </row>
    <row r="133" spans="4:14" ht="19.5" customHeight="1">
      <c r="D133" s="810"/>
      <c r="E133" s="810"/>
      <c r="F133" s="810"/>
      <c r="G133" s="810"/>
      <c r="M133" s="593"/>
      <c r="N133" s="593"/>
    </row>
    <row r="134" spans="4:14" ht="19.5" customHeight="1">
      <c r="D134" s="810"/>
      <c r="E134" s="810"/>
      <c r="F134" s="810"/>
      <c r="G134" s="810"/>
      <c r="M134" s="593"/>
      <c r="N134" s="593"/>
    </row>
    <row r="135" spans="4:14" ht="19.5" customHeight="1">
      <c r="D135" s="810"/>
      <c r="E135" s="810"/>
      <c r="F135" s="810"/>
      <c r="G135" s="810"/>
      <c r="M135" s="593"/>
      <c r="N135" s="593"/>
    </row>
    <row r="136" spans="4:14" ht="19.5" customHeight="1">
      <c r="D136" s="810"/>
      <c r="E136" s="810"/>
      <c r="F136" s="810"/>
      <c r="G136" s="810"/>
      <c r="M136" s="593"/>
      <c r="N136" s="593"/>
    </row>
    <row r="137" spans="4:14" ht="19.5" customHeight="1">
      <c r="D137" s="810"/>
      <c r="E137" s="810"/>
      <c r="F137" s="810"/>
      <c r="G137" s="810"/>
      <c r="M137" s="593"/>
      <c r="N137" s="593"/>
    </row>
    <row r="138" spans="4:14" ht="19.5" customHeight="1">
      <c r="D138" s="810"/>
      <c r="E138" s="810"/>
      <c r="F138" s="810"/>
      <c r="G138" s="810"/>
      <c r="M138" s="593"/>
      <c r="N138" s="593"/>
    </row>
    <row r="139" spans="4:14" ht="19.5" customHeight="1">
      <c r="D139" s="810"/>
      <c r="E139" s="810"/>
      <c r="F139" s="810"/>
      <c r="G139" s="810"/>
      <c r="M139" s="593"/>
      <c r="N139" s="593"/>
    </row>
    <row r="140" spans="4:14" ht="19.5" customHeight="1">
      <c r="D140" s="810"/>
      <c r="E140" s="810"/>
      <c r="F140" s="810"/>
      <c r="G140" s="810"/>
      <c r="M140" s="593"/>
      <c r="N140" s="593"/>
    </row>
    <row r="141" spans="4:14" ht="19.5" customHeight="1">
      <c r="D141" s="810"/>
      <c r="E141" s="810"/>
      <c r="F141" s="810"/>
      <c r="G141" s="810"/>
      <c r="M141" s="593"/>
      <c r="N141" s="593"/>
    </row>
    <row r="142" spans="4:14" ht="19.5" customHeight="1">
      <c r="D142" s="810"/>
      <c r="E142" s="810"/>
      <c r="F142" s="810"/>
      <c r="G142" s="810"/>
      <c r="M142" s="593"/>
      <c r="N142" s="593"/>
    </row>
    <row r="143" spans="4:14" ht="19.5" customHeight="1">
      <c r="D143" s="810"/>
      <c r="E143" s="810"/>
      <c r="F143" s="810"/>
      <c r="G143" s="810"/>
      <c r="M143" s="593"/>
      <c r="N143" s="593"/>
    </row>
    <row r="144" spans="4:14" ht="19.5" customHeight="1">
      <c r="D144" s="810"/>
      <c r="E144" s="810"/>
      <c r="F144" s="810"/>
      <c r="G144" s="810"/>
      <c r="M144" s="593"/>
      <c r="N144" s="593"/>
    </row>
    <row r="145" spans="4:14" ht="19.5" customHeight="1">
      <c r="D145" s="810"/>
      <c r="E145" s="810"/>
      <c r="F145" s="810"/>
      <c r="G145" s="810"/>
      <c r="M145" s="593"/>
      <c r="N145" s="593"/>
    </row>
    <row r="146" spans="4:14" ht="19.5" customHeight="1">
      <c r="D146" s="810"/>
      <c r="E146" s="810"/>
      <c r="F146" s="810"/>
      <c r="G146" s="810"/>
      <c r="M146" s="593"/>
      <c r="N146" s="593"/>
    </row>
    <row r="147" spans="4:14" ht="19.5" customHeight="1">
      <c r="D147" s="810"/>
      <c r="E147" s="810"/>
      <c r="F147" s="810"/>
      <c r="G147" s="810"/>
      <c r="M147" s="593"/>
      <c r="N147" s="593"/>
    </row>
    <row r="148" spans="4:14" ht="19.5" customHeight="1">
      <c r="D148" s="810"/>
      <c r="E148" s="810"/>
      <c r="F148" s="810"/>
      <c r="G148" s="810"/>
      <c r="M148" s="593"/>
      <c r="N148" s="593"/>
    </row>
    <row r="149" spans="4:14" ht="19.5" customHeight="1">
      <c r="D149" s="810"/>
      <c r="E149" s="810"/>
      <c r="F149" s="810"/>
      <c r="G149" s="810"/>
      <c r="M149" s="593"/>
      <c r="N149" s="593"/>
    </row>
    <row r="150" spans="4:14" ht="19.5" customHeight="1">
      <c r="D150" s="810"/>
      <c r="E150" s="810"/>
      <c r="F150" s="810"/>
      <c r="G150" s="810"/>
      <c r="M150" s="593"/>
      <c r="N150" s="593"/>
    </row>
    <row r="151" spans="4:14" ht="19.5" customHeight="1">
      <c r="D151" s="810"/>
      <c r="E151" s="810"/>
      <c r="F151" s="810"/>
      <c r="G151" s="810"/>
      <c r="M151" s="593"/>
      <c r="N151" s="593"/>
    </row>
    <row r="152" spans="4:14" ht="19.5" customHeight="1">
      <c r="D152" s="810"/>
      <c r="E152" s="810"/>
      <c r="F152" s="810"/>
      <c r="G152" s="810"/>
      <c r="M152" s="593"/>
      <c r="N152" s="593"/>
    </row>
    <row r="153" spans="4:14" ht="19.5" customHeight="1">
      <c r="D153" s="810"/>
      <c r="E153" s="810"/>
      <c r="F153" s="810"/>
      <c r="G153" s="810"/>
      <c r="M153" s="593"/>
      <c r="N153" s="593"/>
    </row>
    <row r="154" spans="4:14" ht="19.5" customHeight="1">
      <c r="D154" s="810"/>
      <c r="E154" s="810"/>
      <c r="F154" s="810"/>
      <c r="G154" s="810"/>
      <c r="M154" s="593"/>
      <c r="N154" s="593"/>
    </row>
    <row r="155" spans="4:14" ht="19.5" customHeight="1">
      <c r="D155" s="810"/>
      <c r="E155" s="810"/>
      <c r="F155" s="810"/>
      <c r="G155" s="810"/>
      <c r="M155" s="593"/>
      <c r="N155" s="593"/>
    </row>
    <row r="156" spans="4:14" ht="19.5" customHeight="1">
      <c r="D156" s="810"/>
      <c r="E156" s="810"/>
      <c r="F156" s="810"/>
      <c r="G156" s="810"/>
      <c r="M156" s="593"/>
      <c r="N156" s="593"/>
    </row>
    <row r="157" spans="4:14" ht="19.5" customHeight="1">
      <c r="D157" s="810"/>
      <c r="E157" s="810"/>
      <c r="F157" s="810"/>
      <c r="G157" s="810"/>
      <c r="M157" s="593"/>
      <c r="N157" s="593"/>
    </row>
    <row r="158" spans="4:14" ht="19.5" customHeight="1">
      <c r="D158" s="810"/>
      <c r="E158" s="810"/>
      <c r="F158" s="810"/>
      <c r="G158" s="810"/>
      <c r="M158" s="593"/>
      <c r="N158" s="593"/>
    </row>
    <row r="159" spans="4:14" ht="19.5" customHeight="1">
      <c r="D159" s="810"/>
      <c r="E159" s="810"/>
      <c r="F159" s="810"/>
      <c r="G159" s="810"/>
      <c r="M159" s="593"/>
      <c r="N159" s="593"/>
    </row>
    <row r="160" spans="4:14" ht="19.5" customHeight="1">
      <c r="D160" s="810"/>
      <c r="E160" s="810"/>
      <c r="F160" s="810"/>
      <c r="G160" s="810"/>
      <c r="M160" s="593"/>
      <c r="N160" s="593"/>
    </row>
    <row r="161" spans="4:14" ht="19.5" customHeight="1">
      <c r="D161" s="810"/>
      <c r="E161" s="810"/>
      <c r="F161" s="810"/>
      <c r="G161" s="810"/>
      <c r="M161" s="593"/>
      <c r="N161" s="593"/>
    </row>
    <row r="162" spans="4:14" ht="19.5" customHeight="1">
      <c r="D162" s="810"/>
      <c r="E162" s="810"/>
      <c r="F162" s="810"/>
      <c r="G162" s="810"/>
      <c r="M162" s="593"/>
      <c r="N162" s="593"/>
    </row>
    <row r="163" spans="4:14" ht="19.5" customHeight="1">
      <c r="D163" s="810"/>
      <c r="E163" s="810"/>
      <c r="F163" s="810"/>
      <c r="G163" s="810"/>
      <c r="M163" s="593"/>
      <c r="N163" s="593"/>
    </row>
    <row r="164" spans="4:14" ht="19.5" customHeight="1">
      <c r="D164" s="810"/>
      <c r="E164" s="810"/>
      <c r="F164" s="810"/>
      <c r="G164" s="810"/>
      <c r="M164" s="593"/>
      <c r="N164" s="593"/>
    </row>
    <row r="165" spans="4:14" ht="19.5" customHeight="1">
      <c r="D165" s="810"/>
      <c r="E165" s="810"/>
      <c r="F165" s="810"/>
      <c r="G165" s="810"/>
      <c r="M165" s="593"/>
      <c r="N165" s="593"/>
    </row>
    <row r="166" spans="4:14" ht="19.5" customHeight="1">
      <c r="D166" s="810"/>
      <c r="E166" s="810"/>
      <c r="F166" s="810"/>
      <c r="G166" s="810"/>
      <c r="M166" s="593"/>
      <c r="N166" s="593"/>
    </row>
    <row r="167" spans="4:14" ht="19.5" customHeight="1">
      <c r="D167" s="810"/>
      <c r="E167" s="810"/>
      <c r="F167" s="810"/>
      <c r="G167" s="810"/>
      <c r="M167" s="593"/>
      <c r="N167" s="593"/>
    </row>
    <row r="168" spans="4:14" ht="19.5" customHeight="1">
      <c r="D168" s="810"/>
      <c r="E168" s="810"/>
      <c r="F168" s="810"/>
      <c r="G168" s="810"/>
      <c r="M168" s="593"/>
      <c r="N168" s="593"/>
    </row>
    <row r="169" spans="4:14" ht="19.5" customHeight="1">
      <c r="D169" s="810"/>
      <c r="E169" s="810"/>
      <c r="F169" s="810"/>
      <c r="G169" s="810"/>
      <c r="M169" s="593"/>
      <c r="N169" s="593"/>
    </row>
    <row r="170" spans="4:14" ht="19.5" customHeight="1">
      <c r="D170" s="810"/>
      <c r="E170" s="810"/>
      <c r="F170" s="810"/>
      <c r="G170" s="810"/>
      <c r="M170" s="593"/>
      <c r="N170" s="593"/>
    </row>
    <row r="171" spans="4:14" ht="19.5" customHeight="1">
      <c r="D171" s="810"/>
      <c r="E171" s="810"/>
      <c r="F171" s="810"/>
      <c r="G171" s="810"/>
      <c r="M171" s="593"/>
      <c r="N171" s="593"/>
    </row>
    <row r="172" spans="4:14" ht="19.5" customHeight="1">
      <c r="D172" s="810"/>
      <c r="E172" s="810"/>
      <c r="F172" s="810"/>
      <c r="G172" s="810"/>
      <c r="M172" s="593"/>
      <c r="N172" s="593"/>
    </row>
    <row r="173" spans="4:14" ht="19.5" customHeight="1">
      <c r="D173" s="810"/>
      <c r="E173" s="810"/>
      <c r="F173" s="810"/>
      <c r="G173" s="810"/>
      <c r="M173" s="593"/>
      <c r="N173" s="593"/>
    </row>
    <row r="174" spans="4:14" ht="19.5" customHeight="1">
      <c r="D174" s="810"/>
      <c r="E174" s="810"/>
      <c r="F174" s="810"/>
      <c r="G174" s="810"/>
      <c r="M174" s="593"/>
      <c r="N174" s="593"/>
    </row>
    <row r="175" spans="4:14" ht="19.5" customHeight="1">
      <c r="D175" s="810"/>
      <c r="E175" s="810"/>
      <c r="F175" s="810"/>
      <c r="G175" s="810"/>
      <c r="M175" s="593"/>
      <c r="N175" s="593"/>
    </row>
    <row r="176" spans="4:14" ht="19.5" customHeight="1">
      <c r="D176" s="810"/>
      <c r="E176" s="810"/>
      <c r="F176" s="810"/>
      <c r="G176" s="810"/>
      <c r="M176" s="593"/>
      <c r="N176" s="593"/>
    </row>
    <row r="177" spans="4:14" ht="19.5" customHeight="1">
      <c r="D177" s="810"/>
      <c r="E177" s="810"/>
      <c r="F177" s="810"/>
      <c r="G177" s="810"/>
      <c r="M177" s="593"/>
      <c r="N177" s="593"/>
    </row>
    <row r="178" spans="4:14" ht="19.5" customHeight="1">
      <c r="D178" s="810"/>
      <c r="E178" s="810"/>
      <c r="F178" s="810"/>
      <c r="G178" s="810"/>
      <c r="M178" s="593"/>
      <c r="N178" s="593"/>
    </row>
    <row r="179" spans="4:14" ht="19.5" customHeight="1">
      <c r="D179" s="810"/>
      <c r="E179" s="810"/>
      <c r="F179" s="810"/>
      <c r="G179" s="810"/>
      <c r="M179" s="593"/>
      <c r="N179" s="593"/>
    </row>
    <row r="180" spans="4:14" ht="19.5" customHeight="1">
      <c r="D180" s="810"/>
      <c r="E180" s="810"/>
      <c r="F180" s="810"/>
      <c r="G180" s="810"/>
      <c r="M180" s="593"/>
      <c r="N180" s="593"/>
    </row>
    <row r="181" spans="4:14" ht="19.5" customHeight="1">
      <c r="D181" s="810"/>
      <c r="E181" s="810"/>
      <c r="F181" s="810"/>
      <c r="G181" s="810"/>
      <c r="M181" s="593"/>
      <c r="N181" s="593"/>
    </row>
    <row r="182" spans="4:14" ht="19.5" customHeight="1">
      <c r="D182" s="810"/>
      <c r="E182" s="810"/>
      <c r="F182" s="810"/>
      <c r="G182" s="810"/>
      <c r="M182" s="593"/>
      <c r="N182" s="593"/>
    </row>
    <row r="183" spans="4:14" ht="19.5" customHeight="1">
      <c r="D183" s="810"/>
      <c r="E183" s="810"/>
      <c r="F183" s="810"/>
      <c r="G183" s="810"/>
      <c r="M183" s="593"/>
      <c r="N183" s="593"/>
    </row>
    <row r="184" spans="4:14" ht="19.5" customHeight="1">
      <c r="D184" s="810"/>
      <c r="E184" s="810"/>
      <c r="F184" s="810"/>
      <c r="G184" s="810"/>
      <c r="M184" s="593"/>
      <c r="N184" s="593"/>
    </row>
    <row r="185" spans="4:14" ht="19.5" customHeight="1">
      <c r="D185" s="810"/>
      <c r="E185" s="810"/>
      <c r="F185" s="810"/>
      <c r="G185" s="810"/>
      <c r="M185" s="593"/>
      <c r="N185" s="593"/>
    </row>
    <row r="186" spans="4:14" ht="19.5" customHeight="1">
      <c r="D186" s="810"/>
      <c r="E186" s="810"/>
      <c r="F186" s="810"/>
      <c r="G186" s="810"/>
      <c r="M186" s="593"/>
      <c r="N186" s="593"/>
    </row>
    <row r="187" spans="4:14" ht="19.5" customHeight="1">
      <c r="D187" s="810"/>
      <c r="E187" s="810"/>
      <c r="F187" s="810"/>
      <c r="G187" s="810"/>
      <c r="M187" s="593"/>
      <c r="N187" s="593"/>
    </row>
    <row r="188" spans="4:14" ht="19.5" customHeight="1">
      <c r="D188" s="810"/>
      <c r="E188" s="810"/>
      <c r="F188" s="810"/>
      <c r="G188" s="810"/>
      <c r="M188" s="593"/>
      <c r="N188" s="593"/>
    </row>
    <row r="189" spans="4:14" ht="19.5" customHeight="1">
      <c r="D189" s="810"/>
      <c r="E189" s="810"/>
      <c r="F189" s="810"/>
      <c r="G189" s="810"/>
      <c r="M189" s="593"/>
      <c r="N189" s="593"/>
    </row>
    <row r="190" spans="4:14" ht="19.5" customHeight="1">
      <c r="D190" s="810"/>
      <c r="E190" s="810"/>
      <c r="F190" s="810"/>
      <c r="G190" s="810"/>
      <c r="M190" s="593"/>
      <c r="N190" s="593"/>
    </row>
    <row r="191" spans="4:14" ht="19.5" customHeight="1">
      <c r="D191" s="810"/>
      <c r="E191" s="810"/>
      <c r="F191" s="810"/>
      <c r="G191" s="810"/>
      <c r="M191" s="593"/>
      <c r="N191" s="593"/>
    </row>
    <row r="192" spans="4:14" ht="19.5" customHeight="1">
      <c r="D192" s="810"/>
      <c r="E192" s="810"/>
      <c r="F192" s="810"/>
      <c r="G192" s="810"/>
      <c r="M192" s="593"/>
      <c r="N192" s="593"/>
    </row>
    <row r="193" spans="4:14" ht="19.5" customHeight="1">
      <c r="D193" s="810"/>
      <c r="E193" s="810"/>
      <c r="F193" s="810"/>
      <c r="G193" s="810"/>
      <c r="M193" s="593"/>
      <c r="N193" s="593"/>
    </row>
    <row r="194" spans="4:14" ht="19.5" customHeight="1">
      <c r="D194" s="810"/>
      <c r="E194" s="810"/>
      <c r="F194" s="810"/>
      <c r="G194" s="810"/>
      <c r="M194" s="593"/>
      <c r="N194" s="593"/>
    </row>
    <row r="195" spans="4:14" ht="19.5" customHeight="1">
      <c r="D195" s="810"/>
      <c r="E195" s="810"/>
      <c r="F195" s="810"/>
      <c r="G195" s="810"/>
      <c r="M195" s="593"/>
      <c r="N195" s="593"/>
    </row>
    <row r="196" spans="4:14" ht="19.5" customHeight="1">
      <c r="D196" s="810"/>
      <c r="E196" s="810"/>
      <c r="F196" s="810"/>
      <c r="G196" s="810"/>
      <c r="M196" s="593"/>
      <c r="N196" s="593"/>
    </row>
    <row r="197" spans="4:14" ht="19.5" customHeight="1">
      <c r="D197" s="810"/>
      <c r="E197" s="810"/>
      <c r="F197" s="810"/>
      <c r="G197" s="810"/>
      <c r="M197" s="593"/>
      <c r="N197" s="593"/>
    </row>
    <row r="198" spans="4:14" ht="19.5" customHeight="1">
      <c r="D198" s="810"/>
      <c r="E198" s="810"/>
      <c r="F198" s="810"/>
      <c r="G198" s="810"/>
      <c r="M198" s="593"/>
      <c r="N198" s="593"/>
    </row>
    <row r="199" spans="4:14" ht="19.5" customHeight="1">
      <c r="D199" s="810"/>
      <c r="E199" s="810"/>
      <c r="F199" s="810"/>
      <c r="G199" s="810"/>
      <c r="M199" s="593"/>
      <c r="N199" s="593"/>
    </row>
    <row r="200" spans="4:14" ht="19.5" customHeight="1">
      <c r="D200" s="810"/>
      <c r="E200" s="810"/>
      <c r="F200" s="810"/>
      <c r="G200" s="810"/>
      <c r="M200" s="593"/>
      <c r="N200" s="593"/>
    </row>
    <row r="201" spans="4:14" ht="19.5" customHeight="1">
      <c r="D201" s="810"/>
      <c r="E201" s="810"/>
      <c r="F201" s="810"/>
      <c r="G201" s="810"/>
      <c r="M201" s="593"/>
      <c r="N201" s="593"/>
    </row>
    <row r="202" spans="4:14" ht="19.5" customHeight="1">
      <c r="D202" s="810"/>
      <c r="E202" s="810"/>
      <c r="F202" s="810"/>
      <c r="G202" s="810"/>
      <c r="M202" s="593"/>
      <c r="N202" s="593"/>
    </row>
    <row r="203" spans="4:14" ht="19.5" customHeight="1">
      <c r="D203" s="810"/>
      <c r="E203" s="810"/>
      <c r="F203" s="810"/>
      <c r="G203" s="810"/>
      <c r="M203" s="593"/>
      <c r="N203" s="593"/>
    </row>
    <row r="204" spans="4:14" ht="19.5" customHeight="1">
      <c r="D204" s="810"/>
      <c r="E204" s="810"/>
      <c r="F204" s="810"/>
      <c r="G204" s="810"/>
      <c r="M204" s="593"/>
      <c r="N204" s="593"/>
    </row>
    <row r="205" spans="4:14" ht="19.5" customHeight="1">
      <c r="D205" s="810"/>
      <c r="E205" s="810"/>
      <c r="F205" s="810"/>
      <c r="G205" s="810"/>
      <c r="M205" s="593"/>
      <c r="N205" s="593"/>
    </row>
    <row r="206" spans="4:14" ht="19.5" customHeight="1">
      <c r="D206" s="810"/>
      <c r="E206" s="810"/>
      <c r="F206" s="810"/>
      <c r="G206" s="810"/>
      <c r="M206" s="593"/>
      <c r="N206" s="593"/>
    </row>
    <row r="207" spans="4:14" ht="19.5" customHeight="1">
      <c r="D207" s="810"/>
      <c r="E207" s="810"/>
      <c r="F207" s="810"/>
      <c r="G207" s="810"/>
      <c r="M207" s="593"/>
      <c r="N207" s="593"/>
    </row>
    <row r="208" spans="4:14" ht="19.5" customHeight="1">
      <c r="D208" s="810"/>
      <c r="E208" s="810"/>
      <c r="F208" s="810"/>
      <c r="G208" s="810"/>
      <c r="M208" s="593"/>
      <c r="N208" s="593"/>
    </row>
    <row r="209" spans="4:14" ht="19.5" customHeight="1">
      <c r="D209" s="810"/>
      <c r="E209" s="810"/>
      <c r="F209" s="810"/>
      <c r="G209" s="810"/>
      <c r="M209" s="593"/>
      <c r="N209" s="593"/>
    </row>
    <row r="210" spans="4:14" ht="19.5" customHeight="1">
      <c r="D210" s="810"/>
      <c r="E210" s="810"/>
      <c r="F210" s="810"/>
      <c r="G210" s="810"/>
      <c r="M210" s="593"/>
      <c r="N210" s="593"/>
    </row>
    <row r="211" spans="4:14" ht="19.5" customHeight="1">
      <c r="D211" s="810"/>
      <c r="E211" s="810"/>
      <c r="F211" s="810"/>
      <c r="G211" s="810"/>
      <c r="M211" s="593"/>
      <c r="N211" s="593"/>
    </row>
    <row r="212" spans="4:14" ht="19.5" customHeight="1">
      <c r="D212" s="810"/>
      <c r="E212" s="810"/>
      <c r="F212" s="810"/>
      <c r="G212" s="810"/>
      <c r="M212" s="593"/>
      <c r="N212" s="593"/>
    </row>
    <row r="213" spans="4:14" ht="19.5" customHeight="1">
      <c r="D213" s="810"/>
      <c r="E213" s="810"/>
      <c r="F213" s="810"/>
      <c r="G213" s="810"/>
      <c r="M213" s="593"/>
      <c r="N213" s="593"/>
    </row>
    <row r="214" spans="4:14" ht="19.5" customHeight="1">
      <c r="D214" s="810"/>
      <c r="E214" s="810"/>
      <c r="F214" s="810"/>
      <c r="G214" s="810"/>
      <c r="M214" s="593"/>
      <c r="N214" s="593"/>
    </row>
    <row r="215" spans="4:14" ht="19.5" customHeight="1">
      <c r="D215" s="810"/>
      <c r="E215" s="810"/>
      <c r="F215" s="810"/>
      <c r="G215" s="810"/>
      <c r="M215" s="593"/>
      <c r="N215" s="593"/>
    </row>
    <row r="216" spans="4:14" ht="19.5" customHeight="1">
      <c r="D216" s="810"/>
      <c r="E216" s="810"/>
      <c r="F216" s="810"/>
      <c r="G216" s="810"/>
      <c r="M216" s="593"/>
      <c r="N216" s="593"/>
    </row>
    <row r="217" spans="4:14" ht="19.5" customHeight="1">
      <c r="D217" s="810"/>
      <c r="E217" s="810"/>
      <c r="F217" s="810"/>
      <c r="G217" s="810"/>
      <c r="M217" s="593"/>
      <c r="N217" s="593"/>
    </row>
    <row r="218" spans="4:14" ht="19.5" customHeight="1">
      <c r="D218" s="810"/>
      <c r="E218" s="810"/>
      <c r="F218" s="810"/>
      <c r="G218" s="810"/>
      <c r="M218" s="593"/>
      <c r="N218" s="593"/>
    </row>
    <row r="219" spans="4:14" ht="19.5" customHeight="1">
      <c r="D219" s="810"/>
      <c r="E219" s="810"/>
      <c r="F219" s="810"/>
      <c r="G219" s="810"/>
      <c r="M219" s="593"/>
      <c r="N219" s="593"/>
    </row>
    <row r="220" spans="4:14" ht="19.5" customHeight="1">
      <c r="D220" s="810"/>
      <c r="E220" s="810"/>
      <c r="F220" s="810"/>
      <c r="G220" s="810"/>
      <c r="M220" s="593"/>
      <c r="N220" s="593"/>
    </row>
    <row r="221" spans="4:14" ht="19.5" customHeight="1">
      <c r="D221" s="810"/>
      <c r="E221" s="810"/>
      <c r="F221" s="810"/>
      <c r="G221" s="810"/>
      <c r="M221" s="593"/>
      <c r="N221" s="593"/>
    </row>
    <row r="222" spans="4:14" ht="19.5" customHeight="1">
      <c r="D222" s="810"/>
      <c r="E222" s="810"/>
      <c r="F222" s="810"/>
      <c r="G222" s="810"/>
      <c r="M222" s="593"/>
      <c r="N222" s="593"/>
    </row>
    <row r="223" spans="4:14" ht="19.5" customHeight="1">
      <c r="D223" s="810"/>
      <c r="E223" s="810"/>
      <c r="F223" s="810"/>
      <c r="G223" s="810"/>
      <c r="M223" s="593"/>
      <c r="N223" s="593"/>
    </row>
    <row r="224" spans="4:14" ht="19.5" customHeight="1">
      <c r="D224" s="810"/>
      <c r="E224" s="810"/>
      <c r="F224" s="810"/>
      <c r="G224" s="810"/>
      <c r="M224" s="593"/>
      <c r="N224" s="593"/>
    </row>
    <row r="225" spans="4:14" ht="19.5" customHeight="1">
      <c r="D225" s="810"/>
      <c r="E225" s="810"/>
      <c r="F225" s="810"/>
      <c r="G225" s="810"/>
      <c r="M225" s="593"/>
      <c r="N225" s="593"/>
    </row>
    <row r="226" spans="4:14" ht="19.5" customHeight="1">
      <c r="D226" s="810"/>
      <c r="E226" s="810"/>
      <c r="F226" s="810"/>
      <c r="G226" s="810"/>
      <c r="M226" s="593"/>
      <c r="N226" s="593"/>
    </row>
    <row r="227" spans="4:14" ht="19.5" customHeight="1">
      <c r="D227" s="810"/>
      <c r="E227" s="810"/>
      <c r="F227" s="810"/>
      <c r="G227" s="810"/>
      <c r="M227" s="593"/>
      <c r="N227" s="593"/>
    </row>
    <row r="228" spans="4:14" ht="19.5" customHeight="1">
      <c r="D228" s="810"/>
      <c r="E228" s="810"/>
      <c r="F228" s="810"/>
      <c r="G228" s="810"/>
      <c r="M228" s="593"/>
      <c r="N228" s="593"/>
    </row>
    <row r="229" spans="4:14" ht="19.5" customHeight="1">
      <c r="D229" s="810"/>
      <c r="E229" s="810"/>
      <c r="F229" s="810"/>
      <c r="G229" s="810"/>
      <c r="M229" s="593"/>
      <c r="N229" s="593"/>
    </row>
    <row r="230" spans="4:14" ht="19.5" customHeight="1">
      <c r="D230" s="810"/>
      <c r="E230" s="810"/>
      <c r="F230" s="810"/>
      <c r="G230" s="810"/>
      <c r="M230" s="593"/>
      <c r="N230" s="593"/>
    </row>
    <row r="231" spans="4:14" ht="19.5" customHeight="1">
      <c r="D231" s="810"/>
      <c r="E231" s="810"/>
      <c r="F231" s="810"/>
      <c r="G231" s="810"/>
      <c r="M231" s="593"/>
      <c r="N231" s="593"/>
    </row>
    <row r="232" spans="4:14" ht="19.5" customHeight="1">
      <c r="D232" s="810"/>
      <c r="E232" s="810"/>
      <c r="F232" s="810"/>
      <c r="G232" s="810"/>
      <c r="M232" s="593"/>
      <c r="N232" s="593"/>
    </row>
    <row r="233" spans="4:14" ht="19.5" customHeight="1">
      <c r="D233" s="810"/>
      <c r="E233" s="810"/>
      <c r="F233" s="810"/>
      <c r="G233" s="810"/>
      <c r="M233" s="593"/>
      <c r="N233" s="593"/>
    </row>
    <row r="234" spans="4:14" ht="19.5" customHeight="1">
      <c r="D234" s="810"/>
      <c r="E234" s="810"/>
      <c r="F234" s="810"/>
      <c r="G234" s="810"/>
      <c r="M234" s="593"/>
      <c r="N234" s="593"/>
    </row>
    <row r="235" spans="4:14" ht="19.5" customHeight="1">
      <c r="D235" s="810"/>
      <c r="E235" s="810"/>
      <c r="F235" s="810"/>
      <c r="G235" s="810"/>
      <c r="M235" s="593"/>
      <c r="N235" s="593"/>
    </row>
    <row r="236" spans="4:14" ht="19.5" customHeight="1">
      <c r="D236" s="810"/>
      <c r="E236" s="810"/>
      <c r="F236" s="810"/>
      <c r="G236" s="810"/>
      <c r="M236" s="593"/>
      <c r="N236" s="593"/>
    </row>
    <row r="237" spans="4:14" ht="19.5" customHeight="1">
      <c r="D237" s="810"/>
      <c r="E237" s="810"/>
      <c r="F237" s="810"/>
      <c r="G237" s="810"/>
      <c r="M237" s="593"/>
      <c r="N237" s="593"/>
    </row>
    <row r="238" spans="4:14" ht="19.5" customHeight="1">
      <c r="D238" s="810"/>
      <c r="E238" s="810"/>
      <c r="F238" s="810"/>
      <c r="G238" s="810"/>
      <c r="M238" s="593"/>
      <c r="N238" s="593"/>
    </row>
    <row r="239" spans="4:14" ht="19.5" customHeight="1">
      <c r="D239" s="810"/>
      <c r="E239" s="810"/>
      <c r="F239" s="810"/>
      <c r="G239" s="810"/>
      <c r="M239" s="593"/>
      <c r="N239" s="593"/>
    </row>
    <row r="240" spans="4:14" ht="19.5" customHeight="1">
      <c r="D240" s="810"/>
      <c r="E240" s="810"/>
      <c r="F240" s="810"/>
      <c r="G240" s="810"/>
      <c r="M240" s="593"/>
      <c r="N240" s="593"/>
    </row>
    <row r="241" spans="4:14" ht="19.5" customHeight="1">
      <c r="D241" s="810"/>
      <c r="E241" s="810"/>
      <c r="F241" s="810"/>
      <c r="G241" s="810"/>
      <c r="M241" s="593"/>
      <c r="N241" s="593"/>
    </row>
    <row r="242" spans="4:14" ht="19.5" customHeight="1">
      <c r="D242" s="810"/>
      <c r="E242" s="810"/>
      <c r="F242" s="810"/>
      <c r="G242" s="810"/>
      <c r="M242" s="593"/>
      <c r="N242" s="593"/>
    </row>
    <row r="243" spans="4:14" ht="19.5" customHeight="1">
      <c r="D243" s="810"/>
      <c r="E243" s="810"/>
      <c r="F243" s="810"/>
      <c r="G243" s="810"/>
      <c r="M243" s="593"/>
      <c r="N243" s="593"/>
    </row>
    <row r="244" spans="4:14" ht="19.5" customHeight="1">
      <c r="D244" s="810"/>
      <c r="E244" s="810"/>
      <c r="F244" s="810"/>
      <c r="G244" s="810"/>
      <c r="M244" s="593"/>
      <c r="N244" s="593"/>
    </row>
    <row r="245" spans="4:14" ht="19.5" customHeight="1">
      <c r="D245" s="810"/>
      <c r="E245" s="810"/>
      <c r="F245" s="810"/>
      <c r="G245" s="810"/>
      <c r="M245" s="593"/>
      <c r="N245" s="593"/>
    </row>
    <row r="246" spans="4:14" ht="19.5" customHeight="1">
      <c r="D246" s="810"/>
      <c r="E246" s="810"/>
      <c r="F246" s="810"/>
      <c r="G246" s="810"/>
      <c r="M246" s="593"/>
      <c r="N246" s="593"/>
    </row>
    <row r="247" spans="4:14" ht="19.5" customHeight="1">
      <c r="D247" s="810"/>
      <c r="E247" s="810"/>
      <c r="F247" s="810"/>
      <c r="G247" s="810"/>
      <c r="M247" s="593"/>
      <c r="N247" s="593"/>
    </row>
    <row r="248" spans="4:14" ht="19.5" customHeight="1">
      <c r="D248" s="810"/>
      <c r="E248" s="810"/>
      <c r="F248" s="810"/>
      <c r="G248" s="810"/>
      <c r="M248" s="593"/>
      <c r="N248" s="593"/>
    </row>
    <row r="249" spans="4:14" ht="19.5" customHeight="1">
      <c r="D249" s="810"/>
      <c r="E249" s="810"/>
      <c r="F249" s="810"/>
      <c r="G249" s="810"/>
      <c r="M249" s="593"/>
      <c r="N249" s="593"/>
    </row>
    <row r="250" spans="4:14" ht="19.5" customHeight="1">
      <c r="D250" s="810"/>
      <c r="E250" s="810"/>
      <c r="F250" s="810"/>
      <c r="G250" s="810"/>
      <c r="M250" s="593"/>
      <c r="N250" s="593"/>
    </row>
    <row r="251" spans="4:14" ht="19.5" customHeight="1">
      <c r="D251" s="810"/>
      <c r="E251" s="810"/>
      <c r="F251" s="810"/>
      <c r="G251" s="810"/>
      <c r="M251" s="593"/>
      <c r="N251" s="593"/>
    </row>
    <row r="252" spans="4:14" ht="19.5" customHeight="1">
      <c r="D252" s="810"/>
      <c r="E252" s="810"/>
      <c r="F252" s="810"/>
      <c r="G252" s="810"/>
      <c r="M252" s="593"/>
      <c r="N252" s="593"/>
    </row>
    <row r="253" spans="4:14" ht="19.5" customHeight="1">
      <c r="D253" s="810"/>
      <c r="E253" s="810"/>
      <c r="F253" s="810"/>
      <c r="G253" s="810"/>
      <c r="M253" s="593"/>
      <c r="N253" s="593"/>
    </row>
    <row r="254" spans="4:14" ht="19.5" customHeight="1">
      <c r="D254" s="810"/>
      <c r="E254" s="810"/>
      <c r="F254" s="810"/>
      <c r="G254" s="810"/>
      <c r="M254" s="593"/>
      <c r="N254" s="593"/>
    </row>
    <row r="255" spans="4:14" ht="19.5" customHeight="1">
      <c r="D255" s="810"/>
      <c r="E255" s="810"/>
      <c r="F255" s="810"/>
      <c r="G255" s="810"/>
      <c r="M255" s="593"/>
      <c r="N255" s="593"/>
    </row>
    <row r="256" spans="4:14" ht="19.5" customHeight="1">
      <c r="D256" s="810"/>
      <c r="E256" s="810"/>
      <c r="F256" s="810"/>
      <c r="G256" s="810"/>
      <c r="M256" s="593"/>
      <c r="N256" s="593"/>
    </row>
    <row r="257" spans="4:14" ht="19.5" customHeight="1">
      <c r="D257" s="810"/>
      <c r="E257" s="810"/>
      <c r="F257" s="810"/>
      <c r="G257" s="810"/>
      <c r="M257" s="593"/>
      <c r="N257" s="593"/>
    </row>
    <row r="258" spans="4:14" ht="19.5" customHeight="1">
      <c r="D258" s="810"/>
      <c r="E258" s="810"/>
      <c r="F258" s="810"/>
      <c r="G258" s="810"/>
      <c r="M258" s="593"/>
      <c r="N258" s="593"/>
    </row>
    <row r="259" spans="4:14" ht="19.5" customHeight="1">
      <c r="D259" s="810"/>
      <c r="E259" s="810"/>
      <c r="F259" s="810"/>
      <c r="G259" s="810"/>
      <c r="M259" s="593"/>
      <c r="N259" s="593"/>
    </row>
    <row r="260" spans="4:14" ht="19.5" customHeight="1">
      <c r="D260" s="810"/>
      <c r="E260" s="810"/>
      <c r="F260" s="810"/>
      <c r="G260" s="810"/>
      <c r="M260" s="593"/>
      <c r="N260" s="593"/>
    </row>
    <row r="261" spans="4:14" ht="19.5" customHeight="1">
      <c r="D261" s="810"/>
      <c r="E261" s="810"/>
      <c r="F261" s="810"/>
      <c r="G261" s="810"/>
      <c r="M261" s="593"/>
      <c r="N261" s="593"/>
    </row>
    <row r="262" spans="4:14" ht="19.5" customHeight="1">
      <c r="D262" s="810"/>
      <c r="E262" s="810"/>
      <c r="F262" s="810"/>
      <c r="G262" s="810"/>
      <c r="M262" s="593"/>
      <c r="N262" s="593"/>
    </row>
    <row r="263" spans="4:14" ht="19.5" customHeight="1">
      <c r="D263" s="810"/>
      <c r="E263" s="810"/>
      <c r="F263" s="810"/>
      <c r="G263" s="810"/>
      <c r="M263" s="593"/>
      <c r="N263" s="593"/>
    </row>
    <row r="264" spans="4:14" ht="19.5" customHeight="1">
      <c r="D264" s="810"/>
      <c r="E264" s="810"/>
      <c r="F264" s="810"/>
      <c r="G264" s="810"/>
      <c r="M264" s="593"/>
      <c r="N264" s="593"/>
    </row>
    <row r="265" spans="4:14" ht="19.5" customHeight="1">
      <c r="D265" s="810"/>
      <c r="E265" s="810"/>
      <c r="F265" s="810"/>
      <c r="G265" s="810"/>
      <c r="M265" s="593"/>
      <c r="N265" s="593"/>
    </row>
    <row r="266" spans="4:14" ht="19.5" customHeight="1">
      <c r="D266" s="810"/>
      <c r="E266" s="810"/>
      <c r="F266" s="810"/>
      <c r="G266" s="810"/>
      <c r="M266" s="593"/>
      <c r="N266" s="593"/>
    </row>
    <row r="267" spans="4:14" ht="19.5" customHeight="1">
      <c r="D267" s="810"/>
      <c r="E267" s="810"/>
      <c r="F267" s="810"/>
      <c r="G267" s="810"/>
      <c r="M267" s="593"/>
      <c r="N267" s="593"/>
    </row>
    <row r="268" spans="4:14" ht="19.5" customHeight="1">
      <c r="D268" s="810"/>
      <c r="E268" s="810"/>
      <c r="F268" s="810"/>
      <c r="G268" s="810"/>
      <c r="M268" s="593"/>
      <c r="N268" s="593"/>
    </row>
    <row r="269" spans="4:14" ht="19.5" customHeight="1">
      <c r="D269" s="810"/>
      <c r="E269" s="810"/>
      <c r="F269" s="810"/>
      <c r="G269" s="810"/>
      <c r="M269" s="593"/>
      <c r="N269" s="593"/>
    </row>
    <row r="270" spans="4:14" ht="19.5" customHeight="1">
      <c r="D270" s="810"/>
      <c r="E270" s="810"/>
      <c r="F270" s="810"/>
      <c r="G270" s="810"/>
      <c r="M270" s="593"/>
      <c r="N270" s="593"/>
    </row>
    <row r="271" spans="4:14" ht="19.5" customHeight="1">
      <c r="D271" s="810"/>
      <c r="E271" s="810"/>
      <c r="F271" s="810"/>
      <c r="G271" s="810"/>
      <c r="M271" s="593"/>
      <c r="N271" s="593"/>
    </row>
    <row r="272" spans="4:14" ht="19.5" customHeight="1">
      <c r="D272" s="810"/>
      <c r="E272" s="810"/>
      <c r="F272" s="810"/>
      <c r="G272" s="810"/>
      <c r="M272" s="593"/>
      <c r="N272" s="593"/>
    </row>
    <row r="273" spans="4:14" ht="19.5" customHeight="1">
      <c r="D273" s="810"/>
      <c r="E273" s="810"/>
      <c r="F273" s="810"/>
      <c r="G273" s="810"/>
      <c r="M273" s="593"/>
      <c r="N273" s="593"/>
    </row>
    <row r="274" spans="4:14" ht="19.5" customHeight="1">
      <c r="D274" s="810"/>
      <c r="E274" s="810"/>
      <c r="F274" s="810"/>
      <c r="G274" s="810"/>
      <c r="M274" s="593"/>
      <c r="N274" s="593"/>
    </row>
    <row r="275" spans="4:14" ht="19.5" customHeight="1">
      <c r="D275" s="810"/>
      <c r="E275" s="810"/>
      <c r="F275" s="810"/>
      <c r="G275" s="810"/>
      <c r="M275" s="593"/>
      <c r="N275" s="593"/>
    </row>
    <row r="276" spans="4:14" ht="19.5" customHeight="1">
      <c r="D276" s="810"/>
      <c r="E276" s="810"/>
      <c r="F276" s="810"/>
      <c r="G276" s="810"/>
      <c r="M276" s="593"/>
      <c r="N276" s="593"/>
    </row>
    <row r="277" spans="4:14" ht="19.5" customHeight="1">
      <c r="D277" s="810"/>
      <c r="E277" s="810"/>
      <c r="F277" s="810"/>
      <c r="G277" s="810"/>
      <c r="M277" s="593"/>
      <c r="N277" s="593"/>
    </row>
    <row r="278" spans="4:14" ht="19.5" customHeight="1">
      <c r="D278" s="810"/>
      <c r="E278" s="810"/>
      <c r="F278" s="810"/>
      <c r="G278" s="810"/>
      <c r="M278" s="593"/>
      <c r="N278" s="593"/>
    </row>
    <row r="279" spans="4:14" ht="19.5" customHeight="1">
      <c r="D279" s="810"/>
      <c r="E279" s="810"/>
      <c r="F279" s="810"/>
      <c r="G279" s="810"/>
      <c r="M279" s="593"/>
      <c r="N279" s="593"/>
    </row>
    <row r="280" spans="4:14" ht="19.5" customHeight="1">
      <c r="D280" s="810"/>
      <c r="E280" s="810"/>
      <c r="F280" s="810"/>
      <c r="G280" s="810"/>
      <c r="M280" s="593"/>
      <c r="N280" s="593"/>
    </row>
    <row r="281" spans="4:14" ht="19.5" customHeight="1">
      <c r="D281" s="810"/>
      <c r="E281" s="810"/>
      <c r="F281" s="810"/>
      <c r="G281" s="810"/>
      <c r="M281" s="593"/>
      <c r="N281" s="593"/>
    </row>
    <row r="282" spans="4:14" ht="19.5" customHeight="1">
      <c r="D282" s="810"/>
      <c r="E282" s="810"/>
      <c r="F282" s="810"/>
      <c r="G282" s="810"/>
      <c r="M282" s="593"/>
      <c r="N282" s="593"/>
    </row>
    <row r="283" spans="4:14" ht="19.5" customHeight="1">
      <c r="D283" s="810"/>
      <c r="E283" s="810"/>
      <c r="F283" s="810"/>
      <c r="G283" s="810"/>
      <c r="M283" s="593"/>
      <c r="N283" s="593"/>
    </row>
    <row r="284" spans="4:14" ht="19.5" customHeight="1">
      <c r="D284" s="810"/>
      <c r="E284" s="810"/>
      <c r="F284" s="810"/>
      <c r="G284" s="810"/>
      <c r="M284" s="593"/>
      <c r="N284" s="593"/>
    </row>
    <row r="285" spans="4:14" ht="19.5" customHeight="1">
      <c r="D285" s="810"/>
      <c r="E285" s="810"/>
      <c r="F285" s="810"/>
      <c r="G285" s="810"/>
      <c r="M285" s="593"/>
      <c r="N285" s="593"/>
    </row>
    <row r="286" spans="4:14" ht="19.5" customHeight="1">
      <c r="D286" s="810"/>
      <c r="E286" s="810"/>
      <c r="F286" s="810"/>
      <c r="G286" s="810"/>
      <c r="M286" s="593"/>
      <c r="N286" s="593"/>
    </row>
    <row r="287" spans="4:14" ht="19.5" customHeight="1">
      <c r="D287" s="810"/>
      <c r="E287" s="810"/>
      <c r="F287" s="810"/>
      <c r="G287" s="810"/>
      <c r="M287" s="593"/>
      <c r="N287" s="593"/>
    </row>
    <row r="288" spans="4:14" ht="19.5" customHeight="1">
      <c r="D288" s="810"/>
      <c r="E288" s="810"/>
      <c r="F288" s="810"/>
      <c r="G288" s="810"/>
      <c r="M288" s="593"/>
      <c r="N288" s="593"/>
    </row>
    <row r="289" spans="4:14" ht="19.5" customHeight="1">
      <c r="D289" s="810"/>
      <c r="E289" s="810"/>
      <c r="F289" s="810"/>
      <c r="G289" s="810"/>
      <c r="M289" s="593"/>
      <c r="N289" s="593"/>
    </row>
    <row r="290" spans="4:14" ht="19.5" customHeight="1">
      <c r="D290" s="810"/>
      <c r="E290" s="810"/>
      <c r="F290" s="810"/>
      <c r="G290" s="810"/>
      <c r="M290" s="593"/>
      <c r="N290" s="593"/>
    </row>
    <row r="291" spans="4:14" ht="19.5" customHeight="1">
      <c r="D291" s="810"/>
      <c r="E291" s="810"/>
      <c r="F291" s="810"/>
      <c r="G291" s="810"/>
      <c r="M291" s="593"/>
      <c r="N291" s="593"/>
    </row>
    <row r="292" spans="4:14" ht="19.5" customHeight="1">
      <c r="D292" s="810"/>
      <c r="E292" s="810"/>
      <c r="F292" s="810"/>
      <c r="G292" s="810"/>
      <c r="M292" s="593"/>
      <c r="N292" s="593"/>
    </row>
    <row r="293" spans="4:14" ht="19.5" customHeight="1">
      <c r="D293" s="810"/>
      <c r="E293" s="810"/>
      <c r="F293" s="810"/>
      <c r="G293" s="810"/>
      <c r="M293" s="593"/>
      <c r="N293" s="593"/>
    </row>
    <row r="294" spans="4:14" ht="19.5" customHeight="1">
      <c r="D294" s="810"/>
      <c r="E294" s="810"/>
      <c r="F294" s="810"/>
      <c r="G294" s="810"/>
      <c r="M294" s="593"/>
      <c r="N294" s="593"/>
    </row>
    <row r="295" spans="4:14" ht="19.5" customHeight="1">
      <c r="D295" s="810"/>
      <c r="E295" s="810"/>
      <c r="F295" s="810"/>
      <c r="G295" s="810"/>
      <c r="M295" s="593"/>
      <c r="N295" s="593"/>
    </row>
    <row r="296" spans="4:14" ht="19.5" customHeight="1">
      <c r="D296" s="810"/>
      <c r="E296" s="810"/>
      <c r="F296" s="810"/>
      <c r="G296" s="810"/>
      <c r="M296" s="593"/>
      <c r="N296" s="593"/>
    </row>
    <row r="297" spans="4:14" ht="19.5" customHeight="1">
      <c r="D297" s="810"/>
      <c r="E297" s="810"/>
      <c r="F297" s="810"/>
      <c r="G297" s="810"/>
      <c r="M297" s="593"/>
      <c r="N297" s="593"/>
    </row>
    <row r="298" spans="4:14" ht="19.5" customHeight="1">
      <c r="D298" s="810"/>
      <c r="E298" s="810"/>
      <c r="F298" s="810"/>
      <c r="G298" s="810"/>
      <c r="M298" s="593"/>
      <c r="N298" s="593"/>
    </row>
    <row r="299" spans="4:14" ht="19.5" customHeight="1">
      <c r="D299" s="810"/>
      <c r="E299" s="810"/>
      <c r="F299" s="810"/>
      <c r="G299" s="810"/>
      <c r="M299" s="593"/>
      <c r="N299" s="593"/>
    </row>
    <row r="300" spans="4:14" ht="19.5" customHeight="1">
      <c r="D300" s="810"/>
      <c r="E300" s="810"/>
      <c r="F300" s="810"/>
      <c r="G300" s="810"/>
      <c r="M300" s="593"/>
      <c r="N300" s="593"/>
    </row>
    <row r="301" spans="4:14" ht="19.5" customHeight="1">
      <c r="D301" s="810"/>
      <c r="E301" s="810"/>
      <c r="F301" s="810"/>
      <c r="G301" s="810"/>
      <c r="M301" s="593"/>
      <c r="N301" s="593"/>
    </row>
    <row r="302" spans="4:14" ht="19.5" customHeight="1">
      <c r="D302" s="810"/>
      <c r="E302" s="810"/>
      <c r="F302" s="810"/>
      <c r="G302" s="810"/>
      <c r="M302" s="593"/>
      <c r="N302" s="593"/>
    </row>
    <row r="303" spans="4:14" ht="19.5" customHeight="1">
      <c r="D303" s="810"/>
      <c r="E303" s="810"/>
      <c r="F303" s="810"/>
      <c r="G303" s="810"/>
      <c r="M303" s="593"/>
      <c r="N303" s="593"/>
    </row>
    <row r="304" spans="4:14" ht="19.5" customHeight="1">
      <c r="D304" s="810"/>
      <c r="E304" s="810"/>
      <c r="F304" s="810"/>
      <c r="G304" s="810"/>
      <c r="M304" s="593"/>
      <c r="N304" s="593"/>
    </row>
    <row r="305" spans="4:14" ht="19.5" customHeight="1">
      <c r="D305" s="810"/>
      <c r="E305" s="810"/>
      <c r="F305" s="810"/>
      <c r="G305" s="810"/>
      <c r="M305" s="593"/>
      <c r="N305" s="593"/>
    </row>
    <row r="306" spans="4:14" ht="19.5" customHeight="1">
      <c r="D306" s="810"/>
      <c r="E306" s="810"/>
      <c r="F306" s="810"/>
      <c r="G306" s="810"/>
      <c r="M306" s="593"/>
      <c r="N306" s="593"/>
    </row>
    <row r="307" spans="4:14" ht="19.5" customHeight="1">
      <c r="D307" s="810"/>
      <c r="E307" s="810"/>
      <c r="F307" s="810"/>
      <c r="G307" s="810"/>
      <c r="M307" s="593"/>
      <c r="N307" s="593"/>
    </row>
    <row r="308" spans="4:14" ht="19.5" customHeight="1">
      <c r="D308" s="810"/>
      <c r="E308" s="810"/>
      <c r="F308" s="810"/>
      <c r="G308" s="810"/>
      <c r="M308" s="593"/>
      <c r="N308" s="593"/>
    </row>
    <row r="309" spans="4:14" ht="19.5" customHeight="1">
      <c r="D309" s="810"/>
      <c r="E309" s="810"/>
      <c r="F309" s="810"/>
      <c r="G309" s="810"/>
      <c r="M309" s="593"/>
      <c r="N309" s="593"/>
    </row>
    <row r="310" spans="4:14" ht="19.5" customHeight="1">
      <c r="D310" s="810"/>
      <c r="E310" s="810"/>
      <c r="F310" s="810"/>
      <c r="G310" s="810"/>
      <c r="M310" s="593"/>
      <c r="N310" s="593"/>
    </row>
    <row r="311" spans="4:14" ht="19.5" customHeight="1">
      <c r="D311" s="810"/>
      <c r="E311" s="810"/>
      <c r="F311" s="810"/>
      <c r="G311" s="810"/>
      <c r="M311" s="593"/>
      <c r="N311" s="593"/>
    </row>
    <row r="312" spans="4:14" ht="19.5" customHeight="1">
      <c r="D312" s="810"/>
      <c r="E312" s="810"/>
      <c r="F312" s="810"/>
      <c r="G312" s="810"/>
      <c r="M312" s="593"/>
      <c r="N312" s="593"/>
    </row>
    <row r="313" spans="4:14" ht="19.5" customHeight="1">
      <c r="D313" s="810"/>
      <c r="E313" s="810"/>
      <c r="F313" s="810"/>
      <c r="G313" s="810"/>
      <c r="M313" s="593"/>
      <c r="N313" s="593"/>
    </row>
    <row r="314" spans="4:14" ht="19.5" customHeight="1">
      <c r="D314" s="810"/>
      <c r="E314" s="810"/>
      <c r="F314" s="810"/>
      <c r="G314" s="810"/>
      <c r="M314" s="593"/>
      <c r="N314" s="593"/>
    </row>
    <row r="315" spans="4:14" ht="19.5" customHeight="1">
      <c r="D315" s="810"/>
      <c r="E315" s="810"/>
      <c r="F315" s="810"/>
      <c r="G315" s="810"/>
      <c r="M315" s="593"/>
      <c r="N315" s="593"/>
    </row>
    <row r="316" spans="4:14" ht="19.5" customHeight="1">
      <c r="D316" s="810"/>
      <c r="E316" s="810"/>
      <c r="F316" s="810"/>
      <c r="G316" s="810"/>
      <c r="M316" s="593"/>
      <c r="N316" s="593"/>
    </row>
    <row r="317" spans="4:14" ht="19.5" customHeight="1">
      <c r="D317" s="810"/>
      <c r="E317" s="810"/>
      <c r="F317" s="810"/>
      <c r="G317" s="810"/>
      <c r="M317" s="593"/>
      <c r="N317" s="593"/>
    </row>
    <row r="318" spans="4:14" ht="19.5" customHeight="1">
      <c r="D318" s="810"/>
      <c r="E318" s="810"/>
      <c r="F318" s="810"/>
      <c r="G318" s="810"/>
      <c r="M318" s="593"/>
      <c r="N318" s="593"/>
    </row>
    <row r="319" spans="4:14" ht="19.5" customHeight="1">
      <c r="D319" s="810"/>
      <c r="E319" s="810"/>
      <c r="F319" s="810"/>
      <c r="G319" s="810"/>
      <c r="M319" s="593"/>
      <c r="N319" s="593"/>
    </row>
    <row r="320" spans="4:14" ht="19.5" customHeight="1">
      <c r="D320" s="810"/>
      <c r="E320" s="810"/>
      <c r="F320" s="810"/>
      <c r="G320" s="810"/>
      <c r="M320" s="593"/>
      <c r="N320" s="593"/>
    </row>
    <row r="321" spans="4:14" ht="19.5" customHeight="1">
      <c r="D321" s="810"/>
      <c r="E321" s="810"/>
      <c r="F321" s="810"/>
      <c r="G321" s="810"/>
      <c r="M321" s="593"/>
      <c r="N321" s="593"/>
    </row>
    <row r="322" spans="4:14" ht="19.5" customHeight="1">
      <c r="D322" s="810"/>
      <c r="E322" s="810"/>
      <c r="F322" s="810"/>
      <c r="G322" s="810"/>
      <c r="M322" s="593"/>
      <c r="N322" s="593"/>
    </row>
    <row r="323" spans="4:14" ht="19.5" customHeight="1">
      <c r="D323" s="810"/>
      <c r="E323" s="810"/>
      <c r="F323" s="810"/>
      <c r="G323" s="810"/>
      <c r="M323" s="593"/>
      <c r="N323" s="593"/>
    </row>
    <row r="324" spans="4:14" ht="19.5" customHeight="1">
      <c r="D324" s="810"/>
      <c r="E324" s="810"/>
      <c r="F324" s="810"/>
      <c r="G324" s="810"/>
      <c r="M324" s="593"/>
      <c r="N324" s="593"/>
    </row>
    <row r="325" spans="4:14" ht="19.5" customHeight="1">
      <c r="D325" s="810"/>
      <c r="E325" s="810"/>
      <c r="F325" s="810"/>
      <c r="G325" s="810"/>
      <c r="M325" s="593"/>
      <c r="N325" s="593"/>
    </row>
    <row r="326" spans="4:14" ht="19.5" customHeight="1">
      <c r="D326" s="810"/>
      <c r="E326" s="810"/>
      <c r="F326" s="810"/>
      <c r="G326" s="810"/>
      <c r="M326" s="593"/>
      <c r="N326" s="593"/>
    </row>
    <row r="327" spans="4:14" ht="19.5" customHeight="1">
      <c r="D327" s="810"/>
      <c r="E327" s="810"/>
      <c r="F327" s="810"/>
      <c r="G327" s="810"/>
      <c r="M327" s="593"/>
      <c r="N327" s="593"/>
    </row>
    <row r="328" spans="4:14" ht="19.5" customHeight="1">
      <c r="D328" s="810"/>
      <c r="E328" s="810"/>
      <c r="F328" s="810"/>
      <c r="G328" s="810"/>
      <c r="M328" s="593"/>
      <c r="N328" s="593"/>
    </row>
    <row r="329" spans="4:14" ht="19.5" customHeight="1">
      <c r="D329" s="810"/>
      <c r="E329" s="810"/>
      <c r="F329" s="810"/>
      <c r="G329" s="810"/>
      <c r="M329" s="593"/>
      <c r="N329" s="593"/>
    </row>
    <row r="330" spans="4:14" ht="19.5" customHeight="1">
      <c r="D330" s="810"/>
      <c r="E330" s="810"/>
      <c r="F330" s="810"/>
      <c r="G330" s="810"/>
      <c r="M330" s="593"/>
      <c r="N330" s="593"/>
    </row>
    <row r="331" spans="4:14" ht="19.5" customHeight="1">
      <c r="D331" s="810"/>
      <c r="E331" s="810"/>
      <c r="F331" s="810"/>
      <c r="G331" s="810"/>
      <c r="M331" s="593"/>
      <c r="N331" s="593"/>
    </row>
    <row r="332" spans="4:14" ht="19.5" customHeight="1">
      <c r="D332" s="810"/>
      <c r="E332" s="810"/>
      <c r="F332" s="810"/>
      <c r="G332" s="810"/>
      <c r="M332" s="593"/>
      <c r="N332" s="593"/>
    </row>
    <row r="333" spans="4:14" ht="19.5" customHeight="1">
      <c r="D333" s="810"/>
      <c r="E333" s="810"/>
      <c r="F333" s="810"/>
      <c r="G333" s="810"/>
      <c r="M333" s="593"/>
      <c r="N333" s="593"/>
    </row>
    <row r="334" spans="4:14" ht="19.5" customHeight="1">
      <c r="D334" s="810"/>
      <c r="E334" s="810"/>
      <c r="F334" s="810"/>
      <c r="G334" s="810"/>
      <c r="M334" s="593"/>
      <c r="N334" s="593"/>
    </row>
    <row r="335" spans="4:14" ht="19.5" customHeight="1">
      <c r="D335" s="810"/>
      <c r="E335" s="810"/>
      <c r="F335" s="810"/>
      <c r="G335" s="810"/>
      <c r="M335" s="593"/>
      <c r="N335" s="593"/>
    </row>
    <row r="336" spans="4:14" ht="19.5" customHeight="1">
      <c r="D336" s="810"/>
      <c r="E336" s="810"/>
      <c r="F336" s="810"/>
      <c r="G336" s="810"/>
      <c r="M336" s="593"/>
      <c r="N336" s="593"/>
    </row>
    <row r="337" spans="4:14" ht="19.5" customHeight="1">
      <c r="D337" s="810"/>
      <c r="E337" s="810"/>
      <c r="F337" s="810"/>
      <c r="G337" s="810"/>
      <c r="M337" s="593"/>
      <c r="N337" s="593"/>
    </row>
    <row r="338" spans="4:14" ht="19.5" customHeight="1">
      <c r="D338" s="810"/>
      <c r="E338" s="810"/>
      <c r="F338" s="810"/>
      <c r="G338" s="810"/>
      <c r="M338" s="593"/>
      <c r="N338" s="593"/>
    </row>
    <row r="339" spans="4:14" ht="19.5" customHeight="1">
      <c r="D339" s="810"/>
      <c r="E339" s="810"/>
      <c r="F339" s="810"/>
      <c r="G339" s="810"/>
      <c r="M339" s="593"/>
      <c r="N339" s="593"/>
    </row>
    <row r="340" spans="4:14" ht="19.5" customHeight="1">
      <c r="D340" s="810"/>
      <c r="E340" s="810"/>
      <c r="F340" s="810"/>
      <c r="G340" s="810"/>
      <c r="M340" s="593"/>
      <c r="N340" s="593"/>
    </row>
    <row r="341" spans="4:14" ht="19.5" customHeight="1">
      <c r="D341" s="810"/>
      <c r="E341" s="810"/>
      <c r="F341" s="810"/>
      <c r="G341" s="810"/>
      <c r="M341" s="593"/>
      <c r="N341" s="593"/>
    </row>
    <row r="342" spans="4:14" ht="19.5" customHeight="1">
      <c r="D342" s="810"/>
      <c r="E342" s="810"/>
      <c r="F342" s="810"/>
      <c r="G342" s="810"/>
      <c r="M342" s="593"/>
      <c r="N342" s="593"/>
    </row>
    <row r="343" spans="4:14" ht="19.5" customHeight="1">
      <c r="D343" s="810"/>
      <c r="E343" s="810"/>
      <c r="F343" s="810"/>
      <c r="G343" s="810"/>
      <c r="M343" s="593"/>
      <c r="N343" s="593"/>
    </row>
    <row r="344" spans="4:14" ht="19.5" customHeight="1">
      <c r="D344" s="810"/>
      <c r="E344" s="810"/>
      <c r="F344" s="810"/>
      <c r="G344" s="810"/>
      <c r="M344" s="593"/>
      <c r="N344" s="593"/>
    </row>
    <row r="345" spans="4:14" ht="19.5" customHeight="1">
      <c r="D345" s="810"/>
      <c r="E345" s="810"/>
      <c r="F345" s="810"/>
      <c r="G345" s="810"/>
      <c r="M345" s="593"/>
      <c r="N345" s="593"/>
    </row>
    <row r="346" spans="4:14" ht="19.5" customHeight="1">
      <c r="D346" s="810"/>
      <c r="E346" s="810"/>
      <c r="F346" s="810"/>
      <c r="G346" s="810"/>
      <c r="M346" s="593"/>
      <c r="N346" s="593"/>
    </row>
    <row r="347" spans="4:14" ht="19.5" customHeight="1">
      <c r="D347" s="810"/>
      <c r="E347" s="810"/>
      <c r="F347" s="810"/>
      <c r="G347" s="810"/>
      <c r="M347" s="593"/>
      <c r="N347" s="593"/>
    </row>
    <row r="348" spans="4:14" ht="19.5" customHeight="1">
      <c r="D348" s="810"/>
      <c r="E348" s="810"/>
      <c r="F348" s="810"/>
      <c r="G348" s="810"/>
      <c r="M348" s="593"/>
      <c r="N348" s="593"/>
    </row>
    <row r="349" spans="4:14" ht="19.5" customHeight="1">
      <c r="D349" s="810"/>
      <c r="E349" s="810"/>
      <c r="F349" s="810"/>
      <c r="G349" s="810"/>
      <c r="M349" s="593"/>
      <c r="N349" s="593"/>
    </row>
    <row r="350" spans="4:14" ht="19.5" customHeight="1">
      <c r="D350" s="810"/>
      <c r="E350" s="810"/>
      <c r="F350" s="810"/>
      <c r="G350" s="810"/>
      <c r="M350" s="593"/>
      <c r="N350" s="593"/>
    </row>
    <row r="351" spans="4:14" ht="19.5" customHeight="1">
      <c r="D351" s="810"/>
      <c r="E351" s="810"/>
      <c r="F351" s="810"/>
      <c r="G351" s="810"/>
      <c r="M351" s="593"/>
      <c r="N351" s="593"/>
    </row>
    <row r="352" spans="4:14" ht="19.5" customHeight="1">
      <c r="D352" s="810"/>
      <c r="E352" s="810"/>
      <c r="F352" s="810"/>
      <c r="G352" s="810"/>
      <c r="M352" s="593"/>
      <c r="N352" s="593"/>
    </row>
    <row r="353" spans="4:14" ht="19.5" customHeight="1">
      <c r="D353" s="810"/>
      <c r="E353" s="810"/>
      <c r="F353" s="810"/>
      <c r="G353" s="810"/>
      <c r="M353" s="593"/>
      <c r="N353" s="593"/>
    </row>
    <row r="354" spans="4:14" ht="19.5" customHeight="1">
      <c r="D354" s="810"/>
      <c r="E354" s="810"/>
      <c r="F354" s="810"/>
      <c r="G354" s="810"/>
      <c r="M354" s="593"/>
      <c r="N354" s="593"/>
    </row>
    <row r="355" spans="4:14" ht="19.5" customHeight="1">
      <c r="D355" s="810"/>
      <c r="E355" s="810"/>
      <c r="F355" s="810"/>
      <c r="G355" s="810"/>
      <c r="M355" s="593"/>
      <c r="N355" s="593"/>
    </row>
    <row r="356" spans="4:14" ht="19.5" customHeight="1">
      <c r="D356" s="810"/>
      <c r="E356" s="810"/>
      <c r="F356" s="810"/>
      <c r="G356" s="810"/>
      <c r="M356" s="593"/>
      <c r="N356" s="593"/>
    </row>
    <row r="357" spans="4:14" ht="19.5" customHeight="1">
      <c r="D357" s="810"/>
      <c r="E357" s="810"/>
      <c r="F357" s="810"/>
      <c r="G357" s="810"/>
      <c r="M357" s="593"/>
      <c r="N357" s="593"/>
    </row>
    <row r="358" spans="4:14" ht="19.5" customHeight="1">
      <c r="D358" s="810"/>
      <c r="E358" s="810"/>
      <c r="F358" s="810"/>
      <c r="G358" s="810"/>
      <c r="M358" s="593"/>
      <c r="N358" s="593"/>
    </row>
    <row r="359" spans="4:14" ht="19.5" customHeight="1">
      <c r="D359" s="810"/>
      <c r="E359" s="810"/>
      <c r="F359" s="810"/>
      <c r="G359" s="810"/>
      <c r="M359" s="593"/>
      <c r="N359" s="593"/>
    </row>
    <row r="360" spans="4:14" ht="19.5" customHeight="1">
      <c r="D360" s="810"/>
      <c r="E360" s="810"/>
      <c r="F360" s="810"/>
      <c r="G360" s="810"/>
      <c r="M360" s="593"/>
      <c r="N360" s="593"/>
    </row>
    <row r="361" spans="4:14" ht="19.5" customHeight="1">
      <c r="D361" s="810"/>
      <c r="E361" s="810"/>
      <c r="F361" s="810"/>
      <c r="G361" s="810"/>
      <c r="M361" s="593"/>
      <c r="N361" s="593"/>
    </row>
    <row r="362" spans="4:14" ht="19.5" customHeight="1">
      <c r="D362" s="810"/>
      <c r="E362" s="810"/>
      <c r="F362" s="810"/>
      <c r="G362" s="810"/>
      <c r="M362" s="593"/>
      <c r="N362" s="593"/>
    </row>
    <row r="363" spans="4:14" ht="19.5" customHeight="1">
      <c r="D363" s="810"/>
      <c r="E363" s="810"/>
      <c r="F363" s="810"/>
      <c r="G363" s="810"/>
      <c r="M363" s="593"/>
      <c r="N363" s="593"/>
    </row>
    <row r="364" spans="4:14" ht="19.5" customHeight="1">
      <c r="D364" s="810"/>
      <c r="E364" s="810"/>
      <c r="F364" s="810"/>
      <c r="G364" s="810"/>
      <c r="M364" s="593"/>
      <c r="N364" s="593"/>
    </row>
    <row r="365" spans="4:14" ht="19.5" customHeight="1">
      <c r="D365" s="810"/>
      <c r="E365" s="810"/>
      <c r="F365" s="810"/>
      <c r="G365" s="810"/>
      <c r="M365" s="593"/>
      <c r="N365" s="593"/>
    </row>
    <row r="366" spans="4:14" ht="19.5" customHeight="1">
      <c r="D366" s="810"/>
      <c r="E366" s="810"/>
      <c r="F366" s="810"/>
      <c r="G366" s="810"/>
      <c r="M366" s="593"/>
      <c r="N366" s="593"/>
    </row>
    <row r="367" spans="4:14" ht="19.5" customHeight="1">
      <c r="D367" s="810"/>
      <c r="E367" s="810"/>
      <c r="F367" s="810"/>
      <c r="G367" s="810"/>
      <c r="M367" s="593"/>
      <c r="N367" s="593"/>
    </row>
    <row r="368" spans="4:14" ht="19.5" customHeight="1">
      <c r="D368" s="810"/>
      <c r="E368" s="810"/>
      <c r="F368" s="810"/>
      <c r="G368" s="810"/>
      <c r="M368" s="593"/>
      <c r="N368" s="593"/>
    </row>
    <row r="369" spans="4:14" ht="19.5" customHeight="1">
      <c r="D369" s="810"/>
      <c r="E369" s="810"/>
      <c r="F369" s="810"/>
      <c r="G369" s="810"/>
      <c r="M369" s="593"/>
      <c r="N369" s="593"/>
    </row>
    <row r="370" spans="4:14" ht="19.5" customHeight="1">
      <c r="D370" s="810"/>
      <c r="E370" s="810"/>
      <c r="F370" s="810"/>
      <c r="G370" s="810"/>
      <c r="M370" s="593"/>
      <c r="N370" s="593"/>
    </row>
    <row r="371" spans="4:14" ht="19.5" customHeight="1">
      <c r="D371" s="810"/>
      <c r="E371" s="810"/>
      <c r="F371" s="810"/>
      <c r="G371" s="810"/>
      <c r="M371" s="593"/>
      <c r="N371" s="593"/>
    </row>
    <row r="372" spans="4:14" ht="19.5" customHeight="1">
      <c r="D372" s="810"/>
      <c r="E372" s="810"/>
      <c r="F372" s="810"/>
      <c r="G372" s="810"/>
      <c r="M372" s="593"/>
      <c r="N372" s="593"/>
    </row>
    <row r="373" spans="4:14" ht="19.5" customHeight="1">
      <c r="D373" s="810"/>
      <c r="E373" s="810"/>
      <c r="F373" s="810"/>
      <c r="G373" s="810"/>
      <c r="M373" s="593"/>
      <c r="N373" s="593"/>
    </row>
    <row r="374" spans="4:14" ht="19.5" customHeight="1">
      <c r="D374" s="810"/>
      <c r="E374" s="810"/>
      <c r="F374" s="810"/>
      <c r="G374" s="810"/>
      <c r="M374" s="593"/>
      <c r="N374" s="593"/>
    </row>
    <row r="375" spans="4:14" ht="19.5" customHeight="1">
      <c r="D375" s="810"/>
      <c r="E375" s="810"/>
      <c r="F375" s="810"/>
      <c r="G375" s="810"/>
      <c r="M375" s="593"/>
      <c r="N375" s="593"/>
    </row>
    <row r="376" spans="4:14" ht="19.5" customHeight="1">
      <c r="D376" s="810"/>
      <c r="E376" s="810"/>
      <c r="F376" s="810"/>
      <c r="G376" s="810"/>
      <c r="M376" s="593"/>
      <c r="N376" s="593"/>
    </row>
    <row r="377" spans="4:14" ht="19.5" customHeight="1">
      <c r="D377" s="810"/>
      <c r="E377" s="810"/>
      <c r="F377" s="810"/>
      <c r="G377" s="810"/>
      <c r="M377" s="593"/>
      <c r="N377" s="593"/>
    </row>
    <row r="378" spans="4:14" ht="19.5" customHeight="1">
      <c r="D378" s="810"/>
      <c r="E378" s="810"/>
      <c r="F378" s="810"/>
      <c r="G378" s="810"/>
      <c r="M378" s="593"/>
      <c r="N378" s="593"/>
    </row>
    <row r="379" spans="4:14" ht="19.5" customHeight="1">
      <c r="D379" s="810"/>
      <c r="E379" s="810"/>
      <c r="F379" s="810"/>
      <c r="G379" s="810"/>
      <c r="M379" s="593"/>
      <c r="N379" s="593"/>
    </row>
    <row r="380" spans="4:14" ht="19.5" customHeight="1">
      <c r="D380" s="810"/>
      <c r="E380" s="810"/>
      <c r="F380" s="810"/>
      <c r="G380" s="810"/>
      <c r="M380" s="593"/>
      <c r="N380" s="593"/>
    </row>
    <row r="381" spans="4:14" ht="19.5" customHeight="1">
      <c r="D381" s="810"/>
      <c r="E381" s="810"/>
      <c r="F381" s="810"/>
      <c r="G381" s="810"/>
      <c r="M381" s="593"/>
      <c r="N381" s="593"/>
    </row>
    <row r="382" spans="4:14" ht="19.5" customHeight="1">
      <c r="D382" s="810"/>
      <c r="E382" s="810"/>
      <c r="F382" s="810"/>
      <c r="G382" s="810"/>
      <c r="M382" s="593"/>
      <c r="N382" s="593"/>
    </row>
    <row r="383" spans="4:14" ht="19.5" customHeight="1">
      <c r="D383" s="810"/>
      <c r="E383" s="810"/>
      <c r="F383" s="810"/>
      <c r="G383" s="810"/>
      <c r="M383" s="593"/>
      <c r="N383" s="593"/>
    </row>
    <row r="384" spans="4:14" ht="19.5" customHeight="1">
      <c r="D384" s="810"/>
      <c r="E384" s="810"/>
      <c r="F384" s="810"/>
      <c r="G384" s="810"/>
      <c r="M384" s="593"/>
      <c r="N384" s="593"/>
    </row>
    <row r="385" spans="4:14" ht="19.5" customHeight="1">
      <c r="D385" s="810"/>
      <c r="E385" s="810"/>
      <c r="F385" s="810"/>
      <c r="G385" s="810"/>
      <c r="M385" s="593"/>
      <c r="N385" s="593"/>
    </row>
    <row r="386" spans="4:14" ht="19.5" customHeight="1">
      <c r="D386" s="810"/>
      <c r="E386" s="810"/>
      <c r="F386" s="810"/>
      <c r="G386" s="810"/>
      <c r="M386" s="593"/>
      <c r="N386" s="593"/>
    </row>
    <row r="387" spans="4:14" ht="19.5" customHeight="1">
      <c r="D387" s="810"/>
      <c r="E387" s="810"/>
      <c r="F387" s="810"/>
      <c r="G387" s="810"/>
      <c r="M387" s="593"/>
      <c r="N387" s="593"/>
    </row>
    <row r="388" spans="4:14" ht="19.5" customHeight="1">
      <c r="D388" s="810"/>
      <c r="E388" s="810"/>
      <c r="F388" s="810"/>
      <c r="G388" s="810"/>
      <c r="M388" s="593"/>
      <c r="N388" s="593"/>
    </row>
    <row r="389" spans="4:14" ht="19.5" customHeight="1">
      <c r="D389" s="810"/>
      <c r="E389" s="810"/>
      <c r="F389" s="810"/>
      <c r="G389" s="810"/>
      <c r="M389" s="593"/>
      <c r="N389" s="593"/>
    </row>
    <row r="390" spans="4:14" ht="19.5" customHeight="1">
      <c r="D390" s="810"/>
      <c r="E390" s="810"/>
      <c r="F390" s="810"/>
      <c r="G390" s="810"/>
      <c r="M390" s="593"/>
      <c r="N390" s="593"/>
    </row>
    <row r="391" spans="4:14" ht="19.5" customHeight="1">
      <c r="D391" s="810"/>
      <c r="E391" s="810"/>
      <c r="F391" s="810"/>
      <c r="G391" s="810"/>
      <c r="M391" s="593"/>
      <c r="N391" s="593"/>
    </row>
    <row r="392" spans="4:14" ht="19.5" customHeight="1">
      <c r="D392" s="810"/>
      <c r="E392" s="810"/>
      <c r="F392" s="810"/>
      <c r="G392" s="810"/>
      <c r="M392" s="593"/>
      <c r="N392" s="593"/>
    </row>
    <row r="393" spans="4:14" ht="19.5" customHeight="1">
      <c r="D393" s="810"/>
      <c r="E393" s="810"/>
      <c r="F393" s="810"/>
      <c r="G393" s="810"/>
      <c r="M393" s="593"/>
      <c r="N393" s="593"/>
    </row>
    <row r="394" spans="4:14" ht="19.5" customHeight="1">
      <c r="D394" s="810"/>
      <c r="E394" s="810"/>
      <c r="F394" s="810"/>
      <c r="G394" s="810"/>
      <c r="M394" s="593"/>
      <c r="N394" s="593"/>
    </row>
    <row r="395" spans="4:14" ht="19.5" customHeight="1">
      <c r="D395" s="810"/>
      <c r="E395" s="810"/>
      <c r="F395" s="810"/>
      <c r="G395" s="810"/>
      <c r="M395" s="593"/>
      <c r="N395" s="593"/>
    </row>
    <row r="396" spans="4:14" ht="19.5" customHeight="1">
      <c r="D396" s="810"/>
      <c r="E396" s="810"/>
      <c r="F396" s="810"/>
      <c r="G396" s="810"/>
      <c r="M396" s="593"/>
      <c r="N396" s="593"/>
    </row>
    <row r="397" spans="4:14" ht="19.5" customHeight="1">
      <c r="D397" s="810"/>
      <c r="E397" s="810"/>
      <c r="F397" s="810"/>
      <c r="G397" s="810"/>
      <c r="M397" s="593"/>
      <c r="N397" s="593"/>
    </row>
    <row r="398" spans="4:14" ht="19.5" customHeight="1">
      <c r="D398" s="810"/>
      <c r="E398" s="810"/>
      <c r="F398" s="810"/>
      <c r="G398" s="810"/>
      <c r="M398" s="593"/>
      <c r="N398" s="593"/>
    </row>
    <row r="399" spans="4:14" ht="19.5" customHeight="1">
      <c r="D399" s="810"/>
      <c r="E399" s="810"/>
      <c r="F399" s="810"/>
      <c r="G399" s="810"/>
      <c r="M399" s="593"/>
      <c r="N399" s="593"/>
    </row>
    <row r="400" spans="4:14" ht="19.5" customHeight="1">
      <c r="D400" s="810"/>
      <c r="E400" s="810"/>
      <c r="F400" s="810"/>
      <c r="G400" s="810"/>
      <c r="M400" s="593"/>
      <c r="N400" s="593"/>
    </row>
    <row r="401" spans="4:14" ht="19.5" customHeight="1">
      <c r="D401" s="810"/>
      <c r="E401" s="810"/>
      <c r="F401" s="810"/>
      <c r="G401" s="810"/>
      <c r="M401" s="593"/>
      <c r="N401" s="593"/>
    </row>
    <row r="402" spans="4:14" ht="19.5" customHeight="1">
      <c r="D402" s="810"/>
      <c r="E402" s="810"/>
      <c r="F402" s="810"/>
      <c r="G402" s="810"/>
      <c r="M402" s="593"/>
      <c r="N402" s="593"/>
    </row>
    <row r="403" spans="4:14" ht="19.5" customHeight="1">
      <c r="D403" s="810"/>
      <c r="E403" s="810"/>
      <c r="F403" s="810"/>
      <c r="G403" s="810"/>
      <c r="M403" s="593"/>
      <c r="N403" s="593"/>
    </row>
    <row r="404" spans="4:14" ht="19.5" customHeight="1">
      <c r="D404" s="810"/>
      <c r="E404" s="810"/>
      <c r="F404" s="810"/>
      <c r="G404" s="810"/>
      <c r="M404" s="593"/>
      <c r="N404" s="593"/>
    </row>
    <row r="405" spans="4:14" ht="19.5" customHeight="1">
      <c r="D405" s="810"/>
      <c r="E405" s="810"/>
      <c r="F405" s="810"/>
      <c r="G405" s="810"/>
      <c r="M405" s="593"/>
      <c r="N405" s="593"/>
    </row>
    <row r="406" spans="4:14" ht="19.5" customHeight="1">
      <c r="D406" s="810"/>
      <c r="E406" s="810"/>
      <c r="F406" s="810"/>
      <c r="G406" s="810"/>
      <c r="M406" s="593"/>
      <c r="N406" s="593"/>
    </row>
    <row r="407" spans="4:14" ht="19.5" customHeight="1">
      <c r="D407" s="810"/>
      <c r="E407" s="810"/>
      <c r="F407" s="810"/>
      <c r="G407" s="810"/>
      <c r="M407" s="593"/>
      <c r="N407" s="593"/>
    </row>
    <row r="408" spans="4:14" ht="19.5" customHeight="1">
      <c r="D408" s="810"/>
      <c r="E408" s="810"/>
      <c r="F408" s="810"/>
      <c r="G408" s="810"/>
      <c r="M408" s="593"/>
      <c r="N408" s="593"/>
    </row>
    <row r="409" spans="4:14" ht="19.5" customHeight="1">
      <c r="D409" s="810"/>
      <c r="E409" s="810"/>
      <c r="F409" s="810"/>
      <c r="G409" s="810"/>
      <c r="M409" s="593"/>
      <c r="N409" s="593"/>
    </row>
    <row r="410" spans="4:14" ht="19.5" customHeight="1">
      <c r="D410" s="810"/>
      <c r="E410" s="810"/>
      <c r="F410" s="810"/>
      <c r="G410" s="810"/>
      <c r="M410" s="593"/>
      <c r="N410" s="593"/>
    </row>
    <row r="411" spans="4:14" ht="19.5" customHeight="1">
      <c r="D411" s="810"/>
      <c r="E411" s="810"/>
      <c r="F411" s="810"/>
      <c r="G411" s="810"/>
      <c r="M411" s="593"/>
      <c r="N411" s="593"/>
    </row>
    <row r="412" spans="4:14" ht="19.5" customHeight="1">
      <c r="D412" s="810"/>
      <c r="E412" s="810"/>
      <c r="F412" s="810"/>
      <c r="G412" s="810"/>
      <c r="M412" s="593"/>
      <c r="N412" s="593"/>
    </row>
    <row r="413" spans="4:14" ht="19.5" customHeight="1">
      <c r="D413" s="810"/>
      <c r="E413" s="810"/>
      <c r="F413" s="810"/>
      <c r="G413" s="810"/>
      <c r="M413" s="593"/>
      <c r="N413" s="593"/>
    </row>
    <row r="414" spans="4:14" ht="19.5" customHeight="1">
      <c r="D414" s="810"/>
      <c r="E414" s="810"/>
      <c r="F414" s="810"/>
      <c r="G414" s="810"/>
      <c r="M414" s="593"/>
      <c r="N414" s="593"/>
    </row>
    <row r="415" spans="4:14" ht="19.5" customHeight="1">
      <c r="D415" s="810"/>
      <c r="E415" s="810"/>
      <c r="F415" s="810"/>
      <c r="G415" s="810"/>
      <c r="M415" s="593"/>
      <c r="N415" s="593"/>
    </row>
    <row r="416" spans="4:14" ht="19.5" customHeight="1">
      <c r="D416" s="810"/>
      <c r="E416" s="810"/>
      <c r="F416" s="810"/>
      <c r="G416" s="810"/>
      <c r="M416" s="593"/>
      <c r="N416" s="593"/>
    </row>
    <row r="417" spans="4:14" ht="19.5" customHeight="1">
      <c r="D417" s="810"/>
      <c r="E417" s="810"/>
      <c r="F417" s="810"/>
      <c r="G417" s="810"/>
      <c r="M417" s="593"/>
      <c r="N417" s="593"/>
    </row>
    <row r="418" spans="4:14" ht="19.5" customHeight="1">
      <c r="D418" s="810"/>
      <c r="E418" s="810"/>
      <c r="F418" s="810"/>
      <c r="G418" s="810"/>
      <c r="M418" s="593"/>
      <c r="N418" s="593"/>
    </row>
    <row r="419" spans="4:14" ht="19.5" customHeight="1">
      <c r="D419" s="810"/>
      <c r="E419" s="810"/>
      <c r="F419" s="810"/>
      <c r="G419" s="810"/>
      <c r="M419" s="593"/>
      <c r="N419" s="593"/>
    </row>
    <row r="420" spans="4:14" ht="19.5" customHeight="1">
      <c r="D420" s="810"/>
      <c r="E420" s="810"/>
      <c r="F420" s="810"/>
      <c r="G420" s="810"/>
      <c r="M420" s="593"/>
      <c r="N420" s="593"/>
    </row>
    <row r="421" spans="4:14" ht="19.5" customHeight="1">
      <c r="D421" s="810"/>
      <c r="E421" s="810"/>
      <c r="F421" s="810"/>
      <c r="G421" s="810"/>
      <c r="M421" s="593"/>
      <c r="N421" s="593"/>
    </row>
    <row r="422" spans="4:14" ht="19.5" customHeight="1">
      <c r="D422" s="810"/>
      <c r="E422" s="810"/>
      <c r="F422" s="810"/>
      <c r="G422" s="810"/>
      <c r="M422" s="593"/>
      <c r="N422" s="593"/>
    </row>
    <row r="423" spans="4:14" ht="19.5" customHeight="1">
      <c r="D423" s="810"/>
      <c r="E423" s="810"/>
      <c r="F423" s="810"/>
      <c r="G423" s="810"/>
      <c r="M423" s="593"/>
      <c r="N423" s="593"/>
    </row>
    <row r="424" spans="4:14" ht="19.5" customHeight="1">
      <c r="D424" s="810"/>
      <c r="E424" s="810"/>
      <c r="F424" s="810"/>
      <c r="G424" s="810"/>
      <c r="M424" s="593"/>
      <c r="N424" s="593"/>
    </row>
    <row r="425" spans="4:14" ht="19.5" customHeight="1">
      <c r="D425" s="810"/>
      <c r="E425" s="810"/>
      <c r="F425" s="810"/>
      <c r="G425" s="810"/>
      <c r="M425" s="593"/>
      <c r="N425" s="593"/>
    </row>
    <row r="426" spans="4:14" ht="19.5" customHeight="1">
      <c r="D426" s="810"/>
      <c r="E426" s="810"/>
      <c r="F426" s="810"/>
      <c r="G426" s="810"/>
      <c r="M426" s="593"/>
      <c r="N426" s="593"/>
    </row>
    <row r="427" spans="4:14" ht="19.5" customHeight="1">
      <c r="D427" s="810"/>
      <c r="E427" s="810"/>
      <c r="F427" s="810"/>
      <c r="G427" s="810"/>
      <c r="M427" s="593"/>
      <c r="N427" s="593"/>
    </row>
    <row r="428" spans="4:14" ht="19.5" customHeight="1">
      <c r="D428" s="810"/>
      <c r="E428" s="810"/>
      <c r="F428" s="810"/>
      <c r="G428" s="810"/>
      <c r="M428" s="593"/>
      <c r="N428" s="593"/>
    </row>
    <row r="429" spans="4:14" ht="19.5" customHeight="1">
      <c r="D429" s="810"/>
      <c r="E429" s="810"/>
      <c r="F429" s="810"/>
      <c r="G429" s="810"/>
      <c r="M429" s="593"/>
      <c r="N429" s="593"/>
    </row>
    <row r="430" spans="4:14" ht="19.5" customHeight="1">
      <c r="D430" s="810"/>
      <c r="E430" s="810"/>
      <c r="F430" s="810"/>
      <c r="G430" s="810"/>
      <c r="M430" s="593"/>
      <c r="N430" s="593"/>
    </row>
    <row r="431" spans="4:14" ht="19.5" customHeight="1">
      <c r="D431" s="810"/>
      <c r="E431" s="810"/>
      <c r="F431" s="810"/>
      <c r="G431" s="810"/>
      <c r="M431" s="593"/>
      <c r="N431" s="593"/>
    </row>
    <row r="432" spans="4:14" ht="19.5" customHeight="1">
      <c r="D432" s="810"/>
      <c r="E432" s="810"/>
      <c r="F432" s="810"/>
      <c r="G432" s="810"/>
      <c r="M432" s="593"/>
      <c r="N432" s="593"/>
    </row>
    <row r="433" spans="4:14" ht="19.5" customHeight="1">
      <c r="D433" s="810"/>
      <c r="E433" s="810"/>
      <c r="F433" s="810"/>
      <c r="G433" s="810"/>
      <c r="M433" s="593"/>
      <c r="N433" s="593"/>
    </row>
    <row r="434" spans="4:14" ht="19.5" customHeight="1">
      <c r="D434" s="810"/>
      <c r="E434" s="810"/>
      <c r="F434" s="810"/>
      <c r="G434" s="810"/>
      <c r="M434" s="593"/>
      <c r="N434" s="593"/>
    </row>
    <row r="435" spans="4:14" ht="19.5" customHeight="1">
      <c r="D435" s="810"/>
      <c r="E435" s="810"/>
      <c r="F435" s="810"/>
      <c r="G435" s="810"/>
      <c r="M435" s="593"/>
      <c r="N435" s="593"/>
    </row>
    <row r="436" spans="4:14" ht="19.5" customHeight="1">
      <c r="D436" s="810"/>
      <c r="E436" s="810"/>
      <c r="F436" s="810"/>
      <c r="G436" s="810"/>
      <c r="M436" s="593"/>
      <c r="N436" s="593"/>
    </row>
    <row r="437" spans="4:14" ht="19.5" customHeight="1">
      <c r="D437" s="810"/>
      <c r="E437" s="810"/>
      <c r="F437" s="810"/>
      <c r="G437" s="810"/>
      <c r="M437" s="593"/>
      <c r="N437" s="593"/>
    </row>
    <row r="438" spans="4:14" ht="19.5" customHeight="1">
      <c r="D438" s="810"/>
      <c r="E438" s="810"/>
      <c r="F438" s="810"/>
      <c r="G438" s="810"/>
      <c r="M438" s="593"/>
      <c r="N438" s="593"/>
    </row>
    <row r="439" spans="4:14" ht="19.5" customHeight="1">
      <c r="D439" s="810"/>
      <c r="E439" s="810"/>
      <c r="F439" s="810"/>
      <c r="G439" s="810"/>
      <c r="M439" s="593"/>
      <c r="N439" s="593"/>
    </row>
    <row r="440" spans="4:14" ht="19.5" customHeight="1">
      <c r="D440" s="810"/>
      <c r="E440" s="810"/>
      <c r="F440" s="810"/>
      <c r="G440" s="810"/>
      <c r="M440" s="593"/>
      <c r="N440" s="593"/>
    </row>
    <row r="441" spans="4:14" ht="19.5" customHeight="1">
      <c r="D441" s="810"/>
      <c r="E441" s="810"/>
      <c r="F441" s="810"/>
      <c r="G441" s="810"/>
      <c r="M441" s="593"/>
      <c r="N441" s="593"/>
    </row>
    <row r="442" spans="4:14" ht="19.5" customHeight="1">
      <c r="D442" s="810"/>
      <c r="E442" s="810"/>
      <c r="F442" s="810"/>
      <c r="G442" s="810"/>
      <c r="M442" s="593"/>
      <c r="N442" s="593"/>
    </row>
    <row r="443" spans="4:14" ht="19.5" customHeight="1">
      <c r="D443" s="810"/>
      <c r="E443" s="810"/>
      <c r="F443" s="810"/>
      <c r="G443" s="810"/>
      <c r="M443" s="593"/>
      <c r="N443" s="593"/>
    </row>
    <row r="444" spans="4:14" ht="19.5" customHeight="1">
      <c r="D444" s="810"/>
      <c r="E444" s="810"/>
      <c r="F444" s="810"/>
      <c r="G444" s="810"/>
      <c r="M444" s="593"/>
      <c r="N444" s="593"/>
    </row>
    <row r="445" spans="4:14" ht="19.5" customHeight="1">
      <c r="D445" s="810"/>
      <c r="E445" s="810"/>
      <c r="F445" s="810"/>
      <c r="G445" s="810"/>
      <c r="M445" s="593"/>
      <c r="N445" s="593"/>
    </row>
    <row r="446" spans="4:14" ht="19.5" customHeight="1">
      <c r="D446" s="810"/>
      <c r="E446" s="810"/>
      <c r="F446" s="810"/>
      <c r="G446" s="810"/>
      <c r="M446" s="593"/>
      <c r="N446" s="593"/>
    </row>
    <row r="447" spans="4:14" ht="19.5" customHeight="1">
      <c r="D447" s="810"/>
      <c r="E447" s="810"/>
      <c r="F447" s="810"/>
      <c r="G447" s="810"/>
      <c r="M447" s="593"/>
      <c r="N447" s="593"/>
    </row>
    <row r="448" spans="4:14" ht="19.5" customHeight="1">
      <c r="D448" s="810"/>
      <c r="E448" s="810"/>
      <c r="F448" s="810"/>
      <c r="G448" s="810"/>
      <c r="M448" s="593"/>
      <c r="N448" s="593"/>
    </row>
    <row r="449" spans="4:14" ht="19.5" customHeight="1">
      <c r="D449" s="810"/>
      <c r="E449" s="810"/>
      <c r="F449" s="810"/>
      <c r="G449" s="810"/>
      <c r="M449" s="593"/>
      <c r="N449" s="593"/>
    </row>
    <row r="450" spans="4:14" ht="19.5" customHeight="1">
      <c r="D450" s="810"/>
      <c r="E450" s="810"/>
      <c r="F450" s="810"/>
      <c r="G450" s="810"/>
      <c r="M450" s="593"/>
      <c r="N450" s="593"/>
    </row>
    <row r="451" spans="4:14" ht="19.5" customHeight="1">
      <c r="D451" s="810"/>
      <c r="E451" s="810"/>
      <c r="F451" s="810"/>
      <c r="G451" s="810"/>
      <c r="M451" s="593"/>
      <c r="N451" s="593"/>
    </row>
    <row r="452" spans="4:14" ht="19.5" customHeight="1">
      <c r="D452" s="810"/>
      <c r="E452" s="810"/>
      <c r="F452" s="810"/>
      <c r="G452" s="810"/>
      <c r="M452" s="593"/>
      <c r="N452" s="593"/>
    </row>
    <row r="453" spans="4:14" ht="19.5" customHeight="1">
      <c r="D453" s="810"/>
      <c r="E453" s="810"/>
      <c r="F453" s="810"/>
      <c r="G453" s="810"/>
      <c r="M453" s="593"/>
      <c r="N453" s="593"/>
    </row>
    <row r="454" spans="4:14" ht="19.5" customHeight="1">
      <c r="D454" s="810"/>
      <c r="E454" s="810"/>
      <c r="F454" s="810"/>
      <c r="G454" s="810"/>
      <c r="M454" s="593"/>
      <c r="N454" s="593"/>
    </row>
    <row r="455" spans="4:14" ht="19.5" customHeight="1">
      <c r="D455" s="810"/>
      <c r="E455" s="810"/>
      <c r="F455" s="810"/>
      <c r="G455" s="810"/>
      <c r="M455" s="593"/>
      <c r="N455" s="593"/>
    </row>
    <row r="456" spans="4:14" ht="19.5" customHeight="1">
      <c r="D456" s="810"/>
      <c r="E456" s="810"/>
      <c r="F456" s="810"/>
      <c r="G456" s="810"/>
      <c r="M456" s="593"/>
      <c r="N456" s="593"/>
    </row>
    <row r="457" spans="4:14" ht="19.5" customHeight="1">
      <c r="D457" s="810"/>
      <c r="E457" s="810"/>
      <c r="F457" s="810"/>
      <c r="G457" s="810"/>
      <c r="M457" s="593"/>
      <c r="N457" s="593"/>
    </row>
    <row r="458" spans="4:14" ht="19.5" customHeight="1">
      <c r="D458" s="810"/>
      <c r="E458" s="810"/>
      <c r="F458" s="810"/>
      <c r="G458" s="810"/>
      <c r="M458" s="593"/>
      <c r="N458" s="593"/>
    </row>
    <row r="459" spans="4:14" ht="19.5" customHeight="1">
      <c r="D459" s="810"/>
      <c r="E459" s="810"/>
      <c r="F459" s="810"/>
      <c r="G459" s="810"/>
      <c r="M459" s="593"/>
      <c r="N459" s="593"/>
    </row>
    <row r="460" spans="4:14" ht="19.5" customHeight="1">
      <c r="D460" s="810"/>
      <c r="E460" s="810"/>
      <c r="F460" s="810"/>
      <c r="G460" s="810"/>
      <c r="M460" s="593"/>
      <c r="N460" s="593"/>
    </row>
    <row r="461" spans="4:14" ht="19.5" customHeight="1">
      <c r="D461" s="810"/>
      <c r="E461" s="810"/>
      <c r="F461" s="810"/>
      <c r="G461" s="810"/>
      <c r="M461" s="593"/>
      <c r="N461" s="593"/>
    </row>
    <row r="462" spans="4:14" ht="19.5" customHeight="1">
      <c r="D462" s="810"/>
      <c r="E462" s="810"/>
      <c r="F462" s="810"/>
      <c r="G462" s="810"/>
      <c r="M462" s="593"/>
      <c r="N462" s="593"/>
    </row>
    <row r="463" spans="4:14" ht="19.5" customHeight="1">
      <c r="D463" s="810"/>
      <c r="E463" s="810"/>
      <c r="F463" s="810"/>
      <c r="G463" s="810"/>
      <c r="M463" s="593"/>
      <c r="N463" s="593"/>
    </row>
    <row r="464" spans="4:14" ht="19.5" customHeight="1">
      <c r="D464" s="810"/>
      <c r="E464" s="810"/>
      <c r="F464" s="810"/>
      <c r="G464" s="810"/>
      <c r="M464" s="593"/>
      <c r="N464" s="593"/>
    </row>
    <row r="465" spans="4:14" ht="19.5" customHeight="1">
      <c r="D465" s="810"/>
      <c r="E465" s="810"/>
      <c r="F465" s="810"/>
      <c r="G465" s="810"/>
      <c r="M465" s="593"/>
      <c r="N465" s="593"/>
    </row>
    <row r="466" spans="4:14" ht="19.5" customHeight="1">
      <c r="D466" s="810"/>
      <c r="E466" s="810"/>
      <c r="F466" s="810"/>
      <c r="G466" s="810"/>
      <c r="M466" s="593"/>
      <c r="N466" s="593"/>
    </row>
    <row r="467" spans="4:14" ht="19.5" customHeight="1">
      <c r="D467" s="810"/>
      <c r="E467" s="810"/>
      <c r="F467" s="810"/>
      <c r="G467" s="810"/>
      <c r="M467" s="593"/>
      <c r="N467" s="593"/>
    </row>
    <row r="468" spans="4:14" ht="19.5" customHeight="1">
      <c r="D468" s="810"/>
      <c r="E468" s="810"/>
      <c r="F468" s="810"/>
      <c r="G468" s="810"/>
      <c r="M468" s="593"/>
      <c r="N468" s="593"/>
    </row>
    <row r="469" spans="4:14" ht="19.5" customHeight="1">
      <c r="D469" s="810"/>
      <c r="E469" s="810"/>
      <c r="F469" s="810"/>
      <c r="G469" s="810"/>
      <c r="M469" s="593"/>
      <c r="N469" s="593"/>
    </row>
    <row r="470" spans="4:14" ht="19.5" customHeight="1">
      <c r="D470" s="810"/>
      <c r="E470" s="810"/>
      <c r="F470" s="810"/>
      <c r="G470" s="810"/>
      <c r="M470" s="593"/>
      <c r="N470" s="593"/>
    </row>
    <row r="471" spans="4:14" ht="19.5" customHeight="1">
      <c r="D471" s="810"/>
      <c r="E471" s="810"/>
      <c r="F471" s="810"/>
      <c r="G471" s="810"/>
      <c r="M471" s="593"/>
      <c r="N471" s="593"/>
    </row>
    <row r="472" spans="4:14" ht="19.5" customHeight="1">
      <c r="D472" s="810"/>
      <c r="E472" s="810"/>
      <c r="F472" s="810"/>
      <c r="G472" s="810"/>
      <c r="M472" s="593"/>
      <c r="N472" s="593"/>
    </row>
    <row r="473" spans="4:14" ht="19.5" customHeight="1">
      <c r="D473" s="810"/>
      <c r="E473" s="810"/>
      <c r="F473" s="810"/>
      <c r="G473" s="810"/>
      <c r="M473" s="593"/>
      <c r="N473" s="593"/>
    </row>
    <row r="474" spans="4:14" ht="19.5" customHeight="1">
      <c r="D474" s="810"/>
      <c r="E474" s="810"/>
      <c r="F474" s="810"/>
      <c r="G474" s="810"/>
      <c r="M474" s="593"/>
      <c r="N474" s="593"/>
    </row>
    <row r="475" spans="4:14" ht="19.5" customHeight="1">
      <c r="D475" s="810"/>
      <c r="E475" s="810"/>
      <c r="F475" s="810"/>
      <c r="G475" s="810"/>
      <c r="M475" s="593"/>
      <c r="N475" s="593"/>
    </row>
    <row r="476" spans="4:14" ht="19.5" customHeight="1">
      <c r="D476" s="810"/>
      <c r="E476" s="810"/>
      <c r="F476" s="810"/>
      <c r="G476" s="810"/>
      <c r="M476" s="593"/>
      <c r="N476" s="593"/>
    </row>
    <row r="477" spans="4:14" ht="19.5" customHeight="1">
      <c r="D477" s="810"/>
      <c r="E477" s="810"/>
      <c r="F477" s="810"/>
      <c r="G477" s="810"/>
      <c r="M477" s="593"/>
      <c r="N477" s="593"/>
    </row>
    <row r="478" spans="4:14" ht="19.5" customHeight="1">
      <c r="D478" s="810"/>
      <c r="E478" s="810"/>
      <c r="F478" s="810"/>
      <c r="G478" s="810"/>
      <c r="M478" s="593"/>
      <c r="N478" s="593"/>
    </row>
    <row r="479" spans="4:14" ht="19.5" customHeight="1">
      <c r="D479" s="810"/>
      <c r="E479" s="810"/>
      <c r="F479" s="810"/>
      <c r="G479" s="810"/>
      <c r="M479" s="593"/>
      <c r="N479" s="593"/>
    </row>
    <row r="480" spans="4:14" ht="19.5" customHeight="1">
      <c r="D480" s="810"/>
      <c r="E480" s="810"/>
      <c r="F480" s="810"/>
      <c r="G480" s="810"/>
      <c r="M480" s="593"/>
      <c r="N480" s="593"/>
    </row>
    <row r="481" spans="4:14" ht="19.5" customHeight="1">
      <c r="D481" s="810"/>
      <c r="E481" s="810"/>
      <c r="F481" s="810"/>
      <c r="G481" s="810"/>
      <c r="M481" s="593"/>
      <c r="N481" s="593"/>
    </row>
    <row r="482" spans="4:14" ht="19.5" customHeight="1">
      <c r="D482" s="810"/>
      <c r="E482" s="810"/>
      <c r="F482" s="810"/>
      <c r="G482" s="810"/>
      <c r="M482" s="593"/>
      <c r="N482" s="593"/>
    </row>
    <row r="483" spans="4:14" ht="19.5" customHeight="1">
      <c r="D483" s="810"/>
      <c r="E483" s="810"/>
      <c r="F483" s="810"/>
      <c r="G483" s="810"/>
      <c r="M483" s="593"/>
      <c r="N483" s="593"/>
    </row>
    <row r="484" spans="4:14" ht="19.5" customHeight="1">
      <c r="D484" s="810"/>
      <c r="E484" s="810"/>
      <c r="F484" s="810"/>
      <c r="G484" s="810"/>
      <c r="M484" s="593"/>
      <c r="N484" s="593"/>
    </row>
    <row r="485" spans="4:14" ht="19.5" customHeight="1">
      <c r="D485" s="810"/>
      <c r="E485" s="810"/>
      <c r="F485" s="810"/>
      <c r="G485" s="810"/>
      <c r="M485" s="593"/>
      <c r="N485" s="593"/>
    </row>
    <row r="486" spans="4:14" ht="19.5" customHeight="1">
      <c r="D486" s="810"/>
      <c r="E486" s="810"/>
      <c r="F486" s="810"/>
      <c r="G486" s="810"/>
      <c r="M486" s="593"/>
      <c r="N486" s="593"/>
    </row>
    <row r="487" spans="4:14" ht="19.5" customHeight="1">
      <c r="D487" s="810"/>
      <c r="E487" s="810"/>
      <c r="F487" s="810"/>
      <c r="G487" s="810"/>
      <c r="M487" s="593"/>
      <c r="N487" s="593"/>
    </row>
    <row r="488" spans="4:14" ht="19.5" customHeight="1">
      <c r="D488" s="810"/>
      <c r="E488" s="810"/>
      <c r="F488" s="810"/>
      <c r="G488" s="810"/>
      <c r="M488" s="593"/>
      <c r="N488" s="593"/>
    </row>
    <row r="489" spans="4:14" ht="19.5" customHeight="1">
      <c r="D489" s="810"/>
      <c r="E489" s="810"/>
      <c r="F489" s="810"/>
      <c r="G489" s="810"/>
      <c r="M489" s="593"/>
      <c r="N489" s="593"/>
    </row>
    <row r="490" spans="4:14" ht="19.5" customHeight="1">
      <c r="D490" s="810"/>
      <c r="E490" s="810"/>
      <c r="F490" s="810"/>
      <c r="G490" s="810"/>
      <c r="M490" s="593"/>
      <c r="N490" s="593"/>
    </row>
    <row r="491" spans="4:14" ht="19.5" customHeight="1">
      <c r="D491" s="810"/>
      <c r="E491" s="810"/>
      <c r="F491" s="810"/>
      <c r="G491" s="810"/>
      <c r="M491" s="593"/>
      <c r="N491" s="593"/>
    </row>
    <row r="492" spans="4:14" ht="19.5" customHeight="1">
      <c r="D492" s="810"/>
      <c r="E492" s="810"/>
      <c r="F492" s="810"/>
      <c r="G492" s="810"/>
      <c r="M492" s="593"/>
      <c r="N492" s="593"/>
    </row>
    <row r="493" spans="4:14" ht="19.5" customHeight="1">
      <c r="D493" s="810"/>
      <c r="E493" s="810"/>
      <c r="F493" s="810"/>
      <c r="G493" s="810"/>
      <c r="M493" s="593"/>
      <c r="N493" s="593"/>
    </row>
    <row r="494" spans="4:14" ht="19.5" customHeight="1">
      <c r="D494" s="810"/>
      <c r="E494" s="810"/>
      <c r="F494" s="810"/>
      <c r="G494" s="810"/>
      <c r="M494" s="593"/>
      <c r="N494" s="593"/>
    </row>
    <row r="495" spans="4:14" ht="19.5" customHeight="1">
      <c r="D495" s="810"/>
      <c r="E495" s="810"/>
      <c r="F495" s="810"/>
      <c r="G495" s="810"/>
      <c r="M495" s="593"/>
      <c r="N495" s="593"/>
    </row>
    <row r="496" spans="4:14" ht="19.5" customHeight="1">
      <c r="D496" s="810"/>
      <c r="E496" s="810"/>
      <c r="F496" s="810"/>
      <c r="G496" s="810"/>
      <c r="M496" s="593"/>
      <c r="N496" s="593"/>
    </row>
    <row r="497" spans="4:14" ht="19.5" customHeight="1">
      <c r="D497" s="810"/>
      <c r="E497" s="810"/>
      <c r="F497" s="810"/>
      <c r="G497" s="810"/>
      <c r="M497" s="593"/>
      <c r="N497" s="593"/>
    </row>
    <row r="498" spans="4:14" ht="19.5" customHeight="1">
      <c r="D498" s="810"/>
      <c r="E498" s="810"/>
      <c r="F498" s="810"/>
      <c r="G498" s="810"/>
      <c r="M498" s="593"/>
      <c r="N498" s="593"/>
    </row>
    <row r="499" spans="4:14" ht="19.5" customHeight="1">
      <c r="D499" s="810"/>
      <c r="E499" s="810"/>
      <c r="F499" s="810"/>
      <c r="G499" s="810"/>
      <c r="M499" s="593"/>
      <c r="N499" s="593"/>
    </row>
    <row r="500" spans="4:14" ht="19.5" customHeight="1">
      <c r="D500" s="810"/>
      <c r="E500" s="810"/>
      <c r="F500" s="810"/>
      <c r="G500" s="810"/>
      <c r="M500" s="593"/>
      <c r="N500" s="593"/>
    </row>
    <row r="501" spans="4:14" ht="19.5" customHeight="1">
      <c r="D501" s="810"/>
      <c r="E501" s="810"/>
      <c r="F501" s="810"/>
      <c r="G501" s="810"/>
      <c r="M501" s="593"/>
      <c r="N501" s="593"/>
    </row>
    <row r="502" spans="4:14" ht="19.5" customHeight="1">
      <c r="D502" s="810"/>
      <c r="E502" s="810"/>
      <c r="F502" s="810"/>
      <c r="G502" s="810"/>
      <c r="M502" s="593"/>
      <c r="N502" s="593"/>
    </row>
    <row r="503" spans="4:14" ht="19.5" customHeight="1">
      <c r="D503" s="810"/>
      <c r="E503" s="810"/>
      <c r="F503" s="810"/>
      <c r="G503" s="810"/>
      <c r="M503" s="593"/>
      <c r="N503" s="593"/>
    </row>
    <row r="504" spans="4:14" ht="19.5" customHeight="1">
      <c r="D504" s="810"/>
      <c r="E504" s="810"/>
      <c r="F504" s="810"/>
      <c r="G504" s="810"/>
      <c r="M504" s="593"/>
      <c r="N504" s="593"/>
    </row>
    <row r="505" spans="4:14" ht="19.5" customHeight="1">
      <c r="D505" s="810"/>
      <c r="E505" s="810"/>
      <c r="F505" s="810"/>
      <c r="G505" s="810"/>
      <c r="M505" s="593"/>
      <c r="N505" s="593"/>
    </row>
    <row r="506" spans="4:14" ht="19.5" customHeight="1">
      <c r="D506" s="810"/>
      <c r="E506" s="810"/>
      <c r="F506" s="810"/>
      <c r="G506" s="810"/>
      <c r="M506" s="593"/>
      <c r="N506" s="593"/>
    </row>
    <row r="507" spans="4:14" ht="19.5" customHeight="1">
      <c r="D507" s="810"/>
      <c r="E507" s="810"/>
      <c r="F507" s="810"/>
      <c r="G507" s="810"/>
      <c r="M507" s="593"/>
      <c r="N507" s="593"/>
    </row>
    <row r="508" spans="4:14" ht="19.5" customHeight="1">
      <c r="D508" s="810"/>
      <c r="E508" s="810"/>
      <c r="F508" s="810"/>
      <c r="G508" s="810"/>
      <c r="M508" s="593"/>
      <c r="N508" s="593"/>
    </row>
    <row r="509" spans="4:14" ht="19.5" customHeight="1">
      <c r="D509" s="810"/>
      <c r="E509" s="810"/>
      <c r="F509" s="810"/>
      <c r="G509" s="810"/>
      <c r="M509" s="593"/>
      <c r="N509" s="593"/>
    </row>
    <row r="510" spans="4:14" ht="19.5" customHeight="1">
      <c r="D510" s="810"/>
      <c r="E510" s="810"/>
      <c r="F510" s="810"/>
      <c r="G510" s="810"/>
      <c r="M510" s="593"/>
      <c r="N510" s="593"/>
    </row>
    <row r="511" spans="4:14" ht="19.5" customHeight="1">
      <c r="D511" s="810"/>
      <c r="E511" s="810"/>
      <c r="F511" s="810"/>
      <c r="G511" s="810"/>
      <c r="M511" s="593"/>
      <c r="N511" s="593"/>
    </row>
    <row r="512" spans="4:14" ht="19.5" customHeight="1">
      <c r="D512" s="810"/>
      <c r="E512" s="810"/>
      <c r="F512" s="810"/>
      <c r="G512" s="810"/>
      <c r="M512" s="593"/>
      <c r="N512" s="593"/>
    </row>
    <row r="513" spans="4:14" ht="19.5" customHeight="1">
      <c r="D513" s="810"/>
      <c r="E513" s="810"/>
      <c r="F513" s="810"/>
      <c r="G513" s="810"/>
      <c r="M513" s="593"/>
      <c r="N513" s="593"/>
    </row>
    <row r="514" spans="4:14" ht="19.5" customHeight="1">
      <c r="D514" s="810"/>
      <c r="E514" s="810"/>
      <c r="F514" s="810"/>
      <c r="G514" s="810"/>
      <c r="M514" s="593"/>
      <c r="N514" s="593"/>
    </row>
    <row r="515" spans="4:14" ht="19.5" customHeight="1">
      <c r="D515" s="810"/>
      <c r="E515" s="810"/>
      <c r="F515" s="810"/>
      <c r="G515" s="810"/>
      <c r="M515" s="593"/>
      <c r="N515" s="593"/>
    </row>
    <row r="516" spans="4:14" ht="19.5" customHeight="1">
      <c r="D516" s="810"/>
      <c r="E516" s="810"/>
      <c r="F516" s="810"/>
      <c r="G516" s="810"/>
      <c r="M516" s="593"/>
      <c r="N516" s="593"/>
    </row>
    <row r="517" spans="4:14" ht="19.5" customHeight="1">
      <c r="D517" s="810"/>
      <c r="E517" s="810"/>
      <c r="F517" s="810"/>
      <c r="G517" s="810"/>
      <c r="M517" s="593"/>
      <c r="N517" s="593"/>
    </row>
    <row r="518" spans="4:14" ht="19.5" customHeight="1">
      <c r="D518" s="810"/>
      <c r="E518" s="810"/>
      <c r="F518" s="810"/>
      <c r="G518" s="810"/>
      <c r="M518" s="593"/>
      <c r="N518" s="593"/>
    </row>
    <row r="519" spans="4:14" ht="19.5" customHeight="1">
      <c r="D519" s="810"/>
      <c r="E519" s="810"/>
      <c r="F519" s="810"/>
      <c r="G519" s="810"/>
      <c r="M519" s="593"/>
      <c r="N519" s="593"/>
    </row>
    <row r="520" spans="4:14" ht="19.5" customHeight="1">
      <c r="D520" s="810"/>
      <c r="E520" s="810"/>
      <c r="F520" s="810"/>
      <c r="G520" s="810"/>
      <c r="M520" s="593"/>
      <c r="N520" s="593"/>
    </row>
    <row r="521" spans="4:14" ht="19.5" customHeight="1">
      <c r="D521" s="810"/>
      <c r="E521" s="810"/>
      <c r="F521" s="810"/>
      <c r="G521" s="810"/>
      <c r="M521" s="593"/>
      <c r="N521" s="593"/>
    </row>
    <row r="522" spans="4:14" ht="19.5" customHeight="1">
      <c r="D522" s="810"/>
      <c r="E522" s="810"/>
      <c r="F522" s="810"/>
      <c r="G522" s="810"/>
      <c r="M522" s="593"/>
      <c r="N522" s="593"/>
    </row>
    <row r="523" spans="4:14" ht="19.5" customHeight="1">
      <c r="D523" s="810"/>
      <c r="E523" s="810"/>
      <c r="F523" s="810"/>
      <c r="G523" s="810"/>
      <c r="M523" s="593"/>
      <c r="N523" s="593"/>
    </row>
    <row r="524" spans="4:14" ht="19.5" customHeight="1">
      <c r="D524" s="810"/>
      <c r="E524" s="810"/>
      <c r="F524" s="810"/>
      <c r="G524" s="810"/>
      <c r="M524" s="593"/>
      <c r="N524" s="593"/>
    </row>
    <row r="525" spans="4:14" ht="19.5" customHeight="1">
      <c r="D525" s="810"/>
      <c r="E525" s="810"/>
      <c r="F525" s="810"/>
      <c r="G525" s="810"/>
      <c r="M525" s="593"/>
      <c r="N525" s="593"/>
    </row>
    <row r="526" spans="4:14" ht="19.5" customHeight="1">
      <c r="D526" s="810"/>
      <c r="E526" s="810"/>
      <c r="F526" s="810"/>
      <c r="G526" s="810"/>
      <c r="M526" s="593"/>
      <c r="N526" s="593"/>
    </row>
    <row r="527" spans="4:14" ht="19.5" customHeight="1">
      <c r="D527" s="810"/>
      <c r="E527" s="810"/>
      <c r="F527" s="810"/>
      <c r="G527" s="810"/>
      <c r="M527" s="593"/>
      <c r="N527" s="593"/>
    </row>
    <row r="528" spans="4:14" ht="19.5" customHeight="1">
      <c r="D528" s="810"/>
      <c r="E528" s="810"/>
      <c r="F528" s="810"/>
      <c r="G528" s="810"/>
      <c r="M528" s="593"/>
      <c r="N528" s="593"/>
    </row>
    <row r="529" spans="4:14" ht="19.5" customHeight="1">
      <c r="D529" s="810"/>
      <c r="E529" s="810"/>
      <c r="F529" s="810"/>
      <c r="G529" s="810"/>
      <c r="M529" s="593"/>
      <c r="N529" s="593"/>
    </row>
    <row r="530" spans="4:14" ht="19.5" customHeight="1">
      <c r="D530" s="810"/>
      <c r="E530" s="810"/>
      <c r="F530" s="810"/>
      <c r="G530" s="810"/>
      <c r="M530" s="593"/>
      <c r="N530" s="593"/>
    </row>
    <row r="531" spans="4:14" ht="19.5" customHeight="1">
      <c r="D531" s="810"/>
      <c r="E531" s="810"/>
      <c r="F531" s="810"/>
      <c r="G531" s="810"/>
      <c r="M531" s="593"/>
      <c r="N531" s="593"/>
    </row>
    <row r="532" spans="4:14" ht="19.5" customHeight="1">
      <c r="D532" s="810"/>
      <c r="E532" s="810"/>
      <c r="F532" s="810"/>
      <c r="G532" s="810"/>
      <c r="M532" s="593"/>
      <c r="N532" s="593"/>
    </row>
    <row r="533" spans="4:14" ht="19.5" customHeight="1">
      <c r="D533" s="810"/>
      <c r="E533" s="810"/>
      <c r="F533" s="810"/>
      <c r="G533" s="810"/>
      <c r="M533" s="593"/>
      <c r="N533" s="593"/>
    </row>
    <row r="534" spans="4:14" ht="19.5" customHeight="1">
      <c r="D534" s="810"/>
      <c r="E534" s="810"/>
      <c r="F534" s="810"/>
      <c r="G534" s="810"/>
      <c r="M534" s="593"/>
      <c r="N534" s="593"/>
    </row>
    <row r="535" spans="4:14" ht="19.5" customHeight="1">
      <c r="D535" s="810"/>
      <c r="E535" s="810"/>
      <c r="F535" s="810"/>
      <c r="G535" s="810"/>
      <c r="M535" s="593"/>
      <c r="N535" s="593"/>
    </row>
    <row r="536" spans="4:14" ht="19.5" customHeight="1">
      <c r="D536" s="810"/>
      <c r="E536" s="810"/>
      <c r="F536" s="810"/>
      <c r="G536" s="810"/>
      <c r="M536" s="593"/>
      <c r="N536" s="593"/>
    </row>
    <row r="537" spans="4:14" ht="19.5" customHeight="1">
      <c r="D537" s="810"/>
      <c r="E537" s="810"/>
      <c r="F537" s="810"/>
      <c r="G537" s="810"/>
      <c r="M537" s="593"/>
      <c r="N537" s="593"/>
    </row>
    <row r="538" spans="4:14" ht="19.5" customHeight="1">
      <c r="D538" s="810"/>
      <c r="E538" s="810"/>
      <c r="F538" s="810"/>
      <c r="G538" s="810"/>
      <c r="M538" s="593"/>
      <c r="N538" s="593"/>
    </row>
    <row r="539" spans="4:14" ht="19.5" customHeight="1">
      <c r="D539" s="810"/>
      <c r="E539" s="810"/>
      <c r="F539" s="810"/>
      <c r="G539" s="810"/>
      <c r="M539" s="593"/>
      <c r="N539" s="593"/>
    </row>
    <row r="540" spans="4:14" ht="19.5" customHeight="1">
      <c r="D540" s="810"/>
      <c r="E540" s="810"/>
      <c r="F540" s="810"/>
      <c r="G540" s="810"/>
      <c r="M540" s="593"/>
      <c r="N540" s="593"/>
    </row>
    <row r="541" spans="4:14" ht="19.5" customHeight="1">
      <c r="D541" s="810"/>
      <c r="E541" s="810"/>
      <c r="F541" s="810"/>
      <c r="G541" s="810"/>
      <c r="M541" s="593"/>
      <c r="N541" s="593"/>
    </row>
    <row r="542" spans="4:14" ht="19.5" customHeight="1">
      <c r="D542" s="810"/>
      <c r="E542" s="810"/>
      <c r="F542" s="810"/>
      <c r="G542" s="810"/>
      <c r="M542" s="593"/>
      <c r="N542" s="593"/>
    </row>
    <row r="543" spans="4:14" ht="19.5" customHeight="1">
      <c r="D543" s="810"/>
      <c r="E543" s="810"/>
      <c r="F543" s="810"/>
      <c r="G543" s="810"/>
      <c r="M543" s="593"/>
      <c r="N543" s="593"/>
    </row>
    <row r="544" spans="4:14" ht="19.5" customHeight="1">
      <c r="D544" s="810"/>
      <c r="E544" s="810"/>
      <c r="F544" s="810"/>
      <c r="G544" s="810"/>
      <c r="M544" s="593"/>
      <c r="N544" s="593"/>
    </row>
    <row r="545" spans="4:14" ht="19.5" customHeight="1">
      <c r="D545" s="810"/>
      <c r="E545" s="810"/>
      <c r="F545" s="810"/>
      <c r="G545" s="810"/>
      <c r="M545" s="593"/>
      <c r="N545" s="593"/>
    </row>
    <row r="546" spans="4:14" ht="19.5" customHeight="1">
      <c r="D546" s="810"/>
      <c r="E546" s="810"/>
      <c r="F546" s="810"/>
      <c r="G546" s="810"/>
      <c r="M546" s="593"/>
      <c r="N546" s="593"/>
    </row>
    <row r="547" spans="4:14" ht="19.5" customHeight="1">
      <c r="D547" s="810"/>
      <c r="E547" s="810"/>
      <c r="F547" s="810"/>
      <c r="G547" s="810"/>
      <c r="M547" s="593"/>
      <c r="N547" s="593"/>
    </row>
    <row r="548" spans="4:14" ht="19.5" customHeight="1">
      <c r="D548" s="810"/>
      <c r="E548" s="810"/>
      <c r="F548" s="810"/>
      <c r="G548" s="810"/>
      <c r="M548" s="593"/>
      <c r="N548" s="593"/>
    </row>
    <row r="549" spans="4:14" ht="19.5" customHeight="1">
      <c r="D549" s="810"/>
      <c r="E549" s="810"/>
      <c r="F549" s="810"/>
      <c r="G549" s="810"/>
      <c r="M549" s="593"/>
      <c r="N549" s="593"/>
    </row>
    <row r="550" spans="4:14" ht="19.5" customHeight="1">
      <c r="D550" s="810"/>
      <c r="E550" s="810"/>
      <c r="F550" s="810"/>
      <c r="G550" s="810"/>
      <c r="M550" s="593"/>
      <c r="N550" s="593"/>
    </row>
    <row r="551" spans="4:14" ht="19.5" customHeight="1">
      <c r="D551" s="810"/>
      <c r="E551" s="810"/>
      <c r="F551" s="810"/>
      <c r="G551" s="810"/>
      <c r="M551" s="593"/>
      <c r="N551" s="593"/>
    </row>
    <row r="552" spans="4:14" ht="19.5" customHeight="1">
      <c r="D552" s="810"/>
      <c r="E552" s="810"/>
      <c r="F552" s="810"/>
      <c r="G552" s="810"/>
      <c r="M552" s="593"/>
      <c r="N552" s="593"/>
    </row>
    <row r="553" spans="4:14" ht="19.5" customHeight="1">
      <c r="D553" s="810"/>
      <c r="E553" s="810"/>
      <c r="F553" s="810"/>
      <c r="G553" s="810"/>
      <c r="M553" s="593"/>
      <c r="N553" s="593"/>
    </row>
    <row r="554" spans="4:14" ht="19.5" customHeight="1">
      <c r="D554" s="810"/>
      <c r="E554" s="810"/>
      <c r="F554" s="810"/>
      <c r="G554" s="810"/>
      <c r="M554" s="593"/>
      <c r="N554" s="593"/>
    </row>
    <row r="555" spans="4:14" ht="19.5" customHeight="1">
      <c r="D555" s="810"/>
      <c r="E555" s="810"/>
      <c r="F555" s="810"/>
      <c r="G555" s="810"/>
      <c r="M555" s="593"/>
      <c r="N555" s="593"/>
    </row>
    <row r="556" spans="4:14" ht="19.5" customHeight="1">
      <c r="D556" s="810"/>
      <c r="E556" s="810"/>
      <c r="F556" s="810"/>
      <c r="G556" s="810"/>
      <c r="M556" s="593"/>
      <c r="N556" s="593"/>
    </row>
    <row r="557" spans="4:14" ht="19.5" customHeight="1">
      <c r="D557" s="810"/>
      <c r="E557" s="810"/>
      <c r="F557" s="810"/>
      <c r="G557" s="810"/>
      <c r="M557" s="593"/>
      <c r="N557" s="593"/>
    </row>
    <row r="558" spans="4:14" ht="19.5" customHeight="1">
      <c r="D558" s="810"/>
      <c r="E558" s="810"/>
      <c r="F558" s="810"/>
      <c r="G558" s="810"/>
      <c r="M558" s="593"/>
      <c r="N558" s="593"/>
    </row>
    <row r="559" spans="4:14" ht="19.5" customHeight="1">
      <c r="D559" s="810"/>
      <c r="E559" s="810"/>
      <c r="F559" s="810"/>
      <c r="G559" s="810"/>
      <c r="M559" s="593"/>
      <c r="N559" s="593"/>
    </row>
    <row r="560" spans="4:14" ht="19.5" customHeight="1">
      <c r="D560" s="810"/>
      <c r="E560" s="810"/>
      <c r="F560" s="810"/>
      <c r="G560" s="810"/>
      <c r="M560" s="593"/>
      <c r="N560" s="593"/>
    </row>
    <row r="561" spans="4:14" ht="19.5" customHeight="1">
      <c r="D561" s="810"/>
      <c r="E561" s="810"/>
      <c r="F561" s="810"/>
      <c r="G561" s="810"/>
      <c r="M561" s="593"/>
      <c r="N561" s="593"/>
    </row>
    <row r="562" spans="4:14" ht="19.5" customHeight="1">
      <c r="D562" s="810"/>
      <c r="E562" s="810"/>
      <c r="F562" s="810"/>
      <c r="G562" s="810"/>
      <c r="M562" s="593"/>
      <c r="N562" s="593"/>
    </row>
    <row r="563" spans="4:14" ht="19.5" customHeight="1">
      <c r="D563" s="810"/>
      <c r="E563" s="810"/>
      <c r="F563" s="810"/>
      <c r="G563" s="810"/>
      <c r="M563" s="593"/>
      <c r="N563" s="593"/>
    </row>
    <row r="564" spans="4:14" ht="19.5" customHeight="1">
      <c r="D564" s="810"/>
      <c r="E564" s="810"/>
      <c r="F564" s="810"/>
      <c r="G564" s="810"/>
      <c r="M564" s="593"/>
      <c r="N564" s="593"/>
    </row>
    <row r="565" spans="4:14" ht="19.5" customHeight="1">
      <c r="D565" s="810"/>
      <c r="E565" s="810"/>
      <c r="F565" s="810"/>
      <c r="G565" s="810"/>
      <c r="M565" s="593"/>
      <c r="N565" s="593"/>
    </row>
    <row r="566" spans="4:14" ht="19.5" customHeight="1">
      <c r="D566" s="810"/>
      <c r="E566" s="810"/>
      <c r="F566" s="810"/>
      <c r="G566" s="810"/>
      <c r="M566" s="593"/>
      <c r="N566" s="593"/>
    </row>
    <row r="567" spans="4:14" ht="19.5" customHeight="1">
      <c r="D567" s="810"/>
      <c r="E567" s="810"/>
      <c r="F567" s="810"/>
      <c r="G567" s="810"/>
      <c r="M567" s="593"/>
      <c r="N567" s="593"/>
    </row>
    <row r="568" spans="4:14" ht="19.5" customHeight="1">
      <c r="D568" s="810"/>
      <c r="E568" s="810"/>
      <c r="F568" s="810"/>
      <c r="G568" s="810"/>
      <c r="M568" s="593"/>
      <c r="N568" s="593"/>
    </row>
    <row r="569" spans="4:14" ht="19.5" customHeight="1">
      <c r="D569" s="810"/>
      <c r="E569" s="810"/>
      <c r="F569" s="810"/>
      <c r="G569" s="810"/>
      <c r="M569" s="593"/>
      <c r="N569" s="593"/>
    </row>
    <row r="570" spans="4:14" ht="19.5" customHeight="1">
      <c r="D570" s="810"/>
      <c r="E570" s="810"/>
      <c r="F570" s="810"/>
      <c r="G570" s="810"/>
      <c r="M570" s="593"/>
      <c r="N570" s="593"/>
    </row>
    <row r="571" spans="4:14" ht="19.5" customHeight="1">
      <c r="D571" s="810"/>
      <c r="E571" s="810"/>
      <c r="F571" s="810"/>
      <c r="G571" s="810"/>
      <c r="M571" s="593"/>
      <c r="N571" s="593"/>
    </row>
    <row r="572" spans="4:14" ht="19.5" customHeight="1">
      <c r="D572" s="810"/>
      <c r="E572" s="810"/>
      <c r="F572" s="810"/>
      <c r="G572" s="810"/>
      <c r="M572" s="593"/>
      <c r="N572" s="593"/>
    </row>
    <row r="573" spans="4:14" ht="19.5" customHeight="1">
      <c r="D573" s="810"/>
      <c r="E573" s="810"/>
      <c r="F573" s="810"/>
      <c r="G573" s="810"/>
      <c r="M573" s="593"/>
      <c r="N573" s="593"/>
    </row>
    <row r="574" spans="4:14" ht="19.5" customHeight="1">
      <c r="D574" s="810"/>
      <c r="E574" s="810"/>
      <c r="F574" s="810"/>
      <c r="G574" s="810"/>
      <c r="M574" s="593"/>
      <c r="N574" s="593"/>
    </row>
    <row r="575" spans="4:14" ht="19.5" customHeight="1">
      <c r="D575" s="810"/>
      <c r="E575" s="810"/>
      <c r="F575" s="810"/>
      <c r="G575" s="810"/>
      <c r="M575" s="593"/>
      <c r="N575" s="593"/>
    </row>
    <row r="576" spans="4:14" ht="19.5" customHeight="1">
      <c r="D576" s="810"/>
      <c r="E576" s="810"/>
      <c r="F576" s="810"/>
      <c r="G576" s="810"/>
      <c r="M576" s="593"/>
      <c r="N576" s="593"/>
    </row>
    <row r="577" spans="4:14" ht="19.5" customHeight="1">
      <c r="D577" s="810"/>
      <c r="E577" s="810"/>
      <c r="F577" s="810"/>
      <c r="G577" s="810"/>
      <c r="M577" s="593"/>
      <c r="N577" s="593"/>
    </row>
    <row r="578" spans="4:14" ht="19.5" customHeight="1">
      <c r="D578" s="810"/>
      <c r="E578" s="810"/>
      <c r="F578" s="810"/>
      <c r="G578" s="810"/>
      <c r="M578" s="593"/>
      <c r="N578" s="593"/>
    </row>
    <row r="579" spans="4:14" ht="19.5" customHeight="1">
      <c r="D579" s="810"/>
      <c r="E579" s="810"/>
      <c r="F579" s="810"/>
      <c r="G579" s="810"/>
      <c r="M579" s="593"/>
      <c r="N579" s="593"/>
    </row>
    <row r="580" spans="4:14" ht="19.5" customHeight="1">
      <c r="D580" s="810"/>
      <c r="E580" s="810"/>
      <c r="F580" s="810"/>
      <c r="G580" s="810"/>
      <c r="M580" s="593"/>
      <c r="N580" s="593"/>
    </row>
    <row r="581" spans="4:14" ht="19.5" customHeight="1">
      <c r="D581" s="810"/>
      <c r="E581" s="810"/>
      <c r="F581" s="810"/>
      <c r="G581" s="810"/>
      <c r="M581" s="593"/>
      <c r="N581" s="593"/>
    </row>
    <row r="582" spans="4:14" ht="19.5" customHeight="1">
      <c r="D582" s="810"/>
      <c r="E582" s="810"/>
      <c r="F582" s="810"/>
      <c r="G582" s="810"/>
      <c r="M582" s="593"/>
      <c r="N582" s="593"/>
    </row>
    <row r="583" spans="4:14" ht="19.5" customHeight="1">
      <c r="D583" s="810"/>
      <c r="E583" s="810"/>
      <c r="F583" s="810"/>
      <c r="G583" s="810"/>
      <c r="M583" s="593"/>
      <c r="N583" s="593"/>
    </row>
    <row r="584" spans="4:14" ht="19.5" customHeight="1">
      <c r="D584" s="810"/>
      <c r="E584" s="810"/>
      <c r="F584" s="810"/>
      <c r="G584" s="810"/>
      <c r="M584" s="593"/>
      <c r="N584" s="593"/>
    </row>
    <row r="585" spans="4:14" ht="19.5" customHeight="1">
      <c r="D585" s="810"/>
      <c r="E585" s="810"/>
      <c r="F585" s="810"/>
      <c r="G585" s="810"/>
      <c r="M585" s="593"/>
      <c r="N585" s="593"/>
    </row>
    <row r="586" spans="4:14" ht="19.5" customHeight="1">
      <c r="D586" s="810"/>
      <c r="E586" s="810"/>
      <c r="F586" s="810"/>
      <c r="G586" s="810"/>
      <c r="M586" s="593"/>
      <c r="N586" s="593"/>
    </row>
    <row r="587" spans="4:14" ht="19.5" customHeight="1">
      <c r="D587" s="810"/>
      <c r="E587" s="810"/>
      <c r="F587" s="810"/>
      <c r="G587" s="810"/>
      <c r="M587" s="593"/>
      <c r="N587" s="593"/>
    </row>
    <row r="588" spans="4:14" ht="19.5" customHeight="1">
      <c r="D588" s="810"/>
      <c r="E588" s="810"/>
      <c r="F588" s="810"/>
      <c r="G588" s="810"/>
      <c r="M588" s="593"/>
      <c r="N588" s="593"/>
    </row>
    <row r="589" spans="4:14" ht="19.5" customHeight="1">
      <c r="D589" s="810"/>
      <c r="E589" s="810"/>
      <c r="F589" s="810"/>
      <c r="G589" s="810"/>
      <c r="M589" s="593"/>
      <c r="N589" s="593"/>
    </row>
    <row r="590" spans="4:14" ht="19.5" customHeight="1">
      <c r="D590" s="810"/>
      <c r="E590" s="810"/>
      <c r="F590" s="810"/>
      <c r="G590" s="810"/>
      <c r="M590" s="593"/>
      <c r="N590" s="593"/>
    </row>
    <row r="591" spans="4:14" ht="19.5" customHeight="1">
      <c r="D591" s="810"/>
      <c r="E591" s="810"/>
      <c r="F591" s="810"/>
      <c r="G591" s="810"/>
      <c r="M591" s="593"/>
      <c r="N591" s="593"/>
    </row>
    <row r="592" spans="4:14" ht="19.5" customHeight="1">
      <c r="D592" s="810"/>
      <c r="E592" s="810"/>
      <c r="F592" s="810"/>
      <c r="G592" s="810"/>
      <c r="M592" s="593"/>
      <c r="N592" s="593"/>
    </row>
    <row r="593" spans="4:14" ht="19.5" customHeight="1">
      <c r="D593" s="810"/>
      <c r="E593" s="810"/>
      <c r="F593" s="810"/>
      <c r="G593" s="810"/>
      <c r="M593" s="593"/>
      <c r="N593" s="593"/>
    </row>
    <row r="594" spans="4:14" ht="19.5" customHeight="1">
      <c r="D594" s="810"/>
      <c r="E594" s="810"/>
      <c r="F594" s="810"/>
      <c r="G594" s="810"/>
      <c r="M594" s="593"/>
      <c r="N594" s="593"/>
    </row>
    <row r="595" spans="4:14" ht="19.5" customHeight="1">
      <c r="D595" s="810"/>
      <c r="E595" s="810"/>
      <c r="F595" s="810"/>
      <c r="G595" s="810"/>
      <c r="M595" s="593"/>
      <c r="N595" s="593"/>
    </row>
    <row r="596" spans="4:14" ht="19.5" customHeight="1">
      <c r="D596" s="810"/>
      <c r="E596" s="810"/>
      <c r="F596" s="810"/>
      <c r="G596" s="810"/>
      <c r="M596" s="593"/>
      <c r="N596" s="593"/>
    </row>
    <row r="597" spans="4:14" ht="19.5" customHeight="1">
      <c r="D597" s="810"/>
      <c r="E597" s="810"/>
      <c r="F597" s="810"/>
      <c r="G597" s="810"/>
      <c r="M597" s="593"/>
      <c r="N597" s="593"/>
    </row>
    <row r="598" spans="4:14" ht="19.5" customHeight="1">
      <c r="D598" s="810"/>
      <c r="E598" s="810"/>
      <c r="F598" s="810"/>
      <c r="G598" s="810"/>
      <c r="M598" s="593"/>
      <c r="N598" s="593"/>
    </row>
    <row r="599" spans="4:14" ht="19.5" customHeight="1">
      <c r="D599" s="810"/>
      <c r="E599" s="810"/>
      <c r="F599" s="810"/>
      <c r="G599" s="810"/>
      <c r="M599" s="593"/>
      <c r="N599" s="593"/>
    </row>
    <row r="600" spans="4:14" ht="19.5" customHeight="1">
      <c r="D600" s="810"/>
      <c r="E600" s="810"/>
      <c r="F600" s="810"/>
      <c r="G600" s="810"/>
      <c r="M600" s="593"/>
      <c r="N600" s="593"/>
    </row>
    <row r="601" spans="4:14" ht="19.5" customHeight="1">
      <c r="D601" s="810"/>
      <c r="E601" s="810"/>
      <c r="F601" s="810"/>
      <c r="G601" s="810"/>
      <c r="M601" s="593"/>
      <c r="N601" s="593"/>
    </row>
    <row r="602" spans="4:14" ht="19.5" customHeight="1">
      <c r="D602" s="810"/>
      <c r="E602" s="810"/>
      <c r="F602" s="810"/>
      <c r="G602" s="810"/>
      <c r="M602" s="593"/>
      <c r="N602" s="593"/>
    </row>
    <row r="603" spans="4:14" ht="19.5" customHeight="1">
      <c r="D603" s="810"/>
      <c r="E603" s="810"/>
      <c r="F603" s="810"/>
      <c r="G603" s="810"/>
      <c r="M603" s="593"/>
      <c r="N603" s="593"/>
    </row>
    <row r="604" spans="4:14" ht="19.5" customHeight="1">
      <c r="D604" s="810"/>
      <c r="E604" s="810"/>
      <c r="F604" s="810"/>
      <c r="G604" s="810"/>
      <c r="M604" s="593"/>
      <c r="N604" s="593"/>
    </row>
    <row r="605" spans="4:14" ht="19.5" customHeight="1">
      <c r="D605" s="810"/>
      <c r="E605" s="810"/>
      <c r="F605" s="810"/>
      <c r="G605" s="810"/>
      <c r="M605" s="593"/>
      <c r="N605" s="593"/>
    </row>
    <row r="606" spans="4:14" ht="19.5" customHeight="1">
      <c r="D606" s="810"/>
      <c r="E606" s="810"/>
      <c r="F606" s="810"/>
      <c r="G606" s="810"/>
      <c r="M606" s="593"/>
      <c r="N606" s="593"/>
    </row>
    <row r="607" spans="4:14" ht="19.5" customHeight="1">
      <c r="D607" s="810"/>
      <c r="E607" s="810"/>
      <c r="F607" s="810"/>
      <c r="G607" s="810"/>
      <c r="M607" s="593"/>
      <c r="N607" s="593"/>
    </row>
    <row r="608" spans="4:14" ht="19.5" customHeight="1">
      <c r="D608" s="810"/>
      <c r="E608" s="810"/>
      <c r="F608" s="810"/>
      <c r="G608" s="810"/>
      <c r="M608" s="593"/>
      <c r="N608" s="593"/>
    </row>
    <row r="609" spans="4:14" ht="19.5" customHeight="1">
      <c r="D609" s="810"/>
      <c r="E609" s="810"/>
      <c r="F609" s="810"/>
      <c r="G609" s="810"/>
      <c r="M609" s="593"/>
      <c r="N609" s="593"/>
    </row>
    <row r="610" spans="4:14" ht="19.5" customHeight="1">
      <c r="D610" s="810"/>
      <c r="E610" s="810"/>
      <c r="F610" s="810"/>
      <c r="G610" s="810"/>
      <c r="M610" s="593"/>
      <c r="N610" s="593"/>
    </row>
    <row r="611" spans="4:14" ht="19.5" customHeight="1">
      <c r="D611" s="810"/>
      <c r="E611" s="810"/>
      <c r="F611" s="810"/>
      <c r="G611" s="810"/>
      <c r="M611" s="593"/>
      <c r="N611" s="593"/>
    </row>
    <row r="612" spans="4:14" ht="19.5" customHeight="1">
      <c r="D612" s="810"/>
      <c r="E612" s="810"/>
      <c r="F612" s="810"/>
      <c r="G612" s="810"/>
      <c r="M612" s="593"/>
      <c r="N612" s="593"/>
    </row>
    <row r="613" spans="4:14" ht="19.5" customHeight="1">
      <c r="D613" s="810"/>
      <c r="E613" s="810"/>
      <c r="F613" s="810"/>
      <c r="G613" s="810"/>
      <c r="M613" s="593"/>
      <c r="N613" s="593"/>
    </row>
    <row r="614" spans="4:14" ht="19.5" customHeight="1">
      <c r="D614" s="810"/>
      <c r="E614" s="810"/>
      <c r="F614" s="810"/>
      <c r="G614" s="810"/>
      <c r="M614" s="593"/>
      <c r="N614" s="593"/>
    </row>
    <row r="615" spans="4:14" ht="19.5" customHeight="1">
      <c r="D615" s="810"/>
      <c r="E615" s="810"/>
      <c r="F615" s="810"/>
      <c r="G615" s="810"/>
      <c r="M615" s="593"/>
      <c r="N615" s="593"/>
    </row>
    <row r="616" spans="4:14" ht="19.5" customHeight="1">
      <c r="D616" s="810"/>
      <c r="E616" s="810"/>
      <c r="F616" s="810"/>
      <c r="G616" s="810"/>
      <c r="M616" s="593"/>
      <c r="N616" s="593"/>
    </row>
    <row r="617" spans="4:14" ht="19.5" customHeight="1">
      <c r="D617" s="810"/>
      <c r="E617" s="810"/>
      <c r="F617" s="810"/>
      <c r="G617" s="810"/>
      <c r="M617" s="593"/>
      <c r="N617" s="593"/>
    </row>
    <row r="618" spans="4:14" ht="19.5" customHeight="1">
      <c r="D618" s="810"/>
      <c r="E618" s="810"/>
      <c r="F618" s="810"/>
      <c r="G618" s="810"/>
      <c r="M618" s="593"/>
      <c r="N618" s="593"/>
    </row>
    <row r="619" spans="4:14" ht="19.5" customHeight="1">
      <c r="D619" s="810"/>
      <c r="E619" s="810"/>
      <c r="F619" s="810"/>
      <c r="G619" s="810"/>
      <c r="M619" s="593"/>
      <c r="N619" s="593"/>
    </row>
    <row r="620" spans="4:14" ht="19.5" customHeight="1">
      <c r="D620" s="810"/>
      <c r="E620" s="810"/>
      <c r="F620" s="810"/>
      <c r="G620" s="810"/>
      <c r="M620" s="593"/>
      <c r="N620" s="593"/>
    </row>
    <row r="621" spans="4:14" ht="19.5" customHeight="1">
      <c r="D621" s="810"/>
      <c r="E621" s="810"/>
      <c r="F621" s="810"/>
      <c r="G621" s="810"/>
      <c r="M621" s="593"/>
      <c r="N621" s="593"/>
    </row>
    <row r="622" spans="4:14" ht="19.5" customHeight="1">
      <c r="D622" s="810"/>
      <c r="E622" s="810"/>
      <c r="F622" s="810"/>
      <c r="G622" s="810"/>
      <c r="M622" s="593"/>
      <c r="N622" s="593"/>
    </row>
    <row r="623" spans="4:14" ht="19.5" customHeight="1">
      <c r="D623" s="810"/>
      <c r="E623" s="810"/>
      <c r="F623" s="810"/>
      <c r="G623" s="810"/>
      <c r="M623" s="593"/>
      <c r="N623" s="593"/>
    </row>
    <row r="624" spans="4:14" ht="19.5" customHeight="1">
      <c r="D624" s="810"/>
      <c r="E624" s="810"/>
      <c r="F624" s="810"/>
      <c r="G624" s="810"/>
      <c r="M624" s="593"/>
      <c r="N624" s="593"/>
    </row>
    <row r="625" spans="4:14" ht="19.5" customHeight="1">
      <c r="D625" s="810"/>
      <c r="E625" s="810"/>
      <c r="F625" s="810"/>
      <c r="G625" s="810"/>
      <c r="M625" s="593"/>
      <c r="N625" s="593"/>
    </row>
    <row r="626" spans="4:14" ht="19.5" customHeight="1">
      <c r="D626" s="810"/>
      <c r="E626" s="810"/>
      <c r="F626" s="810"/>
      <c r="G626" s="810"/>
      <c r="M626" s="593"/>
      <c r="N626" s="593"/>
    </row>
    <row r="627" spans="4:14" ht="19.5" customHeight="1">
      <c r="D627" s="810"/>
      <c r="E627" s="810"/>
      <c r="F627" s="810"/>
      <c r="G627" s="810"/>
      <c r="M627" s="593"/>
      <c r="N627" s="593"/>
    </row>
    <row r="628" spans="4:14" ht="19.5" customHeight="1">
      <c r="D628" s="810"/>
      <c r="E628" s="810"/>
      <c r="F628" s="810"/>
      <c r="G628" s="810"/>
      <c r="M628" s="593"/>
      <c r="N628" s="593"/>
    </row>
    <row r="629" spans="4:14" ht="19.5" customHeight="1">
      <c r="D629" s="810"/>
      <c r="E629" s="810"/>
      <c r="F629" s="810"/>
      <c r="G629" s="810"/>
      <c r="M629" s="593"/>
      <c r="N629" s="593"/>
    </row>
    <row r="630" spans="4:14" ht="19.5" customHeight="1">
      <c r="D630" s="810"/>
      <c r="E630" s="810"/>
      <c r="F630" s="810"/>
      <c r="G630" s="810"/>
      <c r="M630" s="593"/>
      <c r="N630" s="593"/>
    </row>
    <row r="631" spans="4:14" ht="19.5" customHeight="1">
      <c r="D631" s="810"/>
      <c r="E631" s="810"/>
      <c r="F631" s="810"/>
      <c r="G631" s="810"/>
      <c r="M631" s="593"/>
      <c r="N631" s="593"/>
    </row>
    <row r="632" spans="4:14" ht="19.5" customHeight="1">
      <c r="D632" s="810"/>
      <c r="E632" s="810"/>
      <c r="F632" s="810"/>
      <c r="G632" s="810"/>
      <c r="M632" s="593"/>
      <c r="N632" s="593"/>
    </row>
    <row r="633" spans="4:14" ht="19.5" customHeight="1">
      <c r="D633" s="810"/>
      <c r="E633" s="810"/>
      <c r="F633" s="810"/>
      <c r="G633" s="810"/>
      <c r="M633" s="593"/>
      <c r="N633" s="593"/>
    </row>
    <row r="634" spans="4:14" ht="19.5" customHeight="1">
      <c r="D634" s="810"/>
      <c r="E634" s="810"/>
      <c r="F634" s="810"/>
      <c r="G634" s="810"/>
      <c r="M634" s="593"/>
      <c r="N634" s="593"/>
    </row>
    <row r="635" spans="4:14" ht="19.5" customHeight="1">
      <c r="D635" s="810"/>
      <c r="E635" s="810"/>
      <c r="F635" s="810"/>
      <c r="G635" s="810"/>
      <c r="M635" s="593"/>
      <c r="N635" s="593"/>
    </row>
    <row r="636" spans="4:14" ht="19.5" customHeight="1">
      <c r="D636" s="810"/>
      <c r="E636" s="810"/>
      <c r="F636" s="810"/>
      <c r="G636" s="810"/>
      <c r="M636" s="593"/>
      <c r="N636" s="593"/>
    </row>
    <row r="637" spans="4:14" ht="19.5" customHeight="1">
      <c r="D637" s="810"/>
      <c r="E637" s="810"/>
      <c r="F637" s="810"/>
      <c r="G637" s="810"/>
      <c r="M637" s="593"/>
      <c r="N637" s="593"/>
    </row>
    <row r="638" spans="4:14" ht="19.5" customHeight="1">
      <c r="D638" s="810"/>
      <c r="E638" s="810"/>
      <c r="F638" s="810"/>
      <c r="G638" s="810"/>
      <c r="M638" s="593"/>
      <c r="N638" s="593"/>
    </row>
    <row r="639" spans="4:14" ht="19.5" customHeight="1">
      <c r="D639" s="810"/>
      <c r="E639" s="810"/>
      <c r="F639" s="810"/>
      <c r="G639" s="810"/>
      <c r="M639" s="593"/>
      <c r="N639" s="593"/>
    </row>
    <row r="640" spans="4:14" ht="19.5" customHeight="1">
      <c r="D640" s="810"/>
      <c r="E640" s="810"/>
      <c r="F640" s="810"/>
      <c r="G640" s="810"/>
      <c r="M640" s="593"/>
      <c r="N640" s="593"/>
    </row>
    <row r="641" spans="4:14" ht="19.5" customHeight="1">
      <c r="D641" s="810"/>
      <c r="E641" s="810"/>
      <c r="F641" s="810"/>
      <c r="G641" s="810"/>
      <c r="M641" s="593"/>
      <c r="N641" s="593"/>
    </row>
    <row r="642" spans="4:14" ht="19.5" customHeight="1">
      <c r="D642" s="810"/>
      <c r="E642" s="810"/>
      <c r="F642" s="810"/>
      <c r="G642" s="810"/>
      <c r="M642" s="593"/>
      <c r="N642" s="593"/>
    </row>
    <row r="643" spans="4:14" ht="19.5" customHeight="1">
      <c r="D643" s="810"/>
      <c r="E643" s="810"/>
      <c r="F643" s="810"/>
      <c r="G643" s="810"/>
      <c r="M643" s="593"/>
      <c r="N643" s="593"/>
    </row>
    <row r="644" spans="4:14" ht="19.5" customHeight="1">
      <c r="D644" s="810"/>
      <c r="E644" s="810"/>
      <c r="F644" s="810"/>
      <c r="G644" s="810"/>
      <c r="M644" s="593"/>
      <c r="N644" s="593"/>
    </row>
    <row r="645" spans="4:14" ht="19.5" customHeight="1">
      <c r="D645" s="810"/>
      <c r="E645" s="810"/>
      <c r="F645" s="810"/>
      <c r="G645" s="810"/>
      <c r="M645" s="593"/>
      <c r="N645" s="593"/>
    </row>
    <row r="646" spans="4:14" ht="19.5" customHeight="1">
      <c r="D646" s="810"/>
      <c r="E646" s="810"/>
      <c r="F646" s="810"/>
      <c r="G646" s="810"/>
      <c r="M646" s="593"/>
      <c r="N646" s="593"/>
    </row>
    <row r="647" spans="4:14" ht="19.5" customHeight="1">
      <c r="D647" s="810"/>
      <c r="E647" s="810"/>
      <c r="F647" s="810"/>
      <c r="G647" s="810"/>
      <c r="M647" s="593"/>
      <c r="N647" s="593"/>
    </row>
    <row r="648" spans="4:14" ht="19.5" customHeight="1">
      <c r="D648" s="810"/>
      <c r="E648" s="810"/>
      <c r="F648" s="810"/>
      <c r="G648" s="810"/>
      <c r="M648" s="593"/>
      <c r="N648" s="593"/>
    </row>
    <row r="649" spans="4:14" ht="19.5" customHeight="1">
      <c r="D649" s="810"/>
      <c r="E649" s="810"/>
      <c r="F649" s="810"/>
      <c r="G649" s="810"/>
      <c r="M649" s="593"/>
      <c r="N649" s="593"/>
    </row>
    <row r="650" spans="4:14" ht="19.5" customHeight="1">
      <c r="D650" s="810"/>
      <c r="E650" s="810"/>
      <c r="F650" s="810"/>
      <c r="G650" s="810"/>
      <c r="M650" s="593"/>
      <c r="N650" s="593"/>
    </row>
    <row r="651" spans="4:14" ht="19.5" customHeight="1">
      <c r="D651" s="810"/>
      <c r="E651" s="810"/>
      <c r="F651" s="810"/>
      <c r="G651" s="810"/>
      <c r="M651" s="593"/>
      <c r="N651" s="593"/>
    </row>
    <row r="652" spans="4:14" ht="19.5" customHeight="1">
      <c r="D652" s="810"/>
      <c r="E652" s="810"/>
      <c r="F652" s="810"/>
      <c r="G652" s="810"/>
      <c r="M652" s="593"/>
      <c r="N652" s="593"/>
    </row>
    <row r="653" spans="4:14" ht="19.5" customHeight="1">
      <c r="D653" s="810"/>
      <c r="E653" s="810"/>
      <c r="F653" s="810"/>
      <c r="G653" s="810"/>
      <c r="M653" s="593"/>
      <c r="N653" s="593"/>
    </row>
    <row r="654" spans="4:14" ht="19.5" customHeight="1">
      <c r="D654" s="810"/>
      <c r="E654" s="810"/>
      <c r="F654" s="810"/>
      <c r="G654" s="810"/>
      <c r="M654" s="593"/>
      <c r="N654" s="593"/>
    </row>
    <row r="655" spans="4:14" ht="19.5" customHeight="1">
      <c r="D655" s="810"/>
      <c r="E655" s="810"/>
      <c r="F655" s="810"/>
      <c r="G655" s="810"/>
      <c r="M655" s="593"/>
      <c r="N655" s="593"/>
    </row>
    <row r="656" spans="4:14" ht="19.5" customHeight="1">
      <c r="D656" s="810"/>
      <c r="E656" s="810"/>
      <c r="F656" s="810"/>
      <c r="G656" s="810"/>
      <c r="M656" s="593"/>
      <c r="N656" s="593"/>
    </row>
    <row r="657" spans="4:14" ht="19.5" customHeight="1">
      <c r="D657" s="810"/>
      <c r="E657" s="810"/>
      <c r="F657" s="810"/>
      <c r="G657" s="810"/>
      <c r="M657" s="593"/>
      <c r="N657" s="593"/>
    </row>
    <row r="658" spans="4:14" ht="19.5" customHeight="1">
      <c r="D658" s="810"/>
      <c r="E658" s="810"/>
      <c r="F658" s="810"/>
      <c r="G658" s="810"/>
      <c r="M658" s="593"/>
      <c r="N658" s="593"/>
    </row>
    <row r="659" spans="4:14" ht="19.5" customHeight="1">
      <c r="D659" s="810"/>
      <c r="E659" s="810"/>
      <c r="F659" s="810"/>
      <c r="G659" s="810"/>
      <c r="M659" s="593"/>
      <c r="N659" s="593"/>
    </row>
    <row r="660" spans="4:14" ht="19.5" customHeight="1">
      <c r="D660" s="810"/>
      <c r="E660" s="810"/>
      <c r="F660" s="810"/>
      <c r="G660" s="810"/>
      <c r="M660" s="593"/>
      <c r="N660" s="593"/>
    </row>
    <row r="661" spans="4:14" ht="19.5" customHeight="1">
      <c r="D661" s="810"/>
      <c r="E661" s="810"/>
      <c r="F661" s="810"/>
      <c r="G661" s="810"/>
      <c r="M661" s="593"/>
      <c r="N661" s="593"/>
    </row>
    <row r="662" spans="4:14" ht="19.5" customHeight="1">
      <c r="D662" s="810"/>
      <c r="E662" s="810"/>
      <c r="F662" s="810"/>
      <c r="G662" s="810"/>
      <c r="M662" s="593"/>
      <c r="N662" s="593"/>
    </row>
    <row r="663" spans="4:14" ht="19.5" customHeight="1">
      <c r="D663" s="810"/>
      <c r="E663" s="810"/>
      <c r="F663" s="810"/>
      <c r="G663" s="810"/>
      <c r="M663" s="593"/>
      <c r="N663" s="593"/>
    </row>
    <row r="664" spans="4:14" ht="19.5" customHeight="1">
      <c r="D664" s="810"/>
      <c r="E664" s="810"/>
      <c r="F664" s="810"/>
      <c r="G664" s="810"/>
      <c r="M664" s="593"/>
      <c r="N664" s="593"/>
    </row>
    <row r="665" spans="4:14" ht="19.5" customHeight="1">
      <c r="D665" s="810"/>
      <c r="E665" s="810"/>
      <c r="F665" s="810"/>
      <c r="G665" s="810"/>
      <c r="M665" s="593"/>
      <c r="N665" s="593"/>
    </row>
    <row r="666" spans="4:14" ht="19.5" customHeight="1">
      <c r="D666" s="810"/>
      <c r="E666" s="810"/>
      <c r="F666" s="810"/>
      <c r="G666" s="810"/>
      <c r="M666" s="593"/>
      <c r="N666" s="593"/>
    </row>
    <row r="667" spans="4:14" ht="19.5" customHeight="1">
      <c r="D667" s="810"/>
      <c r="E667" s="810"/>
      <c r="F667" s="810"/>
      <c r="G667" s="810"/>
      <c r="M667" s="593"/>
      <c r="N667" s="593"/>
    </row>
    <row r="668" spans="4:14" ht="19.5" customHeight="1">
      <c r="D668" s="810"/>
      <c r="E668" s="810"/>
      <c r="F668" s="810"/>
      <c r="G668" s="810"/>
      <c r="M668" s="593"/>
      <c r="N668" s="593"/>
    </row>
    <row r="669" spans="4:14" ht="19.5" customHeight="1">
      <c r="D669" s="810"/>
      <c r="E669" s="810"/>
      <c r="F669" s="810"/>
      <c r="G669" s="810"/>
      <c r="M669" s="593"/>
      <c r="N669" s="593"/>
    </row>
    <row r="670" spans="4:14" ht="19.5" customHeight="1">
      <c r="D670" s="810"/>
      <c r="E670" s="810"/>
      <c r="F670" s="810"/>
      <c r="G670" s="810"/>
      <c r="M670" s="593"/>
      <c r="N670" s="593"/>
    </row>
    <row r="671" spans="4:14" ht="19.5" customHeight="1">
      <c r="D671" s="810"/>
      <c r="E671" s="810"/>
      <c r="F671" s="810"/>
      <c r="G671" s="810"/>
      <c r="M671" s="593"/>
      <c r="N671" s="593"/>
    </row>
    <row r="672" spans="4:14" ht="19.5" customHeight="1">
      <c r="D672" s="810"/>
      <c r="E672" s="810"/>
      <c r="F672" s="810"/>
      <c r="G672" s="810"/>
      <c r="M672" s="593"/>
      <c r="N672" s="593"/>
    </row>
    <row r="673" spans="4:14" ht="19.5" customHeight="1">
      <c r="D673" s="810"/>
      <c r="E673" s="810"/>
      <c r="F673" s="810"/>
      <c r="G673" s="810"/>
      <c r="M673" s="593"/>
      <c r="N673" s="593"/>
    </row>
    <row r="674" spans="4:14" ht="19.5" customHeight="1">
      <c r="D674" s="810"/>
      <c r="E674" s="810"/>
      <c r="F674" s="810"/>
      <c r="G674" s="810"/>
      <c r="M674" s="593"/>
      <c r="N674" s="593"/>
    </row>
    <row r="675" spans="4:14" ht="19.5" customHeight="1">
      <c r="D675" s="810"/>
      <c r="E675" s="810"/>
      <c r="F675" s="810"/>
      <c r="G675" s="810"/>
      <c r="M675" s="593"/>
      <c r="N675" s="593"/>
    </row>
    <row r="676" spans="4:14" ht="19.5" customHeight="1">
      <c r="D676" s="810"/>
      <c r="E676" s="810"/>
      <c r="F676" s="810"/>
      <c r="G676" s="810"/>
      <c r="M676" s="593"/>
      <c r="N676" s="593"/>
    </row>
    <row r="677" spans="4:14" ht="19.5" customHeight="1">
      <c r="D677" s="810"/>
      <c r="E677" s="810"/>
      <c r="F677" s="810"/>
      <c r="G677" s="810"/>
      <c r="M677" s="593"/>
      <c r="N677" s="593"/>
    </row>
    <row r="678" spans="4:14" ht="19.5" customHeight="1">
      <c r="D678" s="810"/>
      <c r="E678" s="810"/>
      <c r="F678" s="810"/>
      <c r="G678" s="810"/>
      <c r="M678" s="593"/>
      <c r="N678" s="593"/>
    </row>
    <row r="679" spans="4:14" ht="19.5" customHeight="1">
      <c r="D679" s="810"/>
      <c r="E679" s="810"/>
      <c r="F679" s="810"/>
      <c r="G679" s="810"/>
      <c r="M679" s="593"/>
      <c r="N679" s="593"/>
    </row>
    <row r="680" spans="4:14" ht="19.5" customHeight="1">
      <c r="D680" s="810"/>
      <c r="E680" s="810"/>
      <c r="F680" s="810"/>
      <c r="G680" s="810"/>
      <c r="M680" s="593"/>
      <c r="N680" s="593"/>
    </row>
    <row r="681" spans="4:14" ht="19.5" customHeight="1">
      <c r="D681" s="810"/>
      <c r="E681" s="810"/>
      <c r="F681" s="810"/>
      <c r="G681" s="810"/>
      <c r="M681" s="593"/>
      <c r="N681" s="593"/>
    </row>
    <row r="682" spans="4:14" ht="19.5" customHeight="1">
      <c r="D682" s="810"/>
      <c r="E682" s="810"/>
      <c r="F682" s="810"/>
      <c r="G682" s="810"/>
      <c r="M682" s="593"/>
      <c r="N682" s="593"/>
    </row>
    <row r="683" spans="4:14" ht="19.5" customHeight="1">
      <c r="D683" s="810"/>
      <c r="E683" s="810"/>
      <c r="F683" s="810"/>
      <c r="G683" s="810"/>
      <c r="M683" s="593"/>
      <c r="N683" s="593"/>
    </row>
    <row r="684" spans="4:14" ht="19.5" customHeight="1">
      <c r="D684" s="810"/>
      <c r="E684" s="810"/>
      <c r="F684" s="810"/>
      <c r="G684" s="810"/>
      <c r="M684" s="593"/>
      <c r="N684" s="593"/>
    </row>
    <row r="685" spans="4:14" ht="19.5" customHeight="1">
      <c r="D685" s="810"/>
      <c r="E685" s="810"/>
      <c r="F685" s="810"/>
      <c r="G685" s="810"/>
      <c r="M685" s="593"/>
      <c r="N685" s="593"/>
    </row>
    <row r="686" spans="4:14" ht="19.5" customHeight="1">
      <c r="D686" s="810"/>
      <c r="E686" s="810"/>
      <c r="F686" s="810"/>
      <c r="G686" s="810"/>
      <c r="M686" s="593"/>
      <c r="N686" s="593"/>
    </row>
    <row r="687" spans="4:14" ht="19.5" customHeight="1">
      <c r="D687" s="810"/>
      <c r="E687" s="810"/>
      <c r="F687" s="810"/>
      <c r="G687" s="810"/>
      <c r="M687" s="593"/>
      <c r="N687" s="593"/>
    </row>
    <row r="688" spans="4:14" ht="19.5" customHeight="1">
      <c r="D688" s="810"/>
      <c r="E688" s="810"/>
      <c r="F688" s="810"/>
      <c r="G688" s="810"/>
      <c r="M688" s="593"/>
      <c r="N688" s="593"/>
    </row>
    <row r="689" spans="4:14" ht="19.5" customHeight="1">
      <c r="D689" s="810"/>
      <c r="E689" s="810"/>
      <c r="F689" s="810"/>
      <c r="G689" s="810"/>
      <c r="M689" s="593"/>
      <c r="N689" s="593"/>
    </row>
    <row r="690" spans="4:14" ht="19.5" customHeight="1">
      <c r="D690" s="810"/>
      <c r="E690" s="810"/>
      <c r="F690" s="810"/>
      <c r="G690" s="810"/>
      <c r="M690" s="593"/>
      <c r="N690" s="593"/>
    </row>
    <row r="691" spans="4:14" ht="19.5" customHeight="1">
      <c r="D691" s="810"/>
      <c r="E691" s="810"/>
      <c r="F691" s="810"/>
      <c r="G691" s="810"/>
      <c r="M691" s="593"/>
      <c r="N691" s="593"/>
    </row>
    <row r="692" spans="4:14" ht="19.5" customHeight="1">
      <c r="D692" s="810"/>
      <c r="E692" s="810"/>
      <c r="F692" s="810"/>
      <c r="G692" s="810"/>
      <c r="M692" s="593"/>
      <c r="N692" s="593"/>
    </row>
    <row r="693" spans="4:14" ht="19.5" customHeight="1">
      <c r="D693" s="810"/>
      <c r="E693" s="810"/>
      <c r="F693" s="810"/>
      <c r="G693" s="810"/>
      <c r="M693" s="593"/>
      <c r="N693" s="593"/>
    </row>
    <row r="694" spans="4:14" ht="19.5" customHeight="1">
      <c r="D694" s="810"/>
      <c r="E694" s="810"/>
      <c r="F694" s="810"/>
      <c r="G694" s="810"/>
      <c r="M694" s="593"/>
      <c r="N694" s="593"/>
    </row>
    <row r="695" spans="4:14" ht="19.5" customHeight="1">
      <c r="D695" s="810"/>
      <c r="E695" s="810"/>
      <c r="F695" s="810"/>
      <c r="G695" s="810"/>
      <c r="M695" s="593"/>
      <c r="N695" s="593"/>
    </row>
    <row r="696" spans="4:14" ht="19.5" customHeight="1">
      <c r="D696" s="810"/>
      <c r="E696" s="810"/>
      <c r="F696" s="810"/>
      <c r="G696" s="810"/>
      <c r="M696" s="593"/>
      <c r="N696" s="593"/>
    </row>
    <row r="697" spans="4:14" ht="19.5" customHeight="1">
      <c r="D697" s="810"/>
      <c r="E697" s="810"/>
      <c r="F697" s="810"/>
      <c r="G697" s="810"/>
      <c r="M697" s="593"/>
      <c r="N697" s="593"/>
    </row>
    <row r="698" spans="4:14" ht="19.5" customHeight="1">
      <c r="D698" s="810"/>
      <c r="E698" s="810"/>
      <c r="F698" s="810"/>
      <c r="G698" s="810"/>
      <c r="M698" s="593"/>
      <c r="N698" s="593"/>
    </row>
    <row r="699" spans="4:14" ht="19.5" customHeight="1">
      <c r="D699" s="810"/>
      <c r="E699" s="810"/>
      <c r="F699" s="810"/>
      <c r="G699" s="810"/>
      <c r="M699" s="593"/>
      <c r="N699" s="593"/>
    </row>
    <row r="700" spans="4:14" ht="19.5" customHeight="1">
      <c r="D700" s="810"/>
      <c r="E700" s="810"/>
      <c r="F700" s="810"/>
      <c r="G700" s="810"/>
      <c r="M700" s="593"/>
      <c r="N700" s="593"/>
    </row>
    <row r="701" spans="4:14" ht="19.5" customHeight="1">
      <c r="D701" s="810"/>
      <c r="E701" s="810"/>
      <c r="F701" s="810"/>
      <c r="G701" s="810"/>
      <c r="M701" s="593"/>
      <c r="N701" s="593"/>
    </row>
    <row r="702" spans="4:14" ht="19.5" customHeight="1">
      <c r="D702" s="810"/>
      <c r="E702" s="810"/>
      <c r="F702" s="810"/>
      <c r="G702" s="810"/>
      <c r="M702" s="593"/>
      <c r="N702" s="593"/>
    </row>
    <row r="703" spans="4:14" ht="19.5" customHeight="1">
      <c r="D703" s="810"/>
      <c r="E703" s="810"/>
      <c r="F703" s="810"/>
      <c r="G703" s="810"/>
      <c r="M703" s="593"/>
      <c r="N703" s="593"/>
    </row>
    <row r="704" spans="4:14" ht="19.5" customHeight="1">
      <c r="D704" s="810"/>
      <c r="E704" s="810"/>
      <c r="F704" s="810"/>
      <c r="G704" s="810"/>
      <c r="M704" s="593"/>
      <c r="N704" s="593"/>
    </row>
    <row r="705" spans="4:14" ht="19.5" customHeight="1">
      <c r="D705" s="810"/>
      <c r="E705" s="810"/>
      <c r="F705" s="810"/>
      <c r="G705" s="810"/>
      <c r="M705" s="593"/>
      <c r="N705" s="593"/>
    </row>
    <row r="706" spans="4:14" ht="19.5" customHeight="1">
      <c r="D706" s="810"/>
      <c r="E706" s="810"/>
      <c r="F706" s="810"/>
      <c r="G706" s="810"/>
      <c r="M706" s="593"/>
      <c r="N706" s="593"/>
    </row>
    <row r="707" spans="4:14" ht="19.5" customHeight="1">
      <c r="D707" s="810"/>
      <c r="E707" s="810"/>
      <c r="F707" s="810"/>
      <c r="G707" s="810"/>
      <c r="M707" s="593"/>
      <c r="N707" s="593"/>
    </row>
    <row r="708" spans="4:14" ht="19.5" customHeight="1">
      <c r="D708" s="810"/>
      <c r="E708" s="810"/>
      <c r="F708" s="810"/>
      <c r="G708" s="810"/>
      <c r="M708" s="593"/>
      <c r="N708" s="593"/>
    </row>
    <row r="709" spans="4:14" ht="19.5" customHeight="1">
      <c r="D709" s="810"/>
      <c r="E709" s="810"/>
      <c r="F709" s="810"/>
      <c r="G709" s="810"/>
      <c r="M709" s="593"/>
      <c r="N709" s="593"/>
    </row>
    <row r="710" spans="4:14" ht="19.5" customHeight="1">
      <c r="D710" s="810"/>
      <c r="E710" s="810"/>
      <c r="F710" s="810"/>
      <c r="G710" s="810"/>
      <c r="M710" s="593"/>
      <c r="N710" s="593"/>
    </row>
    <row r="711" spans="4:14" ht="19.5" customHeight="1">
      <c r="D711" s="810"/>
      <c r="E711" s="810"/>
      <c r="F711" s="810"/>
      <c r="G711" s="810"/>
      <c r="M711" s="593"/>
      <c r="N711" s="593"/>
    </row>
    <row r="712" spans="4:14" ht="19.5" customHeight="1">
      <c r="D712" s="810"/>
      <c r="E712" s="810"/>
      <c r="F712" s="810"/>
      <c r="G712" s="810"/>
      <c r="M712" s="593"/>
      <c r="N712" s="593"/>
    </row>
    <row r="713" spans="4:14" ht="19.5" customHeight="1">
      <c r="D713" s="810"/>
      <c r="E713" s="810"/>
      <c r="F713" s="810"/>
      <c r="G713" s="810"/>
      <c r="M713" s="593"/>
      <c r="N713" s="593"/>
    </row>
    <row r="714" spans="4:14" ht="19.5" customHeight="1">
      <c r="D714" s="810"/>
      <c r="E714" s="810"/>
      <c r="F714" s="810"/>
      <c r="G714" s="810"/>
      <c r="M714" s="593"/>
      <c r="N714" s="593"/>
    </row>
    <row r="715" spans="4:14" ht="19.5" customHeight="1">
      <c r="D715" s="810"/>
      <c r="E715" s="810"/>
      <c r="F715" s="810"/>
      <c r="G715" s="810"/>
      <c r="M715" s="593"/>
      <c r="N715" s="593"/>
    </row>
    <row r="716" spans="4:14" ht="19.5" customHeight="1">
      <c r="D716" s="810"/>
      <c r="E716" s="810"/>
      <c r="F716" s="810"/>
      <c r="G716" s="810"/>
      <c r="M716" s="593"/>
      <c r="N716" s="593"/>
    </row>
    <row r="717" spans="4:14" ht="19.5" customHeight="1">
      <c r="D717" s="810"/>
      <c r="E717" s="810"/>
      <c r="F717" s="810"/>
      <c r="G717" s="810"/>
      <c r="M717" s="593"/>
      <c r="N717" s="593"/>
    </row>
    <row r="718" spans="4:14" ht="19.5" customHeight="1">
      <c r="D718" s="810"/>
      <c r="E718" s="810"/>
      <c r="F718" s="810"/>
      <c r="G718" s="810"/>
      <c r="M718" s="593"/>
      <c r="N718" s="593"/>
    </row>
    <row r="719" spans="4:14" ht="19.5" customHeight="1">
      <c r="D719" s="810"/>
      <c r="E719" s="810"/>
      <c r="F719" s="810"/>
      <c r="G719" s="810"/>
      <c r="M719" s="593"/>
      <c r="N719" s="593"/>
    </row>
    <row r="720" spans="4:14" ht="19.5" customHeight="1">
      <c r="D720" s="810"/>
      <c r="E720" s="810"/>
      <c r="F720" s="810"/>
      <c r="G720" s="810"/>
      <c r="M720" s="593"/>
      <c r="N720" s="593"/>
    </row>
    <row r="721" spans="4:14" ht="19.5" customHeight="1">
      <c r="D721" s="810"/>
      <c r="E721" s="810"/>
      <c r="F721" s="810"/>
      <c r="G721" s="810"/>
      <c r="M721" s="593"/>
      <c r="N721" s="593"/>
    </row>
    <row r="722" spans="4:14" ht="19.5" customHeight="1">
      <c r="D722" s="810"/>
      <c r="E722" s="810"/>
      <c r="F722" s="810"/>
      <c r="G722" s="810"/>
      <c r="M722" s="593"/>
      <c r="N722" s="593"/>
    </row>
    <row r="723" spans="4:14" ht="19.5" customHeight="1">
      <c r="D723" s="810"/>
      <c r="E723" s="810"/>
      <c r="F723" s="810"/>
      <c r="G723" s="810"/>
      <c r="M723" s="593"/>
      <c r="N723" s="593"/>
    </row>
    <row r="724" spans="4:14" ht="19.5" customHeight="1">
      <c r="D724" s="810"/>
      <c r="E724" s="810"/>
      <c r="F724" s="810"/>
      <c r="G724" s="810"/>
      <c r="M724" s="593"/>
      <c r="N724" s="593"/>
    </row>
    <row r="725" spans="4:14" ht="19.5" customHeight="1">
      <c r="D725" s="810"/>
      <c r="E725" s="810"/>
      <c r="F725" s="810"/>
      <c r="G725" s="810"/>
      <c r="M725" s="593"/>
      <c r="N725" s="593"/>
    </row>
    <row r="726" spans="4:14" ht="19.5" customHeight="1">
      <c r="D726" s="810"/>
      <c r="E726" s="810"/>
      <c r="F726" s="810"/>
      <c r="G726" s="810"/>
      <c r="M726" s="593"/>
      <c r="N726" s="593"/>
    </row>
    <row r="727" spans="4:14" ht="19.5" customHeight="1">
      <c r="D727" s="810"/>
      <c r="E727" s="810"/>
      <c r="F727" s="810"/>
      <c r="G727" s="810"/>
      <c r="M727" s="593"/>
      <c r="N727" s="593"/>
    </row>
    <row r="728" spans="4:14" ht="19.5" customHeight="1">
      <c r="D728" s="810"/>
      <c r="E728" s="810"/>
      <c r="F728" s="810"/>
      <c r="G728" s="810"/>
      <c r="M728" s="593"/>
      <c r="N728" s="593"/>
    </row>
    <row r="729" spans="4:14" ht="19.5" customHeight="1">
      <c r="D729" s="810"/>
      <c r="E729" s="810"/>
      <c r="F729" s="810"/>
      <c r="G729" s="810"/>
      <c r="M729" s="593"/>
      <c r="N729" s="593"/>
    </row>
    <row r="730" spans="4:14" ht="19.5" customHeight="1">
      <c r="D730" s="810"/>
      <c r="E730" s="810"/>
      <c r="F730" s="810"/>
      <c r="G730" s="810"/>
      <c r="M730" s="593"/>
      <c r="N730" s="593"/>
    </row>
    <row r="731" spans="4:14" ht="19.5" customHeight="1">
      <c r="D731" s="810"/>
      <c r="E731" s="810"/>
      <c r="F731" s="810"/>
      <c r="G731" s="810"/>
      <c r="M731" s="593"/>
      <c r="N731" s="593"/>
    </row>
    <row r="732" spans="4:14" ht="19.5" customHeight="1">
      <c r="D732" s="810"/>
      <c r="E732" s="810"/>
      <c r="F732" s="810"/>
      <c r="G732" s="810"/>
      <c r="M732" s="593"/>
      <c r="N732" s="593"/>
    </row>
    <row r="733" spans="4:14" ht="19.5" customHeight="1">
      <c r="D733" s="810"/>
      <c r="E733" s="810"/>
      <c r="F733" s="810"/>
      <c r="G733" s="810"/>
      <c r="M733" s="593"/>
      <c r="N733" s="593"/>
    </row>
    <row r="734" spans="4:14" ht="19.5" customHeight="1">
      <c r="D734" s="810"/>
      <c r="E734" s="810"/>
      <c r="F734" s="810"/>
      <c r="G734" s="810"/>
      <c r="M734" s="593"/>
      <c r="N734" s="593"/>
    </row>
    <row r="735" spans="4:14" ht="19.5" customHeight="1">
      <c r="D735" s="810"/>
      <c r="E735" s="810"/>
      <c r="F735" s="810"/>
      <c r="G735" s="810"/>
      <c r="M735" s="593"/>
      <c r="N735" s="593"/>
    </row>
    <row r="736" spans="4:14" ht="19.5" customHeight="1">
      <c r="D736" s="810"/>
      <c r="E736" s="810"/>
      <c r="F736" s="810"/>
      <c r="G736" s="810"/>
      <c r="M736" s="593"/>
      <c r="N736" s="593"/>
    </row>
    <row r="737" spans="4:14" ht="19.5" customHeight="1">
      <c r="D737" s="810"/>
      <c r="E737" s="810"/>
      <c r="F737" s="810"/>
      <c r="G737" s="810"/>
      <c r="M737" s="593"/>
      <c r="N737" s="593"/>
    </row>
    <row r="738" spans="4:14" ht="19.5" customHeight="1">
      <c r="D738" s="810"/>
      <c r="E738" s="810"/>
      <c r="F738" s="810"/>
      <c r="G738" s="810"/>
      <c r="M738" s="593"/>
      <c r="N738" s="593"/>
    </row>
    <row r="739" spans="4:14" ht="19.5" customHeight="1">
      <c r="D739" s="810"/>
      <c r="E739" s="810"/>
      <c r="F739" s="810"/>
      <c r="G739" s="810"/>
      <c r="M739" s="593"/>
      <c r="N739" s="593"/>
    </row>
    <row r="740" spans="4:14" ht="19.5" customHeight="1">
      <c r="D740" s="810"/>
      <c r="E740" s="810"/>
      <c r="F740" s="810"/>
      <c r="G740" s="810"/>
      <c r="M740" s="593"/>
      <c r="N740" s="593"/>
    </row>
    <row r="741" spans="4:14" ht="19.5" customHeight="1">
      <c r="D741" s="810"/>
      <c r="E741" s="810"/>
      <c r="F741" s="810"/>
      <c r="G741" s="810"/>
      <c r="M741" s="593"/>
      <c r="N741" s="593"/>
    </row>
    <row r="742" spans="4:14" ht="19.5" customHeight="1">
      <c r="D742" s="810"/>
      <c r="E742" s="810"/>
      <c r="F742" s="810"/>
      <c r="G742" s="810"/>
      <c r="M742" s="593"/>
      <c r="N742" s="593"/>
    </row>
    <row r="743" spans="4:14" ht="19.5" customHeight="1">
      <c r="D743" s="810"/>
      <c r="E743" s="810"/>
      <c r="F743" s="810"/>
      <c r="G743" s="810"/>
      <c r="M743" s="593"/>
      <c r="N743" s="593"/>
    </row>
    <row r="744" spans="4:14" ht="19.5" customHeight="1">
      <c r="D744" s="810"/>
      <c r="E744" s="810"/>
      <c r="F744" s="810"/>
      <c r="G744" s="810"/>
      <c r="M744" s="593"/>
      <c r="N744" s="593"/>
    </row>
    <row r="745" spans="4:14" ht="19.5" customHeight="1">
      <c r="D745" s="810"/>
      <c r="E745" s="810"/>
      <c r="F745" s="810"/>
      <c r="G745" s="810"/>
      <c r="M745" s="593"/>
      <c r="N745" s="593"/>
    </row>
    <row r="746" spans="4:14" ht="19.5" customHeight="1">
      <c r="D746" s="810"/>
      <c r="E746" s="810"/>
      <c r="F746" s="810"/>
      <c r="G746" s="810"/>
      <c r="M746" s="593"/>
      <c r="N746" s="593"/>
    </row>
    <row r="747" spans="4:14" ht="19.5" customHeight="1">
      <c r="D747" s="810"/>
      <c r="E747" s="810"/>
      <c r="F747" s="810"/>
      <c r="G747" s="810"/>
      <c r="M747" s="593"/>
      <c r="N747" s="593"/>
    </row>
    <row r="748" spans="4:14" ht="19.5" customHeight="1">
      <c r="D748" s="810"/>
      <c r="E748" s="810"/>
      <c r="F748" s="810"/>
      <c r="G748" s="810"/>
      <c r="M748" s="593"/>
      <c r="N748" s="593"/>
    </row>
    <row r="749" spans="4:14" ht="19.5" customHeight="1">
      <c r="D749" s="810"/>
      <c r="E749" s="810"/>
      <c r="F749" s="810"/>
      <c r="G749" s="810"/>
      <c r="M749" s="593"/>
      <c r="N749" s="593"/>
    </row>
    <row r="750" spans="4:14" ht="19.5" customHeight="1">
      <c r="D750" s="810"/>
      <c r="E750" s="810"/>
      <c r="F750" s="810"/>
      <c r="G750" s="810"/>
      <c r="M750" s="593"/>
      <c r="N750" s="593"/>
    </row>
    <row r="751" spans="4:14" ht="19.5" customHeight="1">
      <c r="D751" s="810"/>
      <c r="E751" s="810"/>
      <c r="F751" s="810"/>
      <c r="G751" s="810"/>
      <c r="M751" s="593"/>
      <c r="N751" s="593"/>
    </row>
    <row r="752" spans="4:14" ht="19.5" customHeight="1">
      <c r="D752" s="810"/>
      <c r="E752" s="810"/>
      <c r="F752" s="810"/>
      <c r="G752" s="810"/>
      <c r="M752" s="593"/>
      <c r="N752" s="593"/>
    </row>
    <row r="753" spans="4:14" ht="19.5" customHeight="1">
      <c r="D753" s="810"/>
      <c r="E753" s="810"/>
      <c r="F753" s="810"/>
      <c r="G753" s="810"/>
      <c r="M753" s="593"/>
      <c r="N753" s="593"/>
    </row>
    <row r="754" spans="4:14" ht="19.5" customHeight="1">
      <c r="D754" s="810"/>
      <c r="E754" s="810"/>
      <c r="F754" s="810"/>
      <c r="G754" s="810"/>
      <c r="M754" s="593"/>
      <c r="N754" s="593"/>
    </row>
    <row r="755" spans="4:14" ht="19.5" customHeight="1">
      <c r="D755" s="810"/>
      <c r="E755" s="810"/>
      <c r="F755" s="810"/>
      <c r="G755" s="810"/>
      <c r="M755" s="593"/>
      <c r="N755" s="593"/>
    </row>
    <row r="756" spans="4:14" ht="19.5" customHeight="1">
      <c r="D756" s="810"/>
      <c r="E756" s="810"/>
      <c r="F756" s="810"/>
      <c r="G756" s="810"/>
      <c r="M756" s="593"/>
      <c r="N756" s="593"/>
    </row>
    <row r="757" spans="4:14" ht="19.5" customHeight="1">
      <c r="D757" s="810"/>
      <c r="E757" s="810"/>
      <c r="F757" s="810"/>
      <c r="G757" s="810"/>
      <c r="M757" s="593"/>
      <c r="N757" s="593"/>
    </row>
    <row r="758" spans="4:14" ht="19.5" customHeight="1">
      <c r="D758" s="810"/>
      <c r="E758" s="810"/>
      <c r="F758" s="810"/>
      <c r="G758" s="810"/>
      <c r="M758" s="593"/>
      <c r="N758" s="593"/>
    </row>
    <row r="759" spans="4:14" ht="19.5" customHeight="1">
      <c r="D759" s="810"/>
      <c r="E759" s="810"/>
      <c r="F759" s="810"/>
      <c r="G759" s="810"/>
      <c r="M759" s="593"/>
      <c r="N759" s="593"/>
    </row>
    <row r="760" spans="4:14" ht="19.5" customHeight="1">
      <c r="D760" s="810"/>
      <c r="E760" s="810"/>
      <c r="F760" s="810"/>
      <c r="G760" s="810"/>
      <c r="M760" s="593"/>
      <c r="N760" s="593"/>
    </row>
    <row r="761" spans="4:14" ht="19.5" customHeight="1">
      <c r="D761" s="810"/>
      <c r="E761" s="810"/>
      <c r="F761" s="810"/>
      <c r="G761" s="810"/>
      <c r="M761" s="593"/>
      <c r="N761" s="593"/>
    </row>
    <row r="762" spans="4:14" ht="19.5" customHeight="1">
      <c r="D762" s="810"/>
      <c r="E762" s="810"/>
      <c r="F762" s="810"/>
      <c r="G762" s="810"/>
      <c r="M762" s="593"/>
      <c r="N762" s="593"/>
    </row>
    <row r="763" spans="4:14" ht="19.5" customHeight="1">
      <c r="D763" s="810"/>
      <c r="E763" s="810"/>
      <c r="F763" s="810"/>
      <c r="G763" s="810"/>
      <c r="M763" s="593"/>
      <c r="N763" s="593"/>
    </row>
    <row r="764" spans="4:14" ht="19.5" customHeight="1">
      <c r="D764" s="810"/>
      <c r="E764" s="810"/>
      <c r="F764" s="810"/>
      <c r="G764" s="810"/>
      <c r="M764" s="593"/>
      <c r="N764" s="593"/>
    </row>
    <row r="765" spans="4:14" ht="19.5" customHeight="1">
      <c r="D765" s="810"/>
      <c r="E765" s="810"/>
      <c r="F765" s="810"/>
      <c r="G765" s="810"/>
      <c r="M765" s="593"/>
      <c r="N765" s="593"/>
    </row>
    <row r="766" spans="4:14" ht="19.5" customHeight="1">
      <c r="D766" s="810"/>
      <c r="E766" s="810"/>
      <c r="F766" s="810"/>
      <c r="G766" s="810"/>
      <c r="M766" s="593"/>
      <c r="N766" s="593"/>
    </row>
    <row r="767" spans="4:14" ht="19.5" customHeight="1">
      <c r="D767" s="810"/>
      <c r="E767" s="810"/>
      <c r="F767" s="810"/>
      <c r="G767" s="810"/>
      <c r="M767" s="593"/>
      <c r="N767" s="593"/>
    </row>
    <row r="768" spans="4:14" ht="19.5" customHeight="1">
      <c r="D768" s="810"/>
      <c r="E768" s="810"/>
      <c r="F768" s="810"/>
      <c r="G768" s="810"/>
      <c r="M768" s="593"/>
      <c r="N768" s="593"/>
    </row>
    <row r="769" spans="4:14" ht="19.5" customHeight="1">
      <c r="D769" s="810"/>
      <c r="E769" s="810"/>
      <c r="F769" s="810"/>
      <c r="G769" s="810"/>
      <c r="M769" s="593"/>
      <c r="N769" s="593"/>
    </row>
    <row r="770" spans="4:14" ht="19.5" customHeight="1">
      <c r="D770" s="810"/>
      <c r="E770" s="810"/>
      <c r="F770" s="810"/>
      <c r="G770" s="810"/>
      <c r="M770" s="593"/>
      <c r="N770" s="593"/>
    </row>
    <row r="771" spans="4:14" ht="19.5" customHeight="1">
      <c r="D771" s="810"/>
      <c r="E771" s="810"/>
      <c r="F771" s="810"/>
      <c r="G771" s="810"/>
      <c r="M771" s="593"/>
      <c r="N771" s="593"/>
    </row>
    <row r="772" spans="4:14" ht="19.5" customHeight="1">
      <c r="D772" s="810"/>
      <c r="E772" s="810"/>
      <c r="F772" s="810"/>
      <c r="G772" s="810"/>
      <c r="M772" s="593"/>
      <c r="N772" s="593"/>
    </row>
    <row r="773" spans="4:14" ht="19.5" customHeight="1">
      <c r="D773" s="810"/>
      <c r="E773" s="810"/>
      <c r="F773" s="810"/>
      <c r="G773" s="810"/>
      <c r="M773" s="593"/>
      <c r="N773" s="593"/>
    </row>
    <row r="774" spans="4:14" ht="19.5" customHeight="1">
      <c r="D774" s="810"/>
      <c r="E774" s="810"/>
      <c r="F774" s="810"/>
      <c r="G774" s="810"/>
      <c r="M774" s="593"/>
      <c r="N774" s="593"/>
    </row>
    <row r="775" spans="4:14" ht="19.5" customHeight="1">
      <c r="D775" s="810"/>
      <c r="E775" s="810"/>
      <c r="F775" s="810"/>
      <c r="G775" s="810"/>
      <c r="M775" s="593"/>
      <c r="N775" s="593"/>
    </row>
    <row r="776" spans="4:14" ht="19.5" customHeight="1">
      <c r="D776" s="810"/>
      <c r="E776" s="810"/>
      <c r="F776" s="810"/>
      <c r="G776" s="810"/>
      <c r="M776" s="593"/>
      <c r="N776" s="593"/>
    </row>
    <row r="777" spans="4:14" ht="19.5" customHeight="1">
      <c r="D777" s="810"/>
      <c r="E777" s="810"/>
      <c r="F777" s="810"/>
      <c r="G777" s="810"/>
      <c r="M777" s="593"/>
      <c r="N777" s="593"/>
    </row>
    <row r="778" spans="4:14" ht="19.5" customHeight="1">
      <c r="D778" s="810"/>
      <c r="E778" s="810"/>
      <c r="F778" s="810"/>
      <c r="G778" s="810"/>
      <c r="M778" s="593"/>
      <c r="N778" s="593"/>
    </row>
    <row r="779" spans="4:14" ht="19.5" customHeight="1">
      <c r="D779" s="810"/>
      <c r="E779" s="810"/>
      <c r="F779" s="810"/>
      <c r="G779" s="810"/>
      <c r="M779" s="593"/>
      <c r="N779" s="593"/>
    </row>
    <row r="780" spans="4:14" ht="19.5" customHeight="1">
      <c r="D780" s="810"/>
      <c r="E780" s="810"/>
      <c r="F780" s="810"/>
      <c r="G780" s="810"/>
      <c r="M780" s="593"/>
      <c r="N780" s="593"/>
    </row>
    <row r="781" spans="4:14" ht="19.5" customHeight="1">
      <c r="D781" s="810"/>
      <c r="E781" s="810"/>
      <c r="F781" s="810"/>
      <c r="G781" s="810"/>
      <c r="M781" s="593"/>
      <c r="N781" s="593"/>
    </row>
    <row r="782" spans="4:14" ht="19.5" customHeight="1">
      <c r="D782" s="810"/>
      <c r="E782" s="810"/>
      <c r="F782" s="810"/>
      <c r="G782" s="810"/>
      <c r="M782" s="593"/>
      <c r="N782" s="593"/>
    </row>
    <row r="783" spans="4:14" ht="19.5" customHeight="1">
      <c r="D783" s="810"/>
      <c r="E783" s="810"/>
      <c r="F783" s="810"/>
      <c r="G783" s="810"/>
      <c r="M783" s="593"/>
      <c r="N783" s="593"/>
    </row>
    <row r="784" spans="4:14" ht="19.5" customHeight="1">
      <c r="D784" s="810"/>
      <c r="E784" s="810"/>
      <c r="F784" s="810"/>
      <c r="G784" s="810"/>
      <c r="M784" s="593"/>
      <c r="N784" s="593"/>
    </row>
    <row r="785" spans="4:14" ht="19.5" customHeight="1">
      <c r="D785" s="810"/>
      <c r="E785" s="810"/>
      <c r="F785" s="810"/>
      <c r="G785" s="810"/>
      <c r="M785" s="593"/>
      <c r="N785" s="593"/>
    </row>
    <row r="786" spans="4:14" ht="19.5" customHeight="1">
      <c r="D786" s="810"/>
      <c r="E786" s="810"/>
      <c r="F786" s="810"/>
      <c r="G786" s="810"/>
      <c r="M786" s="593"/>
      <c r="N786" s="593"/>
    </row>
    <row r="787" spans="4:14" ht="19.5" customHeight="1">
      <c r="D787" s="810"/>
      <c r="E787" s="810"/>
      <c r="F787" s="810"/>
      <c r="G787" s="810"/>
      <c r="M787" s="593"/>
      <c r="N787" s="593"/>
    </row>
    <row r="788" spans="4:14" ht="19.5" customHeight="1">
      <c r="D788" s="810"/>
      <c r="E788" s="810"/>
      <c r="F788" s="810"/>
      <c r="G788" s="810"/>
      <c r="M788" s="593"/>
      <c r="N788" s="593"/>
    </row>
    <row r="789" spans="4:14" ht="19.5" customHeight="1">
      <c r="D789" s="810"/>
      <c r="E789" s="810"/>
      <c r="F789" s="810"/>
      <c r="G789" s="810"/>
      <c r="M789" s="593"/>
      <c r="N789" s="593"/>
    </row>
    <row r="790" spans="4:14" ht="19.5" customHeight="1">
      <c r="D790" s="810"/>
      <c r="E790" s="810"/>
      <c r="F790" s="810"/>
      <c r="G790" s="810"/>
      <c r="M790" s="593"/>
      <c r="N790" s="593"/>
    </row>
    <row r="791" spans="4:14" ht="19.5" customHeight="1">
      <c r="D791" s="810"/>
      <c r="E791" s="810"/>
      <c r="F791" s="810"/>
      <c r="G791" s="810"/>
      <c r="M791" s="593"/>
      <c r="N791" s="593"/>
    </row>
    <row r="792" spans="4:14" ht="19.5" customHeight="1">
      <c r="D792" s="810"/>
      <c r="E792" s="810"/>
      <c r="F792" s="810"/>
      <c r="G792" s="810"/>
      <c r="M792" s="593"/>
      <c r="N792" s="593"/>
    </row>
    <row r="793" spans="4:14" ht="19.5" customHeight="1">
      <c r="D793" s="810"/>
      <c r="E793" s="810"/>
      <c r="F793" s="810"/>
      <c r="G793" s="810"/>
      <c r="M793" s="593"/>
      <c r="N793" s="593"/>
    </row>
    <row r="794" spans="4:14" ht="19.5" customHeight="1">
      <c r="D794" s="810"/>
      <c r="E794" s="810"/>
      <c r="F794" s="810"/>
      <c r="G794" s="810"/>
      <c r="M794" s="593"/>
      <c r="N794" s="593"/>
    </row>
    <row r="795" spans="4:14" ht="19.5" customHeight="1">
      <c r="D795" s="810"/>
      <c r="E795" s="810"/>
      <c r="F795" s="810"/>
      <c r="G795" s="810"/>
      <c r="M795" s="593"/>
      <c r="N795" s="593"/>
    </row>
    <row r="796" spans="4:14" ht="19.5" customHeight="1">
      <c r="D796" s="810"/>
      <c r="E796" s="810"/>
      <c r="F796" s="810"/>
      <c r="G796" s="810"/>
      <c r="M796" s="593"/>
      <c r="N796" s="593"/>
    </row>
    <row r="797" spans="4:14" ht="19.5" customHeight="1">
      <c r="D797" s="810"/>
      <c r="E797" s="810"/>
      <c r="F797" s="810"/>
      <c r="G797" s="810"/>
      <c r="M797" s="593"/>
      <c r="N797" s="593"/>
    </row>
    <row r="798" spans="4:14" ht="19.5" customHeight="1">
      <c r="D798" s="810"/>
      <c r="E798" s="810"/>
      <c r="F798" s="810"/>
      <c r="G798" s="810"/>
      <c r="M798" s="593"/>
      <c r="N798" s="593"/>
    </row>
    <row r="799" spans="4:14" ht="19.5" customHeight="1">
      <c r="D799" s="810"/>
      <c r="E799" s="810"/>
      <c r="F799" s="810"/>
      <c r="G799" s="810"/>
      <c r="M799" s="593"/>
      <c r="N799" s="593"/>
    </row>
    <row r="800" spans="4:14" ht="19.5" customHeight="1">
      <c r="D800" s="810"/>
      <c r="E800" s="810"/>
      <c r="F800" s="810"/>
      <c r="G800" s="810"/>
      <c r="M800" s="593"/>
      <c r="N800" s="593"/>
    </row>
    <row r="801" spans="4:14" ht="19.5" customHeight="1">
      <c r="D801" s="810"/>
      <c r="E801" s="810"/>
      <c r="F801" s="810"/>
      <c r="G801" s="810"/>
      <c r="M801" s="593"/>
      <c r="N801" s="593"/>
    </row>
    <row r="802" spans="4:14" ht="19.5" customHeight="1">
      <c r="D802" s="810"/>
      <c r="E802" s="810"/>
      <c r="F802" s="810"/>
      <c r="G802" s="810"/>
      <c r="M802" s="593"/>
      <c r="N802" s="593"/>
    </row>
    <row r="803" spans="4:14" ht="19.5" customHeight="1">
      <c r="D803" s="810"/>
      <c r="E803" s="810"/>
      <c r="F803" s="810"/>
      <c r="G803" s="810"/>
      <c r="M803" s="593"/>
      <c r="N803" s="593"/>
    </row>
    <row r="804" spans="4:14" ht="19.5" customHeight="1">
      <c r="D804" s="810"/>
      <c r="E804" s="810"/>
      <c r="F804" s="810"/>
      <c r="G804" s="810"/>
      <c r="M804" s="593"/>
      <c r="N804" s="593"/>
    </row>
    <row r="805" spans="4:14" ht="19.5" customHeight="1">
      <c r="D805" s="810"/>
      <c r="E805" s="810"/>
      <c r="F805" s="810"/>
      <c r="G805" s="810"/>
      <c r="M805" s="593"/>
      <c r="N805" s="593"/>
    </row>
    <row r="806" spans="4:14" ht="19.5" customHeight="1">
      <c r="D806" s="810"/>
      <c r="E806" s="810"/>
      <c r="F806" s="810"/>
      <c r="G806" s="810"/>
      <c r="M806" s="593"/>
      <c r="N806" s="593"/>
    </row>
    <row r="807" spans="4:14" ht="19.5" customHeight="1">
      <c r="D807" s="810"/>
      <c r="E807" s="810"/>
      <c r="F807" s="810"/>
      <c r="G807" s="810"/>
      <c r="M807" s="593"/>
      <c r="N807" s="593"/>
    </row>
    <row r="808" spans="4:14" ht="19.5" customHeight="1">
      <c r="D808" s="810"/>
      <c r="E808" s="810"/>
      <c r="F808" s="810"/>
      <c r="G808" s="810"/>
      <c r="M808" s="593"/>
      <c r="N808" s="593"/>
    </row>
    <row r="809" spans="4:14" ht="19.5" customHeight="1">
      <c r="D809" s="810"/>
      <c r="E809" s="810"/>
      <c r="F809" s="810"/>
      <c r="G809" s="810"/>
      <c r="M809" s="593"/>
      <c r="N809" s="593"/>
    </row>
    <row r="810" spans="4:14" ht="19.5" customHeight="1">
      <c r="D810" s="810"/>
      <c r="E810" s="810"/>
      <c r="F810" s="810"/>
      <c r="G810" s="810"/>
      <c r="M810" s="593"/>
      <c r="N810" s="593"/>
    </row>
    <row r="811" spans="4:14" ht="19.5" customHeight="1">
      <c r="D811" s="810"/>
      <c r="E811" s="810"/>
      <c r="F811" s="810"/>
      <c r="G811" s="810"/>
      <c r="M811" s="593"/>
      <c r="N811" s="593"/>
    </row>
    <row r="812" spans="4:14" ht="19.5" customHeight="1">
      <c r="D812" s="810"/>
      <c r="E812" s="810"/>
      <c r="F812" s="810"/>
      <c r="G812" s="810"/>
      <c r="M812" s="593"/>
      <c r="N812" s="593"/>
    </row>
    <row r="813" spans="4:14" ht="19.5" customHeight="1">
      <c r="D813" s="810"/>
      <c r="E813" s="810"/>
      <c r="F813" s="810"/>
      <c r="G813" s="810"/>
      <c r="M813" s="593"/>
      <c r="N813" s="593"/>
    </row>
    <row r="814" spans="4:14" ht="19.5" customHeight="1">
      <c r="D814" s="810"/>
      <c r="E814" s="810"/>
      <c r="F814" s="810"/>
      <c r="G814" s="810"/>
      <c r="M814" s="593"/>
      <c r="N814" s="593"/>
    </row>
    <row r="815" spans="4:14" ht="19.5" customHeight="1">
      <c r="D815" s="810"/>
      <c r="E815" s="810"/>
      <c r="F815" s="810"/>
      <c r="G815" s="810"/>
      <c r="M815" s="593"/>
      <c r="N815" s="593"/>
    </row>
    <row r="816" spans="4:14" ht="19.5" customHeight="1">
      <c r="D816" s="810"/>
      <c r="E816" s="810"/>
      <c r="F816" s="810"/>
      <c r="G816" s="810"/>
      <c r="M816" s="593"/>
      <c r="N816" s="593"/>
    </row>
    <row r="817" spans="4:14" ht="19.5" customHeight="1">
      <c r="D817" s="810"/>
      <c r="E817" s="810"/>
      <c r="F817" s="810"/>
      <c r="G817" s="810"/>
      <c r="M817" s="593"/>
      <c r="N817" s="593"/>
    </row>
    <row r="818" spans="4:14" ht="19.5" customHeight="1">
      <c r="D818" s="810"/>
      <c r="E818" s="810"/>
      <c r="F818" s="810"/>
      <c r="G818" s="810"/>
      <c r="M818" s="593"/>
      <c r="N818" s="593"/>
    </row>
    <row r="819" spans="4:14" ht="19.5" customHeight="1">
      <c r="D819" s="810"/>
      <c r="E819" s="810"/>
      <c r="F819" s="810"/>
      <c r="G819" s="810"/>
      <c r="M819" s="593"/>
      <c r="N819" s="593"/>
    </row>
    <row r="820" spans="4:14" ht="19.5" customHeight="1">
      <c r="D820" s="810"/>
      <c r="E820" s="810"/>
      <c r="F820" s="810"/>
      <c r="G820" s="810"/>
      <c r="M820" s="593"/>
      <c r="N820" s="593"/>
    </row>
    <row r="821" spans="4:14" ht="19.5" customHeight="1">
      <c r="D821" s="810"/>
      <c r="E821" s="810"/>
      <c r="F821" s="810"/>
      <c r="G821" s="810"/>
      <c r="M821" s="593"/>
      <c r="N821" s="593"/>
    </row>
    <row r="822" spans="4:14" ht="19.5" customHeight="1">
      <c r="D822" s="810"/>
      <c r="E822" s="810"/>
      <c r="F822" s="810"/>
      <c r="G822" s="810"/>
      <c r="M822" s="593"/>
      <c r="N822" s="593"/>
    </row>
    <row r="823" spans="4:14" ht="19.5" customHeight="1">
      <c r="D823" s="810"/>
      <c r="E823" s="810"/>
      <c r="F823" s="810"/>
      <c r="G823" s="810"/>
      <c r="M823" s="593"/>
      <c r="N823" s="593"/>
    </row>
    <row r="824" spans="4:14" ht="19.5" customHeight="1">
      <c r="D824" s="810"/>
      <c r="E824" s="810"/>
      <c r="F824" s="810"/>
      <c r="G824" s="810"/>
      <c r="M824" s="593"/>
      <c r="N824" s="593"/>
    </row>
    <row r="825" spans="4:14" ht="19.5" customHeight="1">
      <c r="D825" s="810"/>
      <c r="E825" s="810"/>
      <c r="F825" s="810"/>
      <c r="G825" s="810"/>
      <c r="M825" s="593"/>
      <c r="N825" s="593"/>
    </row>
    <row r="826" spans="4:14" ht="19.5" customHeight="1">
      <c r="D826" s="810"/>
      <c r="E826" s="810"/>
      <c r="F826" s="810"/>
      <c r="G826" s="810"/>
      <c r="M826" s="593"/>
      <c r="N826" s="593"/>
    </row>
    <row r="827" spans="4:14" ht="19.5" customHeight="1">
      <c r="D827" s="810"/>
      <c r="E827" s="810"/>
      <c r="F827" s="810"/>
      <c r="G827" s="810"/>
      <c r="M827" s="593"/>
      <c r="N827" s="593"/>
    </row>
    <row r="828" spans="4:14" ht="19.5" customHeight="1">
      <c r="D828" s="810"/>
      <c r="E828" s="810"/>
      <c r="F828" s="810"/>
      <c r="G828" s="810"/>
      <c r="M828" s="593"/>
      <c r="N828" s="593"/>
    </row>
    <row r="829" spans="4:14" ht="19.5" customHeight="1">
      <c r="D829" s="810"/>
      <c r="E829" s="810"/>
      <c r="F829" s="810"/>
      <c r="G829" s="810"/>
      <c r="M829" s="593"/>
      <c r="N829" s="593"/>
    </row>
    <row r="830" spans="4:14" ht="19.5" customHeight="1">
      <c r="D830" s="810"/>
      <c r="E830" s="810"/>
      <c r="F830" s="810"/>
      <c r="G830" s="810"/>
      <c r="M830" s="593"/>
      <c r="N830" s="593"/>
    </row>
    <row r="831" spans="4:14" ht="19.5" customHeight="1">
      <c r="D831" s="810"/>
      <c r="E831" s="810"/>
      <c r="F831" s="810"/>
      <c r="G831" s="810"/>
      <c r="M831" s="593"/>
      <c r="N831" s="593"/>
    </row>
    <row r="832" spans="4:14" ht="19.5" customHeight="1">
      <c r="D832" s="810"/>
      <c r="E832" s="810"/>
      <c r="F832" s="810"/>
      <c r="G832" s="810"/>
      <c r="M832" s="593"/>
      <c r="N832" s="593"/>
    </row>
    <row r="833" spans="4:14" ht="19.5" customHeight="1">
      <c r="D833" s="810"/>
      <c r="E833" s="810"/>
      <c r="F833" s="810"/>
      <c r="G833" s="810"/>
      <c r="M833" s="593"/>
      <c r="N833" s="593"/>
    </row>
    <row r="834" spans="4:14" ht="19.5" customHeight="1">
      <c r="D834" s="810"/>
      <c r="E834" s="810"/>
      <c r="F834" s="810"/>
      <c r="G834" s="810"/>
      <c r="M834" s="593"/>
      <c r="N834" s="593"/>
    </row>
    <row r="835" spans="4:14" ht="19.5" customHeight="1">
      <c r="D835" s="810"/>
      <c r="E835" s="810"/>
      <c r="F835" s="810"/>
      <c r="G835" s="810"/>
      <c r="M835" s="593"/>
      <c r="N835" s="593"/>
    </row>
    <row r="836" spans="4:14" ht="19.5" customHeight="1">
      <c r="D836" s="810"/>
      <c r="E836" s="810"/>
      <c r="F836" s="810"/>
      <c r="G836" s="810"/>
      <c r="M836" s="593"/>
      <c r="N836" s="593"/>
    </row>
    <row r="837" spans="4:14" ht="19.5" customHeight="1">
      <c r="D837" s="810"/>
      <c r="E837" s="810"/>
      <c r="F837" s="810"/>
      <c r="G837" s="810"/>
      <c r="M837" s="593"/>
      <c r="N837" s="593"/>
    </row>
    <row r="838" spans="4:14" ht="19.5" customHeight="1">
      <c r="D838" s="810"/>
      <c r="E838" s="810"/>
      <c r="F838" s="810"/>
      <c r="G838" s="810"/>
      <c r="M838" s="593"/>
      <c r="N838" s="593"/>
    </row>
    <row r="839" spans="4:14" ht="19.5" customHeight="1">
      <c r="D839" s="810"/>
      <c r="E839" s="810"/>
      <c r="F839" s="810"/>
      <c r="G839" s="810"/>
      <c r="M839" s="593"/>
      <c r="N839" s="593"/>
    </row>
    <row r="840" spans="4:14" ht="19.5" customHeight="1">
      <c r="D840" s="810"/>
      <c r="E840" s="810"/>
      <c r="F840" s="810"/>
      <c r="G840" s="810"/>
      <c r="M840" s="593"/>
      <c r="N840" s="593"/>
    </row>
    <row r="841" spans="4:14" ht="19.5" customHeight="1">
      <c r="D841" s="810"/>
      <c r="E841" s="810"/>
      <c r="F841" s="810"/>
      <c r="G841" s="810"/>
      <c r="M841" s="593"/>
      <c r="N841" s="593"/>
    </row>
    <row r="842" spans="4:14" ht="19.5" customHeight="1">
      <c r="D842" s="810"/>
      <c r="E842" s="810"/>
      <c r="F842" s="810"/>
      <c r="G842" s="810"/>
      <c r="M842" s="593"/>
      <c r="N842" s="593"/>
    </row>
    <row r="843" spans="4:14" ht="19.5" customHeight="1">
      <c r="D843" s="810"/>
      <c r="E843" s="810"/>
      <c r="F843" s="810"/>
      <c r="G843" s="810"/>
      <c r="M843" s="593"/>
      <c r="N843" s="593"/>
    </row>
    <row r="844" spans="4:14" ht="19.5" customHeight="1">
      <c r="D844" s="810"/>
      <c r="E844" s="810"/>
      <c r="F844" s="810"/>
      <c r="G844" s="810"/>
      <c r="M844" s="593"/>
      <c r="N844" s="593"/>
    </row>
    <row r="845" spans="4:14" ht="19.5" customHeight="1">
      <c r="D845" s="810"/>
      <c r="E845" s="810"/>
      <c r="F845" s="810"/>
      <c r="G845" s="810"/>
      <c r="M845" s="593"/>
      <c r="N845" s="593"/>
    </row>
    <row r="846" spans="4:14" ht="19.5" customHeight="1">
      <c r="D846" s="810"/>
      <c r="E846" s="810"/>
      <c r="F846" s="810"/>
      <c r="G846" s="810"/>
      <c r="M846" s="593"/>
      <c r="N846" s="593"/>
    </row>
    <row r="847" spans="4:14" ht="19.5" customHeight="1">
      <c r="D847" s="810"/>
      <c r="E847" s="810"/>
      <c r="F847" s="810"/>
      <c r="G847" s="810"/>
      <c r="M847" s="593"/>
      <c r="N847" s="593"/>
    </row>
    <row r="848" spans="4:14" ht="19.5" customHeight="1">
      <c r="D848" s="810"/>
      <c r="E848" s="810"/>
      <c r="F848" s="810"/>
      <c r="G848" s="810"/>
      <c r="M848" s="593"/>
      <c r="N848" s="593"/>
    </row>
    <row r="849" spans="4:14" ht="19.5" customHeight="1">
      <c r="D849" s="810"/>
      <c r="E849" s="810"/>
      <c r="F849" s="810"/>
      <c r="G849" s="810"/>
      <c r="M849" s="593"/>
      <c r="N849" s="593"/>
    </row>
    <row r="850" spans="4:14" ht="19.5" customHeight="1">
      <c r="D850" s="810"/>
      <c r="E850" s="810"/>
      <c r="F850" s="810"/>
      <c r="G850" s="810"/>
      <c r="M850" s="593"/>
      <c r="N850" s="593"/>
    </row>
    <row r="851" spans="4:14" ht="19.5" customHeight="1">
      <c r="D851" s="810"/>
      <c r="E851" s="810"/>
      <c r="F851" s="810"/>
      <c r="G851" s="810"/>
      <c r="M851" s="593"/>
      <c r="N851" s="593"/>
    </row>
    <row r="852" spans="4:14" ht="19.5" customHeight="1">
      <c r="D852" s="810"/>
      <c r="E852" s="810"/>
      <c r="F852" s="810"/>
      <c r="G852" s="810"/>
      <c r="M852" s="593"/>
      <c r="N852" s="593"/>
    </row>
    <row r="853" spans="4:14" ht="19.5" customHeight="1">
      <c r="D853" s="810"/>
      <c r="E853" s="810"/>
      <c r="F853" s="810"/>
      <c r="G853" s="810"/>
      <c r="M853" s="593"/>
      <c r="N853" s="593"/>
    </row>
    <row r="854" spans="4:14" ht="19.5" customHeight="1">
      <c r="D854" s="810"/>
      <c r="E854" s="810"/>
      <c r="F854" s="810"/>
      <c r="G854" s="810"/>
      <c r="M854" s="593"/>
      <c r="N854" s="593"/>
    </row>
    <row r="855" spans="4:14" ht="19.5" customHeight="1">
      <c r="D855" s="810"/>
      <c r="E855" s="810"/>
      <c r="F855" s="810"/>
      <c r="G855" s="810"/>
      <c r="M855" s="593"/>
      <c r="N855" s="593"/>
    </row>
    <row r="856" spans="4:14" ht="19.5" customHeight="1">
      <c r="D856" s="810"/>
      <c r="E856" s="810"/>
      <c r="F856" s="810"/>
      <c r="G856" s="810"/>
      <c r="M856" s="593"/>
      <c r="N856" s="593"/>
    </row>
    <row r="857" spans="4:14" ht="19.5" customHeight="1">
      <c r="D857" s="810"/>
      <c r="E857" s="810"/>
      <c r="F857" s="810"/>
      <c r="G857" s="810"/>
      <c r="M857" s="593"/>
      <c r="N857" s="593"/>
    </row>
    <row r="858" spans="4:14" ht="19.5" customHeight="1">
      <c r="D858" s="810"/>
      <c r="E858" s="810"/>
      <c r="F858" s="810"/>
      <c r="G858" s="810"/>
      <c r="M858" s="593"/>
      <c r="N858" s="593"/>
    </row>
    <row r="859" spans="4:14" ht="19.5" customHeight="1">
      <c r="D859" s="810"/>
      <c r="E859" s="810"/>
      <c r="F859" s="810"/>
      <c r="G859" s="810"/>
      <c r="M859" s="593"/>
      <c r="N859" s="593"/>
    </row>
    <row r="860" spans="4:14" ht="19.5" customHeight="1">
      <c r="D860" s="810"/>
      <c r="E860" s="810"/>
      <c r="F860" s="810"/>
      <c r="G860" s="810"/>
      <c r="M860" s="593"/>
      <c r="N860" s="593"/>
    </row>
    <row r="861" spans="4:14" ht="19.5" customHeight="1">
      <c r="D861" s="810"/>
      <c r="E861" s="810"/>
      <c r="F861" s="810"/>
      <c r="G861" s="810"/>
      <c r="M861" s="593"/>
      <c r="N861" s="593"/>
    </row>
    <row r="862" spans="4:14" ht="19.5" customHeight="1">
      <c r="D862" s="810"/>
      <c r="E862" s="810"/>
      <c r="F862" s="810"/>
      <c r="G862" s="810"/>
      <c r="M862" s="593"/>
      <c r="N862" s="593"/>
    </row>
    <row r="863" spans="4:14" ht="19.5" customHeight="1">
      <c r="D863" s="810"/>
      <c r="E863" s="810"/>
      <c r="F863" s="810"/>
      <c r="G863" s="810"/>
      <c r="M863" s="593"/>
      <c r="N863" s="593"/>
    </row>
    <row r="864" spans="4:14" ht="19.5" customHeight="1">
      <c r="D864" s="810"/>
      <c r="E864" s="810"/>
      <c r="F864" s="810"/>
      <c r="G864" s="810"/>
      <c r="M864" s="593"/>
      <c r="N864" s="593"/>
    </row>
    <row r="865" spans="4:14" ht="19.5" customHeight="1">
      <c r="D865" s="810"/>
      <c r="E865" s="810"/>
      <c r="F865" s="810"/>
      <c r="G865" s="810"/>
      <c r="M865" s="593"/>
      <c r="N865" s="593"/>
    </row>
    <row r="866" spans="4:14" ht="19.5" customHeight="1">
      <c r="D866" s="810"/>
      <c r="E866" s="810"/>
      <c r="F866" s="810"/>
      <c r="G866" s="810"/>
      <c r="M866" s="593"/>
      <c r="N866" s="593"/>
    </row>
    <row r="867" spans="4:14" ht="19.5" customHeight="1">
      <c r="D867" s="810"/>
      <c r="E867" s="810"/>
      <c r="F867" s="810"/>
      <c r="G867" s="810"/>
      <c r="M867" s="593"/>
      <c r="N867" s="593"/>
    </row>
    <row r="868" spans="4:14" ht="19.5" customHeight="1">
      <c r="D868" s="810"/>
      <c r="E868" s="810"/>
      <c r="F868" s="810"/>
      <c r="G868" s="810"/>
      <c r="M868" s="593"/>
      <c r="N868" s="593"/>
    </row>
    <row r="869" spans="4:14" ht="19.5" customHeight="1">
      <c r="D869" s="810"/>
      <c r="E869" s="810"/>
      <c r="F869" s="810"/>
      <c r="G869" s="810"/>
      <c r="M869" s="593"/>
      <c r="N869" s="593"/>
    </row>
    <row r="870" spans="4:14" ht="19.5" customHeight="1">
      <c r="D870" s="810"/>
      <c r="E870" s="810"/>
      <c r="F870" s="810"/>
      <c r="G870" s="810"/>
      <c r="M870" s="593"/>
      <c r="N870" s="593"/>
    </row>
    <row r="871" spans="4:14" ht="19.5" customHeight="1">
      <c r="D871" s="810"/>
      <c r="E871" s="810"/>
      <c r="F871" s="810"/>
      <c r="G871" s="810"/>
      <c r="M871" s="593"/>
      <c r="N871" s="593"/>
    </row>
    <row r="872" spans="4:14" ht="19.5" customHeight="1">
      <c r="D872" s="810"/>
      <c r="E872" s="810"/>
      <c r="F872" s="810"/>
      <c r="G872" s="810"/>
      <c r="M872" s="593"/>
      <c r="N872" s="593"/>
    </row>
    <row r="873" spans="4:14" ht="19.5" customHeight="1">
      <c r="D873" s="810"/>
      <c r="E873" s="810"/>
      <c r="F873" s="810"/>
      <c r="G873" s="810"/>
      <c r="M873" s="593"/>
      <c r="N873" s="593"/>
    </row>
    <row r="874" spans="4:14" ht="19.5" customHeight="1">
      <c r="D874" s="810"/>
      <c r="E874" s="810"/>
      <c r="F874" s="810"/>
      <c r="G874" s="810"/>
      <c r="M874" s="593"/>
      <c r="N874" s="593"/>
    </row>
    <row r="875" spans="4:14" ht="19.5" customHeight="1">
      <c r="D875" s="810"/>
      <c r="E875" s="810"/>
      <c r="F875" s="810"/>
      <c r="G875" s="810"/>
      <c r="M875" s="593"/>
      <c r="N875" s="593"/>
    </row>
    <row r="876" spans="4:14" ht="19.5" customHeight="1">
      <c r="D876" s="810"/>
      <c r="E876" s="810"/>
      <c r="F876" s="810"/>
      <c r="G876" s="810"/>
      <c r="M876" s="593"/>
      <c r="N876" s="593"/>
    </row>
    <row r="877" spans="4:14" ht="19.5" customHeight="1">
      <c r="D877" s="810"/>
      <c r="E877" s="810"/>
      <c r="F877" s="810"/>
      <c r="G877" s="810"/>
      <c r="M877" s="593"/>
      <c r="N877" s="593"/>
    </row>
    <row r="878" spans="4:14" ht="19.5" customHeight="1">
      <c r="D878" s="810"/>
      <c r="E878" s="810"/>
      <c r="F878" s="810"/>
      <c r="G878" s="810"/>
      <c r="M878" s="593"/>
      <c r="N878" s="593"/>
    </row>
    <row r="879" spans="4:14" ht="19.5" customHeight="1">
      <c r="D879" s="810"/>
      <c r="E879" s="810"/>
      <c r="F879" s="810"/>
      <c r="G879" s="810"/>
      <c r="M879" s="593"/>
      <c r="N879" s="593"/>
    </row>
    <row r="880" spans="4:14" ht="19.5" customHeight="1">
      <c r="D880" s="810"/>
      <c r="E880" s="810"/>
      <c r="F880" s="810"/>
      <c r="G880" s="810"/>
      <c r="M880" s="593"/>
      <c r="N880" s="593"/>
    </row>
    <row r="881" spans="4:14" ht="19.5" customHeight="1">
      <c r="D881" s="810"/>
      <c r="E881" s="810"/>
      <c r="F881" s="810"/>
      <c r="G881" s="810"/>
      <c r="M881" s="593"/>
      <c r="N881" s="593"/>
    </row>
    <row r="882" spans="4:14" ht="19.5" customHeight="1">
      <c r="D882" s="810"/>
      <c r="E882" s="810"/>
      <c r="F882" s="810"/>
      <c r="G882" s="810"/>
      <c r="M882" s="593"/>
      <c r="N882" s="593"/>
    </row>
    <row r="883" spans="4:14" ht="19.5" customHeight="1">
      <c r="D883" s="810"/>
      <c r="E883" s="810"/>
      <c r="F883" s="810"/>
      <c r="G883" s="810"/>
      <c r="M883" s="593"/>
      <c r="N883" s="593"/>
    </row>
    <row r="884" spans="4:14" ht="19.5" customHeight="1">
      <c r="D884" s="810"/>
      <c r="E884" s="810"/>
      <c r="F884" s="810"/>
      <c r="G884" s="810"/>
      <c r="M884" s="593"/>
      <c r="N884" s="593"/>
    </row>
    <row r="885" spans="4:14" ht="19.5" customHeight="1">
      <c r="D885" s="810"/>
      <c r="E885" s="810"/>
      <c r="F885" s="810"/>
      <c r="G885" s="810"/>
      <c r="M885" s="593"/>
      <c r="N885" s="593"/>
    </row>
    <row r="886" spans="4:14" ht="19.5" customHeight="1">
      <c r="D886" s="810"/>
      <c r="E886" s="810"/>
      <c r="F886" s="810"/>
      <c r="G886" s="810"/>
      <c r="M886" s="593"/>
      <c r="N886" s="593"/>
    </row>
    <row r="887" spans="4:14" ht="19.5" customHeight="1">
      <c r="D887" s="810"/>
      <c r="E887" s="810"/>
      <c r="F887" s="810"/>
      <c r="G887" s="810"/>
      <c r="M887" s="593"/>
      <c r="N887" s="593"/>
    </row>
    <row r="888" spans="4:14" ht="19.5" customHeight="1">
      <c r="D888" s="810"/>
      <c r="E888" s="810"/>
      <c r="F888" s="810"/>
      <c r="G888" s="810"/>
      <c r="M888" s="593"/>
      <c r="N888" s="593"/>
    </row>
    <row r="889" spans="4:14" ht="19.5" customHeight="1">
      <c r="D889" s="810"/>
      <c r="E889" s="810"/>
      <c r="F889" s="810"/>
      <c r="G889" s="810"/>
      <c r="M889" s="593"/>
      <c r="N889" s="593"/>
    </row>
    <row r="890" spans="4:14" ht="19.5" customHeight="1">
      <c r="D890" s="810"/>
      <c r="E890" s="810"/>
      <c r="F890" s="810"/>
      <c r="G890" s="810"/>
      <c r="M890" s="593"/>
      <c r="N890" s="593"/>
    </row>
    <row r="891" spans="4:14" ht="19.5" customHeight="1">
      <c r="D891" s="810"/>
      <c r="E891" s="810"/>
      <c r="F891" s="810"/>
      <c r="G891" s="810"/>
      <c r="M891" s="593"/>
      <c r="N891" s="593"/>
    </row>
    <row r="892" spans="4:14" ht="19.5" customHeight="1">
      <c r="D892" s="810"/>
      <c r="E892" s="810"/>
      <c r="F892" s="810"/>
      <c r="G892" s="810"/>
      <c r="M892" s="593"/>
      <c r="N892" s="593"/>
    </row>
    <row r="893" spans="4:14" ht="19.5" customHeight="1">
      <c r="D893" s="810"/>
      <c r="E893" s="810"/>
      <c r="F893" s="810"/>
      <c r="G893" s="810"/>
      <c r="M893" s="593"/>
      <c r="N893" s="593"/>
    </row>
    <row r="894" spans="4:14" ht="19.5" customHeight="1">
      <c r="D894" s="810"/>
      <c r="E894" s="810"/>
      <c r="F894" s="810"/>
      <c r="G894" s="810"/>
      <c r="M894" s="593"/>
      <c r="N894" s="593"/>
    </row>
    <row r="895" spans="4:14" ht="19.5" customHeight="1">
      <c r="D895" s="810"/>
      <c r="E895" s="810"/>
      <c r="F895" s="810"/>
      <c r="G895" s="810"/>
      <c r="M895" s="593"/>
      <c r="N895" s="593"/>
    </row>
    <row r="896" spans="4:14" ht="19.5" customHeight="1">
      <c r="D896" s="810"/>
      <c r="E896" s="810"/>
      <c r="F896" s="810"/>
      <c r="G896" s="810"/>
      <c r="M896" s="593"/>
      <c r="N896" s="593"/>
    </row>
    <row r="897" spans="4:14" ht="19.5" customHeight="1">
      <c r="D897" s="810"/>
      <c r="E897" s="810"/>
      <c r="F897" s="810"/>
      <c r="G897" s="810"/>
      <c r="M897" s="593"/>
      <c r="N897" s="593"/>
    </row>
    <row r="898" spans="4:14" ht="19.5" customHeight="1">
      <c r="D898" s="810"/>
      <c r="E898" s="810"/>
      <c r="F898" s="810"/>
      <c r="G898" s="810"/>
      <c r="M898" s="593"/>
      <c r="N898" s="593"/>
    </row>
    <row r="899" spans="4:14" ht="19.5" customHeight="1">
      <c r="D899" s="810"/>
      <c r="E899" s="810"/>
      <c r="F899" s="810"/>
      <c r="G899" s="810"/>
      <c r="M899" s="593"/>
      <c r="N899" s="593"/>
    </row>
    <row r="900" spans="4:14" ht="19.5" customHeight="1">
      <c r="D900" s="810"/>
      <c r="E900" s="810"/>
      <c r="F900" s="810"/>
      <c r="G900" s="810"/>
      <c r="M900" s="593"/>
      <c r="N900" s="593"/>
    </row>
    <row r="901" spans="4:14" ht="19.5" customHeight="1">
      <c r="D901" s="810"/>
      <c r="E901" s="810"/>
      <c r="F901" s="810"/>
      <c r="G901" s="810"/>
      <c r="M901" s="593"/>
      <c r="N901" s="593"/>
    </row>
    <row r="902" spans="4:14" ht="19.5" customHeight="1">
      <c r="D902" s="810"/>
      <c r="E902" s="810"/>
      <c r="F902" s="810"/>
      <c r="G902" s="810"/>
      <c r="M902" s="593"/>
      <c r="N902" s="593"/>
    </row>
    <row r="903" spans="4:14" ht="19.5" customHeight="1">
      <c r="D903" s="810"/>
      <c r="E903" s="810"/>
      <c r="F903" s="810"/>
      <c r="G903" s="810"/>
      <c r="M903" s="593"/>
      <c r="N903" s="593"/>
    </row>
    <row r="904" spans="4:14" ht="19.5" customHeight="1">
      <c r="D904" s="810"/>
      <c r="E904" s="810"/>
      <c r="F904" s="810"/>
      <c r="G904" s="810"/>
      <c r="M904" s="593"/>
      <c r="N904" s="593"/>
    </row>
    <row r="905" spans="4:14" ht="19.5" customHeight="1">
      <c r="D905" s="810"/>
      <c r="E905" s="810"/>
      <c r="F905" s="810"/>
      <c r="G905" s="810"/>
      <c r="M905" s="593"/>
      <c r="N905" s="593"/>
    </row>
    <row r="906" spans="4:14" ht="19.5" customHeight="1">
      <c r="D906" s="810"/>
      <c r="E906" s="810"/>
      <c r="F906" s="810"/>
      <c r="G906" s="810"/>
      <c r="M906" s="593"/>
      <c r="N906" s="593"/>
    </row>
    <row r="907" spans="4:14" ht="19.5" customHeight="1">
      <c r="D907" s="810"/>
      <c r="E907" s="810"/>
      <c r="F907" s="810"/>
      <c r="G907" s="810"/>
      <c r="M907" s="593"/>
      <c r="N907" s="593"/>
    </row>
    <row r="908" spans="4:14" ht="19.5" customHeight="1">
      <c r="D908" s="810"/>
      <c r="E908" s="810"/>
      <c r="F908" s="810"/>
      <c r="G908" s="810"/>
      <c r="M908" s="593"/>
      <c r="N908" s="593"/>
    </row>
    <row r="909" spans="4:14" ht="19.5" customHeight="1">
      <c r="D909" s="810"/>
      <c r="E909" s="810"/>
      <c r="F909" s="810"/>
      <c r="G909" s="810"/>
      <c r="M909" s="593"/>
      <c r="N909" s="593"/>
    </row>
    <row r="910" spans="4:14" ht="19.5" customHeight="1">
      <c r="D910" s="810"/>
      <c r="E910" s="810"/>
      <c r="F910" s="810"/>
      <c r="G910" s="810"/>
      <c r="M910" s="593"/>
      <c r="N910" s="593"/>
    </row>
    <row r="911" spans="4:14" ht="19.5" customHeight="1">
      <c r="D911" s="810"/>
      <c r="E911" s="810"/>
      <c r="F911" s="810"/>
      <c r="G911" s="810"/>
      <c r="M911" s="593"/>
      <c r="N911" s="593"/>
    </row>
    <row r="912" spans="4:14" ht="19.5" customHeight="1">
      <c r="D912" s="810"/>
      <c r="E912" s="810"/>
      <c r="F912" s="810"/>
      <c r="G912" s="810"/>
      <c r="M912" s="593"/>
      <c r="N912" s="593"/>
    </row>
    <row r="913" spans="4:14" ht="19.5" customHeight="1">
      <c r="D913" s="810"/>
      <c r="E913" s="810"/>
      <c r="F913" s="810"/>
      <c r="G913" s="810"/>
      <c r="M913" s="593"/>
      <c r="N913" s="593"/>
    </row>
    <row r="914" spans="4:14" ht="19.5" customHeight="1">
      <c r="D914" s="810"/>
      <c r="E914" s="810"/>
      <c r="F914" s="810"/>
      <c r="G914" s="810"/>
      <c r="M914" s="593"/>
      <c r="N914" s="593"/>
    </row>
    <row r="915" spans="4:14" ht="19.5" customHeight="1">
      <c r="D915" s="810"/>
      <c r="E915" s="810"/>
      <c r="F915" s="810"/>
      <c r="G915" s="810"/>
      <c r="M915" s="593"/>
      <c r="N915" s="593"/>
    </row>
    <row r="916" spans="4:14" ht="19.5" customHeight="1">
      <c r="D916" s="810"/>
      <c r="E916" s="810"/>
      <c r="F916" s="810"/>
      <c r="G916" s="810"/>
      <c r="M916" s="593"/>
      <c r="N916" s="593"/>
    </row>
    <row r="917" spans="4:14" ht="19.5" customHeight="1">
      <c r="D917" s="810"/>
      <c r="E917" s="810"/>
      <c r="F917" s="810"/>
      <c r="G917" s="810"/>
      <c r="M917" s="593"/>
      <c r="N917" s="593"/>
    </row>
    <row r="918" spans="4:14" ht="19.5" customHeight="1">
      <c r="D918" s="810"/>
      <c r="E918" s="810"/>
      <c r="F918" s="810"/>
      <c r="G918" s="810"/>
      <c r="M918" s="593"/>
      <c r="N918" s="593"/>
    </row>
    <row r="919" spans="4:14" ht="19.5" customHeight="1">
      <c r="D919" s="810"/>
      <c r="E919" s="810"/>
      <c r="F919" s="810"/>
      <c r="G919" s="810"/>
      <c r="M919" s="593"/>
      <c r="N919" s="593"/>
    </row>
    <row r="920" spans="4:14" ht="19.5" customHeight="1">
      <c r="D920" s="810"/>
      <c r="E920" s="810"/>
      <c r="F920" s="810"/>
      <c r="G920" s="810"/>
      <c r="M920" s="593"/>
      <c r="N920" s="593"/>
    </row>
    <row r="921" spans="4:14" ht="19.5" customHeight="1">
      <c r="D921" s="810"/>
      <c r="E921" s="810"/>
      <c r="F921" s="810"/>
      <c r="G921" s="810"/>
      <c r="M921" s="593"/>
      <c r="N921" s="593"/>
    </row>
    <row r="922" spans="4:14" ht="19.5" customHeight="1">
      <c r="D922" s="810"/>
      <c r="E922" s="810"/>
      <c r="F922" s="810"/>
      <c r="G922" s="810"/>
      <c r="M922" s="593"/>
      <c r="N922" s="593"/>
    </row>
    <row r="923" spans="4:14" ht="19.5" customHeight="1">
      <c r="D923" s="810"/>
      <c r="E923" s="810"/>
      <c r="F923" s="810"/>
      <c r="G923" s="810"/>
      <c r="M923" s="593"/>
      <c r="N923" s="593"/>
    </row>
    <row r="924" spans="4:14" ht="19.5" customHeight="1">
      <c r="D924" s="810"/>
      <c r="E924" s="810"/>
      <c r="F924" s="810"/>
      <c r="G924" s="810"/>
      <c r="M924" s="593"/>
      <c r="N924" s="593"/>
    </row>
    <row r="925" spans="4:14" ht="19.5" customHeight="1">
      <c r="D925" s="810"/>
      <c r="E925" s="810"/>
      <c r="F925" s="810"/>
      <c r="G925" s="810"/>
      <c r="M925" s="593"/>
      <c r="N925" s="593"/>
    </row>
    <row r="926" spans="4:14" ht="19.5" customHeight="1">
      <c r="D926" s="810"/>
      <c r="E926" s="810"/>
      <c r="F926" s="810"/>
      <c r="G926" s="810"/>
      <c r="M926" s="593"/>
      <c r="N926" s="593"/>
    </row>
    <row r="927" spans="4:14" ht="19.5" customHeight="1">
      <c r="D927" s="810"/>
      <c r="E927" s="810"/>
      <c r="F927" s="810"/>
      <c r="G927" s="810"/>
      <c r="M927" s="593"/>
      <c r="N927" s="593"/>
    </row>
    <row r="928" spans="4:14" ht="19.5" customHeight="1">
      <c r="D928" s="810"/>
      <c r="E928" s="810"/>
      <c r="F928" s="810"/>
      <c r="G928" s="810"/>
      <c r="M928" s="593"/>
      <c r="N928" s="593"/>
    </row>
    <row r="929" spans="4:14" ht="19.5" customHeight="1">
      <c r="D929" s="810"/>
      <c r="E929" s="810"/>
      <c r="F929" s="810"/>
      <c r="G929" s="810"/>
      <c r="M929" s="593"/>
      <c r="N929" s="593"/>
    </row>
    <row r="930" spans="4:14" ht="19.5" customHeight="1">
      <c r="D930" s="810"/>
      <c r="E930" s="810"/>
      <c r="F930" s="810"/>
      <c r="G930" s="810"/>
      <c r="M930" s="593"/>
      <c r="N930" s="593"/>
    </row>
    <row r="931" spans="4:14" ht="19.5" customHeight="1">
      <c r="D931" s="810"/>
      <c r="E931" s="810"/>
      <c r="F931" s="810"/>
      <c r="G931" s="810"/>
      <c r="M931" s="593"/>
      <c r="N931" s="593"/>
    </row>
    <row r="932" spans="4:14" ht="19.5" customHeight="1">
      <c r="D932" s="810"/>
      <c r="E932" s="810"/>
      <c r="F932" s="810"/>
      <c r="G932" s="810"/>
      <c r="M932" s="593"/>
      <c r="N932" s="593"/>
    </row>
    <row r="933" spans="4:14" ht="19.5" customHeight="1">
      <c r="D933" s="810"/>
      <c r="E933" s="810"/>
      <c r="F933" s="810"/>
      <c r="G933" s="810"/>
      <c r="M933" s="593"/>
      <c r="N933" s="593"/>
    </row>
    <row r="934" spans="4:14" ht="19.5" customHeight="1">
      <c r="D934" s="810"/>
      <c r="E934" s="810"/>
      <c r="F934" s="810"/>
      <c r="G934" s="810"/>
      <c r="M934" s="593"/>
      <c r="N934" s="593"/>
    </row>
    <row r="935" spans="4:14" ht="19.5" customHeight="1">
      <c r="D935" s="810"/>
      <c r="E935" s="810"/>
      <c r="F935" s="810"/>
      <c r="G935" s="810"/>
      <c r="M935" s="593"/>
      <c r="N935" s="593"/>
    </row>
    <row r="936" spans="4:14" ht="19.5" customHeight="1">
      <c r="D936" s="810"/>
      <c r="E936" s="810"/>
      <c r="F936" s="810"/>
      <c r="G936" s="810"/>
      <c r="M936" s="593"/>
      <c r="N936" s="593"/>
    </row>
    <row r="937" spans="4:14" ht="19.5" customHeight="1">
      <c r="D937" s="810"/>
      <c r="E937" s="810"/>
      <c r="F937" s="810"/>
      <c r="G937" s="810"/>
      <c r="M937" s="593"/>
      <c r="N937" s="593"/>
    </row>
    <row r="938" spans="4:14" ht="19.5" customHeight="1">
      <c r="D938" s="810"/>
      <c r="E938" s="810"/>
      <c r="F938" s="810"/>
      <c r="G938" s="810"/>
      <c r="M938" s="593"/>
      <c r="N938" s="593"/>
    </row>
    <row r="939" spans="4:14" ht="19.5" customHeight="1">
      <c r="D939" s="810"/>
      <c r="E939" s="810"/>
      <c r="F939" s="810"/>
      <c r="G939" s="810"/>
      <c r="M939" s="593"/>
      <c r="N939" s="593"/>
    </row>
    <row r="940" spans="4:14" ht="19.5" customHeight="1">
      <c r="D940" s="810"/>
      <c r="E940" s="810"/>
      <c r="F940" s="810"/>
      <c r="G940" s="810"/>
      <c r="M940" s="593"/>
      <c r="N940" s="593"/>
    </row>
    <row r="941" spans="4:14" ht="19.5" customHeight="1">
      <c r="D941" s="810"/>
      <c r="E941" s="810"/>
      <c r="F941" s="810"/>
      <c r="G941" s="810"/>
      <c r="M941" s="593"/>
      <c r="N941" s="593"/>
    </row>
    <row r="942" spans="4:14" ht="19.5" customHeight="1">
      <c r="D942" s="810"/>
      <c r="E942" s="810"/>
      <c r="F942" s="810"/>
      <c r="G942" s="810"/>
      <c r="M942" s="593"/>
      <c r="N942" s="593"/>
    </row>
    <row r="943" spans="4:14" ht="19.5" customHeight="1">
      <c r="D943" s="810"/>
      <c r="E943" s="810"/>
      <c r="F943" s="810"/>
      <c r="G943" s="810"/>
      <c r="M943" s="593"/>
      <c r="N943" s="593"/>
    </row>
    <row r="944" spans="4:14" ht="19.5" customHeight="1">
      <c r="D944" s="810"/>
      <c r="E944" s="810"/>
      <c r="F944" s="810"/>
      <c r="G944" s="810"/>
      <c r="M944" s="593"/>
      <c r="N944" s="593"/>
    </row>
    <row r="945" spans="4:14" ht="19.5" customHeight="1">
      <c r="D945" s="810"/>
      <c r="E945" s="810"/>
      <c r="F945" s="810"/>
      <c r="G945" s="810"/>
      <c r="M945" s="593"/>
      <c r="N945" s="593"/>
    </row>
    <row r="946" spans="4:14" ht="19.5" customHeight="1">
      <c r="D946" s="810"/>
      <c r="E946" s="810"/>
      <c r="F946" s="810"/>
      <c r="G946" s="810"/>
      <c r="M946" s="593"/>
      <c r="N946" s="593"/>
    </row>
    <row r="947" spans="4:14" ht="19.5" customHeight="1">
      <c r="D947" s="810"/>
      <c r="E947" s="810"/>
      <c r="F947" s="810"/>
      <c r="G947" s="810"/>
      <c r="M947" s="593"/>
      <c r="N947" s="593"/>
    </row>
    <row r="948" spans="4:14" ht="19.5" customHeight="1">
      <c r="D948" s="810"/>
      <c r="E948" s="810"/>
      <c r="F948" s="810"/>
      <c r="G948" s="810"/>
      <c r="M948" s="593"/>
      <c r="N948" s="593"/>
    </row>
    <row r="949" spans="4:14" ht="19.5" customHeight="1">
      <c r="D949" s="810"/>
      <c r="E949" s="810"/>
      <c r="F949" s="810"/>
      <c r="G949" s="810"/>
      <c r="M949" s="593"/>
      <c r="N949" s="593"/>
    </row>
    <row r="950" spans="4:14" ht="19.5" customHeight="1">
      <c r="D950" s="810"/>
      <c r="E950" s="810"/>
      <c r="F950" s="810"/>
      <c r="G950" s="810"/>
      <c r="M950" s="593"/>
      <c r="N950" s="593"/>
    </row>
    <row r="951" spans="4:14" ht="19.5" customHeight="1">
      <c r="D951" s="810"/>
      <c r="E951" s="810"/>
      <c r="F951" s="810"/>
      <c r="G951" s="810"/>
      <c r="M951" s="593"/>
      <c r="N951" s="593"/>
    </row>
    <row r="952" spans="4:14" ht="19.5" customHeight="1">
      <c r="D952" s="810"/>
      <c r="E952" s="810"/>
      <c r="F952" s="810"/>
      <c r="G952" s="810"/>
      <c r="M952" s="593"/>
      <c r="N952" s="593"/>
    </row>
    <row r="953" spans="4:14" ht="19.5" customHeight="1">
      <c r="D953" s="810"/>
      <c r="E953" s="810"/>
      <c r="F953" s="810"/>
      <c r="G953" s="810"/>
      <c r="M953" s="593"/>
      <c r="N953" s="593"/>
    </row>
    <row r="954" spans="4:14" ht="19.5" customHeight="1">
      <c r="D954" s="810"/>
      <c r="E954" s="810"/>
      <c r="F954" s="810"/>
      <c r="G954" s="810"/>
      <c r="M954" s="593"/>
      <c r="N954" s="593"/>
    </row>
    <row r="955" spans="4:14" ht="19.5" customHeight="1">
      <c r="D955" s="810"/>
      <c r="E955" s="810"/>
      <c r="F955" s="810"/>
      <c r="G955" s="810"/>
      <c r="M955" s="593"/>
      <c r="N955" s="593"/>
    </row>
    <row r="956" spans="4:14" ht="19.5" customHeight="1">
      <c r="D956" s="810"/>
      <c r="E956" s="810"/>
      <c r="F956" s="810"/>
      <c r="G956" s="810"/>
      <c r="M956" s="593"/>
      <c r="N956" s="593"/>
    </row>
    <row r="957" spans="4:14" ht="19.5" customHeight="1">
      <c r="D957" s="810"/>
      <c r="E957" s="810"/>
      <c r="F957" s="810"/>
      <c r="G957" s="810"/>
      <c r="M957" s="593"/>
      <c r="N957" s="593"/>
    </row>
    <row r="958" spans="4:14" ht="19.5" customHeight="1">
      <c r="D958" s="810"/>
      <c r="E958" s="810"/>
      <c r="F958" s="810"/>
      <c r="G958" s="810"/>
      <c r="M958" s="593"/>
      <c r="N958" s="593"/>
    </row>
    <row r="959" spans="4:14" ht="19.5" customHeight="1">
      <c r="D959" s="810"/>
      <c r="E959" s="810"/>
      <c r="F959" s="810"/>
      <c r="G959" s="810"/>
      <c r="M959" s="593"/>
      <c r="N959" s="593"/>
    </row>
    <row r="960" spans="4:14" ht="19.5" customHeight="1">
      <c r="D960" s="810"/>
      <c r="E960" s="810"/>
      <c r="F960" s="810"/>
      <c r="G960" s="810"/>
      <c r="M960" s="593"/>
      <c r="N960" s="593"/>
    </row>
    <row r="961" spans="4:14" ht="19.5" customHeight="1">
      <c r="D961" s="810"/>
      <c r="E961" s="810"/>
      <c r="F961" s="810"/>
      <c r="G961" s="810"/>
      <c r="M961" s="593"/>
      <c r="N961" s="593"/>
    </row>
    <row r="962" spans="4:14" ht="19.5" customHeight="1">
      <c r="D962" s="810"/>
      <c r="E962" s="810"/>
      <c r="F962" s="810"/>
      <c r="G962" s="810"/>
      <c r="M962" s="593"/>
      <c r="N962" s="593"/>
    </row>
    <row r="963" spans="4:14" ht="19.5" customHeight="1">
      <c r="D963" s="810"/>
      <c r="E963" s="810"/>
      <c r="F963" s="810"/>
      <c r="G963" s="810"/>
      <c r="M963" s="593"/>
      <c r="N963" s="593"/>
    </row>
    <row r="964" spans="4:14" ht="19.5" customHeight="1">
      <c r="D964" s="810"/>
      <c r="E964" s="810"/>
      <c r="F964" s="810"/>
      <c r="G964" s="810"/>
      <c r="M964" s="593"/>
      <c r="N964" s="593"/>
    </row>
    <row r="965" spans="4:14" ht="19.5" customHeight="1">
      <c r="D965" s="810"/>
      <c r="E965" s="810"/>
      <c r="F965" s="810"/>
      <c r="G965" s="810"/>
      <c r="M965" s="593"/>
      <c r="N965" s="593"/>
    </row>
    <row r="966" spans="4:14" ht="19.5" customHeight="1">
      <c r="D966" s="810"/>
      <c r="E966" s="810"/>
      <c r="F966" s="810"/>
      <c r="G966" s="810"/>
      <c r="M966" s="593"/>
      <c r="N966" s="593"/>
    </row>
    <row r="967" spans="4:14" ht="19.5" customHeight="1">
      <c r="D967" s="810"/>
      <c r="E967" s="810"/>
      <c r="F967" s="810"/>
      <c r="G967" s="810"/>
      <c r="M967" s="593"/>
      <c r="N967" s="593"/>
    </row>
    <row r="968" spans="4:14" ht="19.5" customHeight="1">
      <c r="D968" s="810"/>
      <c r="E968" s="810"/>
      <c r="F968" s="810"/>
      <c r="G968" s="810"/>
      <c r="M968" s="593"/>
      <c r="N968" s="593"/>
    </row>
    <row r="969" spans="4:14" ht="19.5" customHeight="1">
      <c r="D969" s="810"/>
      <c r="E969" s="810"/>
      <c r="F969" s="810"/>
      <c r="G969" s="810"/>
      <c r="M969" s="593"/>
      <c r="N969" s="593"/>
    </row>
    <row r="970" spans="4:14" ht="19.5" customHeight="1">
      <c r="D970" s="810"/>
      <c r="E970" s="810"/>
      <c r="F970" s="810"/>
      <c r="G970" s="810"/>
      <c r="M970" s="593"/>
      <c r="N970" s="593"/>
    </row>
    <row r="971" spans="4:14" ht="19.5" customHeight="1">
      <c r="D971" s="810"/>
      <c r="E971" s="810"/>
      <c r="F971" s="810"/>
      <c r="G971" s="810"/>
      <c r="M971" s="593"/>
      <c r="N971" s="593"/>
    </row>
    <row r="972" spans="4:14" ht="19.5" customHeight="1">
      <c r="D972" s="810"/>
      <c r="E972" s="810"/>
      <c r="F972" s="810"/>
      <c r="G972" s="810"/>
      <c r="M972" s="593"/>
      <c r="N972" s="593"/>
    </row>
    <row r="973" spans="4:14" ht="19.5" customHeight="1">
      <c r="D973" s="810"/>
      <c r="E973" s="810"/>
      <c r="F973" s="810"/>
      <c r="G973" s="810"/>
      <c r="M973" s="593"/>
      <c r="N973" s="593"/>
    </row>
    <row r="974" spans="4:14" ht="19.5" customHeight="1">
      <c r="D974" s="810"/>
      <c r="E974" s="810"/>
      <c r="F974" s="810"/>
      <c r="G974" s="810"/>
      <c r="M974" s="593"/>
      <c r="N974" s="593"/>
    </row>
    <row r="975" spans="4:14" ht="19.5" customHeight="1">
      <c r="D975" s="810"/>
      <c r="E975" s="810"/>
      <c r="F975" s="810"/>
      <c r="G975" s="810"/>
      <c r="M975" s="593"/>
      <c r="N975" s="593"/>
    </row>
    <row r="976" spans="4:14" ht="19.5" customHeight="1">
      <c r="D976" s="810"/>
      <c r="E976" s="810"/>
      <c r="F976" s="810"/>
      <c r="G976" s="810"/>
      <c r="M976" s="593"/>
      <c r="N976" s="593"/>
    </row>
    <row r="977" spans="4:14" ht="19.5" customHeight="1">
      <c r="D977" s="810"/>
      <c r="E977" s="810"/>
      <c r="F977" s="810"/>
      <c r="G977" s="810"/>
      <c r="M977" s="593"/>
      <c r="N977" s="593"/>
    </row>
    <row r="978" spans="4:14" ht="19.5" customHeight="1">
      <c r="D978" s="810"/>
      <c r="E978" s="810"/>
      <c r="F978" s="810"/>
      <c r="G978" s="810"/>
      <c r="M978" s="593"/>
      <c r="N978" s="593"/>
    </row>
    <row r="979" spans="4:14" ht="19.5" customHeight="1">
      <c r="D979" s="810"/>
      <c r="E979" s="810"/>
      <c r="F979" s="810"/>
      <c r="G979" s="810"/>
      <c r="M979" s="593"/>
      <c r="N979" s="593"/>
    </row>
    <row r="980" spans="4:14" ht="19.5" customHeight="1">
      <c r="D980" s="810"/>
      <c r="E980" s="810"/>
      <c r="F980" s="810"/>
      <c r="G980" s="810"/>
      <c r="M980" s="593"/>
      <c r="N980" s="593"/>
    </row>
    <row r="981" spans="4:14" ht="19.5" customHeight="1">
      <c r="D981" s="810"/>
      <c r="E981" s="810"/>
      <c r="F981" s="810"/>
      <c r="G981" s="810"/>
      <c r="M981" s="593"/>
      <c r="N981" s="593"/>
    </row>
    <row r="982" spans="4:14" ht="19.5" customHeight="1">
      <c r="D982" s="810"/>
      <c r="E982" s="810"/>
      <c r="F982" s="810"/>
      <c r="G982" s="810"/>
      <c r="M982" s="593"/>
      <c r="N982" s="593"/>
    </row>
    <row r="983" spans="4:14" ht="19.5" customHeight="1">
      <c r="D983" s="810"/>
      <c r="E983" s="810"/>
      <c r="F983" s="810"/>
      <c r="G983" s="810"/>
      <c r="M983" s="593"/>
      <c r="N983" s="593"/>
    </row>
    <row r="984" spans="4:14" ht="19.5" customHeight="1">
      <c r="D984" s="810"/>
      <c r="E984" s="810"/>
      <c r="F984" s="810"/>
      <c r="G984" s="810"/>
      <c r="M984" s="593"/>
      <c r="N984" s="593"/>
    </row>
    <row r="985" spans="4:14" ht="19.5" customHeight="1">
      <c r="D985" s="810"/>
      <c r="E985" s="810"/>
      <c r="F985" s="810"/>
      <c r="G985" s="810"/>
      <c r="M985" s="593"/>
      <c r="N985" s="593"/>
    </row>
    <row r="986" spans="4:14" ht="19.5" customHeight="1">
      <c r="D986" s="810"/>
      <c r="E986" s="810"/>
      <c r="F986" s="810"/>
      <c r="G986" s="810"/>
      <c r="M986" s="593"/>
      <c r="N986" s="593"/>
    </row>
    <row r="987" spans="4:14" ht="19.5" customHeight="1">
      <c r="D987" s="810"/>
      <c r="E987" s="810"/>
      <c r="F987" s="810"/>
      <c r="G987" s="810"/>
      <c r="M987" s="593"/>
      <c r="N987" s="593"/>
    </row>
    <row r="988" spans="4:14" ht="19.5" customHeight="1">
      <c r="D988" s="810"/>
      <c r="E988" s="810"/>
      <c r="F988" s="810"/>
      <c r="G988" s="810"/>
      <c r="M988" s="593"/>
      <c r="N988" s="593"/>
    </row>
    <row r="989" spans="4:14" ht="19.5" customHeight="1">
      <c r="D989" s="810"/>
      <c r="E989" s="810"/>
      <c r="F989" s="810"/>
      <c r="G989" s="810"/>
      <c r="M989" s="593"/>
      <c r="N989" s="593"/>
    </row>
    <row r="990" spans="4:14" ht="19.5" customHeight="1">
      <c r="D990" s="810"/>
      <c r="E990" s="810"/>
      <c r="F990" s="810"/>
      <c r="G990" s="810"/>
      <c r="M990" s="593"/>
      <c r="N990" s="593"/>
    </row>
    <row r="991" spans="4:14" ht="19.5" customHeight="1">
      <c r="D991" s="810"/>
      <c r="E991" s="810"/>
      <c r="F991" s="810"/>
      <c r="G991" s="810"/>
      <c r="M991" s="593"/>
      <c r="N991" s="593"/>
    </row>
    <row r="992" spans="4:14" ht="19.5" customHeight="1">
      <c r="D992" s="810"/>
      <c r="E992" s="810"/>
      <c r="F992" s="810"/>
      <c r="G992" s="810"/>
      <c r="M992" s="593"/>
      <c r="N992" s="593"/>
    </row>
    <row r="993" spans="4:14" ht="19.5" customHeight="1">
      <c r="D993" s="810"/>
      <c r="E993" s="810"/>
      <c r="F993" s="810"/>
      <c r="G993" s="810"/>
      <c r="M993" s="593"/>
      <c r="N993" s="593"/>
    </row>
    <row r="994" spans="4:14" ht="19.5" customHeight="1">
      <c r="D994" s="810"/>
      <c r="E994" s="810"/>
      <c r="F994" s="810"/>
      <c r="G994" s="810"/>
      <c r="M994" s="593"/>
      <c r="N994" s="593"/>
    </row>
    <row r="995" spans="4:14" ht="19.5" customHeight="1">
      <c r="D995" s="810"/>
      <c r="E995" s="810"/>
      <c r="F995" s="810"/>
      <c r="G995" s="810"/>
      <c r="M995" s="593"/>
      <c r="N995" s="593"/>
    </row>
    <row r="996" spans="4:14" ht="19.5" customHeight="1">
      <c r="D996" s="810"/>
      <c r="E996" s="810"/>
      <c r="F996" s="810"/>
      <c r="G996" s="810"/>
      <c r="M996" s="593"/>
      <c r="N996" s="593"/>
    </row>
    <row r="997" spans="4:14" ht="19.5" customHeight="1">
      <c r="D997" s="810"/>
      <c r="E997" s="810"/>
      <c r="F997" s="810"/>
      <c r="G997" s="810"/>
      <c r="M997" s="593"/>
      <c r="N997" s="593"/>
    </row>
    <row r="998" spans="4:14" ht="19.5" customHeight="1">
      <c r="D998" s="810"/>
      <c r="E998" s="810"/>
      <c r="F998" s="810"/>
      <c r="G998" s="810"/>
      <c r="M998" s="593"/>
      <c r="N998" s="593"/>
    </row>
    <row r="999" spans="4:14" ht="19.5" customHeight="1">
      <c r="D999" s="810"/>
      <c r="E999" s="810"/>
      <c r="F999" s="810"/>
      <c r="G999" s="810"/>
      <c r="M999" s="593"/>
      <c r="N999" s="593"/>
    </row>
    <row r="1000" spans="4:14" ht="19.5" customHeight="1">
      <c r="D1000" s="810"/>
      <c r="E1000" s="810"/>
      <c r="F1000" s="810"/>
      <c r="G1000" s="810"/>
      <c r="M1000" s="593"/>
      <c r="N1000" s="593"/>
    </row>
  </sheetData>
  <mergeCells count="2">
    <mergeCell ref="B1:C1"/>
    <mergeCell ref="BR4:BX4"/>
  </mergeCells>
  <phoneticPr fontId="154" type="noConversion"/>
  <conditionalFormatting sqref="C5:C11">
    <cfRule type="containsText" dxfId="57" priority="1" operator="containsText" text="카자흐스탄(악토베)">
      <formula>NOT(ISERROR(SEARCH(("카자흐스탄(악토베)"),(C5))))</formula>
    </cfRule>
    <cfRule type="containsText" dxfId="56" priority="2" operator="containsText" text="우즈베키스탄(타슈켄트)">
      <formula>NOT(ISERROR(SEARCH(("우즈베키스탄(타슈켄트)"),(C5))))</formula>
    </cfRule>
    <cfRule type="containsText" dxfId="55" priority="3" operator="containsText" text="러시아(모스크바)">
      <formula>NOT(ISERROR(SEARCH(("러시아(모스크바)"),(C5))))</formula>
    </cfRule>
    <cfRule type="containsText" dxfId="54" priority="4" operator="containsText" text="카자흐스탄(알마티)">
      <formula>NOT(ISERROR(SEARCH(("카자흐스탄(알마티)"),(C5))))</formula>
    </cfRule>
    <cfRule type="containsText" dxfId="53" priority="5" operator="containsText" text="우크라이나(키이우)">
      <formula>NOT(ISERROR(SEARCH(("우크라이나(키이우)"),(C5))))</formula>
    </cfRule>
    <cfRule type="containsText" dxfId="52" priority="6" operator="containsText" text="크림공화국">
      <formula>NOT(ISERROR(SEARCH(("크림공화국"),(C5))))</formula>
    </cfRule>
    <cfRule type="containsText" dxfId="51" priority="7" operator="containsText" text="해외개척">
      <formula>NOT(ISERROR(SEARCH(("해외개척"),(C5))))</formula>
    </cfRule>
    <cfRule type="containsText" dxfId="50" priority="8" operator="containsText" text="국내성도">
      <formula>NOT(ISERROR(SEARCH(("국내성도"),(C5))))</formula>
    </cfRule>
  </conditionalFormatting>
  <conditionalFormatting sqref="C14">
    <cfRule type="containsText" dxfId="49" priority="9" operator="containsText" text="카자흐스탄(악토베)">
      <formula>NOT(ISERROR(SEARCH(("카자흐스탄(악토베)"),(C14))))</formula>
    </cfRule>
    <cfRule type="containsText" dxfId="48" priority="10" operator="containsText" text="우즈베키스탄(타슈켄트)">
      <formula>NOT(ISERROR(SEARCH(("우즈베키스탄(타슈켄트)"),(C14))))</formula>
    </cfRule>
    <cfRule type="containsText" dxfId="47" priority="11" operator="containsText" text="러시아(모스크바)">
      <formula>NOT(ISERROR(SEARCH(("러시아(모스크바)"),(C14))))</formula>
    </cfRule>
    <cfRule type="containsText" dxfId="46" priority="12" operator="containsText" text="카자흐스탄(알마티)">
      <formula>NOT(ISERROR(SEARCH(("카자흐스탄(알마티)"),(C14))))</formula>
    </cfRule>
    <cfRule type="containsText" dxfId="45" priority="13" operator="containsText" text="우크라이나(키이우)">
      <formula>NOT(ISERROR(SEARCH(("우크라이나(키이우)"),(C14))))</formula>
    </cfRule>
    <cfRule type="containsText" dxfId="44" priority="14" operator="containsText" text="크림공화국">
      <formula>NOT(ISERROR(SEARCH(("크림공화국"),(C14))))</formula>
    </cfRule>
    <cfRule type="containsText" dxfId="43" priority="15" operator="containsText" text="해외개척">
      <formula>NOT(ISERROR(SEARCH(("해외개척"),(C14))))</formula>
    </cfRule>
    <cfRule type="containsText" dxfId="42" priority="16" operator="containsText" text="국내성도">
      <formula>NOT(ISERROR(SEARCH(("국내성도"),(C14))))</formula>
    </cfRule>
    <cfRule type="expression" dxfId="41" priority="17">
      <formula>$AS14="중복"</formula>
    </cfRule>
    <cfRule type="containsText" dxfId="40" priority="18" operator="containsText" text="출결제외">
      <formula>NOT(ISERROR(SEARCH(("출결제외"),(C14))))</formula>
    </cfRule>
    <cfRule type="expression" dxfId="39" priority="19">
      <formula>$AS14="출결제외"</formula>
    </cfRule>
  </conditionalFormatting>
  <conditionalFormatting sqref="C21:C27">
    <cfRule type="containsText" dxfId="38" priority="20" operator="containsText" text="카자흐스탄(악토베)">
      <formula>NOT(ISERROR(SEARCH(("카자흐스탄(악토베)"),(C21))))</formula>
    </cfRule>
    <cfRule type="containsText" dxfId="37" priority="21" operator="containsText" text="우즈베키스탄(타슈켄트)">
      <formula>NOT(ISERROR(SEARCH(("우즈베키스탄(타슈켄트)"),(C21))))</formula>
    </cfRule>
    <cfRule type="containsText" dxfId="36" priority="22" operator="containsText" text="러시아(모스크바)">
      <formula>NOT(ISERROR(SEARCH(("러시아(모스크바)"),(C21))))</formula>
    </cfRule>
    <cfRule type="containsText" dxfId="35" priority="23" operator="containsText" text="카자흐스탄(알마티)">
      <formula>NOT(ISERROR(SEARCH(("카자흐스탄(알마티)"),(C21))))</formula>
    </cfRule>
    <cfRule type="containsText" dxfId="34" priority="24" operator="containsText" text="우크라이나(키이우)">
      <formula>NOT(ISERROR(SEARCH(("우크라이나(키이우)"),(C21))))</formula>
    </cfRule>
    <cfRule type="containsText" dxfId="33" priority="25" operator="containsText" text="크림공화국">
      <formula>NOT(ISERROR(SEARCH(("크림공화국"),(C21))))</formula>
    </cfRule>
    <cfRule type="containsText" dxfId="32" priority="26" operator="containsText" text="해외개척">
      <formula>NOT(ISERROR(SEARCH(("해외개척"),(C21))))</formula>
    </cfRule>
    <cfRule type="containsText" dxfId="31" priority="27" operator="containsText" text="국내성도">
      <formula>NOT(ISERROR(SEARCH(("국내성도"),(C21))))</formula>
    </cfRule>
  </conditionalFormatting>
  <conditionalFormatting sqref="C30">
    <cfRule type="containsText" dxfId="30" priority="28" operator="containsText" text="카자흐스탄(악토베)">
      <formula>NOT(ISERROR(SEARCH(("카자흐스탄(악토베)"),(C30))))</formula>
    </cfRule>
    <cfRule type="containsText" dxfId="29" priority="29" operator="containsText" text="우즈베키스탄(타슈켄트)">
      <formula>NOT(ISERROR(SEARCH(("우즈베키스탄(타슈켄트)"),(C30))))</formula>
    </cfRule>
    <cfRule type="containsText" dxfId="28" priority="30" operator="containsText" text="러시아(모스크바)">
      <formula>NOT(ISERROR(SEARCH(("러시아(모스크바)"),(C30))))</formula>
    </cfRule>
    <cfRule type="containsText" dxfId="27" priority="31" operator="containsText" text="카자흐스탄(알마티)">
      <formula>NOT(ISERROR(SEARCH(("카자흐스탄(알마티)"),(C30))))</formula>
    </cfRule>
    <cfRule type="containsText" dxfId="26" priority="32" operator="containsText" text="우크라이나(키이우)">
      <formula>NOT(ISERROR(SEARCH(("우크라이나(키이우)"),(C30))))</formula>
    </cfRule>
    <cfRule type="containsText" dxfId="25" priority="33" operator="containsText" text="크림공화국">
      <formula>NOT(ISERROR(SEARCH(("크림공화국"),(C30))))</formula>
    </cfRule>
    <cfRule type="containsText" dxfId="24" priority="34" operator="containsText" text="해외개척">
      <formula>NOT(ISERROR(SEARCH(("해외개척"),(C30))))</formula>
    </cfRule>
    <cfRule type="containsText" dxfId="23" priority="35" operator="containsText" text="국내성도">
      <formula>NOT(ISERROR(SEARCH(("국내성도"),(C30))))</formula>
    </cfRule>
    <cfRule type="expression" dxfId="22" priority="36">
      <formula>$AS30="중복"</formula>
    </cfRule>
    <cfRule type="containsText" dxfId="21" priority="37" operator="containsText" text="출결제외">
      <formula>NOT(ISERROR(SEARCH(("출결제외"),(C30))))</formula>
    </cfRule>
    <cfRule type="expression" dxfId="20" priority="38">
      <formula>$AS30="출결제외"</formula>
    </cfRule>
  </conditionalFormatting>
  <conditionalFormatting sqref="E5:E15">
    <cfRule type="containsText" dxfId="19" priority="39" operator="containsText" text="불일치">
      <formula>NOT(ISERROR(SEARCH(("불일치"),(E5))))</formula>
    </cfRule>
  </conditionalFormatting>
  <conditionalFormatting sqref="G5:G11">
    <cfRule type="containsText" dxfId="18" priority="40" operator="containsText" text="카자흐스탄(악토베)">
      <formula>NOT(ISERROR(SEARCH(("카자흐스탄(악토베)"),(G5))))</formula>
    </cfRule>
    <cfRule type="containsText" dxfId="17" priority="41" operator="containsText" text="우즈베키스탄(타슈켄트)">
      <formula>NOT(ISERROR(SEARCH(("우즈베키스탄(타슈켄트)"),(G5))))</formula>
    </cfRule>
    <cfRule type="containsText" dxfId="16" priority="42" operator="containsText" text="러시아(모스크바)">
      <formula>NOT(ISERROR(SEARCH(("러시아(모스크바)"),(G5))))</formula>
    </cfRule>
    <cfRule type="containsText" dxfId="15" priority="43" operator="containsText" text="카자흐스탄(알마티)">
      <formula>NOT(ISERROR(SEARCH(("카자흐스탄(알마티)"),(G5))))</formula>
    </cfRule>
    <cfRule type="containsText" dxfId="14" priority="44" operator="containsText" text="우크라이나(키이우)">
      <formula>NOT(ISERROR(SEARCH(("우크라이나(키이우)"),(G5))))</formula>
    </cfRule>
    <cfRule type="containsText" dxfId="13" priority="45" operator="containsText" text="크림공화국">
      <formula>NOT(ISERROR(SEARCH(("크림공화국"),(G5))))</formula>
    </cfRule>
    <cfRule type="containsText" dxfId="12" priority="46" operator="containsText" text="해외개척">
      <formula>NOT(ISERROR(SEARCH(("해외개척"),(G5))))</formula>
    </cfRule>
    <cfRule type="containsText" dxfId="11" priority="47" operator="containsText" text="국내성도">
      <formula>NOT(ISERROR(SEARCH(("국내성도"),(G5))))</formula>
    </cfRule>
  </conditionalFormatting>
  <conditionalFormatting sqref="G14">
    <cfRule type="containsText" dxfId="10" priority="48" operator="containsText" text="카자흐스탄(악토베)">
      <formula>NOT(ISERROR(SEARCH(("카자흐스탄(악토베)"),(G14))))</formula>
    </cfRule>
    <cfRule type="containsText" dxfId="9" priority="49" operator="containsText" text="우즈베키스탄(타슈켄트)">
      <formula>NOT(ISERROR(SEARCH(("우즈베키스탄(타슈켄트)"),(G14))))</formula>
    </cfRule>
    <cfRule type="containsText" dxfId="8" priority="50" operator="containsText" text="러시아(모스크바)">
      <formula>NOT(ISERROR(SEARCH(("러시아(모스크바)"),(G14))))</formula>
    </cfRule>
    <cfRule type="containsText" dxfId="7" priority="51" operator="containsText" text="카자흐스탄(알마티)">
      <formula>NOT(ISERROR(SEARCH(("카자흐스탄(알마티)"),(G14))))</formula>
    </cfRule>
    <cfRule type="containsText" dxfId="6" priority="52" operator="containsText" text="우크라이나(키이우)">
      <formula>NOT(ISERROR(SEARCH(("우크라이나(키이우)"),(G14))))</formula>
    </cfRule>
    <cfRule type="containsText" dxfId="5" priority="53" operator="containsText" text="크림공화국">
      <formula>NOT(ISERROR(SEARCH(("크림공화국"),(G14))))</formula>
    </cfRule>
    <cfRule type="containsText" dxfId="4" priority="54" operator="containsText" text="해외개척">
      <formula>NOT(ISERROR(SEARCH(("해외개척"),(G14))))</formula>
    </cfRule>
    <cfRule type="containsText" dxfId="3" priority="55" operator="containsText" text="국내성도">
      <formula>NOT(ISERROR(SEARCH(("국내성도"),(G14))))</formula>
    </cfRule>
    <cfRule type="expression" dxfId="2" priority="56">
      <formula>#REF!="중복"</formula>
    </cfRule>
    <cfRule type="containsText" dxfId="1" priority="57" operator="containsText" text="출결제외">
      <formula>NOT(ISERROR(SEARCH(("출결제외"),(G14))))</formula>
    </cfRule>
    <cfRule type="expression" dxfId="0" priority="58">
      <formula>#REF!="출결제외"</formula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42년6월 조직도</vt:lpstr>
      <vt:lpstr>Sheet1</vt:lpstr>
      <vt:lpstr>42년6월 취합마스터파일</vt:lpstr>
      <vt:lpstr>42년5월 취합마스터파일</vt:lpstr>
      <vt:lpstr>42.3월(조직개편전) 취합마스터파일</vt:lpstr>
      <vt:lpstr>총인원 누적관리_(총서기만작성)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Nanhee Lee</cp:lastModifiedBy>
  <dcterms:created xsi:type="dcterms:W3CDTF">2026-01-25T13:08:43Z</dcterms:created>
  <dcterms:modified xsi:type="dcterms:W3CDTF">2026-01-30T15:11:46Z</dcterms:modified>
</cp:coreProperties>
</file>